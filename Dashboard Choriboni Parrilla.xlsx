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810" activeTab="4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definedNames>
    <definedName name="_xlnm._FilterDatabase" localSheetId="4" hidden="1">Informe_ventas!$F$3:$F$25</definedName>
  </definedNames>
  <calcPr calcId="162913"/>
  <pivotCaches>
    <pivotCache cacheId="6" r:id="rId7"/>
    <pivotCache cacheId="7" r:id="rId8"/>
    <pivotCache cacheId="8" r:id="rId9"/>
    <pivotCache cacheId="9" r:id="rId10"/>
    <pivotCache cacheId="10" r:id="rId11"/>
    <pivotCache cacheId="11" r:id="rId12"/>
    <pivotCache cacheId="12" r:id="rId13"/>
    <pivotCache cacheId="13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28" l="1"/>
  <c r="F14" i="28"/>
  <c r="F15" i="28"/>
  <c r="F16" i="28"/>
  <c r="F17" i="28"/>
  <c r="F18" i="28"/>
  <c r="F19" i="28"/>
  <c r="F20" i="28"/>
  <c r="F21" i="28"/>
  <c r="F22" i="28"/>
  <c r="F23" i="28"/>
  <c r="F24" i="28"/>
  <c r="Z33" i="14" l="1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F10" i="27" l="1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<sst xmlns="http://schemas.openxmlformats.org/spreadsheetml/2006/main" count="2248" uniqueCount="88">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</sst>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8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MIN" refreshedDate="46099.496101504628" backgroundQuery="1" createdVersion="8" refreshedVersion="8" minRefreshableVersion="3" recordCount="0" supportSubquery="1" supportAdvancedDrill="1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8T00:00:00" count="2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</sharedItems>
    </cacheField>
    <cacheField name="[productos].[nombre_producto].[nombre_producto]" caption="nombre_producto" numFmtId="0" hierarchy="11" level="1">
      <sharedItems count="31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55" count="2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255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0]"/>
            <x15:cachedUniqueName index="242" name="[transacciones].[id_factura].&amp;[241]"/>
            <x15:cachedUniqueName index="243" name="[transacciones].[id_factura].&amp;[242]"/>
            <x15:cachedUniqueName index="244" name="[transacciones].[id_factura].&amp;[243]"/>
            <x15:cachedUniqueName index="245" name="[transacciones].[id_factura].&amp;[244]"/>
            <x15:cachedUniqueName index="246" name="[transacciones].[id_factura].&amp;[245]"/>
            <x15:cachedUniqueName index="247" name="[transacciones].[id_factura].&amp;[246]"/>
            <x15:cachedUniqueName index="248" name="[transacciones].[id_factura].&amp;[247]"/>
            <x15:cachedUniqueName index="249" name="[transacciones].[id_factura].&amp;[248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0:40:32" maxDate="1899-12-30T23:12:12" count="250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  <x15:cachedUniqueName index="219" name="[transacciones].[hora].&amp;[1899-12-30T13:53:40.773333]"/>
            <x15:cachedUniqueName index="220" name="[transacciones].[hora].&amp;[1899-12-30T14:20:16.81]"/>
            <x15:cachedUniqueName index="221" name="[transacciones].[hora].&amp;[1899-12-30T14:50:55.4]"/>
            <x15:cachedUniqueName index="222" name="[transacciones].[hora].&amp;[1899-12-30T15:32:58.016667]"/>
            <x15:cachedUniqueName index="223" name="[transacciones].[hora].&amp;[1899-12-30T15:33:17.31]"/>
            <x15:cachedUniqueName index="224" name="[transacciones].[hora].&amp;[1899-12-30T15:44:21.296667]"/>
            <x15:cachedUniqueName index="225" name="[transacciones].[hora].&amp;[1899-12-30T17:18:21.97]"/>
            <x15:cachedUniqueName index="226" name="[transacciones].[hora].&amp;[1899-12-30T16:00:58]"/>
            <x15:cachedUniqueName index="227" name="[transacciones].[hora].&amp;[1899-12-30T16:24:53]"/>
            <x15:cachedUniqueName index="228" name="[transacciones].[hora].&amp;[1899-12-30T16:26:15]"/>
            <x15:cachedUniqueName index="229" name="[transacciones].[hora].&amp;[1899-12-30T17:26:46]"/>
            <x15:cachedUniqueName index="230" name="[transacciones].[hora].&amp;[1899-12-30T18:27:25]"/>
            <x15:cachedUniqueName index="231" name="[transacciones].[hora].&amp;[1899-12-30T18:28:49]"/>
            <x15:cachedUniqueName index="232" name="[transacciones].[hora].&amp;[1899-12-30T10:40:32]"/>
            <x15:cachedUniqueName index="233" name="[transacciones].[hora].&amp;[1899-12-30T14:48:21.03]"/>
            <x15:cachedUniqueName index="234" name="[transacciones].[hora].&amp;[1899-12-30T15:06:16.026667]"/>
            <x15:cachedUniqueName index="235" name="[transacciones].[hora].&amp;[1899-12-30T15:36:10.42]"/>
            <x15:cachedUniqueName index="236" name="[transacciones].[hora].&amp;[1899-12-30T15:41:03.256667]"/>
            <x15:cachedUniqueName index="237" name="[transacciones].[hora].&amp;[1899-12-30T16:30:52.76]"/>
            <x15:cachedUniqueName index="238" name="[transacciones].[hora].&amp;[1899-12-30T17:26:30.926667]"/>
            <x15:cachedUniqueName index="239" name="[transacciones].[hora].&amp;[1899-12-30T17:33:20.13]"/>
            <x15:cachedUniqueName index="240" name="[transacciones].[hora].&amp;[1899-12-30T17:50:32.346667]"/>
            <x15:cachedUniqueName index="241" name="[transacciones].[hora].&amp;[1899-12-30T17:51:43.386667]"/>
            <x15:cachedUniqueName index="242" name="[transacciones].[hora].&amp;[1899-12-30T17:59:00.36]"/>
            <x15:cachedUniqueName index="243" name="[transacciones].[hora].&amp;[1899-12-30T17:59:11.813333]"/>
            <x15:cachedUniqueName index="244" name="[transacciones].[hora].&amp;[1899-12-30T17:59:35.686667]"/>
            <x15:cachedUniqueName index="245" name="[transacciones].[hora].&amp;[1899-12-30T18:04:13.12]"/>
            <x15:cachedUniqueName index="246" name="[transacciones].[hora].&amp;[1899-12-30T18:22:59.783333]"/>
            <x15:cachedUniqueName index="247" name="[transacciones].[hora].&amp;[1899-12-30T18:23:45.073333]"/>
            <x15:cachedUniqueName index="248" name="[transacciones].[hora].&amp;[1899-12-30T18:25:17.356667]"/>
            <x15:cachedUniqueName index="249" name="[transacciones].[hora].&amp;[1899-12-30T19:24:35.423333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99.496103819445" backgroundQuery="1" createdVersion="8" refreshedVersion="8" minRefreshableVersion="3" recordCount="0" supportSubquery="1" supportAdvancedDrill="1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8T00:00:00" count="2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</sharedItems>
    </cacheField>
    <cacheField name="[productos].[nombre_producto].[nombre_producto]" caption="nombre_producto" numFmtId="0" hierarchy="11" level="1">
      <sharedItems count="31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55" count="2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0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99.496105092592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99.496106365739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99.496107638886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099.496108912041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ntrada]" caption="Suma de entrada" numFmtId="0" hierarchy="4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ADMIN" refreshedDate="46099.496110185188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ADMIN" refreshedDate="46099.496111689812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TablaDinámica3" cacheId="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390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384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1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2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1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3"/>
      <x v="1"/>
      <x/>
      <x v="1"/>
    </i>
    <i r="3">
      <x v="5"/>
      <x v="3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1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1"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2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1"/>
      <x v="1"/>
      <x v="1"/>
      <x v="1"/>
    </i>
    <i r="3">
      <x v="20"/>
      <x v="8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9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3"/>
      <x/>
      <x/>
    </i>
    <i r="1">
      <x v="164"/>
      <x v="164"/>
      <x v="1"/>
      <x v="1"/>
      <x/>
      <x v="2"/>
    </i>
    <i r="3">
      <x v="23"/>
      <x v="9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2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2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2"/>
      <x/>
      <x v="4"/>
    </i>
    <i r="1">
      <x v="203"/>
      <x v="203"/>
      <x/>
      <x/>
      <x/>
      <x v="1"/>
    </i>
    <i r="1">
      <x v="204"/>
      <x v="204"/>
      <x v="23"/>
      <x v="9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2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7"/>
      <x/>
      <x v="1"/>
    </i>
    <i r="3">
      <x v="12"/>
      <x v="9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4"/>
      <x/>
      <x v="1"/>
    </i>
    <i r="1">
      <x v="211"/>
      <x v="211"/>
      <x v="27"/>
      <x v="18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19"/>
      <x/>
      <x v="1"/>
    </i>
    <i r="1">
      <x v="214"/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1">
      <x v="215"/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2"/>
      <x v="1"/>
      <x v="2"/>
    </i>
    <i r="1">
      <x v="218"/>
      <x v="218"/>
      <x/>
      <x/>
      <x/>
      <x v="1"/>
    </i>
    <i>
      <x v="18"/>
      <x v="219"/>
      <x v="219"/>
      <x/>
      <x/>
      <x/>
      <x/>
    </i>
    <i r="1">
      <x v="220"/>
      <x v="220"/>
      <x/>
      <x/>
      <x/>
      <x v="1"/>
    </i>
    <i r="3">
      <x v="1"/>
      <x v="1"/>
      <x/>
      <x v="1"/>
    </i>
    <i r="1">
      <x v="221"/>
      <x v="221"/>
      <x v="29"/>
      <x v="2"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/>
      <x/>
      <x v="1"/>
      <x/>
    </i>
    <i r="3">
      <x v="1"/>
      <x v="1"/>
      <x v="1"/>
      <x v="1"/>
    </i>
    <i r="1">
      <x v="224"/>
      <x v="224"/>
      <x/>
      <x/>
      <x/>
      <x/>
    </i>
    <i r="3">
      <x v="1"/>
      <x v="1"/>
      <x/>
      <x v="1"/>
    </i>
    <i r="1">
      <x v="225"/>
      <x v="225"/>
      <x v="1"/>
      <x v="1"/>
      <x/>
      <x v="1"/>
    </i>
    <i r="3">
      <x v="30"/>
      <x v="9"/>
      <x/>
      <x v="1"/>
    </i>
    <i>
      <x v="19"/>
      <x v="226"/>
      <x v="226"/>
      <x/>
      <x/>
      <x/>
      <x v="2"/>
    </i>
    <i r="1">
      <x v="227"/>
      <x v="227"/>
      <x/>
      <x/>
      <x/>
      <x v="1"/>
    </i>
    <i r="3">
      <x v="1"/>
      <x v="1"/>
      <x/>
      <x v="1"/>
    </i>
    <i r="1">
      <x v="228"/>
      <x v="228"/>
      <x/>
      <x/>
      <x v="1"/>
      <x v="1"/>
    </i>
    <i r="3">
      <x v="1"/>
      <x v="1"/>
      <x v="1"/>
      <x v="1"/>
    </i>
    <i r="1">
      <x v="229"/>
      <x v="229"/>
      <x/>
      <x/>
      <x/>
      <x v="1"/>
    </i>
    <i r="3">
      <x v="1"/>
      <x v="1"/>
      <x/>
      <x v="1"/>
    </i>
    <i r="1">
      <x v="230"/>
      <x v="230"/>
      <x/>
      <x/>
      <x/>
      <x v="5"/>
    </i>
    <i r="3">
      <x v="1"/>
      <x v="1"/>
      <x/>
      <x v="2"/>
    </i>
    <i r="1">
      <x v="231"/>
      <x v="231"/>
      <x v="25"/>
      <x v="17"/>
      <x v="1"/>
      <x v="1"/>
    </i>
    <i r="3">
      <x v="1"/>
      <x v="1"/>
      <x v="1"/>
      <x v="1"/>
    </i>
    <i>
      <x v="20"/>
      <x v="232"/>
      <x v="232"/>
      <x/>
      <x/>
      <x v="1"/>
      <x v="4"/>
    </i>
    <i r="1">
      <x v="233"/>
      <x v="233"/>
      <x/>
      <x/>
      <x/>
      <x v="2"/>
    </i>
    <i r="3">
      <x v="3"/>
      <x v="1"/>
      <x/>
      <x v="1"/>
    </i>
    <i r="3">
      <x v="4"/>
      <x v="2"/>
      <x/>
      <x v="2"/>
    </i>
    <i r="1">
      <x v="234"/>
      <x v="234"/>
      <x/>
      <x/>
      <x/>
      <x/>
    </i>
    <i r="1">
      <x v="235"/>
      <x v="235"/>
      <x/>
      <x/>
      <x v="2"/>
      <x v="1"/>
    </i>
    <i r="3">
      <x v="1"/>
      <x v="1"/>
      <x v="2"/>
      <x v="1"/>
    </i>
    <i r="3">
      <x v="8"/>
      <x v="2"/>
      <x v="2"/>
      <x v="1"/>
    </i>
    <i r="1">
      <x v="236"/>
      <x v="236"/>
      <x v="4"/>
      <x v="2"/>
      <x/>
      <x/>
    </i>
    <i r="1">
      <x v="237"/>
      <x v="237"/>
      <x/>
      <x/>
      <x/>
      <x/>
    </i>
    <i r="1">
      <x v="238"/>
      <x v="238"/>
      <x/>
      <x/>
      <x v="1"/>
      <x v="1"/>
    </i>
    <i r="3">
      <x v="1"/>
      <x v="1"/>
      <x v="1"/>
      <x v="1"/>
    </i>
    <i r="1">
      <x v="239"/>
      <x v="239"/>
      <x/>
      <x/>
      <x/>
      <x/>
    </i>
    <i r="3">
      <x v="3"/>
      <x v="1"/>
      <x/>
      <x/>
    </i>
    <i r="1">
      <x v="240"/>
      <x v="240"/>
      <x v="4"/>
      <x v="2"/>
      <x v="1"/>
      <x v="6"/>
    </i>
    <i r="1">
      <x v="241"/>
      <x v="241"/>
      <x/>
      <x/>
      <x v="1"/>
      <x v="1"/>
    </i>
    <i r="1">
      <x v="242"/>
      <x v="242"/>
      <x/>
      <x/>
      <x/>
      <x v="1"/>
    </i>
    <i r="1">
      <x v="243"/>
      <x v="243"/>
      <x/>
      <x/>
      <x/>
      <x v="1"/>
    </i>
    <i r="1">
      <x v="244"/>
      <x v="244"/>
      <x/>
      <x/>
      <x v="2"/>
      <x v="1"/>
    </i>
    <i r="1">
      <x v="245"/>
      <x v="245"/>
      <x v="25"/>
      <x v="17"/>
      <x/>
      <x/>
    </i>
    <i r="1">
      <x v="246"/>
      <x v="246"/>
      <x/>
      <x/>
      <x/>
      <x v="1"/>
    </i>
    <i r="3">
      <x v="1"/>
      <x v="1"/>
      <x/>
      <x v="1"/>
    </i>
    <i r="1">
      <x v="247"/>
      <x v="247"/>
      <x/>
      <x/>
      <x/>
      <x/>
    </i>
    <i r="1">
      <x v="248"/>
      <x v="248"/>
      <x v="4"/>
      <x v="2"/>
      <x v="1"/>
      <x/>
    </i>
    <i r="1">
      <x v="249"/>
      <x v="249"/>
      <x/>
      <x/>
      <x/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7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TablaDinámica7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41:V6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TablaDinámica6" cacheId="1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H3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5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8" cacheId="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10:V3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6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TablaDinámica1" cacheId="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1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3" cacheId="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393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</pivotField>
  </pivotFields>
  <rowFields count="7">
    <field x="7"/>
    <field x="3"/>
    <field x="8"/>
    <field x="4"/>
    <field x="6"/>
    <field x="1"/>
    <field x="5"/>
  </rowFields>
  <rowItems count="385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1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2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1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3"/>
      <x v="1"/>
      <x/>
      <x v="1"/>
    </i>
    <i r="3">
      <x v="5"/>
      <x v="3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1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/>
      <x/>
      <x v="1"/>
      <x v="1"/>
    </i>
    <i r="3">
      <x v="2"/>
      <x v="1"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2"/>
      <x/>
      <x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1"/>
      <x v="1"/>
      <x v="1"/>
      <x v="1"/>
    </i>
    <i r="3">
      <x v="20"/>
      <x v="8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9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3"/>
      <x/>
      <x/>
    </i>
    <i r="2">
      <x v="164"/>
      <x v="1"/>
      <x v="1"/>
      <x/>
      <x v="2"/>
    </i>
    <i r="3">
      <x v="23"/>
      <x v="9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2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2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2"/>
      <x/>
      <x v="4"/>
    </i>
    <i r="2">
      <x v="203"/>
      <x/>
      <x/>
      <x/>
      <x v="1"/>
    </i>
    <i r="2">
      <x v="204"/>
      <x v="23"/>
      <x v="9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2"/>
      <x/>
      <x/>
    </i>
    <i r="2">
      <x v="208"/>
      <x/>
      <x/>
      <x/>
      <x/>
    </i>
    <i r="3">
      <x v="1"/>
      <x v="1"/>
      <x/>
      <x/>
    </i>
    <i r="2">
      <x v="209"/>
      <x v="25"/>
      <x v="17"/>
      <x/>
      <x v="1"/>
    </i>
    <i r="3">
      <x v="12"/>
      <x v="9"/>
      <x/>
      <x v="1"/>
    </i>
    <i r="2">
      <x v="210"/>
      <x/>
      <x/>
      <x/>
      <x v="2"/>
    </i>
    <i r="3">
      <x v="1"/>
      <x v="1"/>
      <x/>
      <x v="1"/>
    </i>
    <i r="3">
      <x v="26"/>
      <x v="14"/>
      <x/>
      <x v="1"/>
    </i>
    <i r="2">
      <x v="211"/>
      <x v="27"/>
      <x v="18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19"/>
      <x/>
      <x v="1"/>
    </i>
    <i r="2"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2"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2"/>
      <x v="1"/>
      <x v="2"/>
    </i>
    <i r="2">
      <x v="218"/>
      <x/>
      <x/>
      <x/>
      <x v="1"/>
    </i>
    <i>
      <x v="18"/>
      <x v="18"/>
      <x v="219"/>
      <x/>
      <x/>
      <x/>
      <x/>
    </i>
    <i r="2">
      <x v="220"/>
      <x/>
      <x/>
      <x/>
      <x v="1"/>
    </i>
    <i r="3">
      <x v="1"/>
      <x v="1"/>
      <x/>
      <x v="1"/>
    </i>
    <i r="2">
      <x v="221"/>
      <x v="29"/>
      <x v="2"/>
      <x/>
      <x/>
    </i>
    <i r="2">
      <x v="222"/>
      <x/>
      <x/>
      <x/>
      <x v="1"/>
    </i>
    <i r="3">
      <x v="1"/>
      <x v="1"/>
      <x/>
      <x v="1"/>
    </i>
    <i r="2">
      <x v="223"/>
      <x/>
      <x/>
      <x v="1"/>
      <x/>
    </i>
    <i r="3">
      <x v="1"/>
      <x v="1"/>
      <x v="1"/>
      <x v="1"/>
    </i>
    <i r="2">
      <x v="224"/>
      <x/>
      <x/>
      <x/>
      <x/>
    </i>
    <i r="3">
      <x v="1"/>
      <x v="1"/>
      <x/>
      <x v="1"/>
    </i>
    <i r="2">
      <x v="225"/>
      <x v="1"/>
      <x v="1"/>
      <x/>
      <x v="1"/>
    </i>
    <i r="3">
      <x v="30"/>
      <x v="9"/>
      <x/>
      <x v="1"/>
    </i>
    <i>
      <x v="19"/>
      <x v="19"/>
      <x v="226"/>
      <x/>
      <x/>
      <x/>
      <x v="2"/>
    </i>
    <i r="2">
      <x v="227"/>
      <x/>
      <x/>
      <x/>
      <x v="1"/>
    </i>
    <i r="3">
      <x v="1"/>
      <x v="1"/>
      <x/>
      <x v="1"/>
    </i>
    <i r="2">
      <x v="228"/>
      <x/>
      <x/>
      <x v="1"/>
      <x v="1"/>
    </i>
    <i r="3">
      <x v="1"/>
      <x v="1"/>
      <x v="1"/>
      <x v="1"/>
    </i>
    <i r="2">
      <x v="229"/>
      <x/>
      <x/>
      <x/>
      <x v="1"/>
    </i>
    <i r="3">
      <x v="1"/>
      <x v="1"/>
      <x/>
      <x v="1"/>
    </i>
    <i r="2">
      <x v="230"/>
      <x/>
      <x/>
      <x/>
      <x v="5"/>
    </i>
    <i r="3">
      <x v="1"/>
      <x v="1"/>
      <x/>
      <x v="2"/>
    </i>
    <i r="2">
      <x v="231"/>
      <x v="25"/>
      <x v="17"/>
      <x v="1"/>
      <x v="1"/>
    </i>
    <i r="3">
      <x v="1"/>
      <x v="1"/>
      <x v="1"/>
      <x v="1"/>
    </i>
    <i>
      <x v="20"/>
      <x v="20"/>
      <x v="232"/>
      <x/>
      <x/>
      <x v="1"/>
      <x v="1"/>
    </i>
    <i r="2">
      <x v="233"/>
      <x/>
      <x/>
      <x/>
      <x v="2"/>
    </i>
    <i r="3">
      <x v="3"/>
      <x v="1"/>
      <x/>
      <x v="1"/>
    </i>
    <i r="3">
      <x v="4"/>
      <x v="2"/>
      <x/>
      <x v="2"/>
    </i>
    <i r="2">
      <x v="234"/>
      <x/>
      <x/>
      <x/>
      <x/>
    </i>
    <i r="2">
      <x v="235"/>
      <x/>
      <x/>
      <x v="2"/>
      <x v="1"/>
    </i>
    <i r="3">
      <x v="1"/>
      <x v="1"/>
      <x v="2"/>
      <x v="1"/>
    </i>
    <i r="3">
      <x v="8"/>
      <x v="2"/>
      <x v="2"/>
      <x v="1"/>
    </i>
    <i r="2">
      <x v="236"/>
      <x v="4"/>
      <x v="2"/>
      <x/>
      <x/>
    </i>
    <i r="2">
      <x v="237"/>
      <x/>
      <x/>
      <x/>
      <x/>
    </i>
    <i r="2">
      <x v="238"/>
      <x/>
      <x/>
      <x v="1"/>
      <x v="1"/>
    </i>
    <i r="3">
      <x v="1"/>
      <x v="1"/>
      <x v="1"/>
      <x v="1"/>
    </i>
    <i r="2">
      <x v="239"/>
      <x/>
      <x/>
      <x/>
      <x/>
    </i>
    <i r="3">
      <x v="3"/>
      <x v="1"/>
      <x/>
      <x/>
    </i>
    <i r="2">
      <x v="240"/>
      <x v="4"/>
      <x v="2"/>
      <x v="1"/>
      <x v="6"/>
    </i>
    <i r="2">
      <x v="241"/>
      <x/>
      <x/>
      <x/>
      <x v="1"/>
    </i>
    <i r="2">
      <x v="242"/>
      <x/>
      <x/>
      <x/>
      <x v="1"/>
    </i>
    <i r="2">
      <x v="243"/>
      <x/>
      <x/>
      <x v="2"/>
      <x v="1"/>
    </i>
    <i r="2">
      <x v="244"/>
      <x v="25"/>
      <x v="17"/>
      <x/>
      <x/>
    </i>
    <i r="2">
      <x v="245"/>
      <x/>
      <x/>
      <x/>
      <x v="1"/>
    </i>
    <i r="3">
      <x v="1"/>
      <x v="1"/>
      <x/>
      <x v="1"/>
    </i>
    <i r="2">
      <x v="246"/>
      <x/>
      <x/>
      <x/>
      <x/>
    </i>
    <i r="2">
      <x v="247"/>
      <x v="4"/>
      <x v="2"/>
      <x v="1"/>
      <x/>
    </i>
    <i r="2">
      <x v="248"/>
      <x/>
      <x/>
      <x/>
      <x/>
    </i>
    <i r="2">
      <x v="249"/>
      <x/>
      <x/>
      <x v="1"/>
      <x v="4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2" cacheId="1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TablaDinámica1" cacheId="1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0"/>
  <sheetViews>
    <sheetView topLeftCell="A31" zoomScale="85" zoomScaleNormal="85" workbookViewId="0">
      <selection activeCell="E5" sqref="E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30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3000</v>
      </c>
      <c r="F13" t="s">
        <v>7</v>
      </c>
      <c r="G13">
        <v>2</v>
      </c>
      <c r="H13" s="3">
        <v>1</v>
      </c>
      <c r="I13" s="3">
        <v>6000</v>
      </c>
      <c r="J13" s="3">
        <v>0</v>
      </c>
      <c r="K13" s="3">
        <v>6000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M32"/>
    </row>
    <row r="33" spans="1:13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M33"/>
    </row>
    <row r="34" spans="1:13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M37"/>
    </row>
    <row r="38" spans="1:13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3000</v>
      </c>
      <c r="F38" t="s">
        <v>7</v>
      </c>
      <c r="G38">
        <v>1</v>
      </c>
      <c r="H38" s="3">
        <v>1</v>
      </c>
      <c r="I38" s="3">
        <v>3000</v>
      </c>
      <c r="J38" s="3">
        <v>0</v>
      </c>
      <c r="K38" s="3">
        <v>3000</v>
      </c>
      <c r="M38"/>
    </row>
    <row r="39" spans="1:13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M62"/>
    </row>
    <row r="63" spans="1:13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M63"/>
    </row>
    <row r="64" spans="1:13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3000</v>
      </c>
      <c r="F100" t="s">
        <v>28</v>
      </c>
      <c r="G100">
        <v>1</v>
      </c>
      <c r="H100" s="3">
        <v>1</v>
      </c>
      <c r="I100" s="3">
        <v>0</v>
      </c>
      <c r="J100" s="3">
        <v>3000</v>
      </c>
      <c r="K100" s="3">
        <v>3000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3000</v>
      </c>
      <c r="F108" t="s">
        <v>8</v>
      </c>
      <c r="G108">
        <v>1</v>
      </c>
      <c r="H108" s="3">
        <v>1</v>
      </c>
      <c r="I108" s="3">
        <v>0</v>
      </c>
      <c r="J108" s="3">
        <v>3000</v>
      </c>
      <c r="K108" s="3">
        <v>3000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</row>
    <row r="144" spans="1:11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</row>
    <row r="145" spans="1:11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</row>
    <row r="164" spans="1:11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</row>
    <row r="165" spans="1:11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</row>
    <row r="211" spans="1:11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</row>
    <row r="212" spans="1:11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</row>
    <row r="219" spans="1:11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</row>
    <row r="220" spans="1:11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</row>
    <row r="226" spans="1:11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</row>
    <row r="228" spans="1:11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3000</v>
      </c>
      <c r="F230" t="s">
        <v>28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  <row r="252" spans="1:11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</row>
    <row r="253" spans="1:11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</row>
    <row r="254" spans="1:11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</row>
    <row r="255" spans="1:11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</row>
    <row r="256" spans="1:11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</row>
    <row r="257" spans="1:11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</row>
    <row r="258" spans="1:11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</row>
    <row r="259" spans="1:11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</row>
    <row r="260" spans="1:11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</row>
    <row r="261" spans="1:11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</row>
    <row r="262" spans="1:11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</row>
    <row r="263" spans="1:11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</row>
    <row r="264" spans="1:11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</row>
    <row r="265" spans="1:11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</row>
    <row r="266" spans="1:11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</row>
    <row r="267" spans="1:11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</row>
    <row r="268" spans="1:11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</row>
    <row r="269" spans="1:11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</row>
    <row r="270" spans="1:11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</row>
    <row r="271" spans="1:11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</row>
    <row r="272" spans="1:11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</row>
    <row r="273" spans="1:11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</row>
    <row r="274" spans="1:11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</row>
    <row r="275" spans="1:11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</row>
    <row r="276" spans="1:11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</row>
    <row r="277" spans="1:11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</row>
    <row r="278" spans="1:11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</row>
    <row r="279" spans="1:11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</row>
    <row r="280" spans="1:11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</row>
    <row r="281" spans="1:11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</row>
    <row r="282" spans="1:11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</row>
    <row r="283" spans="1:11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</row>
    <row r="284" spans="1:11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</row>
    <row r="285" spans="1:11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</row>
    <row r="286" spans="1:11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</row>
    <row r="287" spans="1:11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</row>
    <row r="288" spans="1:11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</row>
    <row r="289" spans="1:11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</row>
    <row r="290" spans="1:11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</row>
    <row r="291" spans="1:11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</row>
    <row r="292" spans="1:11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</row>
    <row r="293" spans="1:11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</row>
    <row r="294" spans="1:11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</row>
    <row r="295" spans="1:11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</row>
    <row r="296" spans="1:11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</row>
    <row r="297" spans="1:11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</row>
    <row r="298" spans="1:11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</row>
    <row r="299" spans="1:11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</row>
    <row r="300" spans="1:11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</row>
    <row r="301" spans="1:11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</row>
    <row r="302" spans="1:11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</row>
    <row r="303" spans="1:11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</row>
    <row r="304" spans="1:11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</row>
    <row r="305" spans="1:11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</row>
    <row r="306" spans="1:11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</row>
    <row r="307" spans="1:11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</row>
    <row r="308" spans="1:11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</row>
    <row r="309" spans="1:11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</row>
    <row r="310" spans="1:11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</row>
    <row r="311" spans="1:11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</row>
    <row r="312" spans="1:11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</row>
    <row r="313" spans="1:11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</row>
    <row r="314" spans="1:11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</row>
    <row r="315" spans="1:11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</row>
    <row r="316" spans="1:11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</row>
    <row r="317" spans="1:11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</row>
    <row r="318" spans="1:11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</row>
    <row r="319" spans="1:11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</row>
    <row r="320" spans="1:11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</row>
    <row r="321" spans="1:11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</row>
    <row r="322" spans="1:11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</row>
    <row r="323" spans="1:11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</row>
    <row r="324" spans="1:11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</row>
    <row r="325" spans="1:11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</row>
    <row r="326" spans="1:11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</row>
    <row r="327" spans="1:11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</row>
    <row r="328" spans="1:11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</row>
    <row r="329" spans="1:11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</row>
    <row r="330" spans="1:11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</row>
    <row r="331" spans="1:11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</row>
    <row r="332" spans="1:11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</row>
    <row r="333" spans="1:11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</row>
    <row r="334" spans="1:11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3000</v>
      </c>
      <c r="F334" t="s">
        <v>8</v>
      </c>
      <c r="G334">
        <v>1</v>
      </c>
      <c r="H334" s="3">
        <v>1</v>
      </c>
      <c r="I334" s="3">
        <v>0</v>
      </c>
      <c r="J334" s="3">
        <v>3000</v>
      </c>
      <c r="K334" s="3">
        <v>3000</v>
      </c>
    </row>
    <row r="335" spans="1:11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</row>
    <row r="336" spans="1:11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</row>
    <row r="337" spans="1:11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</row>
    <row r="338" spans="1:11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</row>
    <row r="339" spans="1:11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</row>
    <row r="340" spans="1:11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</row>
    <row r="341" spans="1:11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</row>
    <row r="342" spans="1:11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</row>
    <row r="343" spans="1:11" x14ac:dyDescent="0.25">
      <c r="A343" s="10">
        <v>46096</v>
      </c>
      <c r="B343" s="14">
        <v>0.57894675925925931</v>
      </c>
      <c r="C343">
        <v>226</v>
      </c>
      <c r="D343" t="s">
        <v>53</v>
      </c>
      <c r="E343">
        <v>8000</v>
      </c>
      <c r="F343" t="s">
        <v>7</v>
      </c>
      <c r="G343">
        <v>2</v>
      </c>
      <c r="H343" s="3">
        <v>1</v>
      </c>
      <c r="I343" s="3">
        <v>16000</v>
      </c>
      <c r="J343" s="3">
        <v>0</v>
      </c>
      <c r="K343" s="3">
        <v>16000</v>
      </c>
    </row>
    <row r="344" spans="1:11" x14ac:dyDescent="0.25">
      <c r="A344" s="10">
        <v>46096</v>
      </c>
      <c r="B344" s="14">
        <v>0.59741898148148154</v>
      </c>
      <c r="C344">
        <v>227</v>
      </c>
      <c r="D344" t="s">
        <v>53</v>
      </c>
      <c r="E344">
        <v>8000</v>
      </c>
      <c r="F344" t="s">
        <v>7</v>
      </c>
      <c r="G344">
        <v>1</v>
      </c>
      <c r="H344" s="3">
        <v>1</v>
      </c>
      <c r="I344" s="3">
        <v>8000</v>
      </c>
      <c r="J344" s="3">
        <v>0</v>
      </c>
      <c r="K344" s="3">
        <v>8000</v>
      </c>
    </row>
    <row r="345" spans="1:11" x14ac:dyDescent="0.25">
      <c r="A345" s="10">
        <v>46096</v>
      </c>
      <c r="B345" s="14">
        <v>0.59741898148148154</v>
      </c>
      <c r="C345">
        <v>227</v>
      </c>
      <c r="D345" t="s">
        <v>54</v>
      </c>
      <c r="E345">
        <v>3000</v>
      </c>
      <c r="F345" t="s">
        <v>7</v>
      </c>
      <c r="G345">
        <v>1</v>
      </c>
      <c r="H345" s="3">
        <v>1</v>
      </c>
      <c r="I345" s="3">
        <v>3000</v>
      </c>
      <c r="J345" s="3">
        <v>0</v>
      </c>
      <c r="K345" s="3">
        <v>3000</v>
      </c>
    </row>
    <row r="346" spans="1:11" x14ac:dyDescent="0.25">
      <c r="A346" s="10">
        <v>46096</v>
      </c>
      <c r="B346" s="14">
        <v>0.61869212962962961</v>
      </c>
      <c r="C346">
        <v>228</v>
      </c>
      <c r="D346" t="s">
        <v>82</v>
      </c>
      <c r="E346">
        <v>4500</v>
      </c>
      <c r="F346" t="s">
        <v>7</v>
      </c>
      <c r="G346">
        <v>2</v>
      </c>
      <c r="H346" s="3">
        <v>1</v>
      </c>
      <c r="I346" s="3">
        <v>9000</v>
      </c>
      <c r="J346" s="3">
        <v>0</v>
      </c>
      <c r="K346" s="3">
        <v>9000</v>
      </c>
    </row>
    <row r="347" spans="1:11" x14ac:dyDescent="0.25">
      <c r="A347" s="10">
        <v>46096</v>
      </c>
      <c r="B347" s="14">
        <v>0.64789351851851851</v>
      </c>
      <c r="C347">
        <v>229</v>
      </c>
      <c r="D347" t="s">
        <v>53</v>
      </c>
      <c r="E347">
        <v>8000</v>
      </c>
      <c r="F347" t="s">
        <v>7</v>
      </c>
      <c r="G347">
        <v>1</v>
      </c>
      <c r="H347" s="3">
        <v>1</v>
      </c>
      <c r="I347" s="3">
        <v>8000</v>
      </c>
      <c r="J347" s="3">
        <v>0</v>
      </c>
      <c r="K347" s="3">
        <v>8000</v>
      </c>
    </row>
    <row r="348" spans="1:11" x14ac:dyDescent="0.25">
      <c r="A348" s="10">
        <v>46096</v>
      </c>
      <c r="B348" s="14">
        <v>0.64789351851851851</v>
      </c>
      <c r="C348">
        <v>229</v>
      </c>
      <c r="D348" t="s">
        <v>54</v>
      </c>
      <c r="E348">
        <v>3000</v>
      </c>
      <c r="F348" t="s">
        <v>7</v>
      </c>
      <c r="G348">
        <v>1</v>
      </c>
      <c r="H348" s="3">
        <v>1</v>
      </c>
      <c r="I348" s="3">
        <v>3000</v>
      </c>
      <c r="J348" s="3">
        <v>0</v>
      </c>
      <c r="K348" s="3">
        <v>3000</v>
      </c>
    </row>
    <row r="349" spans="1:11" x14ac:dyDescent="0.25">
      <c r="A349" s="10">
        <v>46096</v>
      </c>
      <c r="B349" s="14">
        <v>0.64811342592592591</v>
      </c>
      <c r="C349">
        <v>230</v>
      </c>
      <c r="D349" t="s">
        <v>53</v>
      </c>
      <c r="E349">
        <v>8000</v>
      </c>
      <c r="F349" t="s">
        <v>8</v>
      </c>
      <c r="G349">
        <v>2</v>
      </c>
      <c r="H349" s="3">
        <v>1</v>
      </c>
      <c r="I349" s="3">
        <v>0</v>
      </c>
      <c r="J349" s="3">
        <v>16000</v>
      </c>
      <c r="K349" s="3">
        <v>16000</v>
      </c>
    </row>
    <row r="350" spans="1:11" x14ac:dyDescent="0.25">
      <c r="A350" s="10">
        <v>46096</v>
      </c>
      <c r="B350" s="14">
        <v>0.64811342592592591</v>
      </c>
      <c r="C350">
        <v>230</v>
      </c>
      <c r="D350" t="s">
        <v>54</v>
      </c>
      <c r="E350">
        <v>3000</v>
      </c>
      <c r="F350" t="s">
        <v>8</v>
      </c>
      <c r="G350">
        <v>1</v>
      </c>
      <c r="H350" s="3">
        <v>1</v>
      </c>
      <c r="I350" s="3">
        <v>0</v>
      </c>
      <c r="J350" s="3">
        <v>3000</v>
      </c>
      <c r="K350" s="3">
        <v>3000</v>
      </c>
    </row>
    <row r="351" spans="1:11" x14ac:dyDescent="0.25">
      <c r="A351" s="10">
        <v>46096</v>
      </c>
      <c r="B351" s="14">
        <v>0.65579861111111115</v>
      </c>
      <c r="C351">
        <v>231</v>
      </c>
      <c r="D351" t="s">
        <v>53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</row>
    <row r="352" spans="1:11" x14ac:dyDescent="0.25">
      <c r="A352" s="10">
        <v>46096</v>
      </c>
      <c r="B352" s="14">
        <v>0.65579861111111115</v>
      </c>
      <c r="C352">
        <v>231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</row>
    <row r="353" spans="1:11" x14ac:dyDescent="0.25">
      <c r="A353" s="10">
        <v>46096</v>
      </c>
      <c r="B353" s="14">
        <v>0.72108796296296296</v>
      </c>
      <c r="C353">
        <v>232</v>
      </c>
      <c r="D353" t="s">
        <v>54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</row>
    <row r="354" spans="1:11" x14ac:dyDescent="0.25">
      <c r="A354" s="10">
        <v>46096</v>
      </c>
      <c r="B354" s="14">
        <v>0.72108796296296296</v>
      </c>
      <c r="C354">
        <v>232</v>
      </c>
      <c r="D354" t="s">
        <v>85</v>
      </c>
      <c r="E354">
        <v>30000</v>
      </c>
      <c r="F354" t="s">
        <v>7</v>
      </c>
      <c r="G354">
        <v>1</v>
      </c>
      <c r="H354" s="3">
        <v>1</v>
      </c>
      <c r="I354" s="3">
        <v>30000</v>
      </c>
      <c r="J354" s="3">
        <v>0</v>
      </c>
      <c r="K354" s="3">
        <v>30000</v>
      </c>
    </row>
    <row r="355" spans="1:11" x14ac:dyDescent="0.25">
      <c r="A355" s="10">
        <v>46097</v>
      </c>
      <c r="B355" s="14">
        <v>0.66733796296296299</v>
      </c>
      <c r="C355">
        <v>249</v>
      </c>
      <c r="D355" t="s">
        <v>53</v>
      </c>
      <c r="E355">
        <v>8000</v>
      </c>
      <c r="F355" t="s">
        <v>7</v>
      </c>
      <c r="G355">
        <v>3</v>
      </c>
      <c r="H355" s="3">
        <v>1</v>
      </c>
      <c r="I355" s="3">
        <v>24000</v>
      </c>
      <c r="J355" s="3">
        <v>0</v>
      </c>
      <c r="K355" s="3">
        <v>24000</v>
      </c>
    </row>
    <row r="356" spans="1:11" x14ac:dyDescent="0.25">
      <c r="A356" s="10">
        <v>46097</v>
      </c>
      <c r="B356" s="14">
        <v>0.6839467592592593</v>
      </c>
      <c r="C356">
        <v>250</v>
      </c>
      <c r="D356" t="s">
        <v>53</v>
      </c>
      <c r="E356">
        <v>8000</v>
      </c>
      <c r="F356" t="s">
        <v>7</v>
      </c>
      <c r="G356">
        <v>1</v>
      </c>
      <c r="H356" s="3">
        <v>1</v>
      </c>
      <c r="I356" s="3">
        <v>8000</v>
      </c>
      <c r="J356" s="3">
        <v>0</v>
      </c>
      <c r="K356" s="3">
        <v>8000</v>
      </c>
    </row>
    <row r="357" spans="1:11" x14ac:dyDescent="0.25">
      <c r="A357" s="10">
        <v>46097</v>
      </c>
      <c r="B357" s="14">
        <v>0.6839467592592593</v>
      </c>
      <c r="C357">
        <v>250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</row>
    <row r="358" spans="1:11" x14ac:dyDescent="0.25">
      <c r="A358" s="10">
        <v>46097</v>
      </c>
      <c r="B358" s="14">
        <v>0.68489583333333337</v>
      </c>
      <c r="C358">
        <v>251</v>
      </c>
      <c r="D358" t="s">
        <v>53</v>
      </c>
      <c r="E358">
        <v>8000</v>
      </c>
      <c r="F358" t="s">
        <v>8</v>
      </c>
      <c r="G358">
        <v>1</v>
      </c>
      <c r="H358" s="3">
        <v>1</v>
      </c>
      <c r="I358" s="3">
        <v>0</v>
      </c>
      <c r="J358" s="3">
        <v>8000</v>
      </c>
      <c r="K358" s="3">
        <v>8000</v>
      </c>
    </row>
    <row r="359" spans="1:11" x14ac:dyDescent="0.25">
      <c r="A359" s="10">
        <v>46097</v>
      </c>
      <c r="B359" s="14">
        <v>0.68489583333333337</v>
      </c>
      <c r="C359">
        <v>251</v>
      </c>
      <c r="D359" t="s">
        <v>54</v>
      </c>
      <c r="E359">
        <v>3000</v>
      </c>
      <c r="F359" t="s">
        <v>8</v>
      </c>
      <c r="G359">
        <v>1</v>
      </c>
      <c r="H359" s="3">
        <v>1</v>
      </c>
      <c r="I359" s="3">
        <v>0</v>
      </c>
      <c r="J359" s="3">
        <v>3000</v>
      </c>
      <c r="K359" s="3">
        <v>3000</v>
      </c>
    </row>
    <row r="360" spans="1:11" x14ac:dyDescent="0.25">
      <c r="A360" s="10">
        <v>46097</v>
      </c>
      <c r="B360" s="14">
        <v>0.72692129629629632</v>
      </c>
      <c r="C360">
        <v>252</v>
      </c>
      <c r="D360" t="s">
        <v>53</v>
      </c>
      <c r="E360">
        <v>8000</v>
      </c>
      <c r="F360" t="s">
        <v>7</v>
      </c>
      <c r="G360">
        <v>1</v>
      </c>
      <c r="H360" s="3">
        <v>1</v>
      </c>
      <c r="I360" s="3">
        <v>8000</v>
      </c>
      <c r="J360" s="3">
        <v>0</v>
      </c>
      <c r="K360" s="3">
        <v>8000</v>
      </c>
    </row>
    <row r="361" spans="1:11" x14ac:dyDescent="0.25">
      <c r="A361" s="10">
        <v>46097</v>
      </c>
      <c r="B361" s="14">
        <v>0.72692129629629632</v>
      </c>
      <c r="C361">
        <v>252</v>
      </c>
      <c r="D361" t="s">
        <v>54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</row>
    <row r="362" spans="1:11" x14ac:dyDescent="0.25">
      <c r="A362" s="10">
        <v>46097</v>
      </c>
      <c r="B362" s="14">
        <v>0.7690393518518519</v>
      </c>
      <c r="C362">
        <v>253</v>
      </c>
      <c r="D362" t="s">
        <v>53</v>
      </c>
      <c r="E362">
        <v>8000</v>
      </c>
      <c r="F362" t="s">
        <v>7</v>
      </c>
      <c r="G362">
        <v>6</v>
      </c>
      <c r="H362" s="3">
        <v>1</v>
      </c>
      <c r="I362" s="3">
        <v>48000</v>
      </c>
      <c r="J362" s="3">
        <v>0</v>
      </c>
      <c r="K362" s="3">
        <v>48000</v>
      </c>
    </row>
    <row r="363" spans="1:11" x14ac:dyDescent="0.25">
      <c r="A363" s="10">
        <v>46097</v>
      </c>
      <c r="B363" s="14">
        <v>0.7690393518518519</v>
      </c>
      <c r="C363">
        <v>253</v>
      </c>
      <c r="D363" t="s">
        <v>54</v>
      </c>
      <c r="E363">
        <v>3000</v>
      </c>
      <c r="F363" t="s">
        <v>7</v>
      </c>
      <c r="G363">
        <v>3</v>
      </c>
      <c r="H363" s="3">
        <v>1</v>
      </c>
      <c r="I363" s="3">
        <v>9000</v>
      </c>
      <c r="J363" s="3">
        <v>0</v>
      </c>
      <c r="K363" s="3">
        <v>9000</v>
      </c>
    </row>
    <row r="364" spans="1:11" x14ac:dyDescent="0.25">
      <c r="A364" s="10">
        <v>46097</v>
      </c>
      <c r="B364" s="14">
        <v>0.77001157407407406</v>
      </c>
      <c r="C364">
        <v>254</v>
      </c>
      <c r="D364" t="s">
        <v>78</v>
      </c>
      <c r="E364">
        <v>7000</v>
      </c>
      <c r="F364" t="s">
        <v>8</v>
      </c>
      <c r="G364">
        <v>1</v>
      </c>
      <c r="H364" s="3">
        <v>1</v>
      </c>
      <c r="I364" s="3">
        <v>0</v>
      </c>
      <c r="J364" s="3">
        <v>7000</v>
      </c>
      <c r="K364" s="3">
        <v>7000</v>
      </c>
    </row>
    <row r="365" spans="1:11" x14ac:dyDescent="0.25">
      <c r="A365" s="10">
        <v>46097</v>
      </c>
      <c r="B365" s="14">
        <v>0.77001157407407406</v>
      </c>
      <c r="C365">
        <v>254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</row>
    <row r="366" spans="1:11" x14ac:dyDescent="0.25">
      <c r="A366" s="10">
        <v>46098</v>
      </c>
      <c r="B366" s="14">
        <v>0.44481481481481483</v>
      </c>
      <c r="C366">
        <v>255</v>
      </c>
      <c r="D366" t="s">
        <v>53</v>
      </c>
      <c r="E366">
        <v>8000</v>
      </c>
      <c r="F366" t="s">
        <v>8</v>
      </c>
      <c r="G366">
        <v>4</v>
      </c>
      <c r="H366" s="3">
        <v>1</v>
      </c>
      <c r="I366" s="3">
        <v>0</v>
      </c>
      <c r="J366" s="3">
        <v>32000</v>
      </c>
      <c r="K366" s="3">
        <v>32000</v>
      </c>
    </row>
    <row r="367" spans="1:11" x14ac:dyDescent="0.25">
      <c r="A367" s="10">
        <v>46098</v>
      </c>
      <c r="B367" s="14">
        <v>0.61690972222222218</v>
      </c>
      <c r="C367">
        <v>233</v>
      </c>
      <c r="D367" t="s">
        <v>53</v>
      </c>
      <c r="E367">
        <v>8000</v>
      </c>
      <c r="F367" t="s">
        <v>7</v>
      </c>
      <c r="G367">
        <v>3</v>
      </c>
      <c r="H367" s="3">
        <v>1</v>
      </c>
      <c r="I367" s="3">
        <v>24000</v>
      </c>
      <c r="J367" s="3">
        <v>0</v>
      </c>
      <c r="K367" s="3">
        <v>24000</v>
      </c>
    </row>
    <row r="368" spans="1:11" x14ac:dyDescent="0.25">
      <c r="A368" s="10">
        <v>46098</v>
      </c>
      <c r="B368" s="14">
        <v>0.61690972222222218</v>
      </c>
      <c r="C368">
        <v>233</v>
      </c>
      <c r="D368" t="s">
        <v>56</v>
      </c>
      <c r="E368">
        <v>3000</v>
      </c>
      <c r="F368" t="s">
        <v>7</v>
      </c>
      <c r="G368">
        <v>1</v>
      </c>
      <c r="H368" s="3">
        <v>1</v>
      </c>
      <c r="I368" s="3">
        <v>3000</v>
      </c>
      <c r="J368" s="3">
        <v>0</v>
      </c>
      <c r="K368" s="3">
        <v>3000</v>
      </c>
    </row>
    <row r="369" spans="1:11" x14ac:dyDescent="0.25">
      <c r="A369" s="10">
        <v>46098</v>
      </c>
      <c r="B369" s="14">
        <v>0.61690972222222218</v>
      </c>
      <c r="C369">
        <v>233</v>
      </c>
      <c r="D369" t="s">
        <v>75</v>
      </c>
      <c r="E369">
        <v>4500</v>
      </c>
      <c r="F369" t="s">
        <v>7</v>
      </c>
      <c r="G369">
        <v>3</v>
      </c>
      <c r="H369" s="3">
        <v>1</v>
      </c>
      <c r="I369" s="3">
        <v>13500</v>
      </c>
      <c r="J369" s="3">
        <v>0</v>
      </c>
      <c r="K369" s="3">
        <v>13500</v>
      </c>
    </row>
    <row r="370" spans="1:11" x14ac:dyDescent="0.25">
      <c r="A370" s="10">
        <v>46098</v>
      </c>
      <c r="B370" s="14">
        <v>0.62935185185185183</v>
      </c>
      <c r="C370">
        <v>234</v>
      </c>
      <c r="D370" t="s">
        <v>53</v>
      </c>
      <c r="E370">
        <v>8000</v>
      </c>
      <c r="F370" t="s">
        <v>7</v>
      </c>
      <c r="G370">
        <v>2</v>
      </c>
      <c r="H370" s="3">
        <v>1</v>
      </c>
      <c r="I370" s="3">
        <v>16000</v>
      </c>
      <c r="J370" s="3">
        <v>0</v>
      </c>
      <c r="K370" s="3">
        <v>16000</v>
      </c>
    </row>
    <row r="371" spans="1:11" x14ac:dyDescent="0.25">
      <c r="A371" s="10">
        <v>46098</v>
      </c>
      <c r="B371" s="14">
        <v>0.65011574074074074</v>
      </c>
      <c r="C371">
        <v>235</v>
      </c>
      <c r="D371" t="s">
        <v>53</v>
      </c>
      <c r="E371">
        <v>8000</v>
      </c>
      <c r="F371" t="s">
        <v>28</v>
      </c>
      <c r="G371">
        <v>1</v>
      </c>
      <c r="H371" s="3">
        <v>1</v>
      </c>
      <c r="I371" s="3">
        <v>0</v>
      </c>
      <c r="J371" s="3">
        <v>8000</v>
      </c>
      <c r="K371" s="3">
        <v>8000</v>
      </c>
    </row>
    <row r="372" spans="1:11" x14ac:dyDescent="0.25">
      <c r="A372" s="10">
        <v>46098</v>
      </c>
      <c r="B372" s="14">
        <v>0.65011574074074074</v>
      </c>
      <c r="C372">
        <v>235</v>
      </c>
      <c r="D372" t="s">
        <v>54</v>
      </c>
      <c r="E372">
        <v>3000</v>
      </c>
      <c r="F372" t="s">
        <v>28</v>
      </c>
      <c r="G372">
        <v>1</v>
      </c>
      <c r="H372" s="3">
        <v>1</v>
      </c>
      <c r="I372" s="3">
        <v>0</v>
      </c>
      <c r="J372" s="3">
        <v>3000</v>
      </c>
      <c r="K372" s="3">
        <v>3000</v>
      </c>
    </row>
    <row r="373" spans="1:11" x14ac:dyDescent="0.25">
      <c r="A373" s="10">
        <v>46098</v>
      </c>
      <c r="B373" s="14">
        <v>0.65011574074074074</v>
      </c>
      <c r="C373">
        <v>235</v>
      </c>
      <c r="D373" t="s">
        <v>60</v>
      </c>
      <c r="E373">
        <v>4500</v>
      </c>
      <c r="F373" t="s">
        <v>28</v>
      </c>
      <c r="G373">
        <v>1</v>
      </c>
      <c r="H373" s="3">
        <v>1</v>
      </c>
      <c r="I373" s="3">
        <v>0</v>
      </c>
      <c r="J373" s="3">
        <v>4500</v>
      </c>
      <c r="K373" s="3">
        <v>4500</v>
      </c>
    </row>
    <row r="374" spans="1:11" x14ac:dyDescent="0.25">
      <c r="A374" s="10">
        <v>46098</v>
      </c>
      <c r="B374" s="14">
        <v>0.65350694444444446</v>
      </c>
      <c r="C374">
        <v>236</v>
      </c>
      <c r="D374" t="s">
        <v>75</v>
      </c>
      <c r="E374">
        <v>4500</v>
      </c>
      <c r="F374" t="s">
        <v>7</v>
      </c>
      <c r="G374">
        <v>2</v>
      </c>
      <c r="H374" s="3">
        <v>1</v>
      </c>
      <c r="I374" s="3">
        <v>9000</v>
      </c>
      <c r="J374" s="3">
        <v>0</v>
      </c>
      <c r="K374" s="3">
        <v>9000</v>
      </c>
    </row>
    <row r="375" spans="1:11" x14ac:dyDescent="0.25">
      <c r="A375" s="10">
        <v>46098</v>
      </c>
      <c r="B375" s="14">
        <v>0.68811342592592595</v>
      </c>
      <c r="C375">
        <v>237</v>
      </c>
      <c r="D375" t="s">
        <v>53</v>
      </c>
      <c r="E375">
        <v>8000</v>
      </c>
      <c r="F375" t="s">
        <v>7</v>
      </c>
      <c r="G375">
        <v>2</v>
      </c>
      <c r="H375" s="3">
        <v>1</v>
      </c>
      <c r="I375" s="3">
        <v>16000</v>
      </c>
      <c r="J375" s="3">
        <v>0</v>
      </c>
      <c r="K375" s="3">
        <v>16000</v>
      </c>
    </row>
    <row r="376" spans="1:11" x14ac:dyDescent="0.25">
      <c r="A376" s="10">
        <v>46098</v>
      </c>
      <c r="B376" s="14">
        <v>0.72674768518518518</v>
      </c>
      <c r="C376">
        <v>238</v>
      </c>
      <c r="D376" t="s">
        <v>53</v>
      </c>
      <c r="E376">
        <v>8000</v>
      </c>
      <c r="F376" t="s">
        <v>8</v>
      </c>
      <c r="G376">
        <v>1</v>
      </c>
      <c r="H376" s="3">
        <v>1</v>
      </c>
      <c r="I376" s="3">
        <v>0</v>
      </c>
      <c r="J376" s="3">
        <v>8000</v>
      </c>
      <c r="K376" s="3">
        <v>8000</v>
      </c>
    </row>
    <row r="377" spans="1:11" x14ac:dyDescent="0.25">
      <c r="A377" s="10">
        <v>46098</v>
      </c>
      <c r="B377" s="14">
        <v>0.72674768518518518</v>
      </c>
      <c r="C377">
        <v>238</v>
      </c>
      <c r="D377" t="s">
        <v>54</v>
      </c>
      <c r="E377">
        <v>3000</v>
      </c>
      <c r="F377" t="s">
        <v>8</v>
      </c>
      <c r="G377">
        <v>1</v>
      </c>
      <c r="H377" s="3">
        <v>1</v>
      </c>
      <c r="I377" s="3">
        <v>0</v>
      </c>
      <c r="J377" s="3">
        <v>3000</v>
      </c>
      <c r="K377" s="3">
        <v>3000</v>
      </c>
    </row>
    <row r="378" spans="1:11" x14ac:dyDescent="0.25">
      <c r="A378" s="10">
        <v>46098</v>
      </c>
      <c r="B378" s="14">
        <v>0.73148148148148151</v>
      </c>
      <c r="C378">
        <v>239</v>
      </c>
      <c r="D378" t="s">
        <v>53</v>
      </c>
      <c r="E378">
        <v>8000</v>
      </c>
      <c r="F378" t="s">
        <v>7</v>
      </c>
      <c r="G378">
        <v>2</v>
      </c>
      <c r="H378" s="3">
        <v>1</v>
      </c>
      <c r="I378" s="3">
        <v>16000</v>
      </c>
      <c r="J378" s="3">
        <v>0</v>
      </c>
      <c r="K378" s="3">
        <v>16000</v>
      </c>
    </row>
    <row r="379" spans="1:11" x14ac:dyDescent="0.25">
      <c r="A379" s="10">
        <v>46098</v>
      </c>
      <c r="B379" s="14">
        <v>0.73148148148148151</v>
      </c>
      <c r="C379">
        <v>239</v>
      </c>
      <c r="D379" t="s">
        <v>56</v>
      </c>
      <c r="E379">
        <v>3000</v>
      </c>
      <c r="F379" t="s">
        <v>7</v>
      </c>
      <c r="G379">
        <v>2</v>
      </c>
      <c r="H379" s="3">
        <v>1</v>
      </c>
      <c r="I379" s="3">
        <v>6000</v>
      </c>
      <c r="J379" s="3">
        <v>0</v>
      </c>
      <c r="K379" s="3">
        <v>6000</v>
      </c>
    </row>
    <row r="380" spans="1:11" x14ac:dyDescent="0.25">
      <c r="A380" s="10">
        <v>46098</v>
      </c>
      <c r="B380" s="14">
        <v>0.74342592592592593</v>
      </c>
      <c r="C380">
        <v>240</v>
      </c>
      <c r="D380" t="s">
        <v>75</v>
      </c>
      <c r="E380">
        <v>4500</v>
      </c>
      <c r="F380" t="s">
        <v>8</v>
      </c>
      <c r="G380">
        <v>12</v>
      </c>
      <c r="H380" s="3">
        <v>1</v>
      </c>
      <c r="I380" s="3">
        <v>0</v>
      </c>
      <c r="J380" s="3">
        <v>54000</v>
      </c>
      <c r="K380" s="3">
        <v>54000</v>
      </c>
    </row>
    <row r="381" spans="1:11" x14ac:dyDescent="0.25">
      <c r="A381" s="10">
        <v>46098</v>
      </c>
      <c r="B381" s="14">
        <v>0.74424768518518514</v>
      </c>
      <c r="C381">
        <v>0</v>
      </c>
      <c r="D381" t="s">
        <v>53</v>
      </c>
      <c r="E381">
        <v>8000</v>
      </c>
      <c r="F381" t="s">
        <v>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</row>
    <row r="382" spans="1:11" x14ac:dyDescent="0.25">
      <c r="A382" s="10">
        <v>46098</v>
      </c>
      <c r="B382" s="14">
        <v>0.74930555555555556</v>
      </c>
      <c r="C382">
        <v>241</v>
      </c>
      <c r="D382" t="s">
        <v>53</v>
      </c>
      <c r="E382">
        <v>8000</v>
      </c>
      <c r="F382" t="s">
        <v>7</v>
      </c>
      <c r="G382">
        <v>1</v>
      </c>
      <c r="H382" s="3">
        <v>1</v>
      </c>
      <c r="I382" s="3">
        <v>8000</v>
      </c>
      <c r="J382" s="3">
        <v>0</v>
      </c>
      <c r="K382" s="3">
        <v>8000</v>
      </c>
    </row>
    <row r="383" spans="1:11" x14ac:dyDescent="0.25">
      <c r="A383" s="10">
        <v>46098</v>
      </c>
      <c r="B383" s="14">
        <v>0.74944444444444447</v>
      </c>
      <c r="C383">
        <v>242</v>
      </c>
      <c r="D383" t="s">
        <v>53</v>
      </c>
      <c r="E383">
        <v>8000</v>
      </c>
      <c r="F383" t="s">
        <v>7</v>
      </c>
      <c r="G383">
        <v>1</v>
      </c>
      <c r="H383" s="3">
        <v>1</v>
      </c>
      <c r="I383" s="3">
        <v>8000</v>
      </c>
      <c r="J383" s="3">
        <v>0</v>
      </c>
      <c r="K383" s="3">
        <v>8000</v>
      </c>
    </row>
    <row r="384" spans="1:11" x14ac:dyDescent="0.25">
      <c r="A384" s="10">
        <v>46098</v>
      </c>
      <c r="B384" s="14">
        <v>0.74972222222222218</v>
      </c>
      <c r="C384">
        <v>243</v>
      </c>
      <c r="D384" t="s">
        <v>53</v>
      </c>
      <c r="E384">
        <v>8000</v>
      </c>
      <c r="F384" t="s">
        <v>28</v>
      </c>
      <c r="G384">
        <v>1</v>
      </c>
      <c r="H384" s="3">
        <v>1</v>
      </c>
      <c r="I384" s="3">
        <v>0</v>
      </c>
      <c r="J384" s="3">
        <v>8000</v>
      </c>
      <c r="K384" s="3">
        <v>8000</v>
      </c>
    </row>
    <row r="385" spans="1:11" x14ac:dyDescent="0.25">
      <c r="A385" s="10">
        <v>46098</v>
      </c>
      <c r="B385" s="14">
        <v>0.75292824074074072</v>
      </c>
      <c r="C385">
        <v>244</v>
      </c>
      <c r="D385" t="s">
        <v>78</v>
      </c>
      <c r="E385">
        <v>7000</v>
      </c>
      <c r="F385" t="s">
        <v>7</v>
      </c>
      <c r="G385">
        <v>2</v>
      </c>
      <c r="H385" s="3">
        <v>1</v>
      </c>
      <c r="I385" s="3">
        <v>14000</v>
      </c>
      <c r="J385" s="3">
        <v>0</v>
      </c>
      <c r="K385" s="3">
        <v>14000</v>
      </c>
    </row>
    <row r="386" spans="1:11" x14ac:dyDescent="0.25">
      <c r="A386" s="10">
        <v>46098</v>
      </c>
      <c r="B386" s="14">
        <v>0.76597222222222228</v>
      </c>
      <c r="C386">
        <v>245</v>
      </c>
      <c r="D386" t="s">
        <v>53</v>
      </c>
      <c r="E386">
        <v>8000</v>
      </c>
      <c r="F386" t="s">
        <v>7</v>
      </c>
      <c r="G386">
        <v>1</v>
      </c>
      <c r="H386" s="3">
        <v>1</v>
      </c>
      <c r="I386" s="3">
        <v>8000</v>
      </c>
      <c r="J386" s="3">
        <v>0</v>
      </c>
      <c r="K386" s="3">
        <v>8000</v>
      </c>
    </row>
    <row r="387" spans="1:11" x14ac:dyDescent="0.25">
      <c r="A387" s="10">
        <v>46098</v>
      </c>
      <c r="B387" s="14">
        <v>0.76597222222222228</v>
      </c>
      <c r="C387">
        <v>245</v>
      </c>
      <c r="D387" t="s">
        <v>54</v>
      </c>
      <c r="E387">
        <v>3000</v>
      </c>
      <c r="F387" t="s">
        <v>7</v>
      </c>
      <c r="G387">
        <v>1</v>
      </c>
      <c r="H387" s="3">
        <v>1</v>
      </c>
      <c r="I387" s="3">
        <v>3000</v>
      </c>
      <c r="J387" s="3">
        <v>0</v>
      </c>
      <c r="K387" s="3">
        <v>3000</v>
      </c>
    </row>
    <row r="388" spans="1:11" x14ac:dyDescent="0.25">
      <c r="A388" s="10">
        <v>46098</v>
      </c>
      <c r="B388" s="14">
        <v>0.76649305555555558</v>
      </c>
      <c r="C388">
        <v>246</v>
      </c>
      <c r="D388" t="s">
        <v>53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</row>
    <row r="389" spans="1:11" x14ac:dyDescent="0.25">
      <c r="A389" s="10">
        <v>46098</v>
      </c>
      <c r="B389" s="14">
        <v>0.76755787037037038</v>
      </c>
      <c r="C389">
        <v>247</v>
      </c>
      <c r="D389" t="s">
        <v>75</v>
      </c>
      <c r="E389">
        <v>4500</v>
      </c>
      <c r="F389" t="s">
        <v>8</v>
      </c>
      <c r="G389">
        <v>2</v>
      </c>
      <c r="H389" s="3">
        <v>1</v>
      </c>
      <c r="I389" s="3">
        <v>0</v>
      </c>
      <c r="J389" s="3">
        <v>9000</v>
      </c>
      <c r="K389" s="3">
        <v>9000</v>
      </c>
    </row>
    <row r="390" spans="1:11" x14ac:dyDescent="0.25">
      <c r="A390" s="10">
        <v>46098</v>
      </c>
      <c r="B390" s="14">
        <v>0.80873842592592593</v>
      </c>
      <c r="C390">
        <v>248</v>
      </c>
      <c r="D390" t="s">
        <v>53</v>
      </c>
      <c r="E390">
        <v>8000</v>
      </c>
      <c r="F390" t="s">
        <v>7</v>
      </c>
      <c r="G390">
        <v>2</v>
      </c>
      <c r="H390" s="3">
        <v>1</v>
      </c>
      <c r="I390" s="3">
        <v>16000</v>
      </c>
      <c r="J390" s="3">
        <v>0</v>
      </c>
      <c r="K390" s="3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6"/>
  <sheetViews>
    <sheetView topLeftCell="A10" zoomScale="85" zoomScaleNormal="85" workbookViewId="0">
      <selection activeCell="G28" sqref="G28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3.140625" bestFit="1" customWidth="1"/>
    <col min="9" max="9" width="12.5703125" customWidth="1"/>
    <col min="10" max="10" width="15" bestFit="1" customWidth="1"/>
    <col min="11" max="21" width="21.42578125" bestFit="1" customWidth="1"/>
    <col min="22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1" t="s">
        <v>46</v>
      </c>
      <c r="K10" s="1" t="s">
        <v>20</v>
      </c>
      <c r="L10" s="1" t="s">
        <v>13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  <c r="K11" t="s">
        <v>9</v>
      </c>
      <c r="L11" t="s">
        <v>9</v>
      </c>
      <c r="M11" t="s">
        <v>9</v>
      </c>
      <c r="N11" t="s">
        <v>10</v>
      </c>
      <c r="O11" t="s">
        <v>10</v>
      </c>
      <c r="P11" t="s">
        <v>11</v>
      </c>
      <c r="Q11" t="s">
        <v>11</v>
      </c>
      <c r="R11" t="s">
        <v>11</v>
      </c>
      <c r="S11" t="s">
        <v>0</v>
      </c>
      <c r="T11" t="s">
        <v>0</v>
      </c>
      <c r="U11" t="s">
        <v>0</v>
      </c>
      <c r="V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J12" s="1" t="s">
        <v>12</v>
      </c>
      <c r="K12" t="s">
        <v>7</v>
      </c>
      <c r="L12" t="s">
        <v>28</v>
      </c>
      <c r="M12" t="s">
        <v>8</v>
      </c>
      <c r="N12" t="s">
        <v>7</v>
      </c>
      <c r="O12" t="s">
        <v>8</v>
      </c>
      <c r="P12" t="s">
        <v>7</v>
      </c>
      <c r="Q12" t="s">
        <v>28</v>
      </c>
      <c r="R12" t="s">
        <v>8</v>
      </c>
      <c r="S12" t="s">
        <v>7</v>
      </c>
      <c r="T12" t="s">
        <v>28</v>
      </c>
      <c r="U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192000</v>
      </c>
      <c r="F13" s="3"/>
      <c r="G13" s="3">
        <v>32000</v>
      </c>
      <c r="H13" s="3">
        <v>297700</v>
      </c>
      <c r="J13" t="s">
        <v>2</v>
      </c>
      <c r="K13" s="3">
        <v>0</v>
      </c>
      <c r="L13" s="3"/>
      <c r="M13" s="3"/>
      <c r="N13" s="3">
        <v>60000</v>
      </c>
      <c r="O13" s="3"/>
      <c r="P13" s="3">
        <v>100</v>
      </c>
      <c r="Q13" s="3"/>
      <c r="R13" s="3"/>
      <c r="S13" s="3">
        <v>0</v>
      </c>
      <c r="T13" s="3"/>
      <c r="U13" s="3">
        <v>0</v>
      </c>
      <c r="V13" s="3">
        <v>60100</v>
      </c>
      <c r="Z13" s="4">
        <f>+SUM(B13:C13)-O13</f>
        <v>73700</v>
      </c>
    </row>
    <row r="14" spans="1:27" x14ac:dyDescent="0.25">
      <c r="A14" t="s">
        <v>3</v>
      </c>
      <c r="B14" s="3">
        <v>205600</v>
      </c>
      <c r="C14" s="3"/>
      <c r="D14" s="3"/>
      <c r="E14" s="3">
        <v>213000</v>
      </c>
      <c r="F14" s="3"/>
      <c r="G14" s="3">
        <v>8000</v>
      </c>
      <c r="H14" s="3">
        <v>426600</v>
      </c>
      <c r="I14" s="3"/>
      <c r="J14" t="s">
        <v>3</v>
      </c>
      <c r="K14" s="3">
        <v>0</v>
      </c>
      <c r="L14" s="3"/>
      <c r="M14" s="3"/>
      <c r="N14" s="3">
        <v>103000</v>
      </c>
      <c r="O14" s="3"/>
      <c r="P14" s="3"/>
      <c r="Q14" s="3"/>
      <c r="R14" s="3"/>
      <c r="S14" s="3">
        <v>0</v>
      </c>
      <c r="T14" s="3"/>
      <c r="U14" s="3">
        <v>0</v>
      </c>
      <c r="V14" s="3">
        <v>103000</v>
      </c>
      <c r="Z14" s="4">
        <f>+SUM(B14:C14)-O14</f>
        <v>205600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/>
      <c r="G15" s="3">
        <v>46500</v>
      </c>
      <c r="H15" s="3">
        <v>390500</v>
      </c>
      <c r="I15" s="3"/>
      <c r="J15" t="s">
        <v>4</v>
      </c>
      <c r="K15" s="3"/>
      <c r="L15" s="3"/>
      <c r="M15" s="3"/>
      <c r="N15" s="3">
        <v>226700</v>
      </c>
      <c r="O15" s="3"/>
      <c r="P15" s="3"/>
      <c r="Q15" s="3"/>
      <c r="R15" s="3"/>
      <c r="S15" s="3">
        <v>0</v>
      </c>
      <c r="T15" s="3"/>
      <c r="U15" s="3">
        <v>0</v>
      </c>
      <c r="V15" s="3">
        <v>226700</v>
      </c>
      <c r="Z15" s="4">
        <f t="shared" ref="Z15:Z19" si="0">+SUM(B15:C15)-O15</f>
        <v>0</v>
      </c>
      <c r="AA15" s="3">
        <f>+SUM(Z14:Z15)</f>
        <v>205600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J16" t="s">
        <v>5</v>
      </c>
      <c r="K16" s="3"/>
      <c r="L16" s="3"/>
      <c r="M16" s="3"/>
      <c r="N16" s="3">
        <v>84000</v>
      </c>
      <c r="O16" s="3"/>
      <c r="P16" s="3"/>
      <c r="Q16" s="3"/>
      <c r="R16" s="3"/>
      <c r="S16" s="3">
        <v>0</v>
      </c>
      <c r="T16" s="3"/>
      <c r="U16" s="3">
        <v>0</v>
      </c>
      <c r="V16" s="3">
        <v>84000</v>
      </c>
      <c r="Z16" s="4">
        <f t="shared" si="0"/>
        <v>0</v>
      </c>
      <c r="AA16" s="3">
        <f>$AA$15-20000-7900</f>
        <v>177700</v>
      </c>
    </row>
    <row r="17" spans="1:28" x14ac:dyDescent="0.25">
      <c r="A17" t="s">
        <v>27</v>
      </c>
      <c r="B17" s="3">
        <v>405000</v>
      </c>
      <c r="C17" s="3"/>
      <c r="D17" s="3"/>
      <c r="E17" s="3">
        <v>186000</v>
      </c>
      <c r="F17" s="3">
        <v>11000</v>
      </c>
      <c r="G17" s="3">
        <v>51000</v>
      </c>
      <c r="H17" s="3">
        <v>653000</v>
      </c>
      <c r="I17" s="3"/>
      <c r="J17" t="s">
        <v>27</v>
      </c>
      <c r="K17" s="3">
        <v>0</v>
      </c>
      <c r="L17" s="3"/>
      <c r="M17" s="3"/>
      <c r="N17" s="3">
        <v>240000</v>
      </c>
      <c r="O17" s="3"/>
      <c r="P17" s="3">
        <v>307900</v>
      </c>
      <c r="Q17" s="3"/>
      <c r="R17" s="3"/>
      <c r="S17" s="3">
        <v>0</v>
      </c>
      <c r="T17" s="3">
        <v>0</v>
      </c>
      <c r="U17" s="3">
        <v>0</v>
      </c>
      <c r="V17" s="3">
        <v>547900</v>
      </c>
      <c r="Z17" s="4">
        <f t="shared" si="0"/>
        <v>405000</v>
      </c>
      <c r="AA17" s="3">
        <f>+Z17-20000-10000</f>
        <v>375000</v>
      </c>
    </row>
    <row r="18" spans="1:28" x14ac:dyDescent="0.25">
      <c r="A18" t="s">
        <v>32</v>
      </c>
      <c r="B18" s="3">
        <v>125000</v>
      </c>
      <c r="C18" s="3"/>
      <c r="D18" s="3"/>
      <c r="E18" s="3">
        <v>456500</v>
      </c>
      <c r="F18" s="3"/>
      <c r="G18" s="3">
        <v>47000</v>
      </c>
      <c r="H18" s="3">
        <v>628500</v>
      </c>
      <c r="I18" s="3"/>
      <c r="J18" t="s">
        <v>32</v>
      </c>
      <c r="K18" s="3">
        <v>0</v>
      </c>
      <c r="L18" s="3"/>
      <c r="M18" s="3"/>
      <c r="N18" s="3">
        <v>96400</v>
      </c>
      <c r="O18" s="3"/>
      <c r="P18" s="3">
        <v>350000</v>
      </c>
      <c r="Q18" s="3"/>
      <c r="R18" s="3"/>
      <c r="S18" s="3">
        <v>0</v>
      </c>
      <c r="T18" s="3"/>
      <c r="U18" s="3">
        <v>0</v>
      </c>
      <c r="V18" s="3">
        <v>446400</v>
      </c>
      <c r="Z18" s="4">
        <f t="shared" si="0"/>
        <v>125000</v>
      </c>
    </row>
    <row r="19" spans="1:28" x14ac:dyDescent="0.25">
      <c r="A19" t="s">
        <v>34</v>
      </c>
      <c r="B19" s="3">
        <v>141400</v>
      </c>
      <c r="C19" s="3"/>
      <c r="D19" s="3"/>
      <c r="E19" s="3">
        <v>60000</v>
      </c>
      <c r="F19" s="3"/>
      <c r="G19" s="3"/>
      <c r="H19" s="3">
        <v>201400</v>
      </c>
      <c r="I19" s="3"/>
      <c r="J19" t="s">
        <v>34</v>
      </c>
      <c r="K19" s="3">
        <v>0</v>
      </c>
      <c r="L19" s="3"/>
      <c r="M19" s="3"/>
      <c r="N19" s="3"/>
      <c r="O19" s="3"/>
      <c r="P19" s="3"/>
      <c r="Q19" s="3"/>
      <c r="R19" s="3"/>
      <c r="S19" s="3">
        <v>0</v>
      </c>
      <c r="T19" s="3"/>
      <c r="U19" s="3"/>
      <c r="V19" s="3">
        <v>0</v>
      </c>
      <c r="Z19" s="4">
        <f t="shared" si="0"/>
        <v>141400</v>
      </c>
      <c r="AA19" s="5"/>
      <c r="AB19" s="5"/>
    </row>
    <row r="20" spans="1:28" x14ac:dyDescent="0.25">
      <c r="A20" t="s">
        <v>35</v>
      </c>
      <c r="B20" s="3">
        <v>191900</v>
      </c>
      <c r="C20" s="3"/>
      <c r="D20" s="3"/>
      <c r="E20" s="3">
        <v>105000</v>
      </c>
      <c r="F20" s="3">
        <v>11000</v>
      </c>
      <c r="G20" s="3">
        <v>53000</v>
      </c>
      <c r="H20" s="3">
        <v>360900</v>
      </c>
      <c r="I20" s="3"/>
      <c r="J20" t="s">
        <v>35</v>
      </c>
      <c r="K20" s="3">
        <v>0</v>
      </c>
      <c r="L20" s="3"/>
      <c r="M20" s="3"/>
      <c r="N20" s="3">
        <v>58700</v>
      </c>
      <c r="O20" s="3"/>
      <c r="P20" s="3"/>
      <c r="Q20" s="3"/>
      <c r="R20" s="3"/>
      <c r="S20" s="3">
        <v>0</v>
      </c>
      <c r="T20" s="3">
        <v>0</v>
      </c>
      <c r="U20" s="3">
        <v>0</v>
      </c>
      <c r="V20" s="3">
        <v>58700</v>
      </c>
      <c r="Z20" s="4">
        <f t="shared" ref="Z20:Z24" si="1">+SUM(B20:C20)-O20</f>
        <v>191900</v>
      </c>
      <c r="AA20" s="5">
        <v>50000</v>
      </c>
      <c r="AB20" s="5">
        <f>+Z20-AA20</f>
        <v>141900</v>
      </c>
    </row>
    <row r="21" spans="1:28" x14ac:dyDescent="0.25">
      <c r="A21" t="s">
        <v>39</v>
      </c>
      <c r="B21" s="3">
        <v>252000</v>
      </c>
      <c r="C21" s="3"/>
      <c r="D21" s="3"/>
      <c r="E21" s="3">
        <v>260000</v>
      </c>
      <c r="F21" s="3"/>
      <c r="G21" s="3">
        <v>83000</v>
      </c>
      <c r="H21" s="3">
        <v>595000</v>
      </c>
      <c r="I21" s="3"/>
      <c r="J21" t="s">
        <v>39</v>
      </c>
      <c r="K21" s="3">
        <v>0</v>
      </c>
      <c r="L21" s="3"/>
      <c r="M21" s="3"/>
      <c r="N21" s="3">
        <v>285750</v>
      </c>
      <c r="O21" s="3"/>
      <c r="P21" s="3">
        <v>122700</v>
      </c>
      <c r="Q21" s="3"/>
      <c r="R21" s="3"/>
      <c r="S21" s="3">
        <v>0</v>
      </c>
      <c r="T21" s="3"/>
      <c r="U21" s="3">
        <v>0</v>
      </c>
      <c r="V21" s="3">
        <v>408450</v>
      </c>
      <c r="Z21" s="4">
        <f>+SUM(B21:C21)-O21</f>
        <v>252000</v>
      </c>
      <c r="AA21" s="5"/>
      <c r="AB21" s="5"/>
    </row>
    <row r="22" spans="1:28" x14ac:dyDescent="0.25">
      <c r="A22" t="s">
        <v>40</v>
      </c>
      <c r="B22" s="3">
        <v>120900</v>
      </c>
      <c r="C22" s="3"/>
      <c r="D22" s="3"/>
      <c r="E22" s="3">
        <v>143500</v>
      </c>
      <c r="F22" s="3"/>
      <c r="G22" s="3">
        <v>115500</v>
      </c>
      <c r="H22" s="3">
        <v>379900</v>
      </c>
      <c r="I22" s="3"/>
      <c r="J22" t="s">
        <v>40</v>
      </c>
      <c r="K22" s="3">
        <v>0</v>
      </c>
      <c r="L22" s="3"/>
      <c r="M22" s="3"/>
      <c r="N22" s="3">
        <v>84900</v>
      </c>
      <c r="O22" s="3"/>
      <c r="P22" s="3">
        <v>500</v>
      </c>
      <c r="Q22" s="3"/>
      <c r="R22" s="3"/>
      <c r="S22" s="3">
        <v>0</v>
      </c>
      <c r="T22" s="3"/>
      <c r="U22" s="3">
        <v>0</v>
      </c>
      <c r="V22" s="3">
        <v>85400</v>
      </c>
      <c r="Z22" s="4">
        <f t="shared" si="1"/>
        <v>120900</v>
      </c>
    </row>
    <row r="23" spans="1:28" x14ac:dyDescent="0.25">
      <c r="A23" t="s">
        <v>45</v>
      </c>
      <c r="B23" s="3">
        <v>93000</v>
      </c>
      <c r="C23" s="3"/>
      <c r="D23" s="3"/>
      <c r="E23" s="3">
        <v>211000</v>
      </c>
      <c r="F23" s="3"/>
      <c r="G23" s="3">
        <v>87500</v>
      </c>
      <c r="H23" s="3">
        <v>391500</v>
      </c>
      <c r="I23" s="3"/>
      <c r="J23" t="s">
        <v>45</v>
      </c>
      <c r="K23" s="3">
        <v>0</v>
      </c>
      <c r="L23" s="3"/>
      <c r="M23" s="3"/>
      <c r="N23" s="3">
        <v>213300</v>
      </c>
      <c r="O23" s="3"/>
      <c r="P23" s="3">
        <v>1500</v>
      </c>
      <c r="Q23" s="3"/>
      <c r="R23" s="3"/>
      <c r="S23" s="3">
        <v>0</v>
      </c>
      <c r="T23" s="3"/>
      <c r="U23" s="3">
        <v>0</v>
      </c>
      <c r="V23" s="3">
        <v>214800</v>
      </c>
      <c r="Z23" s="4">
        <f t="shared" si="1"/>
        <v>93000</v>
      </c>
      <c r="AA23" s="5"/>
      <c r="AB23" s="5"/>
    </row>
    <row r="24" spans="1:28" x14ac:dyDescent="0.25">
      <c r="A24" t="s">
        <v>41</v>
      </c>
      <c r="B24" s="3">
        <v>161050</v>
      </c>
      <c r="C24" s="3"/>
      <c r="D24" s="3"/>
      <c r="E24" s="3">
        <v>123500</v>
      </c>
      <c r="F24" s="3">
        <v>3000</v>
      </c>
      <c r="G24" s="3">
        <v>92000</v>
      </c>
      <c r="H24" s="3">
        <v>379550</v>
      </c>
      <c r="I24" s="3"/>
      <c r="J24" t="s">
        <v>41</v>
      </c>
      <c r="K24" s="3">
        <v>0</v>
      </c>
      <c r="L24" s="3"/>
      <c r="M24" s="3"/>
      <c r="N24" s="3">
        <v>156850</v>
      </c>
      <c r="O24" s="3"/>
      <c r="P24" s="3"/>
      <c r="Q24" s="3"/>
      <c r="R24" s="3"/>
      <c r="S24" s="3">
        <v>0</v>
      </c>
      <c r="T24" s="3">
        <v>0</v>
      </c>
      <c r="U24" s="3">
        <v>0</v>
      </c>
      <c r="V24" s="3">
        <v>156850</v>
      </c>
      <c r="Z24" s="4">
        <f t="shared" si="1"/>
        <v>161050</v>
      </c>
    </row>
    <row r="25" spans="1:28" x14ac:dyDescent="0.25">
      <c r="A25" t="s">
        <v>50</v>
      </c>
      <c r="B25" s="3">
        <v>141650</v>
      </c>
      <c r="C25" s="3"/>
      <c r="D25" s="3"/>
      <c r="E25" s="3">
        <v>172500</v>
      </c>
      <c r="F25" s="3"/>
      <c r="G25" s="3">
        <v>76000</v>
      </c>
      <c r="H25" s="3">
        <v>390150</v>
      </c>
      <c r="I25" s="3"/>
      <c r="J25" t="s">
        <v>50</v>
      </c>
      <c r="K25" s="3">
        <v>0</v>
      </c>
      <c r="L25" s="3"/>
      <c r="M25" s="3"/>
      <c r="N25" s="3">
        <v>130000</v>
      </c>
      <c r="O25" s="3"/>
      <c r="P25" s="3"/>
      <c r="Q25" s="3"/>
      <c r="R25" s="3"/>
      <c r="S25" s="3">
        <v>0</v>
      </c>
      <c r="T25" s="3"/>
      <c r="U25" s="3">
        <v>0</v>
      </c>
      <c r="V25" s="3">
        <v>130000</v>
      </c>
    </row>
    <row r="26" spans="1:28" x14ac:dyDescent="0.25">
      <c r="A26" t="s">
        <v>51</v>
      </c>
      <c r="B26" s="3">
        <v>100000</v>
      </c>
      <c r="C26" s="3"/>
      <c r="D26" s="3"/>
      <c r="E26" s="3">
        <v>51000</v>
      </c>
      <c r="F26" s="3"/>
      <c r="G26" s="3">
        <v>43000</v>
      </c>
      <c r="H26" s="3">
        <v>194000</v>
      </c>
      <c r="I26" s="3"/>
      <c r="J26" t="s">
        <v>51</v>
      </c>
      <c r="K26" s="3">
        <v>0</v>
      </c>
      <c r="L26" s="3"/>
      <c r="M26" s="3"/>
      <c r="N26" s="3"/>
      <c r="O26" s="3"/>
      <c r="P26" s="3"/>
      <c r="Q26" s="3"/>
      <c r="R26" s="3">
        <v>2000</v>
      </c>
      <c r="S26" s="3">
        <v>0</v>
      </c>
      <c r="T26" s="3"/>
      <c r="U26" s="3">
        <v>0</v>
      </c>
      <c r="V26" s="3">
        <v>2000</v>
      </c>
    </row>
    <row r="27" spans="1:28" x14ac:dyDescent="0.25">
      <c r="A27" t="s">
        <v>52</v>
      </c>
      <c r="B27" s="3">
        <v>151000</v>
      </c>
      <c r="C27" s="3"/>
      <c r="D27" s="3"/>
      <c r="E27" s="3">
        <v>338500</v>
      </c>
      <c r="F27" s="3">
        <v>23000</v>
      </c>
      <c r="G27" s="3">
        <v>113000</v>
      </c>
      <c r="H27" s="3">
        <v>625500</v>
      </c>
      <c r="I27" s="3"/>
      <c r="J27" t="s">
        <v>52</v>
      </c>
      <c r="K27" s="3">
        <v>0</v>
      </c>
      <c r="L27" s="3"/>
      <c r="M27" s="3"/>
      <c r="N27" s="3">
        <v>300100</v>
      </c>
      <c r="O27" s="3"/>
      <c r="P27" s="3">
        <v>101000</v>
      </c>
      <c r="Q27" s="3"/>
      <c r="R27" s="3"/>
      <c r="S27" s="3">
        <v>0</v>
      </c>
      <c r="T27" s="3">
        <v>0</v>
      </c>
      <c r="U27" s="3">
        <v>0</v>
      </c>
      <c r="V27" s="3">
        <v>401100</v>
      </c>
    </row>
    <row r="28" spans="1:28" x14ac:dyDescent="0.25">
      <c r="A28" t="s">
        <v>72</v>
      </c>
      <c r="B28" s="3">
        <v>106200</v>
      </c>
      <c r="C28" s="3">
        <v>21000</v>
      </c>
      <c r="D28" s="3">
        <v>271650</v>
      </c>
      <c r="E28" s="3">
        <v>67000</v>
      </c>
      <c r="F28" s="3">
        <v>82000</v>
      </c>
      <c r="G28" s="3">
        <v>94000</v>
      </c>
      <c r="H28" s="3">
        <v>641850</v>
      </c>
      <c r="I28" s="3"/>
      <c r="J28" t="s">
        <v>72</v>
      </c>
      <c r="K28" s="3">
        <v>0</v>
      </c>
      <c r="L28" s="3">
        <v>0</v>
      </c>
      <c r="M28" s="3">
        <v>0</v>
      </c>
      <c r="N28" s="3">
        <v>26100</v>
      </c>
      <c r="O28" s="3"/>
      <c r="P28" s="3">
        <v>55350</v>
      </c>
      <c r="Q28" s="3"/>
      <c r="R28" s="3"/>
      <c r="S28" s="3">
        <v>0</v>
      </c>
      <c r="T28" s="3">
        <v>0</v>
      </c>
      <c r="U28" s="3">
        <v>0</v>
      </c>
      <c r="V28" s="3">
        <v>81450</v>
      </c>
    </row>
    <row r="29" spans="1:28" x14ac:dyDescent="0.25">
      <c r="A29" t="s">
        <v>73</v>
      </c>
      <c r="B29" s="3">
        <v>84250</v>
      </c>
      <c r="C29" s="3"/>
      <c r="D29" s="3"/>
      <c r="E29" s="3">
        <v>132500</v>
      </c>
      <c r="F29" s="3"/>
      <c r="G29" s="3"/>
      <c r="H29" s="3">
        <v>216750</v>
      </c>
      <c r="I29" s="3"/>
      <c r="J29" t="s">
        <v>73</v>
      </c>
      <c r="K29" s="3">
        <v>0</v>
      </c>
      <c r="L29" s="3"/>
      <c r="M29" s="3"/>
      <c r="N29" s="3"/>
      <c r="O29" s="3"/>
      <c r="P29" s="3"/>
      <c r="Q29" s="3"/>
      <c r="R29" s="3"/>
      <c r="S29" s="3">
        <v>0</v>
      </c>
      <c r="T29" s="3"/>
      <c r="U29" s="3"/>
      <c r="V29" s="3">
        <v>0</v>
      </c>
    </row>
    <row r="30" spans="1:28" x14ac:dyDescent="0.25">
      <c r="A30" t="s">
        <v>74</v>
      </c>
      <c r="B30" s="3">
        <v>216750</v>
      </c>
      <c r="C30" s="3"/>
      <c r="D30" s="3"/>
      <c r="E30" s="3">
        <v>271000</v>
      </c>
      <c r="F30" s="3">
        <v>23000</v>
      </c>
      <c r="G30" s="3">
        <v>98000</v>
      </c>
      <c r="H30" s="3">
        <v>608750</v>
      </c>
      <c r="I30" s="3"/>
      <c r="J30" t="s">
        <v>74</v>
      </c>
      <c r="K30" s="3">
        <v>0</v>
      </c>
      <c r="L30" s="3"/>
      <c r="M30" s="3"/>
      <c r="N30" s="3">
        <v>251500</v>
      </c>
      <c r="O30" s="3"/>
      <c r="P30" s="3">
        <v>100000</v>
      </c>
      <c r="Q30" s="3"/>
      <c r="R30" s="3">
        <v>5000</v>
      </c>
      <c r="S30" s="3">
        <v>0</v>
      </c>
      <c r="T30" s="3">
        <v>0</v>
      </c>
      <c r="U30" s="3">
        <v>0</v>
      </c>
      <c r="V30" s="3">
        <v>356500</v>
      </c>
    </row>
    <row r="31" spans="1:28" x14ac:dyDescent="0.25">
      <c r="A31" t="s">
        <v>83</v>
      </c>
      <c r="B31" s="3">
        <v>203350</v>
      </c>
      <c r="C31" s="3">
        <v>128000</v>
      </c>
      <c r="D31" s="3">
        <v>434650</v>
      </c>
      <c r="E31" s="3">
        <v>99000</v>
      </c>
      <c r="F31" s="3"/>
      <c r="G31" s="3">
        <v>19000</v>
      </c>
      <c r="H31" s="3">
        <v>884000</v>
      </c>
      <c r="I31" s="3"/>
      <c r="J31" t="s">
        <v>83</v>
      </c>
      <c r="K31" s="3">
        <v>0</v>
      </c>
      <c r="L31" s="3">
        <v>0</v>
      </c>
      <c r="M31" s="3">
        <v>0</v>
      </c>
      <c r="N31" s="3">
        <v>221350</v>
      </c>
      <c r="O31" s="3"/>
      <c r="P31" s="3"/>
      <c r="Q31" s="3"/>
      <c r="R31" s="3"/>
      <c r="S31" s="3">
        <v>0</v>
      </c>
      <c r="T31" s="3"/>
      <c r="U31" s="3">
        <v>0</v>
      </c>
      <c r="V31" s="3">
        <v>221350</v>
      </c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  <c r="J32" t="s">
        <v>86</v>
      </c>
      <c r="K32" s="3"/>
      <c r="L32" s="3"/>
      <c r="M32" s="3"/>
      <c r="N32" s="3">
        <v>15000</v>
      </c>
      <c r="O32" s="3"/>
      <c r="P32" s="3"/>
      <c r="Q32" s="3"/>
      <c r="R32" s="3"/>
      <c r="S32" s="3">
        <v>0</v>
      </c>
      <c r="T32" s="3"/>
      <c r="U32" s="3">
        <v>0</v>
      </c>
      <c r="V32" s="3">
        <v>15000</v>
      </c>
    </row>
    <row r="33" spans="1:26" x14ac:dyDescent="0.25">
      <c r="A33" t="s">
        <v>84</v>
      </c>
      <c r="B33" s="3">
        <v>172000</v>
      </c>
      <c r="C33" s="3">
        <v>128000</v>
      </c>
      <c r="D33" s="3">
        <v>510650</v>
      </c>
      <c r="E33" s="3">
        <v>176500</v>
      </c>
      <c r="F33" s="3">
        <v>23500</v>
      </c>
      <c r="G33" s="3">
        <v>114000</v>
      </c>
      <c r="H33" s="3">
        <v>1124650</v>
      </c>
      <c r="I33" s="3"/>
      <c r="J33" t="s">
        <v>84</v>
      </c>
      <c r="K33" s="3">
        <v>0</v>
      </c>
      <c r="L33" s="3">
        <v>0</v>
      </c>
      <c r="M33" s="3">
        <v>0</v>
      </c>
      <c r="N33" s="3"/>
      <c r="O33" s="3">
        <v>60000</v>
      </c>
      <c r="P33" s="3">
        <v>253000</v>
      </c>
      <c r="Q33" s="3">
        <v>500</v>
      </c>
      <c r="R33" s="3"/>
      <c r="S33" s="3">
        <v>0</v>
      </c>
      <c r="T33" s="3">
        <v>0</v>
      </c>
      <c r="U33" s="3">
        <v>4000</v>
      </c>
      <c r="V33" s="3">
        <v>317500</v>
      </c>
      <c r="Z33" s="4">
        <f>+SUM(B33:E33)-SUM(O33)</f>
        <v>927150</v>
      </c>
    </row>
    <row r="34" spans="1:26" x14ac:dyDescent="0.25">
      <c r="A34" t="s">
        <v>87</v>
      </c>
      <c r="B34" s="3"/>
      <c r="C34" s="3"/>
      <c r="D34" s="3">
        <v>344950</v>
      </c>
      <c r="E34" s="3"/>
      <c r="F34" s="3"/>
      <c r="G34" s="3"/>
      <c r="H34" s="3">
        <v>344950</v>
      </c>
      <c r="I34" s="3"/>
      <c r="J34" t="s">
        <v>87</v>
      </c>
      <c r="K34" s="3"/>
      <c r="L34" s="3"/>
      <c r="M34" s="3">
        <v>0</v>
      </c>
      <c r="N34" s="3"/>
      <c r="O34" s="3"/>
      <c r="P34" s="3"/>
      <c r="Q34" s="3"/>
      <c r="R34" s="3">
        <v>80000</v>
      </c>
      <c r="S34" s="3"/>
      <c r="T34" s="3"/>
      <c r="U34" s="3"/>
      <c r="V34" s="3">
        <v>80000</v>
      </c>
    </row>
    <row r="35" spans="1:26" x14ac:dyDescent="0.25">
      <c r="A35" t="s">
        <v>1</v>
      </c>
      <c r="B35" s="3">
        <v>2944750</v>
      </c>
      <c r="C35" s="3">
        <v>277000</v>
      </c>
      <c r="D35" s="3">
        <v>1561900</v>
      </c>
      <c r="E35" s="3">
        <v>3785500</v>
      </c>
      <c r="F35" s="3">
        <v>176500</v>
      </c>
      <c r="G35" s="3">
        <v>1318500</v>
      </c>
      <c r="H35" s="3">
        <v>10064150</v>
      </c>
      <c r="I35" s="3"/>
      <c r="J35" t="s">
        <v>1</v>
      </c>
      <c r="K35" s="3">
        <v>0</v>
      </c>
      <c r="L35" s="3">
        <v>0</v>
      </c>
      <c r="M35" s="3">
        <v>0</v>
      </c>
      <c r="N35" s="3">
        <v>2553650</v>
      </c>
      <c r="O35" s="3">
        <v>60000</v>
      </c>
      <c r="P35" s="3">
        <v>1292050</v>
      </c>
      <c r="Q35" s="3">
        <v>500</v>
      </c>
      <c r="R35" s="3">
        <v>87000</v>
      </c>
      <c r="S35" s="3">
        <v>0</v>
      </c>
      <c r="T35" s="3">
        <v>0</v>
      </c>
      <c r="U35" s="3">
        <v>4000</v>
      </c>
      <c r="V35" s="3">
        <v>3997200</v>
      </c>
    </row>
    <row r="41" spans="1:26" x14ac:dyDescent="0.25">
      <c r="J41" s="1" t="s">
        <v>46</v>
      </c>
      <c r="K41" s="1" t="s">
        <v>20</v>
      </c>
      <c r="L41" s="1" t="s">
        <v>13</v>
      </c>
    </row>
    <row r="42" spans="1:26" x14ac:dyDescent="0.25"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11</v>
      </c>
      <c r="S42" t="s">
        <v>0</v>
      </c>
      <c r="T42" t="s">
        <v>0</v>
      </c>
      <c r="U42" t="s">
        <v>0</v>
      </c>
      <c r="V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8</v>
      </c>
      <c r="S43" t="s">
        <v>7</v>
      </c>
      <c r="T43" t="s">
        <v>28</v>
      </c>
      <c r="U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>
        <v>100</v>
      </c>
      <c r="Q44" s="3"/>
      <c r="R44" s="3"/>
      <c r="S44" s="3">
        <v>0</v>
      </c>
      <c r="T44" s="3"/>
      <c r="U44" s="3">
        <v>0</v>
      </c>
      <c r="V44" s="3">
        <v>60100</v>
      </c>
    </row>
    <row r="45" spans="1:26" x14ac:dyDescent="0.25">
      <c r="J45" t="s">
        <v>3</v>
      </c>
      <c r="K45" s="3">
        <v>0</v>
      </c>
      <c r="L45" s="3"/>
      <c r="M45" s="3"/>
      <c r="N45" s="3">
        <v>103000</v>
      </c>
      <c r="O45" s="3"/>
      <c r="P45" s="3"/>
      <c r="Q45" s="3"/>
      <c r="R45" s="3"/>
      <c r="S45" s="3">
        <v>0</v>
      </c>
      <c r="T45" s="3"/>
      <c r="U45" s="3">
        <v>0</v>
      </c>
      <c r="V45" s="3">
        <v>103000</v>
      </c>
    </row>
    <row r="46" spans="1:26" x14ac:dyDescent="0.25">
      <c r="J46" t="s">
        <v>4</v>
      </c>
      <c r="K46" s="3"/>
      <c r="L46" s="3"/>
      <c r="M46" s="3"/>
      <c r="N46" s="3">
        <v>226700</v>
      </c>
      <c r="O46" s="3"/>
      <c r="P46" s="3"/>
      <c r="Q46" s="3"/>
      <c r="R46" s="3"/>
      <c r="S46" s="3">
        <v>0</v>
      </c>
      <c r="T46" s="3"/>
      <c r="U46" s="3">
        <v>0</v>
      </c>
      <c r="V46" s="3">
        <v>226700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/>
      <c r="Q47" s="3"/>
      <c r="R47" s="3"/>
      <c r="S47" s="3">
        <v>0</v>
      </c>
      <c r="T47" s="3"/>
      <c r="U47" s="3">
        <v>0</v>
      </c>
      <c r="V47" s="3">
        <v>84000</v>
      </c>
    </row>
    <row r="48" spans="1:26" x14ac:dyDescent="0.25">
      <c r="J48" t="s">
        <v>27</v>
      </c>
      <c r="K48" s="3">
        <v>0</v>
      </c>
      <c r="L48" s="3"/>
      <c r="M48" s="3"/>
      <c r="N48" s="3">
        <v>240000</v>
      </c>
      <c r="O48" s="3"/>
      <c r="P48" s="3">
        <v>307900</v>
      </c>
      <c r="Q48" s="3"/>
      <c r="R48" s="3"/>
      <c r="S48" s="3">
        <v>0</v>
      </c>
      <c r="T48" s="3">
        <v>0</v>
      </c>
      <c r="U48" s="3">
        <v>0</v>
      </c>
      <c r="V48" s="3">
        <v>547900</v>
      </c>
    </row>
    <row r="49" spans="10:22" x14ac:dyDescent="0.25">
      <c r="J49" t="s">
        <v>32</v>
      </c>
      <c r="K49" s="3">
        <v>0</v>
      </c>
      <c r="L49" s="3"/>
      <c r="M49" s="3"/>
      <c r="N49" s="3">
        <v>96400</v>
      </c>
      <c r="O49" s="3"/>
      <c r="P49" s="3">
        <v>350000</v>
      </c>
      <c r="Q49" s="3"/>
      <c r="R49" s="3"/>
      <c r="S49" s="3">
        <v>0</v>
      </c>
      <c r="T49" s="3"/>
      <c r="U49" s="3">
        <v>0</v>
      </c>
      <c r="V49" s="3">
        <v>446400</v>
      </c>
    </row>
    <row r="50" spans="10:22" x14ac:dyDescent="0.25">
      <c r="J50" t="s">
        <v>34</v>
      </c>
      <c r="K50" s="3">
        <v>0</v>
      </c>
      <c r="L50" s="3"/>
      <c r="M50" s="3"/>
      <c r="N50" s="3"/>
      <c r="O50" s="3"/>
      <c r="P50" s="3"/>
      <c r="Q50" s="3"/>
      <c r="R50" s="3"/>
      <c r="S50" s="3">
        <v>0</v>
      </c>
      <c r="T50" s="3"/>
      <c r="U50" s="3"/>
      <c r="V50" s="3">
        <v>0</v>
      </c>
    </row>
    <row r="51" spans="10:22" x14ac:dyDescent="0.25">
      <c r="J51" t="s">
        <v>35</v>
      </c>
      <c r="K51" s="3">
        <v>0</v>
      </c>
      <c r="L51" s="3"/>
      <c r="M51" s="3"/>
      <c r="N51" s="3">
        <v>58700</v>
      </c>
      <c r="O51" s="3"/>
      <c r="P51" s="3"/>
      <c r="Q51" s="3"/>
      <c r="R51" s="3"/>
      <c r="S51" s="3">
        <v>0</v>
      </c>
      <c r="T51" s="3">
        <v>0</v>
      </c>
      <c r="U51" s="3">
        <v>0</v>
      </c>
      <c r="V51" s="3">
        <v>58700</v>
      </c>
    </row>
    <row r="52" spans="10:22" x14ac:dyDescent="0.25">
      <c r="J52" t="s">
        <v>39</v>
      </c>
      <c r="K52" s="3">
        <v>0</v>
      </c>
      <c r="L52" s="3"/>
      <c r="M52" s="3"/>
      <c r="N52" s="3">
        <v>285750</v>
      </c>
      <c r="O52" s="3"/>
      <c r="P52" s="3">
        <v>122700</v>
      </c>
      <c r="Q52" s="3"/>
      <c r="R52" s="3"/>
      <c r="S52" s="3">
        <v>0</v>
      </c>
      <c r="T52" s="3"/>
      <c r="U52" s="3">
        <v>0</v>
      </c>
      <c r="V52" s="3">
        <v>408450</v>
      </c>
    </row>
    <row r="53" spans="10:22" x14ac:dyDescent="0.25">
      <c r="J53" t="s">
        <v>40</v>
      </c>
      <c r="K53" s="3">
        <v>0</v>
      </c>
      <c r="L53" s="3"/>
      <c r="M53" s="3"/>
      <c r="N53" s="3">
        <v>84900</v>
      </c>
      <c r="O53" s="3"/>
      <c r="P53" s="3">
        <v>500</v>
      </c>
      <c r="Q53" s="3"/>
      <c r="R53" s="3"/>
      <c r="S53" s="3">
        <v>0</v>
      </c>
      <c r="T53" s="3"/>
      <c r="U53" s="3">
        <v>0</v>
      </c>
      <c r="V53" s="3">
        <v>85400</v>
      </c>
    </row>
    <row r="54" spans="10:22" x14ac:dyDescent="0.25">
      <c r="J54" t="s">
        <v>45</v>
      </c>
      <c r="K54" s="3">
        <v>0</v>
      </c>
      <c r="L54" s="3"/>
      <c r="M54" s="3"/>
      <c r="N54" s="3">
        <v>213300</v>
      </c>
      <c r="O54" s="3"/>
      <c r="P54" s="3">
        <v>1500</v>
      </c>
      <c r="Q54" s="3"/>
      <c r="R54" s="3"/>
      <c r="S54" s="3">
        <v>0</v>
      </c>
      <c r="T54" s="3"/>
      <c r="U54" s="3">
        <v>0</v>
      </c>
      <c r="V54" s="3">
        <v>214800</v>
      </c>
    </row>
    <row r="55" spans="10:22" x14ac:dyDescent="0.25">
      <c r="J55" t="s">
        <v>41</v>
      </c>
      <c r="K55" s="3">
        <v>0</v>
      </c>
      <c r="L55" s="3"/>
      <c r="M55" s="3"/>
      <c r="N55" s="3">
        <v>156850</v>
      </c>
      <c r="O55" s="3"/>
      <c r="P55" s="3"/>
      <c r="Q55" s="3"/>
      <c r="R55" s="3"/>
      <c r="S55" s="3">
        <v>0</v>
      </c>
      <c r="T55" s="3">
        <v>0</v>
      </c>
      <c r="U55" s="3">
        <v>0</v>
      </c>
      <c r="V55" s="3">
        <v>156850</v>
      </c>
    </row>
    <row r="56" spans="10:22" x14ac:dyDescent="0.25">
      <c r="J56" t="s">
        <v>50</v>
      </c>
      <c r="K56" s="3">
        <v>0</v>
      </c>
      <c r="L56" s="3"/>
      <c r="M56" s="3"/>
      <c r="N56" s="3">
        <v>130000</v>
      </c>
      <c r="O56" s="3"/>
      <c r="P56" s="3"/>
      <c r="Q56" s="3"/>
      <c r="R56" s="3"/>
      <c r="S56" s="3">
        <v>0</v>
      </c>
      <c r="T56" s="3"/>
      <c r="U56" s="3">
        <v>0</v>
      </c>
      <c r="V56" s="3">
        <v>130000</v>
      </c>
    </row>
    <row r="57" spans="10:22" x14ac:dyDescent="0.25">
      <c r="J57" t="s">
        <v>51</v>
      </c>
      <c r="K57" s="3">
        <v>0</v>
      </c>
      <c r="L57" s="3"/>
      <c r="M57" s="3"/>
      <c r="N57" s="3"/>
      <c r="O57" s="3"/>
      <c r="P57" s="3"/>
      <c r="Q57" s="3"/>
      <c r="R57" s="3">
        <v>2000</v>
      </c>
      <c r="S57" s="3">
        <v>0</v>
      </c>
      <c r="T57" s="3"/>
      <c r="U57" s="3">
        <v>0</v>
      </c>
      <c r="V57" s="3">
        <v>2000</v>
      </c>
    </row>
    <row r="58" spans="10:22" x14ac:dyDescent="0.25">
      <c r="J58" t="s">
        <v>52</v>
      </c>
      <c r="K58" s="3">
        <v>0</v>
      </c>
      <c r="L58" s="3"/>
      <c r="M58" s="3"/>
      <c r="N58" s="3">
        <v>300100</v>
      </c>
      <c r="O58" s="3"/>
      <c r="P58" s="3">
        <v>101000</v>
      </c>
      <c r="Q58" s="3"/>
      <c r="R58" s="3"/>
      <c r="S58" s="3">
        <v>0</v>
      </c>
      <c r="T58" s="3">
        <v>0</v>
      </c>
      <c r="U58" s="3">
        <v>0</v>
      </c>
      <c r="V58" s="3">
        <v>401100</v>
      </c>
    </row>
    <row r="59" spans="10:22" x14ac:dyDescent="0.25">
      <c r="J59" t="s">
        <v>72</v>
      </c>
      <c r="K59" s="3">
        <v>0</v>
      </c>
      <c r="L59" s="3">
        <v>0</v>
      </c>
      <c r="M59" s="3">
        <v>0</v>
      </c>
      <c r="N59" s="3">
        <v>26100</v>
      </c>
      <c r="O59" s="3"/>
      <c r="P59" s="3">
        <v>55350</v>
      </c>
      <c r="Q59" s="3"/>
      <c r="R59" s="3"/>
      <c r="S59" s="3">
        <v>0</v>
      </c>
      <c r="T59" s="3">
        <v>0</v>
      </c>
      <c r="U59" s="3">
        <v>0</v>
      </c>
      <c r="V59" s="3">
        <v>81450</v>
      </c>
    </row>
    <row r="60" spans="10:22" x14ac:dyDescent="0.25">
      <c r="J60" t="s">
        <v>73</v>
      </c>
      <c r="K60" s="3">
        <v>0</v>
      </c>
      <c r="L60" s="3"/>
      <c r="M60" s="3"/>
      <c r="N60" s="3"/>
      <c r="O60" s="3"/>
      <c r="P60" s="3"/>
      <c r="Q60" s="3"/>
      <c r="R60" s="3"/>
      <c r="S60" s="3">
        <v>0</v>
      </c>
      <c r="T60" s="3"/>
      <c r="U60" s="3"/>
      <c r="V60" s="3">
        <v>0</v>
      </c>
    </row>
    <row r="61" spans="10:22" x14ac:dyDescent="0.25">
      <c r="J61" t="s">
        <v>74</v>
      </c>
      <c r="K61" s="3">
        <v>0</v>
      </c>
      <c r="L61" s="3"/>
      <c r="M61" s="3"/>
      <c r="N61" s="3">
        <v>251500</v>
      </c>
      <c r="O61" s="3"/>
      <c r="P61" s="3">
        <v>100000</v>
      </c>
      <c r="Q61" s="3"/>
      <c r="R61" s="3">
        <v>5000</v>
      </c>
      <c r="S61" s="3">
        <v>0</v>
      </c>
      <c r="T61" s="3">
        <v>0</v>
      </c>
      <c r="U61" s="3">
        <v>0</v>
      </c>
      <c r="V61" s="3">
        <v>356500</v>
      </c>
    </row>
    <row r="62" spans="10:22" x14ac:dyDescent="0.25">
      <c r="J62" t="s">
        <v>83</v>
      </c>
      <c r="K62" s="3">
        <v>0</v>
      </c>
      <c r="L62" s="3">
        <v>0</v>
      </c>
      <c r="M62" s="3">
        <v>0</v>
      </c>
      <c r="N62" s="3">
        <v>221350</v>
      </c>
      <c r="O62" s="3"/>
      <c r="P62" s="3"/>
      <c r="Q62" s="3"/>
      <c r="R62" s="3"/>
      <c r="S62" s="3">
        <v>0</v>
      </c>
      <c r="T62" s="3"/>
      <c r="U62" s="3">
        <v>0</v>
      </c>
      <c r="V62" s="3">
        <v>221350</v>
      </c>
    </row>
    <row r="63" spans="10:22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/>
      <c r="S63" s="3">
        <v>0</v>
      </c>
      <c r="T63" s="3"/>
      <c r="U63" s="3">
        <v>0</v>
      </c>
      <c r="V63" s="3">
        <v>15000</v>
      </c>
    </row>
    <row r="64" spans="10:22" x14ac:dyDescent="0.25">
      <c r="J64" t="s">
        <v>84</v>
      </c>
      <c r="K64" s="3">
        <v>0</v>
      </c>
      <c r="L64" s="3">
        <v>0</v>
      </c>
      <c r="M64" s="3">
        <v>0</v>
      </c>
      <c r="N64" s="3"/>
      <c r="O64" s="3">
        <v>60000</v>
      </c>
      <c r="P64" s="3">
        <v>253000</v>
      </c>
      <c r="Q64" s="3">
        <v>500</v>
      </c>
      <c r="R64" s="3"/>
      <c r="S64" s="3">
        <v>0</v>
      </c>
      <c r="T64" s="3">
        <v>0</v>
      </c>
      <c r="U64" s="3">
        <v>4000</v>
      </c>
      <c r="V64" s="3">
        <v>317500</v>
      </c>
    </row>
    <row r="65" spans="10:22" x14ac:dyDescent="0.25">
      <c r="J65" t="s">
        <v>87</v>
      </c>
      <c r="K65" s="3"/>
      <c r="L65" s="3"/>
      <c r="M65" s="3">
        <v>0</v>
      </c>
      <c r="N65" s="3"/>
      <c r="O65" s="3"/>
      <c r="P65" s="3"/>
      <c r="Q65" s="3"/>
      <c r="R65" s="3">
        <v>80000</v>
      </c>
      <c r="S65" s="3"/>
      <c r="T65" s="3"/>
      <c r="U65" s="3"/>
      <c r="V65" s="3">
        <v>80000</v>
      </c>
    </row>
    <row r="66" spans="10:22" x14ac:dyDescent="0.25">
      <c r="J66" t="s">
        <v>1</v>
      </c>
      <c r="K66" s="3">
        <v>0</v>
      </c>
      <c r="L66" s="3">
        <v>0</v>
      </c>
      <c r="M66" s="3">
        <v>0</v>
      </c>
      <c r="N66" s="3">
        <v>2553650</v>
      </c>
      <c r="O66" s="3">
        <v>60000</v>
      </c>
      <c r="P66" s="3">
        <v>1292050</v>
      </c>
      <c r="Q66" s="3">
        <v>500</v>
      </c>
      <c r="R66" s="3">
        <v>87000</v>
      </c>
      <c r="S66" s="3">
        <v>0</v>
      </c>
      <c r="T66" s="3">
        <v>0</v>
      </c>
      <c r="U66" s="3">
        <v>4000</v>
      </c>
      <c r="V66" s="3">
        <v>3997200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93"/>
  <sheetViews>
    <sheetView topLeftCell="A7" zoomScale="85" zoomScaleNormal="85" workbookViewId="0">
      <selection activeCell="G32" activeCellId="4" sqref="G9:H9 G11:H12 G14:H16 G19:H20 G32:H32 G35:H35 G43:H43 G50:H50 G57:H57 G66:H67 G70:H72 G80:H81 G96:H96 G98:H98 G103:H103 G108:H108 G112:H112 G114:H114 G119:H120 G126:H126 G135:H136 G146:H146 G153:H154 G162:H162 G167:H167 G171:H171 G174:H174 G179:H180 G194:H194 G197:H198 G200:H200 G203:H205 G214:H214 G217:H217 G236:H236 G238:H238 G241:H241 G243:H245 G254:H254 G259:H261 G265:H266 G270:H270 G284:H285 G308:H309 G316:H317 G320:H322"/>
      <pivotSelection pane="bottomRight" showHeader="1" extendable="1" axis="axisRow" dimension="6" start="23" min="23" max="24" activeRow="31" activeCol="6" previousRow="31" previousCol="6" click="1" r:id="rId2">
        <pivotArea dataOnly="0" outline="0" fieldPosition="0">
          <references count="1">
            <reference field="5" count="1">
              <x v="0"/>
            </reference>
          </references>
        </pivotArea>
      </pivotSelection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K8" s="1" t="s">
        <v>30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55</v>
      </c>
      <c r="E15">
        <v>3000</v>
      </c>
      <c r="F15" t="s">
        <v>7</v>
      </c>
      <c r="G15">
        <v>2</v>
      </c>
      <c r="H15" s="3">
        <v>1</v>
      </c>
      <c r="I15" s="9">
        <f t="shared" si="0"/>
        <v>6000</v>
      </c>
      <c r="K15" t="s">
        <v>32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>
        <v>22000</v>
      </c>
      <c r="M24" s="3">
        <v>338500</v>
      </c>
      <c r="N24" s="3">
        <v>113000</v>
      </c>
      <c r="O24" s="3">
        <v>473500</v>
      </c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>
        <v>82000</v>
      </c>
      <c r="M25" s="3">
        <v>67000</v>
      </c>
      <c r="N25" s="3">
        <v>94000</v>
      </c>
      <c r="O25" s="3">
        <v>243000</v>
      </c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>
        <v>132500</v>
      </c>
      <c r="N26" s="3"/>
      <c r="O26" s="3">
        <v>132500</v>
      </c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>
        <v>23000</v>
      </c>
      <c r="M27" s="3">
        <v>271000</v>
      </c>
      <c r="N27" s="3">
        <v>98000</v>
      </c>
      <c r="O27" s="3">
        <v>392000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>
        <v>99000</v>
      </c>
      <c r="N28" s="3">
        <v>19000</v>
      </c>
      <c r="O28" s="3">
        <v>118000</v>
      </c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>
        <v>103000</v>
      </c>
      <c r="N29" s="3">
        <v>21000</v>
      </c>
      <c r="O29" s="3">
        <v>124000</v>
      </c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>
        <v>23500</v>
      </c>
      <c r="M30" s="3">
        <v>176500</v>
      </c>
      <c r="N30" s="3">
        <v>114000</v>
      </c>
      <c r="O30" s="3">
        <v>314000</v>
      </c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1</v>
      </c>
      <c r="L31" s="3">
        <v>175500</v>
      </c>
      <c r="M31" s="3">
        <v>3789500</v>
      </c>
      <c r="N31" s="3">
        <v>1318500</v>
      </c>
      <c r="O31" s="3">
        <v>5283500</v>
      </c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3000</v>
      </c>
      <c r="F40" t="s">
        <v>7</v>
      </c>
      <c r="G40">
        <v>1</v>
      </c>
      <c r="H40" s="3">
        <v>1</v>
      </c>
      <c r="I40" s="9">
        <f t="shared" si="0"/>
        <v>3000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3000</v>
      </c>
      <c r="F102" t="s">
        <v>28</v>
      </c>
      <c r="G102">
        <v>1</v>
      </c>
      <c r="H102" s="3">
        <v>1</v>
      </c>
      <c r="I102" s="9">
        <f t="shared" si="1"/>
        <v>3000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3000</v>
      </c>
      <c r="F110" t="s">
        <v>8</v>
      </c>
      <c r="G110">
        <v>1</v>
      </c>
      <c r="H110" s="3">
        <v>1</v>
      </c>
      <c r="I110" s="9">
        <f t="shared" si="1"/>
        <v>3000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3000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3000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83</v>
      </c>
      <c r="B345" s="10">
        <v>46096</v>
      </c>
      <c r="C345">
        <v>226</v>
      </c>
      <c r="D345" t="s">
        <v>53</v>
      </c>
      <c r="E345">
        <v>8000</v>
      </c>
      <c r="F345" t="s">
        <v>7</v>
      </c>
      <c r="G345">
        <v>2</v>
      </c>
      <c r="H345" s="3">
        <v>1</v>
      </c>
    </row>
    <row r="346" spans="1:8" x14ac:dyDescent="0.25">
      <c r="A346" t="s">
        <v>83</v>
      </c>
      <c r="C346">
        <v>227</v>
      </c>
      <c r="D346" t="s">
        <v>53</v>
      </c>
      <c r="E346">
        <v>8000</v>
      </c>
      <c r="F346" t="s">
        <v>7</v>
      </c>
      <c r="G346">
        <v>1</v>
      </c>
      <c r="H346" s="3">
        <v>1</v>
      </c>
    </row>
    <row r="347" spans="1:8" x14ac:dyDescent="0.25">
      <c r="A347" t="s">
        <v>83</v>
      </c>
      <c r="D347" t="s">
        <v>54</v>
      </c>
      <c r="E347">
        <v>3000</v>
      </c>
      <c r="F347" t="s">
        <v>7</v>
      </c>
      <c r="G347">
        <v>1</v>
      </c>
      <c r="H347" s="3">
        <v>1</v>
      </c>
    </row>
    <row r="348" spans="1:8" x14ac:dyDescent="0.25">
      <c r="A348" t="s">
        <v>83</v>
      </c>
      <c r="C348">
        <v>228</v>
      </c>
      <c r="D348" t="s">
        <v>82</v>
      </c>
      <c r="E348">
        <v>4500</v>
      </c>
      <c r="F348" t="s">
        <v>7</v>
      </c>
      <c r="G348">
        <v>2</v>
      </c>
      <c r="H348" s="3">
        <v>1</v>
      </c>
    </row>
    <row r="349" spans="1:8" x14ac:dyDescent="0.25">
      <c r="A349" t="s">
        <v>83</v>
      </c>
      <c r="C349">
        <v>229</v>
      </c>
      <c r="D349" t="s">
        <v>53</v>
      </c>
      <c r="E349">
        <v>8000</v>
      </c>
      <c r="F349" t="s">
        <v>7</v>
      </c>
      <c r="G349">
        <v>1</v>
      </c>
      <c r="H349" s="3">
        <v>1</v>
      </c>
    </row>
    <row r="350" spans="1:8" x14ac:dyDescent="0.25">
      <c r="A350" t="s">
        <v>83</v>
      </c>
      <c r="D350" t="s">
        <v>54</v>
      </c>
      <c r="E350">
        <v>3000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C351">
        <v>230</v>
      </c>
      <c r="D351" t="s">
        <v>53</v>
      </c>
      <c r="E351">
        <v>8000</v>
      </c>
      <c r="F351" t="s">
        <v>8</v>
      </c>
      <c r="G351">
        <v>2</v>
      </c>
      <c r="H351" s="3">
        <v>1</v>
      </c>
    </row>
    <row r="352" spans="1:8" x14ac:dyDescent="0.25">
      <c r="A352" t="s">
        <v>83</v>
      </c>
      <c r="D352" t="s">
        <v>54</v>
      </c>
      <c r="E352">
        <v>3000</v>
      </c>
      <c r="F352" t="s">
        <v>8</v>
      </c>
      <c r="G352">
        <v>1</v>
      </c>
      <c r="H352" s="3">
        <v>1</v>
      </c>
    </row>
    <row r="353" spans="1:8" x14ac:dyDescent="0.25">
      <c r="A353" t="s">
        <v>83</v>
      </c>
      <c r="C353">
        <v>231</v>
      </c>
      <c r="D353" t="s">
        <v>53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232</v>
      </c>
      <c r="D355" t="s">
        <v>54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83</v>
      </c>
      <c r="D356" t="s">
        <v>85</v>
      </c>
      <c r="E356">
        <v>30000</v>
      </c>
      <c r="F356" t="s">
        <v>7</v>
      </c>
      <c r="G356">
        <v>1</v>
      </c>
      <c r="H356" s="3">
        <v>1</v>
      </c>
    </row>
    <row r="357" spans="1:8" x14ac:dyDescent="0.25">
      <c r="A357" t="s">
        <v>86</v>
      </c>
      <c r="B357" s="10">
        <v>46097</v>
      </c>
      <c r="C357">
        <v>249</v>
      </c>
      <c r="D357" t="s">
        <v>53</v>
      </c>
      <c r="E357">
        <v>8000</v>
      </c>
      <c r="F357" t="s">
        <v>7</v>
      </c>
      <c r="G357">
        <v>3</v>
      </c>
      <c r="H357" s="3">
        <v>1</v>
      </c>
    </row>
    <row r="358" spans="1:8" x14ac:dyDescent="0.25">
      <c r="A358" t="s">
        <v>86</v>
      </c>
      <c r="C358">
        <v>250</v>
      </c>
      <c r="D358" t="s">
        <v>53</v>
      </c>
      <c r="E358">
        <v>8000</v>
      </c>
      <c r="F358" t="s">
        <v>7</v>
      </c>
      <c r="G358">
        <v>1</v>
      </c>
      <c r="H358" s="3">
        <v>1</v>
      </c>
    </row>
    <row r="359" spans="1:8" x14ac:dyDescent="0.25">
      <c r="A359" t="s">
        <v>86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86</v>
      </c>
      <c r="C360">
        <v>251</v>
      </c>
      <c r="D360" t="s">
        <v>53</v>
      </c>
      <c r="E360">
        <v>8000</v>
      </c>
      <c r="F360" t="s">
        <v>8</v>
      </c>
      <c r="G360">
        <v>1</v>
      </c>
      <c r="H360" s="3">
        <v>1</v>
      </c>
    </row>
    <row r="361" spans="1:8" x14ac:dyDescent="0.25">
      <c r="A361" t="s">
        <v>86</v>
      </c>
      <c r="D361" t="s">
        <v>54</v>
      </c>
      <c r="E361">
        <v>3000</v>
      </c>
      <c r="F361" t="s">
        <v>8</v>
      </c>
      <c r="G361">
        <v>1</v>
      </c>
      <c r="H361" s="3">
        <v>1</v>
      </c>
    </row>
    <row r="362" spans="1:8" x14ac:dyDescent="0.25">
      <c r="A362" t="s">
        <v>86</v>
      </c>
      <c r="C362">
        <v>252</v>
      </c>
      <c r="D362" t="s">
        <v>53</v>
      </c>
      <c r="E362">
        <v>8000</v>
      </c>
      <c r="F362" t="s">
        <v>7</v>
      </c>
      <c r="G362">
        <v>1</v>
      </c>
      <c r="H362" s="3">
        <v>1</v>
      </c>
    </row>
    <row r="363" spans="1:8" x14ac:dyDescent="0.25">
      <c r="A363" t="s">
        <v>86</v>
      </c>
      <c r="D363" t="s">
        <v>54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86</v>
      </c>
      <c r="C364">
        <v>253</v>
      </c>
      <c r="D364" t="s">
        <v>53</v>
      </c>
      <c r="E364">
        <v>8000</v>
      </c>
      <c r="F364" t="s">
        <v>7</v>
      </c>
      <c r="G364">
        <v>6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3</v>
      </c>
      <c r="H365" s="3">
        <v>1</v>
      </c>
    </row>
    <row r="366" spans="1:8" x14ac:dyDescent="0.25">
      <c r="A366" t="s">
        <v>86</v>
      </c>
      <c r="C366">
        <v>254</v>
      </c>
      <c r="D366" t="s">
        <v>78</v>
      </c>
      <c r="E366">
        <v>7000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84</v>
      </c>
      <c r="B368" s="10">
        <v>46098</v>
      </c>
      <c r="C368">
        <v>0</v>
      </c>
      <c r="D368" t="s">
        <v>53</v>
      </c>
      <c r="E368">
        <v>8000</v>
      </c>
      <c r="F368" t="s">
        <v>8</v>
      </c>
      <c r="G368">
        <v>1</v>
      </c>
      <c r="H368" s="3">
        <v>1</v>
      </c>
    </row>
    <row r="369" spans="1:8" x14ac:dyDescent="0.25">
      <c r="A369" t="s">
        <v>84</v>
      </c>
      <c r="C369">
        <v>233</v>
      </c>
      <c r="D369" t="s">
        <v>53</v>
      </c>
      <c r="E369">
        <v>8000</v>
      </c>
      <c r="F369" t="s">
        <v>7</v>
      </c>
      <c r="G369">
        <v>3</v>
      </c>
      <c r="H369" s="3">
        <v>1</v>
      </c>
    </row>
    <row r="370" spans="1:8" x14ac:dyDescent="0.25">
      <c r="A370" t="s">
        <v>84</v>
      </c>
      <c r="D370" t="s">
        <v>56</v>
      </c>
      <c r="E370">
        <v>3000</v>
      </c>
      <c r="F370" t="s">
        <v>7</v>
      </c>
      <c r="G370">
        <v>1</v>
      </c>
      <c r="H370" s="3">
        <v>1</v>
      </c>
    </row>
    <row r="371" spans="1:8" x14ac:dyDescent="0.25">
      <c r="A371" t="s">
        <v>84</v>
      </c>
      <c r="D371" t="s">
        <v>75</v>
      </c>
      <c r="E371">
        <v>4500</v>
      </c>
      <c r="F371" t="s">
        <v>7</v>
      </c>
      <c r="G371">
        <v>3</v>
      </c>
      <c r="H371" s="3">
        <v>1</v>
      </c>
    </row>
    <row r="372" spans="1:8" x14ac:dyDescent="0.25">
      <c r="A372" t="s">
        <v>84</v>
      </c>
      <c r="C372">
        <v>234</v>
      </c>
      <c r="D372" t="s">
        <v>53</v>
      </c>
      <c r="E372">
        <v>8000</v>
      </c>
      <c r="F372" t="s">
        <v>7</v>
      </c>
      <c r="G372">
        <v>2</v>
      </c>
      <c r="H372" s="3">
        <v>1</v>
      </c>
    </row>
    <row r="373" spans="1:8" x14ac:dyDescent="0.25">
      <c r="A373" t="s">
        <v>84</v>
      </c>
      <c r="C373">
        <v>235</v>
      </c>
      <c r="D373" t="s">
        <v>53</v>
      </c>
      <c r="E373">
        <v>8000</v>
      </c>
      <c r="F373" t="s">
        <v>28</v>
      </c>
      <c r="G373">
        <v>1</v>
      </c>
      <c r="H373" s="3">
        <v>1</v>
      </c>
    </row>
    <row r="374" spans="1:8" x14ac:dyDescent="0.25">
      <c r="A374" t="s">
        <v>84</v>
      </c>
      <c r="D374" t="s">
        <v>54</v>
      </c>
      <c r="E374">
        <v>3000</v>
      </c>
      <c r="F374" t="s">
        <v>28</v>
      </c>
      <c r="G374">
        <v>1</v>
      </c>
      <c r="H374" s="3">
        <v>1</v>
      </c>
    </row>
    <row r="375" spans="1:8" x14ac:dyDescent="0.25">
      <c r="A375" t="s">
        <v>84</v>
      </c>
      <c r="D375" t="s">
        <v>60</v>
      </c>
      <c r="E375">
        <v>4500</v>
      </c>
      <c r="F375" t="s">
        <v>28</v>
      </c>
      <c r="G375">
        <v>1</v>
      </c>
      <c r="H375" s="3">
        <v>1</v>
      </c>
    </row>
    <row r="376" spans="1:8" x14ac:dyDescent="0.25">
      <c r="A376" t="s">
        <v>84</v>
      </c>
      <c r="C376">
        <v>236</v>
      </c>
      <c r="D376" t="s">
        <v>75</v>
      </c>
      <c r="E376">
        <v>4500</v>
      </c>
      <c r="F376" t="s">
        <v>7</v>
      </c>
      <c r="G376">
        <v>2</v>
      </c>
      <c r="H376" s="3">
        <v>1</v>
      </c>
    </row>
    <row r="377" spans="1:8" x14ac:dyDescent="0.25">
      <c r="A377" t="s">
        <v>84</v>
      </c>
      <c r="C377">
        <v>237</v>
      </c>
      <c r="D377" t="s">
        <v>53</v>
      </c>
      <c r="E377">
        <v>8000</v>
      </c>
      <c r="F377" t="s">
        <v>7</v>
      </c>
      <c r="G377">
        <v>2</v>
      </c>
      <c r="H377" s="3">
        <v>1</v>
      </c>
    </row>
    <row r="378" spans="1:8" x14ac:dyDescent="0.25">
      <c r="A378" t="s">
        <v>84</v>
      </c>
      <c r="C378">
        <v>238</v>
      </c>
      <c r="D378" t="s">
        <v>53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84</v>
      </c>
      <c r="D379" t="s">
        <v>54</v>
      </c>
      <c r="E379">
        <v>3000</v>
      </c>
      <c r="F379" t="s">
        <v>8</v>
      </c>
      <c r="G379">
        <v>1</v>
      </c>
      <c r="H379" s="3">
        <v>1</v>
      </c>
    </row>
    <row r="380" spans="1:8" x14ac:dyDescent="0.25">
      <c r="A380" t="s">
        <v>84</v>
      </c>
      <c r="C380">
        <v>239</v>
      </c>
      <c r="D380" t="s">
        <v>53</v>
      </c>
      <c r="E380">
        <v>8000</v>
      </c>
      <c r="F380" t="s">
        <v>7</v>
      </c>
      <c r="G380">
        <v>2</v>
      </c>
      <c r="H380" s="3">
        <v>1</v>
      </c>
    </row>
    <row r="381" spans="1:8" x14ac:dyDescent="0.25">
      <c r="A381" t="s">
        <v>84</v>
      </c>
      <c r="D381" t="s">
        <v>56</v>
      </c>
      <c r="E381">
        <v>3000</v>
      </c>
      <c r="F381" t="s">
        <v>7</v>
      </c>
      <c r="G381">
        <v>2</v>
      </c>
      <c r="H381" s="3">
        <v>1</v>
      </c>
    </row>
    <row r="382" spans="1:8" x14ac:dyDescent="0.25">
      <c r="A382" t="s">
        <v>84</v>
      </c>
      <c r="C382">
        <v>240</v>
      </c>
      <c r="D382" t="s">
        <v>75</v>
      </c>
      <c r="E382">
        <v>4500</v>
      </c>
      <c r="F382" t="s">
        <v>8</v>
      </c>
      <c r="G382">
        <v>12</v>
      </c>
      <c r="H382" s="3">
        <v>1</v>
      </c>
    </row>
    <row r="383" spans="1:8" x14ac:dyDescent="0.25">
      <c r="A383" t="s">
        <v>84</v>
      </c>
      <c r="C383">
        <v>241</v>
      </c>
      <c r="D383" t="s">
        <v>53</v>
      </c>
      <c r="E383">
        <v>8000</v>
      </c>
      <c r="F383" t="s">
        <v>7</v>
      </c>
      <c r="G383">
        <v>1</v>
      </c>
      <c r="H383" s="3">
        <v>1</v>
      </c>
    </row>
    <row r="384" spans="1:8" x14ac:dyDescent="0.25">
      <c r="A384" t="s">
        <v>84</v>
      </c>
      <c r="C384">
        <v>242</v>
      </c>
      <c r="D384" t="s">
        <v>53</v>
      </c>
      <c r="E384">
        <v>8000</v>
      </c>
      <c r="F384" t="s">
        <v>7</v>
      </c>
      <c r="G384">
        <v>1</v>
      </c>
      <c r="H384" s="3">
        <v>1</v>
      </c>
    </row>
    <row r="385" spans="1:8" x14ac:dyDescent="0.25">
      <c r="A385" t="s">
        <v>84</v>
      </c>
      <c r="C385">
        <v>243</v>
      </c>
      <c r="D385" t="s">
        <v>53</v>
      </c>
      <c r="E385">
        <v>8000</v>
      </c>
      <c r="F385" t="s">
        <v>28</v>
      </c>
      <c r="G385">
        <v>1</v>
      </c>
      <c r="H385" s="3">
        <v>1</v>
      </c>
    </row>
    <row r="386" spans="1:8" x14ac:dyDescent="0.25">
      <c r="A386" t="s">
        <v>84</v>
      </c>
      <c r="C386">
        <v>244</v>
      </c>
      <c r="D386" t="s">
        <v>78</v>
      </c>
      <c r="E386">
        <v>7000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C387">
        <v>245</v>
      </c>
      <c r="D387" t="s">
        <v>53</v>
      </c>
      <c r="E387">
        <v>8000</v>
      </c>
      <c r="F387" t="s">
        <v>7</v>
      </c>
      <c r="G387">
        <v>1</v>
      </c>
      <c r="H387" s="3">
        <v>1</v>
      </c>
    </row>
    <row r="388" spans="1:8" x14ac:dyDescent="0.25">
      <c r="A388" t="s">
        <v>84</v>
      </c>
      <c r="D388" t="s">
        <v>54</v>
      </c>
      <c r="E388">
        <v>3000</v>
      </c>
      <c r="F388" t="s">
        <v>7</v>
      </c>
      <c r="G388">
        <v>1</v>
      </c>
      <c r="H388" s="3">
        <v>1</v>
      </c>
    </row>
    <row r="389" spans="1:8" x14ac:dyDescent="0.25">
      <c r="A389" t="s">
        <v>84</v>
      </c>
      <c r="C389">
        <v>246</v>
      </c>
      <c r="D389" t="s">
        <v>53</v>
      </c>
      <c r="E389">
        <v>8000</v>
      </c>
      <c r="F389" t="s">
        <v>7</v>
      </c>
      <c r="G389">
        <v>2</v>
      </c>
      <c r="H389" s="3">
        <v>1</v>
      </c>
    </row>
    <row r="390" spans="1:8" x14ac:dyDescent="0.25">
      <c r="A390" t="s">
        <v>84</v>
      </c>
      <c r="C390">
        <v>247</v>
      </c>
      <c r="D390" t="s">
        <v>75</v>
      </c>
      <c r="E390">
        <v>4500</v>
      </c>
      <c r="F390" t="s">
        <v>8</v>
      </c>
      <c r="G390">
        <v>2</v>
      </c>
      <c r="H390" s="3">
        <v>1</v>
      </c>
    </row>
    <row r="391" spans="1:8" x14ac:dyDescent="0.25">
      <c r="A391" t="s">
        <v>84</v>
      </c>
      <c r="C391">
        <v>248</v>
      </c>
      <c r="D391" t="s">
        <v>53</v>
      </c>
      <c r="E391">
        <v>8000</v>
      </c>
      <c r="F391" t="s">
        <v>7</v>
      </c>
      <c r="G391">
        <v>2</v>
      </c>
      <c r="H391" s="3">
        <v>1</v>
      </c>
    </row>
    <row r="392" spans="1:8" x14ac:dyDescent="0.25">
      <c r="A392" t="s">
        <v>84</v>
      </c>
      <c r="C392">
        <v>255</v>
      </c>
      <c r="D392" t="s">
        <v>53</v>
      </c>
      <c r="E392">
        <v>8000</v>
      </c>
      <c r="F392" t="s">
        <v>8</v>
      </c>
      <c r="G392">
        <v>4</v>
      </c>
      <c r="H392" s="3">
        <v>1</v>
      </c>
    </row>
    <row r="393" spans="1:8" x14ac:dyDescent="0.25">
      <c r="A393" t="s">
        <v>1</v>
      </c>
      <c r="G393"/>
      <c r="H393" s="3">
        <v>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"/>
  <sheetViews>
    <sheetView tabSelected="1" topLeftCell="A13" zoomScale="85" zoomScaleNormal="85" workbookViewId="0">
      <selection activeCell="E1" sqref="E1:E1048576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3" width="13.85546875" bestFit="1" customWidth="1"/>
    <col min="4" max="4" width="12.1406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0" width="13.85546875" bestFit="1" customWidth="1"/>
    <col min="11" max="11" width="8.5703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19000</v>
      </c>
      <c r="E22" s="3">
        <v>118000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23500</v>
      </c>
      <c r="D24" s="3">
        <v>114000</v>
      </c>
      <c r="E24" s="3">
        <v>314000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4000</v>
      </c>
      <c r="L24" s="3">
        <v>4000</v>
      </c>
    </row>
    <row r="25" spans="1:12" x14ac:dyDescent="0.25">
      <c r="A25" t="s">
        <v>1</v>
      </c>
      <c r="B25" s="3">
        <v>3785500</v>
      </c>
      <c r="C25" s="3">
        <v>176500</v>
      </c>
      <c r="D25" s="3">
        <v>1318500</v>
      </c>
      <c r="E25" s="3">
        <v>5280500</v>
      </c>
      <c r="H25" t="s">
        <v>1</v>
      </c>
      <c r="I25" s="3">
        <v>0</v>
      </c>
      <c r="J25" s="3">
        <v>0</v>
      </c>
      <c r="K25" s="3">
        <v>4000</v>
      </c>
      <c r="L25" s="3">
        <v>4000</v>
      </c>
    </row>
  </sheetData>
  <autoFilter ref="F3:F2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/>
    <hyperlink ref="B2" r:id="rId2"/>
    <hyperlink ref="B3" r:id="rId3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0923900A-484E-4754-B4CA-7CD7455B29F8}">
  <ds:schemaRefs/>
</ds:datastoreItem>
</file>

<file path=customXml/itemProps2.xml><?xml version="1.0" encoding="utf-8"?>
<ds:datastoreItem xmlns:ds="http://schemas.openxmlformats.org/officeDocument/2006/customXml" ds:itemID="{45FC6974-0190-4FD5-8A3E-E2BFFBF9BA06}">
  <ds:schemaRefs/>
</ds:datastoreItem>
</file>

<file path=customXml/itemProps3.xml><?xml version="1.0" encoding="utf-8"?>
<ds:datastoreItem xmlns:ds="http://schemas.openxmlformats.org/officeDocument/2006/customXml" ds:itemID="{63D48641-18DD-40CE-9EE1-4A67630B95CD}">
  <ds:schemaRefs/>
</ds:datastoreItem>
</file>

<file path=customXml/itemProps4.xml><?xml version="1.0" encoding="utf-8"?>
<ds:datastoreItem xmlns:ds="http://schemas.openxmlformats.org/officeDocument/2006/customXml" ds:itemID="{B63E7085-228C-46D5-BA95-D5BD8D46D3BC}">
  <ds:schemaRefs/>
</ds:datastoreItem>
</file>

<file path=customXml/itemProps5.xml><?xml version="1.0" encoding="utf-8"?>
<ds:datastoreItem xmlns:ds="http://schemas.openxmlformats.org/officeDocument/2006/customXml" ds:itemID="{3EC34395-E632-4875-8B6F-C2A8A996A5BE}">
  <ds:schemaRefs/>
</ds:datastoreItem>
</file>

<file path=customXml/itemProps6.xml><?xml version="1.0" encoding="utf-8"?>
<ds:datastoreItem xmlns:ds="http://schemas.openxmlformats.org/officeDocument/2006/customXml" ds:itemID="{A91E5C76-40E7-4996-8584-0118F04FBEF4}">
  <ds:schemaRefs/>
</ds:datastoreItem>
</file>

<file path=customXml/itemProps7.xml><?xml version="1.0" encoding="utf-8"?>
<ds:datastoreItem xmlns:ds="http://schemas.openxmlformats.org/officeDocument/2006/customXml" ds:itemID="{F948004D-76CA-46D7-9E0F-4E5D474F9C46}">
  <ds:schemaRefs/>
</ds:datastoreItem>
</file>

<file path=customXml/itemProps8.xml><?xml version="1.0" encoding="utf-8"?>
<ds:datastoreItem xmlns:ds="http://schemas.openxmlformats.org/officeDocument/2006/customXml" ds:itemID="{537CA801-B62F-4F55-B4C0-348E472E09E8}">
  <ds:schemaRefs/>
</ds:datastoreItem>
</file>

<file path=customXml/itemProps9.xml><?xml version="1.0" encoding="utf-8"?>
<ds:datastoreItem xmlns:ds="http://schemas.openxmlformats.org/officeDocument/2006/customXml" ds:itemID="{A8C41FBF-174E-45B2-B0BA-73A832AA7326}">
  <ds:schemaRefs/>
</ds:datastoreItem>
</file>

<file path=customXml/itemProps10.xml><?xml version="1.0" encoding="utf-8"?>
<ds:datastoreItem xmlns:ds="http://schemas.openxmlformats.org/officeDocument/2006/customXml" ds:itemID="{D7FE6DC1-B767-470D-8489-3CAA60CF0C5D}">
  <ds:schemaRefs/>
</ds:datastoreItem>
</file>

<file path=customXml/itemProps11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BACC00BD-3502-47AC-941E-7A1E8D4D2542}">
  <ds:schemaRefs/>
</ds:datastoreItem>
</file>

<file path=customXml/itemProps13.xml><?xml version="1.0" encoding="utf-8"?>
<ds:datastoreItem xmlns:ds="http://schemas.openxmlformats.org/officeDocument/2006/customXml" ds:itemID="{098E4327-974B-4B0D-91F5-162E9D75323A}">
  <ds:schemaRefs/>
</ds:datastoreItem>
</file>

<file path=customXml/itemProps14.xml><?xml version="1.0" encoding="utf-8"?>
<ds:datastoreItem xmlns:ds="http://schemas.openxmlformats.org/officeDocument/2006/customXml" ds:itemID="{39D61B41-5A67-43EE-9419-C185D49D9134}">
  <ds:schemaRefs/>
</ds:datastoreItem>
</file>

<file path=customXml/itemProps15.xml><?xml version="1.0" encoding="utf-8"?>
<ds:datastoreItem xmlns:ds="http://schemas.openxmlformats.org/officeDocument/2006/customXml" ds:itemID="{FC409827-E32F-4F48-9FF4-3818E929E424}">
  <ds:schemaRefs/>
</ds:datastoreItem>
</file>

<file path=customXml/itemProps16.xml><?xml version="1.0" encoding="utf-8"?>
<ds:datastoreItem xmlns:ds="http://schemas.openxmlformats.org/officeDocument/2006/customXml" ds:itemID="{FB1D0CD9-7ED3-48D8-A3AB-0AA528A1780A}">
  <ds:schemaRefs/>
</ds:datastoreItem>
</file>

<file path=customXml/itemProps17.xml><?xml version="1.0" encoding="utf-8"?>
<ds:datastoreItem xmlns:ds="http://schemas.openxmlformats.org/officeDocument/2006/customXml" ds:itemID="{AFCE4F4F-8B07-4A23-9CE3-B3362828CA16}">
  <ds:schemaRefs/>
</ds:datastoreItem>
</file>

<file path=customXml/itemProps18.xml><?xml version="1.0" encoding="utf-8"?>
<ds:datastoreItem xmlns:ds="http://schemas.openxmlformats.org/officeDocument/2006/customXml" ds:itemID="{BB25C675-0142-46C0-B119-B964A69C36F7}">
  <ds:schemaRefs/>
</ds:datastoreItem>
</file>

<file path=customXml/itemProps19.xml><?xml version="1.0" encoding="utf-8"?>
<ds:datastoreItem xmlns:ds="http://schemas.openxmlformats.org/officeDocument/2006/customXml" ds:itemID="{29466B21-50A0-4711-8C3B-BA3D21363A5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2026-03-19T00:47:42Z</dcterms:modified>
</cp:coreProperties>
</file>