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0D9D338F-6669-4DE6-9085-EEFAF9651DB0}" xr6:coauthVersionLast="47" xr6:coauthVersionMax="47" xr10:uidLastSave="{00000000-0000-0000-0000-000000000000}"/>
  <bookViews>
    <workbookView xWindow="20370" yWindow="-2070" windowWidth="21840" windowHeight="13140" tabRatio="810" activeTab="4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urls" sheetId="24" state="hidden" r:id="rId6"/>
  </sheets>
  <definedNames>
    <definedName name="_xlnm._FilterDatabase" localSheetId="4" hidden="1">Informe_ventas!$F$3:$F$25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" i="14" l="1"/>
  <c r="F13" i="28"/>
  <c r="F14" i="28"/>
  <c r="F15" i="28"/>
  <c r="F16" i="28"/>
  <c r="F17" i="28"/>
  <c r="F18" i="28"/>
  <c r="F19" i="28"/>
  <c r="F20" i="28"/>
  <c r="F21" i="28"/>
  <c r="F22" i="28"/>
  <c r="F23" i="28"/>
  <c r="F24" i="28"/>
  <c r="Z33" i="14" l="1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F10" i="27" l="1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<sst xmlns="http://schemas.openxmlformats.org/spreadsheetml/2006/main" count="2482" uniqueCount="91">
  <si>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</si>
  <si>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</si>
  <si>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</si>
  <si>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</si>
  <si>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</si>
  <si>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</si>
  <si>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</si>
  <si>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</si>
  <si>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</si>
  <si>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</si>
  <si>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</si>
  <si>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</si>
  <si>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</si>
  <si>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</si>
  <si>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</si>
  <si>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</si>
  <si>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</si>
  <si>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</si>
  <si>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</si>
  <si>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</si>
  <si>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</si>
  <si>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</si>
  <si>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</si>
  <si>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</si>
  <si>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</si>
  <si>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</si>
  <si>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</si>
  <si>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</si>
  <si>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</si>
  <si>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</si>
  <si>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</si>
  <si>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</si>
  <si>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</si>
  <si>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</si>
  <si>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</si>
  <si>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</si>
  <si>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</si>
  <si>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</si>
  <si>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</si>
  <si>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</si>
  <si>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</si>
  <si>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</si>
  <si>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</si>
  <si>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</si>
  <si>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</si>
  <si>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</si>
  <si>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</si>
  <si>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</si>
  <si>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</si>
  <si>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</si>
  <si>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</si>
  <si>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</si>
  <si>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</si>
  <si>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</si>
  <si>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</si>
  <si>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</si>
  <si>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</si>
  <si>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</si>
  <si>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</si>
  <si>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</si>
  <si>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</si>
  <si>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</si>
  <si>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</si>
  <si>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</si>
  <si>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</si>
  <si>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</si>
  <si>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</si>
  <si>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</si>
  <si>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</si>
  <si>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</si>
  <si>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</si>
  <si>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</si>
  <si>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</si>
  <si>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</si>
  <si>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</si>
  <si>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</si>
  <si>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</si>
  <si>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</si>
  <si>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</si>
  <si>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</si>
  <si>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</si>
  <si>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</si>
  <si>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</si>
  <si>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</si>
  <si>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</si>
  <si>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</si>
  <si>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</si>
  <si>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</si>
  <si>
    <t>19-mar</t>
  </si>
  <si>
    <t>chorizo precio fijo</t>
  </si>
  <si>
    <t>BEBIDA - Coca Cola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</si>
</sst>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8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tyles" Target="style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4.xml"/><Relationship Id="rId19" Type="http://schemas.openxmlformats.org/officeDocument/2006/relationships/sheetMetadata" Target="metadata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374189815" backgroundQuery="1" createdVersion="8" refreshedVersion="8" minRefreshableVersion="3" recordCount="0" supportSubquery="1" supportAdvancedDrill="1" xr:uid="{00000000-000A-0000-FFFF-FFFF0D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375925924" backgroundQuery="1" createdVersion="8" refreshedVersion="8" minRefreshableVersion="3" recordCount="0" supportSubquery="1" supportAdvancedDrill="1" xr:uid="{00000000-000A-0000-FFFF-FFFF0C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377430556" backgroundQuery="1" createdVersion="8" refreshedVersion="8" minRefreshableVersion="3" recordCount="0" supportSubquery="1" supportAdvancedDrill="1" xr:uid="{00000000-000A-0000-FFFF-FFFF0B000000}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  <cacheField name="[Measures].[Suma de entrada]" caption="Suma de entrada" numFmtId="0" hierarchy="4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378819442" backgroundQuery="1" createdVersion="8" refreshedVersion="8" minRefreshableVersion="3" recordCount="0" supportSubquery="1" supportAdvancedDrill="1" xr:uid="{00000000-000A-0000-FFFF-FFFF0A000000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380208335" backgroundQuery="1" createdVersion="8" refreshedVersion="8" minRefreshableVersion="3" recordCount="0" supportSubquery="1" supportAdvancedDrill="1" xr:uid="{00000000-000A-0000-FFFF-FFFF09000000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409606485" backgroundQuery="1" createdVersion="8" refreshedVersion="8" minRefreshableVersion="3" recordCount="0" supportSubquery="1" supportAdvancedDrill="1" xr:uid="{00000000-000A-0000-FFFF-FFFF06000000}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20T00:00:00" count="23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</sharedItems>
    </cacheField>
    <cacheField name="[productos].[nombre_producto].[nombre_producto]" caption="nombre_producto" numFmtId="0" hierarchy="11" level="1">
      <sharedItems count="3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zo precio fijo"/>
        <s v="BEBIDA - Coca Cola ZER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2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500"/>
        <n v="32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0" maxValue="286" count="281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6"/>
        <n v="280"/>
        <n v="281"/>
        <n v="282"/>
        <n v="283"/>
        <n v="284"/>
        <n v="285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255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0]"/>
            <x15:cachedUniqueName index="242" name="[transacciones].[id_factura].&amp;[241]"/>
            <x15:cachedUniqueName index="243" name="[transacciones].[id_factura].&amp;[242]"/>
            <x15:cachedUniqueName index="244" name="[transacciones].[id_factura].&amp;[243]"/>
            <x15:cachedUniqueName index="245" name="[transacciones].[id_factura].&amp;[244]"/>
            <x15:cachedUniqueName index="246" name="[transacciones].[id_factura].&amp;[245]"/>
            <x15:cachedUniqueName index="247" name="[transacciones].[id_factura].&amp;[246]"/>
            <x15:cachedUniqueName index="248" name="[transacciones].[id_factura].&amp;[247]"/>
            <x15:cachedUniqueName index="249" name="[transacciones].[id_factura].&amp;[248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77]"/>
            <x15:cachedUniqueName index="272" name="[transacciones].[id_factura].&amp;[278]"/>
            <x15:cachedUniqueName index="273" name="[transacciones].[id_factura].&amp;[279]"/>
            <x15:cachedUniqueName index="274" name="[transacciones].[id_factura].&amp;[286]"/>
            <x15:cachedUniqueName index="275" name="[transacciones].[id_factura].&amp;[280]"/>
            <x15:cachedUniqueName index="276" name="[transacciones].[id_factura].&amp;[281]"/>
            <x15:cachedUniqueName index="277" name="[transacciones].[id_factura].&amp;[282]"/>
            <x15:cachedUniqueName index="278" name="[transacciones].[id_factura].&amp;[283]"/>
            <x15:cachedUniqueName index="279" name="[transacciones].[id_factura].&amp;[284]"/>
            <x15:cachedUniqueName index="280" name="[transacciones].[id_factura].&amp;[285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0:40:32" maxDate="1899-12-30T23:12:12" count="281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  <x15:cachedUniqueName index="188" name="[transacciones].[hora].&amp;[1899-12-30T14:49:18.943333]"/>
            <x15:cachedUniqueName index="189" name="[transacciones].[hora].&amp;[1899-12-30T16:23:41.096667]"/>
            <x15:cachedUniqueName index="190" name="[transacciones].[hora].&amp;[1899-12-30T17:35:08.253333]"/>
            <x15:cachedUniqueName index="191" name="[transacciones].[hora].&amp;[1899-12-30T17:36:48.41]"/>
            <x15:cachedUniqueName index="192" name="[transacciones].[hora].&amp;[1899-12-30T17:37:24.176667]"/>
            <x15:cachedUniqueName index="193" name="[transacciones].[hora].&amp;[1899-12-30T17:54:22.58]"/>
            <x15:cachedUniqueName index="194" name="[transacciones].[hora].&amp;[1899-12-30T18:09:56.456667]"/>
            <x15:cachedUniqueName index="195" name="[transacciones].[hora].&amp;[1899-12-30T18:56:08.01]"/>
            <x15:cachedUniqueName index="196" name="[transacciones].[hora].&amp;[1899-12-30T19:15:09.04]"/>
            <x15:cachedUniqueName index="197" name="[transacciones].[hora].&amp;[1899-12-30T19:39:28.043333]"/>
            <x15:cachedUniqueName index="198" name="[transacciones].[hora].&amp;[1899-12-30T23:08:38]"/>
            <x15:cachedUniqueName index="199" name="[transacciones].[hora].&amp;[1899-12-30T23:09:21]"/>
            <x15:cachedUniqueName index="200" name="[transacciones].[hora].&amp;[1899-12-30T23:09:41]"/>
            <x15:cachedUniqueName index="201" name="[transacciones].[hora].&amp;[1899-12-30T23:10:35]"/>
            <x15:cachedUniqueName index="202" name="[transacciones].[hora].&amp;[1899-12-30T23:10:55]"/>
            <x15:cachedUniqueName index="203" name="[transacciones].[hora].&amp;[1899-12-30T23:11:15]"/>
            <x15:cachedUniqueName index="204" name="[transacciones].[hora].&amp;[1899-12-30T23:11:29]"/>
            <x15:cachedUniqueName index="205" name="[transacciones].[hora].&amp;[1899-12-30T15:19:57.763333]"/>
            <x15:cachedUniqueName index="206" name="[transacciones].[hora].&amp;[1899-12-30T15:20:45.8]"/>
            <x15:cachedUniqueName index="207" name="[transacciones].[hora].&amp;[1899-12-30T15:21:45.503333]"/>
            <x15:cachedUniqueName index="208" name="[transacciones].[hora].&amp;[1899-12-30T15:22:16.416667]"/>
            <x15:cachedUniqueName index="209" name="[transacciones].[hora].&amp;[1899-12-30T15:31:09.2]"/>
            <x15:cachedUniqueName index="210" name="[transacciones].[hora].&amp;[1899-12-30T15:34:52.136667]"/>
            <x15:cachedUniqueName index="211" name="[transacciones].[hora].&amp;[1899-12-30T15:54:01.46]"/>
            <x15:cachedUniqueName index="212" name="[transacciones].[hora].&amp;[1899-12-30T16:04:05.83]"/>
            <x15:cachedUniqueName index="213" name="[transacciones].[hora].&amp;[1899-12-30T16:15:44.633333]"/>
            <x15:cachedUniqueName index="214" name="[transacciones].[hora].&amp;[1899-12-30T16:27:10.556667]"/>
            <x15:cachedUniqueName index="215" name="[transacciones].[hora].&amp;[1899-12-30T16:56:50.356667]"/>
            <x15:cachedUniqueName index="216" name="[transacciones].[hora].&amp;[1899-12-30T16:57:19.383333]"/>
            <x15:cachedUniqueName index="217" name="[transacciones].[hora].&amp;[1899-12-30T19:42:19.343333]"/>
            <x15:cachedUniqueName index="218" name="[transacciones].[hora].&amp;[1899-12-30T19:46:08.953333]"/>
            <x15:cachedUniqueName index="219" name="[transacciones].[hora].&amp;[1899-12-30T13:53:40.773333]"/>
            <x15:cachedUniqueName index="220" name="[transacciones].[hora].&amp;[1899-12-30T14:20:16.81]"/>
            <x15:cachedUniqueName index="221" name="[transacciones].[hora].&amp;[1899-12-30T14:50:55.4]"/>
            <x15:cachedUniqueName index="222" name="[transacciones].[hora].&amp;[1899-12-30T15:32:58.016667]"/>
            <x15:cachedUniqueName index="223" name="[transacciones].[hora].&amp;[1899-12-30T15:33:17.31]"/>
            <x15:cachedUniqueName index="224" name="[transacciones].[hora].&amp;[1899-12-30T15:44:21.296667]"/>
            <x15:cachedUniqueName index="225" name="[transacciones].[hora].&amp;[1899-12-30T17:18:21.97]"/>
            <x15:cachedUniqueName index="226" name="[transacciones].[hora].&amp;[1899-12-30T16:00:58]"/>
            <x15:cachedUniqueName index="227" name="[transacciones].[hora].&amp;[1899-12-30T16:24:53]"/>
            <x15:cachedUniqueName index="228" name="[transacciones].[hora].&amp;[1899-12-30T16:26:15]"/>
            <x15:cachedUniqueName index="229" name="[transacciones].[hora].&amp;[1899-12-30T17:26:46]"/>
            <x15:cachedUniqueName index="230" name="[transacciones].[hora].&amp;[1899-12-30T18:27:25]"/>
            <x15:cachedUniqueName index="231" name="[transacciones].[hora].&amp;[1899-12-30T18:28:49]"/>
            <x15:cachedUniqueName index="232" name="[transacciones].[hora].&amp;[1899-12-30T10:40:32]"/>
            <x15:cachedUniqueName index="233" name="[transacciones].[hora].&amp;[1899-12-30T14:48:21.03]"/>
            <x15:cachedUniqueName index="234" name="[transacciones].[hora].&amp;[1899-12-30T15:06:16.026667]"/>
            <x15:cachedUniqueName index="235" name="[transacciones].[hora].&amp;[1899-12-30T15:36:10.42]"/>
            <x15:cachedUniqueName index="236" name="[transacciones].[hora].&amp;[1899-12-30T15:41:03.256667]"/>
            <x15:cachedUniqueName index="237" name="[transacciones].[hora].&amp;[1899-12-30T16:30:52.76]"/>
            <x15:cachedUniqueName index="238" name="[transacciones].[hora].&amp;[1899-12-30T17:26:30.926667]"/>
            <x15:cachedUniqueName index="239" name="[transacciones].[hora].&amp;[1899-12-30T17:33:20.13]"/>
            <x15:cachedUniqueName index="240" name="[transacciones].[hora].&amp;[1899-12-30T17:50:32.346667]"/>
            <x15:cachedUniqueName index="241" name="[transacciones].[hora].&amp;[1899-12-30T17:51:43.386667]"/>
            <x15:cachedUniqueName index="242" name="[transacciones].[hora].&amp;[1899-12-30T17:59:00.36]"/>
            <x15:cachedUniqueName index="243" name="[transacciones].[hora].&amp;[1899-12-30T17:59:11.813333]"/>
            <x15:cachedUniqueName index="244" name="[transacciones].[hora].&amp;[1899-12-30T17:59:35.686667]"/>
            <x15:cachedUniqueName index="245" name="[transacciones].[hora].&amp;[1899-12-30T18:04:13.12]"/>
            <x15:cachedUniqueName index="246" name="[transacciones].[hora].&amp;[1899-12-30T18:22:59.783333]"/>
            <x15:cachedUniqueName index="247" name="[transacciones].[hora].&amp;[1899-12-30T18:23:45.073333]"/>
            <x15:cachedUniqueName index="248" name="[transacciones].[hora].&amp;[1899-12-30T18:25:17.356667]"/>
            <x15:cachedUniqueName index="249" name="[transacciones].[hora].&amp;[1899-12-30T19:24:35.423333]"/>
            <x15:cachedUniqueName index="250" name="[transacciones].[hora].&amp;[1899-12-30T16:34:49.223333]"/>
            <x15:cachedUniqueName index="251" name="[transacciones].[hora].&amp;[1899-12-30T16:43:20.536667]"/>
            <x15:cachedUniqueName index="252" name="[transacciones].[hora].&amp;[1899-12-30T17:17:22.543333]"/>
            <x15:cachedUniqueName index="253" name="[transacciones].[hora].&amp;[1899-12-30T17:32:31.653333]"/>
            <x15:cachedUniqueName index="254" name="[transacciones].[hora].&amp;[1899-12-30T17:32:41.776667]"/>
            <x15:cachedUniqueName index="255" name="[transacciones].[hora].&amp;[1899-12-30T17:58:49.116667]"/>
            <x15:cachedUniqueName index="256" name="[transacciones].[hora].&amp;[1899-12-30T18:25:38.206667]"/>
            <x15:cachedUniqueName index="257" name="[transacciones].[hora].&amp;[1899-12-30T18:27:13.856667]"/>
            <x15:cachedUniqueName index="258" name="[transacciones].[hora].&amp;[1899-12-30T18:58:17.51]"/>
            <x15:cachedUniqueName index="259" name="[transacciones].[hora].&amp;[1899-12-30T19:07:17.486667]"/>
            <x15:cachedUniqueName index="260" name="[transacciones].[hora].&amp;[1899-12-30T19:48:28.436667]"/>
            <x15:cachedUniqueName index="261" name="[transacciones].[hora].&amp;[1899-12-30T14:12:21.883333]"/>
            <x15:cachedUniqueName index="262" name="[transacciones].[hora].&amp;[1899-12-30T14:28:23.903333]"/>
            <x15:cachedUniqueName index="263" name="[transacciones].[hora].&amp;[1899-12-30T15:39:42.556667]"/>
            <x15:cachedUniqueName index="264" name="[transacciones].[hora].&amp;[1899-12-30T16:17:44.586667]"/>
            <x15:cachedUniqueName index="265" name="[transacciones].[hora].&amp;[1899-12-30T16:52:21.706667]"/>
            <x15:cachedUniqueName index="266" name="[transacciones].[hora].&amp;[1899-12-30T17:15:51.54]"/>
            <x15:cachedUniqueName index="267" name="[transacciones].[hora].&amp;[1899-12-30T17:39:21.543333]"/>
            <x15:cachedUniqueName index="268" name="[transacciones].[hora].&amp;[1899-12-30T17:58:12.116667]"/>
            <x15:cachedUniqueName index="269" name="[transacciones].[hora].&amp;[1899-12-30T18:03:28.003333]"/>
            <x15:cachedUniqueName index="270" name="[transacciones].[hora].&amp;[1899-12-30T18:12:22.316667]"/>
            <x15:cachedUniqueName index="271" name="[transacciones].[hora].&amp;[1899-12-30T18:24:21.46]"/>
            <x15:cachedUniqueName index="272" name="[transacciones].[hora].&amp;[1899-12-30T18:31:24.273333]"/>
            <x15:cachedUniqueName index="273" name="[transacciones].[hora].&amp;[1899-12-30T18:36:26.833333]"/>
            <x15:cachedUniqueName index="274" name="[transacciones].[hora].&amp;[1899-12-30T18:47:24]"/>
            <x15:cachedUniqueName index="275" name="[transacciones].[hora].&amp;[1899-12-30T18:51:00.983333]"/>
            <x15:cachedUniqueName index="276" name="[transacciones].[hora].&amp;[1899-12-30T18:54:27.733333]"/>
            <x15:cachedUniqueName index="277" name="[transacciones].[hora].&amp;[1899-12-30T19:01:54.58]"/>
            <x15:cachedUniqueName index="278" name="[transacciones].[hora].&amp;[1899-12-30T19:05:15.736667]"/>
            <x15:cachedUniqueName index="279" name="[transacciones].[hora].&amp;[1899-12-30T19:37:52.596667]"/>
            <x15:cachedUniqueName index="280" name="[transacciones].[hora].&amp;[1899-12-30T19:42:41.67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411921294" backgroundQuery="1" createdVersion="8" refreshedVersion="8" minRefreshableVersion="3" recordCount="0" supportSubquery="1" supportAdvancedDrill="1" xr:uid="{00000000-000A-0000-FFFF-FFFF07000000}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20T00:00:00" count="23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</sharedItems>
    </cacheField>
    <cacheField name="[productos].[nombre_producto].[nombre_producto]" caption="nombre_producto" numFmtId="0" hierarchy="11" level="1">
      <sharedItems count="3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zo precio fijo"/>
        <s v="BEBIDA - Coca Cola ZER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2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500"/>
        <n v="3200"/>
      </sharedItems>
    </cacheField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0" maxValue="286" count="281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0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77]"/>
            <x15:cachedUniqueName index="272" name="[transacciones].[id_factura].&amp;[278]"/>
            <x15:cachedUniqueName index="273" name="[transacciones].[id_factura].&amp;[279]"/>
            <x15:cachedUniqueName index="274" name="[transacciones].[id_factura].&amp;[280]"/>
            <x15:cachedUniqueName index="275" name="[transacciones].[id_factura].&amp;[281]"/>
            <x15:cachedUniqueName index="276" name="[transacciones].[id_factura].&amp;[282]"/>
            <x15:cachedUniqueName index="277" name="[transacciones].[id_factura].&amp;[283]"/>
            <x15:cachedUniqueName index="278" name="[transacciones].[id_factura].&amp;[284]"/>
            <x15:cachedUniqueName index="279" name="[transacciones].[id_factura].&amp;[285]"/>
            <x15:cachedUniqueName index="280" name="[transacciones].[id_factura].&amp;[286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1.022413541665" backgroundQuery="1" createdVersion="8" refreshedVersion="8" minRefreshableVersion="3" recordCount="0" supportSubquery="1" supportAdvancedDrill="1" xr:uid="{00000000-000A-0000-FFFF-FFFF08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3" cacheId="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435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429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1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2"/>
      <x/>
      <x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1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3"/>
      <x v="1"/>
      <x/>
      <x v="1"/>
    </i>
    <i r="3">
      <x v="5"/>
      <x v="3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1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1"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/>
      <x/>
      <x/>
      <x v="1"/>
    </i>
    <i r="3">
      <x v="4"/>
      <x v="2"/>
      <x/>
      <x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1"/>
      <x v="1"/>
      <x v="1"/>
      <x v="1"/>
    </i>
    <i r="3">
      <x v="20"/>
      <x v="8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9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>
      <x v="12"/>
      <x v="152"/>
      <x v="152"/>
      <x v="21"/>
      <x v="3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2"/>
      <x/>
      <x v="1"/>
    </i>
    <i r="3">
      <x v="3"/>
      <x v="1"/>
      <x/>
      <x v="1"/>
    </i>
    <i r="1">
      <x v="155"/>
      <x v="155"/>
      <x v="21"/>
      <x v="3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3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3"/>
      <x/>
      <x/>
    </i>
    <i r="1">
      <x v="164"/>
      <x v="164"/>
      <x v="1"/>
      <x v="1"/>
      <x/>
      <x v="2"/>
    </i>
    <i r="3">
      <x v="23"/>
      <x v="9"/>
      <x/>
      <x v="1"/>
    </i>
    <i r="1">
      <x v="165"/>
      <x v="165"/>
      <x/>
      <x/>
      <x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/>
      <x/>
      <x/>
      <x v="1"/>
    </i>
    <i r="3">
      <x v="4"/>
      <x v="2"/>
      <x/>
      <x v="2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 v="1"/>
      <x v="2"/>
    </i>
    <i r="1">
      <x v="176"/>
      <x v="176"/>
      <x/>
      <x/>
      <x/>
      <x v="1"/>
    </i>
    <i r="1">
      <x v="177"/>
      <x v="177"/>
      <x/>
      <x/>
      <x v="1"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/>
      <x v="1"/>
    </i>
    <i r="3">
      <x v="1"/>
      <x v="1"/>
      <x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  <i>
      <x v="15"/>
      <x v="188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1">
      <x v="189"/>
      <x v="189"/>
      <x/>
      <x/>
      <x v="1"/>
      <x v="2"/>
    </i>
    <i r="1">
      <x v="190"/>
      <x v="190"/>
      <x/>
      <x/>
      <x/>
      <x v="1"/>
    </i>
    <i r="1">
      <x v="191"/>
      <x v="191"/>
      <x/>
      <x/>
      <x v="1"/>
      <x v="1"/>
    </i>
    <i r="3">
      <x v="1"/>
      <x v="1"/>
      <x v="1"/>
      <x v="1"/>
    </i>
    <i r="1">
      <x v="192"/>
      <x v="192"/>
      <x/>
      <x/>
      <x/>
      <x v="2"/>
    </i>
    <i r="1">
      <x v="193"/>
      <x v="193"/>
      <x/>
      <x/>
      <x/>
      <x v="2"/>
    </i>
    <i r="3">
      <x v="1"/>
      <x v="1"/>
      <x/>
      <x v="1"/>
    </i>
    <i r="1">
      <x v="194"/>
      <x v="194"/>
      <x/>
      <x/>
      <x/>
      <x v="1"/>
    </i>
    <i r="1">
      <x v="195"/>
      <x v="195"/>
      <x/>
      <x/>
      <x v="1"/>
      <x v="2"/>
    </i>
    <i r="1">
      <x v="196"/>
      <x v="196"/>
      <x/>
      <x/>
      <x v="1"/>
      <x v="1"/>
    </i>
    <i r="3">
      <x v="1"/>
      <x v="1"/>
      <x v="1"/>
      <x v="1"/>
    </i>
    <i r="1">
      <x v="197"/>
      <x v="197"/>
      <x/>
      <x/>
      <x v="1"/>
      <x v="2"/>
    </i>
    <i>
      <x v="16"/>
      <x v="198"/>
      <x v="198"/>
      <x/>
      <x/>
      <x/>
      <x v="1"/>
    </i>
    <i r="1">
      <x v="199"/>
      <x v="199"/>
      <x/>
      <x/>
      <x/>
      <x/>
    </i>
    <i r="3">
      <x v="1"/>
      <x v="1"/>
      <x/>
      <x/>
    </i>
    <i r="1">
      <x v="200"/>
      <x v="200"/>
      <x v="4"/>
      <x v="2"/>
      <x/>
      <x v="2"/>
    </i>
    <i r="1">
      <x v="201"/>
      <x v="201"/>
      <x/>
      <x/>
      <x/>
      <x v="2"/>
    </i>
    <i r="3">
      <x v="1"/>
      <x v="1"/>
      <x/>
      <x v="2"/>
    </i>
    <i r="1">
      <x v="202"/>
      <x v="202"/>
      <x v="4"/>
      <x v="2"/>
      <x/>
      <x v="4"/>
    </i>
    <i r="1">
      <x v="203"/>
      <x v="203"/>
      <x/>
      <x/>
      <x/>
      <x v="1"/>
    </i>
    <i r="1">
      <x v="204"/>
      <x v="204"/>
      <x v="23"/>
      <x v="9"/>
      <x/>
      <x v="1"/>
    </i>
    <i>
      <x v="17"/>
      <x v="205"/>
      <x v="205"/>
      <x/>
      <x/>
      <x/>
      <x/>
    </i>
    <i r="3">
      <x v="1"/>
      <x v="1"/>
      <x/>
      <x/>
    </i>
    <i r="1">
      <x v="206"/>
      <x v="206"/>
      <x/>
      <x/>
      <x/>
      <x v="1"/>
    </i>
    <i r="3">
      <x v="1"/>
      <x v="1"/>
      <x/>
      <x v="1"/>
    </i>
    <i r="1">
      <x v="207"/>
      <x v="207"/>
      <x v="4"/>
      <x v="2"/>
      <x/>
      <x/>
    </i>
    <i r="1">
      <x v="208"/>
      <x v="208"/>
      <x/>
      <x/>
      <x/>
      <x/>
    </i>
    <i r="3">
      <x v="1"/>
      <x v="1"/>
      <x/>
      <x/>
    </i>
    <i r="1">
      <x v="209"/>
      <x v="209"/>
      <x v="25"/>
      <x v="17"/>
      <x/>
      <x v="1"/>
    </i>
    <i r="3">
      <x v="12"/>
      <x v="9"/>
      <x/>
      <x v="1"/>
    </i>
    <i r="1">
      <x v="210"/>
      <x v="210"/>
      <x/>
      <x/>
      <x/>
      <x v="2"/>
    </i>
    <i r="3">
      <x v="1"/>
      <x v="1"/>
      <x/>
      <x v="1"/>
    </i>
    <i r="3">
      <x v="26"/>
      <x v="14"/>
      <x/>
      <x v="1"/>
    </i>
    <i r="1">
      <x v="211"/>
      <x v="211"/>
      <x v="27"/>
      <x v="18"/>
      <x v="2"/>
      <x v="1"/>
    </i>
    <i r="1">
      <x v="212"/>
      <x v="212"/>
      <x/>
      <x/>
      <x v="1"/>
      <x v="1"/>
    </i>
    <i r="3">
      <x v="1"/>
      <x v="1"/>
      <x v="1"/>
      <x v="1"/>
    </i>
    <i r="1">
      <x v="213"/>
      <x v="213"/>
      <x v="28"/>
      <x v="19"/>
      <x/>
      <x v="1"/>
    </i>
    <i r="1">
      <x v="214"/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1">
      <x v="215"/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1">
      <x v="216"/>
      <x v="216"/>
      <x/>
      <x/>
      <x v="1"/>
      <x v="1"/>
    </i>
    <i r="3">
      <x v="1"/>
      <x v="1"/>
      <x v="1"/>
      <x v="1"/>
    </i>
    <i r="1">
      <x v="217"/>
      <x v="217"/>
      <x v="29"/>
      <x v="2"/>
      <x v="1"/>
      <x v="2"/>
    </i>
    <i r="1">
      <x v="218"/>
      <x v="218"/>
      <x/>
      <x/>
      <x/>
      <x v="1"/>
    </i>
    <i>
      <x v="18"/>
      <x v="219"/>
      <x v="219"/>
      <x/>
      <x/>
      <x/>
      <x/>
    </i>
    <i r="1">
      <x v="220"/>
      <x v="220"/>
      <x/>
      <x/>
      <x/>
      <x v="1"/>
    </i>
    <i r="3">
      <x v="1"/>
      <x v="1"/>
      <x/>
      <x v="1"/>
    </i>
    <i r="1">
      <x v="221"/>
      <x v="221"/>
      <x v="29"/>
      <x v="2"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/>
      <x/>
      <x v="1"/>
      <x/>
    </i>
    <i r="3">
      <x v="1"/>
      <x v="1"/>
      <x v="1"/>
      <x v="1"/>
    </i>
    <i r="1">
      <x v="224"/>
      <x v="224"/>
      <x/>
      <x/>
      <x/>
      <x/>
    </i>
    <i r="3">
      <x v="1"/>
      <x v="1"/>
      <x/>
      <x v="1"/>
    </i>
    <i r="1">
      <x v="225"/>
      <x v="225"/>
      <x v="1"/>
      <x v="1"/>
      <x/>
      <x v="1"/>
    </i>
    <i r="3">
      <x v="30"/>
      <x v="9"/>
      <x/>
      <x v="1"/>
    </i>
    <i>
      <x v="19"/>
      <x v="226"/>
      <x v="226"/>
      <x/>
      <x/>
      <x/>
      <x v="2"/>
    </i>
    <i r="1">
      <x v="227"/>
      <x v="227"/>
      <x/>
      <x/>
      <x/>
      <x v="1"/>
    </i>
    <i r="3">
      <x v="1"/>
      <x v="1"/>
      <x/>
      <x v="1"/>
    </i>
    <i r="1">
      <x v="228"/>
      <x v="228"/>
      <x/>
      <x/>
      <x v="1"/>
      <x v="1"/>
    </i>
    <i r="3">
      <x v="1"/>
      <x v="1"/>
      <x v="1"/>
      <x v="1"/>
    </i>
    <i r="1">
      <x v="229"/>
      <x v="229"/>
      <x/>
      <x/>
      <x/>
      <x v="1"/>
    </i>
    <i r="3">
      <x v="1"/>
      <x v="1"/>
      <x/>
      <x v="1"/>
    </i>
    <i r="1">
      <x v="230"/>
      <x v="230"/>
      <x/>
      <x/>
      <x/>
      <x v="5"/>
    </i>
    <i r="3">
      <x v="1"/>
      <x v="1"/>
      <x/>
      <x v="2"/>
    </i>
    <i r="1">
      <x v="231"/>
      <x v="231"/>
      <x v="25"/>
      <x v="17"/>
      <x v="1"/>
      <x v="1"/>
    </i>
    <i r="3">
      <x v="1"/>
      <x v="1"/>
      <x v="1"/>
      <x v="1"/>
    </i>
    <i>
      <x v="20"/>
      <x v="232"/>
      <x v="232"/>
      <x/>
      <x/>
      <x v="1"/>
      <x v="4"/>
    </i>
    <i r="1">
      <x v="233"/>
      <x v="233"/>
      <x/>
      <x/>
      <x/>
      <x v="2"/>
    </i>
    <i r="3">
      <x v="3"/>
      <x v="1"/>
      <x/>
      <x v="1"/>
    </i>
    <i r="3">
      <x v="4"/>
      <x v="2"/>
      <x/>
      <x v="2"/>
    </i>
    <i r="1">
      <x v="234"/>
      <x v="234"/>
      <x/>
      <x/>
      <x/>
      <x/>
    </i>
    <i r="1">
      <x v="235"/>
      <x v="235"/>
      <x/>
      <x/>
      <x v="2"/>
      <x v="1"/>
    </i>
    <i r="3">
      <x v="1"/>
      <x v="1"/>
      <x v="2"/>
      <x v="1"/>
    </i>
    <i r="3">
      <x v="8"/>
      <x v="2"/>
      <x v="2"/>
      <x v="1"/>
    </i>
    <i r="1">
      <x v="236"/>
      <x v="236"/>
      <x v="4"/>
      <x v="2"/>
      <x/>
      <x/>
    </i>
    <i r="1">
      <x v="237"/>
      <x v="237"/>
      <x/>
      <x/>
      <x/>
      <x/>
    </i>
    <i r="1">
      <x v="238"/>
      <x v="238"/>
      <x/>
      <x/>
      <x v="1"/>
      <x v="1"/>
    </i>
    <i r="3">
      <x v="1"/>
      <x v="1"/>
      <x v="1"/>
      <x v="1"/>
    </i>
    <i r="1">
      <x v="239"/>
      <x v="239"/>
      <x/>
      <x/>
      <x/>
      <x/>
    </i>
    <i r="3">
      <x v="3"/>
      <x v="1"/>
      <x/>
      <x/>
    </i>
    <i r="1">
      <x v="240"/>
      <x v="240"/>
      <x v="4"/>
      <x v="2"/>
      <x v="1"/>
      <x v="6"/>
    </i>
    <i r="1">
      <x v="241"/>
      <x v="241"/>
      <x/>
      <x/>
      <x v="1"/>
      <x v="1"/>
    </i>
    <i r="1">
      <x v="242"/>
      <x v="242"/>
      <x/>
      <x/>
      <x/>
      <x v="1"/>
    </i>
    <i r="1">
      <x v="243"/>
      <x v="243"/>
      <x/>
      <x/>
      <x/>
      <x v="1"/>
    </i>
    <i r="1">
      <x v="244"/>
      <x v="244"/>
      <x/>
      <x/>
      <x v="2"/>
      <x v="1"/>
    </i>
    <i r="1">
      <x v="245"/>
      <x v="245"/>
      <x v="25"/>
      <x v="17"/>
      <x/>
      <x/>
    </i>
    <i r="1">
      <x v="246"/>
      <x v="246"/>
      <x/>
      <x/>
      <x/>
      <x v="1"/>
    </i>
    <i r="3">
      <x v="1"/>
      <x v="1"/>
      <x/>
      <x v="1"/>
    </i>
    <i r="1">
      <x v="247"/>
      <x v="247"/>
      <x/>
      <x/>
      <x/>
      <x/>
    </i>
    <i r="1">
      <x v="248"/>
      <x v="248"/>
      <x v="4"/>
      <x v="2"/>
      <x v="1"/>
      <x/>
    </i>
    <i r="1">
      <x v="249"/>
      <x v="249"/>
      <x/>
      <x/>
      <x/>
      <x/>
    </i>
    <i>
      <x v="21"/>
      <x v="250"/>
      <x v="250"/>
      <x/>
      <x/>
      <x v="1"/>
      <x v="4"/>
    </i>
    <i r="3">
      <x v="1"/>
      <x v="1"/>
      <x v="1"/>
      <x/>
    </i>
    <i r="1">
      <x v="251"/>
      <x v="251"/>
      <x/>
      <x/>
      <x/>
      <x/>
    </i>
    <i r="1">
      <x v="252"/>
      <x v="252"/>
      <x/>
      <x/>
      <x v="1"/>
      <x/>
    </i>
    <i r="1">
      <x v="253"/>
      <x v="253"/>
      <x/>
      <x/>
      <x v="1"/>
      <x v="1"/>
    </i>
    <i r="1">
      <x v="254"/>
      <x v="254"/>
      <x/>
      <x/>
      <x/>
      <x v="1"/>
    </i>
    <i r="1">
      <x v="255"/>
      <x v="255"/>
      <x/>
      <x/>
      <x/>
      <x/>
    </i>
    <i r="3">
      <x v="1"/>
      <x v="1"/>
      <x/>
      <x/>
    </i>
    <i r="1">
      <x v="256"/>
      <x v="256"/>
      <x/>
      <x/>
      <x/>
      <x v="1"/>
    </i>
    <i r="1">
      <x v="257"/>
      <x v="257"/>
      <x v="4"/>
      <x v="2"/>
      <x v="1"/>
      <x/>
    </i>
    <i r="1">
      <x v="258"/>
      <x v="258"/>
      <x/>
      <x/>
      <x/>
      <x v="1"/>
    </i>
    <i r="1">
      <x v="259"/>
      <x v="259"/>
      <x/>
      <x/>
      <x/>
      <x v="1"/>
    </i>
    <i r="1">
      <x v="260"/>
      <x v="260"/>
      <x/>
      <x/>
      <x/>
      <x v="1"/>
    </i>
    <i>
      <x v="22"/>
      <x v="261"/>
      <x v="261"/>
      <x v="31"/>
      <x v="20"/>
      <x/>
      <x v="3"/>
    </i>
    <i r="1">
      <x v="262"/>
      <x v="262"/>
      <x/>
      <x/>
      <x v="1"/>
      <x v="1"/>
    </i>
    <i r="1">
      <x v="263"/>
      <x v="263"/>
      <x v="12"/>
      <x v="9"/>
      <x/>
      <x v="1"/>
    </i>
    <i r="3">
      <x v="3"/>
      <x v="1"/>
      <x/>
      <x v="1"/>
    </i>
    <i r="1">
      <x v="264"/>
      <x v="264"/>
      <x/>
      <x/>
      <x v="1"/>
      <x/>
    </i>
    <i r="3">
      <x v="1"/>
      <x v="1"/>
      <x v="1"/>
      <x/>
    </i>
    <i r="1">
      <x v="265"/>
      <x v="265"/>
      <x/>
      <x/>
      <x v="1"/>
      <x v="2"/>
    </i>
    <i r="3">
      <x v="1"/>
      <x v="1"/>
      <x v="1"/>
      <x/>
    </i>
    <i r="1">
      <x v="266"/>
      <x v="266"/>
      <x/>
      <x/>
      <x v="1"/>
      <x/>
    </i>
    <i r="3">
      <x v="1"/>
      <x v="1"/>
      <x v="1"/>
      <x v="1"/>
    </i>
    <i r="1">
      <x v="267"/>
      <x v="267"/>
      <x/>
      <x/>
      <x/>
      <x v="1"/>
    </i>
    <i r="3">
      <x v="1"/>
      <x v="1"/>
      <x/>
      <x v="1"/>
    </i>
    <i r="3">
      <x v="4"/>
      <x v="2"/>
      <x/>
      <x v="4"/>
    </i>
    <i r="1">
      <x v="268"/>
      <x v="268"/>
      <x/>
      <x/>
      <x/>
      <x/>
    </i>
    <i r="3">
      <x v="32"/>
      <x v="21"/>
      <x/>
      <x/>
    </i>
    <i r="1">
      <x v="269"/>
      <x v="269"/>
      <x/>
      <x/>
      <x/>
      <x v="1"/>
    </i>
    <i r="3">
      <x v="1"/>
      <x v="1"/>
      <x/>
      <x v="1"/>
    </i>
    <i r="1">
      <x v="270"/>
      <x v="270"/>
      <x/>
      <x/>
      <x/>
      <x/>
    </i>
    <i r="3">
      <x v="1"/>
      <x v="1"/>
      <x/>
      <x/>
    </i>
    <i r="3">
      <x v="14"/>
      <x v="11"/>
      <x/>
      <x v="1"/>
    </i>
    <i r="1">
      <x v="271"/>
      <x v="271"/>
      <x/>
      <x/>
      <x/>
      <x/>
    </i>
    <i r="1">
      <x v="272"/>
      <x v="272"/>
      <x/>
      <x/>
      <x v="1"/>
      <x/>
    </i>
    <i r="1">
      <x v="273"/>
      <x v="273"/>
      <x/>
      <x/>
      <x v="1"/>
      <x/>
    </i>
    <i r="1">
      <x v="274"/>
      <x v="274"/>
      <x v="1"/>
      <x v="1"/>
      <x/>
      <x v="1"/>
    </i>
    <i r="1">
      <x v="275"/>
      <x v="275"/>
      <x/>
      <x/>
      <x/>
      <x v="1"/>
    </i>
    <i r="1">
      <x v="276"/>
      <x v="276"/>
      <x/>
      <x/>
      <x/>
      <x v="1"/>
    </i>
    <i r="1">
      <x v="277"/>
      <x v="277"/>
      <x/>
      <x/>
      <x/>
      <x v="1"/>
    </i>
    <i r="1">
      <x v="278"/>
      <x v="278"/>
      <x/>
      <x/>
      <x/>
      <x/>
    </i>
    <i r="3">
      <x v="1"/>
      <x v="1"/>
      <x/>
      <x v="1"/>
    </i>
    <i r="1">
      <x v="279"/>
      <x v="279"/>
      <x/>
      <x/>
      <x v="2"/>
      <x v="1"/>
    </i>
    <i r="3">
      <x v="1"/>
      <x v="1"/>
      <x v="2"/>
      <x v="1"/>
    </i>
    <i r="1">
      <x v="280"/>
      <x v="280"/>
      <x/>
      <x/>
      <x v="1"/>
      <x v="3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7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8" cacheId="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J10:V36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4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5000000}" name="TablaDinámica7" cacheId="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J41:V6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5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4000000}" name="TablaDinámica6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0:H36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6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laDinámica1" cacheId="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3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TablaDinámica3" cacheId="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438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</items>
    </pivotField>
  </pivotFields>
  <rowFields count="7">
    <field x="7"/>
    <field x="3"/>
    <field x="8"/>
    <field x="4"/>
    <field x="6"/>
    <field x="1"/>
    <field x="5"/>
  </rowFields>
  <rowItems count="430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1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2"/>
      <x/>
      <x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1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3"/>
      <x v="1"/>
      <x/>
      <x v="1"/>
    </i>
    <i r="3">
      <x v="5"/>
      <x v="3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1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/>
      <x/>
      <x v="1"/>
      <x v="1"/>
    </i>
    <i r="3">
      <x v="2"/>
      <x v="1"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/>
      <x/>
      <x/>
      <x v="1"/>
    </i>
    <i r="3">
      <x v="4"/>
      <x v="2"/>
      <x/>
      <x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1"/>
      <x v="1"/>
      <x v="1"/>
      <x v="1"/>
    </i>
    <i r="3">
      <x v="20"/>
      <x v="8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9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>
      <x v="12"/>
      <x v="12"/>
      <x v="152"/>
      <x v="21"/>
      <x v="3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2"/>
      <x/>
      <x v="1"/>
    </i>
    <i r="3">
      <x v="3"/>
      <x v="1"/>
      <x/>
      <x v="1"/>
    </i>
    <i r="2">
      <x v="155"/>
      <x v="21"/>
      <x v="3"/>
      <x/>
      <x/>
    </i>
    <i r="3">
      <x v="1"/>
      <x v="1"/>
      <x/>
      <x v="1"/>
    </i>
    <i r="2">
      <x v="156"/>
      <x/>
      <x/>
      <x/>
      <x/>
    </i>
    <i r="2">
      <x v="157"/>
      <x v="21"/>
      <x v="3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3"/>
      <x/>
      <x/>
    </i>
    <i r="2">
      <x v="164"/>
      <x v="1"/>
      <x v="1"/>
      <x/>
      <x v="2"/>
    </i>
    <i r="3">
      <x v="23"/>
      <x v="9"/>
      <x/>
      <x v="1"/>
    </i>
    <i r="2">
      <x v="165"/>
      <x/>
      <x/>
      <x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/>
      <x/>
      <x/>
      <x v="1"/>
    </i>
    <i r="3">
      <x v="4"/>
      <x v="2"/>
      <x/>
      <x v="2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 v="1"/>
      <x v="2"/>
    </i>
    <i r="2">
      <x v="176"/>
      <x/>
      <x/>
      <x/>
      <x v="1"/>
    </i>
    <i r="2">
      <x v="177"/>
      <x/>
      <x/>
      <x v="1"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/>
      <x v="1"/>
    </i>
    <i r="3">
      <x v="1"/>
      <x v="1"/>
      <x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>
      <x v="15"/>
      <x v="15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2">
      <x v="189"/>
      <x/>
      <x/>
      <x v="1"/>
      <x v="2"/>
    </i>
    <i r="2">
      <x v="190"/>
      <x/>
      <x/>
      <x/>
      <x v="1"/>
    </i>
    <i r="2">
      <x v="191"/>
      <x/>
      <x/>
      <x v="1"/>
      <x v="1"/>
    </i>
    <i r="3">
      <x v="1"/>
      <x v="1"/>
      <x v="1"/>
      <x v="1"/>
    </i>
    <i r="2">
      <x v="192"/>
      <x/>
      <x/>
      <x/>
      <x v="2"/>
    </i>
    <i r="2">
      <x v="193"/>
      <x/>
      <x/>
      <x/>
      <x v="2"/>
    </i>
    <i r="3">
      <x v="1"/>
      <x v="1"/>
      <x/>
      <x v="1"/>
    </i>
    <i r="2">
      <x v="194"/>
      <x/>
      <x/>
      <x/>
      <x v="1"/>
    </i>
    <i r="2">
      <x v="195"/>
      <x/>
      <x/>
      <x v="1"/>
      <x v="2"/>
    </i>
    <i r="2">
      <x v="196"/>
      <x/>
      <x/>
      <x v="1"/>
      <x v="1"/>
    </i>
    <i r="3">
      <x v="1"/>
      <x v="1"/>
      <x v="1"/>
      <x v="1"/>
    </i>
    <i r="2">
      <x v="197"/>
      <x/>
      <x/>
      <x v="1"/>
      <x v="2"/>
    </i>
    <i>
      <x v="16"/>
      <x v="16"/>
      <x v="198"/>
      <x/>
      <x/>
      <x/>
      <x v="1"/>
    </i>
    <i r="2">
      <x v="199"/>
      <x/>
      <x/>
      <x/>
      <x/>
    </i>
    <i r="3">
      <x v="1"/>
      <x v="1"/>
      <x/>
      <x/>
    </i>
    <i r="2">
      <x v="200"/>
      <x v="4"/>
      <x v="2"/>
      <x/>
      <x v="2"/>
    </i>
    <i r="2">
      <x v="201"/>
      <x/>
      <x/>
      <x/>
      <x v="2"/>
    </i>
    <i r="3">
      <x v="1"/>
      <x v="1"/>
      <x/>
      <x v="2"/>
    </i>
    <i r="2">
      <x v="202"/>
      <x v="4"/>
      <x v="2"/>
      <x/>
      <x v="4"/>
    </i>
    <i r="2">
      <x v="203"/>
      <x/>
      <x/>
      <x/>
      <x v="1"/>
    </i>
    <i r="2">
      <x v="204"/>
      <x v="23"/>
      <x v="9"/>
      <x/>
      <x v="1"/>
    </i>
    <i>
      <x v="17"/>
      <x v="17"/>
      <x v="205"/>
      <x/>
      <x/>
      <x/>
      <x/>
    </i>
    <i r="3">
      <x v="1"/>
      <x v="1"/>
      <x/>
      <x/>
    </i>
    <i r="2">
      <x v="206"/>
      <x/>
      <x/>
      <x/>
      <x v="1"/>
    </i>
    <i r="3">
      <x v="1"/>
      <x v="1"/>
      <x/>
      <x v="1"/>
    </i>
    <i r="2">
      <x v="207"/>
      <x v="4"/>
      <x v="2"/>
      <x/>
      <x/>
    </i>
    <i r="2">
      <x v="208"/>
      <x/>
      <x/>
      <x/>
      <x/>
    </i>
    <i r="3">
      <x v="1"/>
      <x v="1"/>
      <x/>
      <x/>
    </i>
    <i r="2">
      <x v="209"/>
      <x v="25"/>
      <x v="17"/>
      <x/>
      <x v="1"/>
    </i>
    <i r="3">
      <x v="12"/>
      <x v="9"/>
      <x/>
      <x v="1"/>
    </i>
    <i r="2">
      <x v="210"/>
      <x/>
      <x/>
      <x/>
      <x v="2"/>
    </i>
    <i r="3">
      <x v="1"/>
      <x v="1"/>
      <x/>
      <x v="1"/>
    </i>
    <i r="3">
      <x v="26"/>
      <x v="14"/>
      <x/>
      <x v="1"/>
    </i>
    <i r="2">
      <x v="211"/>
      <x v="27"/>
      <x v="18"/>
      <x v="2"/>
      <x v="1"/>
    </i>
    <i r="2">
      <x v="212"/>
      <x/>
      <x/>
      <x v="1"/>
      <x v="1"/>
    </i>
    <i r="3">
      <x v="1"/>
      <x v="1"/>
      <x v="1"/>
      <x v="1"/>
    </i>
    <i r="2">
      <x v="213"/>
      <x v="28"/>
      <x v="19"/>
      <x/>
      <x v="1"/>
    </i>
    <i r="2"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2"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2">
      <x v="216"/>
      <x/>
      <x/>
      <x v="1"/>
      <x v="1"/>
    </i>
    <i r="3">
      <x v="1"/>
      <x v="1"/>
      <x v="1"/>
      <x v="1"/>
    </i>
    <i r="2">
      <x v="217"/>
      <x v="29"/>
      <x v="2"/>
      <x v="1"/>
      <x v="2"/>
    </i>
    <i r="2">
      <x v="218"/>
      <x/>
      <x/>
      <x/>
      <x v="1"/>
    </i>
    <i>
      <x v="18"/>
      <x v="18"/>
      <x v="219"/>
      <x/>
      <x/>
      <x/>
      <x/>
    </i>
    <i r="2">
      <x v="220"/>
      <x/>
      <x/>
      <x/>
      <x v="1"/>
    </i>
    <i r="3">
      <x v="1"/>
      <x v="1"/>
      <x/>
      <x v="1"/>
    </i>
    <i r="2">
      <x v="221"/>
      <x v="29"/>
      <x v="2"/>
      <x/>
      <x/>
    </i>
    <i r="2">
      <x v="222"/>
      <x/>
      <x/>
      <x/>
      <x v="1"/>
    </i>
    <i r="3">
      <x v="1"/>
      <x v="1"/>
      <x/>
      <x v="1"/>
    </i>
    <i r="2">
      <x v="223"/>
      <x/>
      <x/>
      <x v="1"/>
      <x/>
    </i>
    <i r="3">
      <x v="1"/>
      <x v="1"/>
      <x v="1"/>
      <x v="1"/>
    </i>
    <i r="2">
      <x v="224"/>
      <x/>
      <x/>
      <x/>
      <x/>
    </i>
    <i r="3">
      <x v="1"/>
      <x v="1"/>
      <x/>
      <x v="1"/>
    </i>
    <i r="2">
      <x v="225"/>
      <x v="1"/>
      <x v="1"/>
      <x/>
      <x v="1"/>
    </i>
    <i r="3">
      <x v="30"/>
      <x v="9"/>
      <x/>
      <x v="1"/>
    </i>
    <i>
      <x v="19"/>
      <x v="19"/>
      <x v="226"/>
      <x/>
      <x/>
      <x/>
      <x v="2"/>
    </i>
    <i r="2">
      <x v="227"/>
      <x/>
      <x/>
      <x/>
      <x v="1"/>
    </i>
    <i r="3">
      <x v="1"/>
      <x v="1"/>
      <x/>
      <x v="1"/>
    </i>
    <i r="2">
      <x v="228"/>
      <x/>
      <x/>
      <x v="1"/>
      <x v="1"/>
    </i>
    <i r="3">
      <x v="1"/>
      <x v="1"/>
      <x v="1"/>
      <x v="1"/>
    </i>
    <i r="2">
      <x v="229"/>
      <x/>
      <x/>
      <x/>
      <x v="1"/>
    </i>
    <i r="3">
      <x v="1"/>
      <x v="1"/>
      <x/>
      <x v="1"/>
    </i>
    <i r="2">
      <x v="230"/>
      <x/>
      <x/>
      <x/>
      <x v="5"/>
    </i>
    <i r="3">
      <x v="1"/>
      <x v="1"/>
      <x/>
      <x v="2"/>
    </i>
    <i r="2">
      <x v="231"/>
      <x v="25"/>
      <x v="17"/>
      <x v="1"/>
      <x v="1"/>
    </i>
    <i r="3">
      <x v="1"/>
      <x v="1"/>
      <x v="1"/>
      <x v="1"/>
    </i>
    <i>
      <x v="20"/>
      <x v="20"/>
      <x v="232"/>
      <x/>
      <x/>
      <x v="1"/>
      <x v="1"/>
    </i>
    <i r="2">
      <x v="233"/>
      <x/>
      <x/>
      <x/>
      <x v="2"/>
    </i>
    <i r="3">
      <x v="3"/>
      <x v="1"/>
      <x/>
      <x v="1"/>
    </i>
    <i r="3">
      <x v="4"/>
      <x v="2"/>
      <x/>
      <x v="2"/>
    </i>
    <i r="2">
      <x v="234"/>
      <x/>
      <x/>
      <x/>
      <x/>
    </i>
    <i r="2">
      <x v="235"/>
      <x/>
      <x/>
      <x v="2"/>
      <x v="1"/>
    </i>
    <i r="3">
      <x v="1"/>
      <x v="1"/>
      <x v="2"/>
      <x v="1"/>
    </i>
    <i r="3">
      <x v="8"/>
      <x v="2"/>
      <x v="2"/>
      <x v="1"/>
    </i>
    <i r="2">
      <x v="236"/>
      <x v="4"/>
      <x v="2"/>
      <x/>
      <x/>
    </i>
    <i r="2">
      <x v="237"/>
      <x/>
      <x/>
      <x/>
      <x/>
    </i>
    <i r="2">
      <x v="238"/>
      <x/>
      <x/>
      <x v="1"/>
      <x v="1"/>
    </i>
    <i r="3">
      <x v="1"/>
      <x v="1"/>
      <x v="1"/>
      <x v="1"/>
    </i>
    <i r="2">
      <x v="239"/>
      <x/>
      <x/>
      <x/>
      <x/>
    </i>
    <i r="3">
      <x v="3"/>
      <x v="1"/>
      <x/>
      <x/>
    </i>
    <i r="2">
      <x v="240"/>
      <x v="4"/>
      <x v="2"/>
      <x v="1"/>
      <x v="6"/>
    </i>
    <i r="2">
      <x v="241"/>
      <x/>
      <x/>
      <x/>
      <x v="1"/>
    </i>
    <i r="2">
      <x v="242"/>
      <x/>
      <x/>
      <x/>
      <x v="1"/>
    </i>
    <i r="2">
      <x v="243"/>
      <x/>
      <x/>
      <x v="2"/>
      <x v="1"/>
    </i>
    <i r="2">
      <x v="244"/>
      <x v="25"/>
      <x v="17"/>
      <x/>
      <x/>
    </i>
    <i r="2">
      <x v="245"/>
      <x/>
      <x/>
      <x/>
      <x v="1"/>
    </i>
    <i r="3">
      <x v="1"/>
      <x v="1"/>
      <x/>
      <x v="1"/>
    </i>
    <i r="2">
      <x v="246"/>
      <x/>
      <x/>
      <x/>
      <x/>
    </i>
    <i r="2">
      <x v="247"/>
      <x v="4"/>
      <x v="2"/>
      <x v="1"/>
      <x/>
    </i>
    <i r="2">
      <x v="248"/>
      <x/>
      <x/>
      <x/>
      <x/>
    </i>
    <i r="2">
      <x v="249"/>
      <x/>
      <x/>
      <x v="1"/>
      <x v="4"/>
    </i>
    <i>
      <x v="21"/>
      <x v="21"/>
      <x v="250"/>
      <x/>
      <x/>
      <x v="1"/>
      <x v="4"/>
    </i>
    <i r="3">
      <x v="1"/>
      <x v="1"/>
      <x v="1"/>
      <x/>
    </i>
    <i r="2">
      <x v="251"/>
      <x/>
      <x/>
      <x/>
      <x/>
    </i>
    <i r="2">
      <x v="252"/>
      <x/>
      <x/>
      <x v="1"/>
      <x/>
    </i>
    <i r="2">
      <x v="253"/>
      <x/>
      <x/>
      <x v="1"/>
      <x v="1"/>
    </i>
    <i r="2">
      <x v="254"/>
      <x/>
      <x/>
      <x/>
      <x v="1"/>
    </i>
    <i r="2">
      <x v="255"/>
      <x/>
      <x/>
      <x/>
      <x/>
    </i>
    <i r="3">
      <x v="1"/>
      <x v="1"/>
      <x/>
      <x/>
    </i>
    <i r="2">
      <x v="256"/>
      <x/>
      <x/>
      <x/>
      <x v="1"/>
    </i>
    <i r="2">
      <x v="257"/>
      <x v="4"/>
      <x v="2"/>
      <x v="1"/>
      <x/>
    </i>
    <i r="2">
      <x v="258"/>
      <x/>
      <x/>
      <x/>
      <x v="1"/>
    </i>
    <i r="2">
      <x v="259"/>
      <x/>
      <x/>
      <x/>
      <x v="1"/>
    </i>
    <i r="2">
      <x v="260"/>
      <x/>
      <x/>
      <x/>
      <x v="1"/>
    </i>
    <i>
      <x v="22"/>
      <x v="22"/>
      <x v="261"/>
      <x v="31"/>
      <x v="20"/>
      <x/>
      <x v="3"/>
    </i>
    <i r="2">
      <x v="262"/>
      <x/>
      <x/>
      <x v="1"/>
      <x v="1"/>
    </i>
    <i r="2">
      <x v="263"/>
      <x v="12"/>
      <x v="9"/>
      <x/>
      <x v="1"/>
    </i>
    <i r="3">
      <x v="3"/>
      <x v="1"/>
      <x/>
      <x v="1"/>
    </i>
    <i r="2">
      <x v="264"/>
      <x/>
      <x/>
      <x v="1"/>
      <x/>
    </i>
    <i r="3">
      <x v="1"/>
      <x v="1"/>
      <x v="1"/>
      <x/>
    </i>
    <i r="2">
      <x v="265"/>
      <x/>
      <x/>
      <x v="1"/>
      <x v="2"/>
    </i>
    <i r="3">
      <x v="1"/>
      <x v="1"/>
      <x v="1"/>
      <x/>
    </i>
    <i r="2">
      <x v="266"/>
      <x/>
      <x/>
      <x v="1"/>
      <x/>
    </i>
    <i r="3">
      <x v="1"/>
      <x v="1"/>
      <x v="1"/>
      <x v="1"/>
    </i>
    <i r="2">
      <x v="267"/>
      <x/>
      <x/>
      <x/>
      <x v="1"/>
    </i>
    <i r="3">
      <x v="1"/>
      <x v="1"/>
      <x/>
      <x v="1"/>
    </i>
    <i r="3">
      <x v="4"/>
      <x v="2"/>
      <x/>
      <x v="4"/>
    </i>
    <i r="2">
      <x v="268"/>
      <x/>
      <x/>
      <x/>
      <x/>
    </i>
    <i r="3">
      <x v="32"/>
      <x v="21"/>
      <x/>
      <x/>
    </i>
    <i r="2">
      <x v="269"/>
      <x/>
      <x/>
      <x/>
      <x v="1"/>
    </i>
    <i r="3">
      <x v="1"/>
      <x v="1"/>
      <x/>
      <x v="1"/>
    </i>
    <i r="2">
      <x v="270"/>
      <x/>
      <x/>
      <x/>
      <x/>
    </i>
    <i r="3">
      <x v="1"/>
      <x v="1"/>
      <x/>
      <x/>
    </i>
    <i r="3">
      <x v="14"/>
      <x v="11"/>
      <x/>
      <x v="1"/>
    </i>
    <i r="2">
      <x v="271"/>
      <x/>
      <x/>
      <x/>
      <x/>
    </i>
    <i r="2">
      <x v="272"/>
      <x/>
      <x/>
      <x v="1"/>
      <x/>
    </i>
    <i r="2">
      <x v="273"/>
      <x/>
      <x/>
      <x v="1"/>
      <x/>
    </i>
    <i r="2">
      <x v="274"/>
      <x/>
      <x/>
      <x/>
      <x v="1"/>
    </i>
    <i r="2">
      <x v="275"/>
      <x/>
      <x/>
      <x/>
      <x v="1"/>
    </i>
    <i r="2">
      <x v="276"/>
      <x/>
      <x/>
      <x/>
      <x v="1"/>
    </i>
    <i r="2">
      <x v="277"/>
      <x/>
      <x/>
      <x/>
      <x/>
    </i>
    <i r="3">
      <x v="1"/>
      <x v="1"/>
      <x/>
      <x v="1"/>
    </i>
    <i r="2">
      <x v="278"/>
      <x/>
      <x/>
      <x v="2"/>
      <x v="1"/>
    </i>
    <i r="3">
      <x v="1"/>
      <x v="1"/>
      <x v="2"/>
      <x v="1"/>
    </i>
    <i r="2">
      <x v="279"/>
      <x/>
      <x/>
      <x v="1"/>
      <x v="3"/>
    </i>
    <i r="2">
      <x v="280"/>
      <x v="1"/>
      <x v="1"/>
      <x/>
      <x v="1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2" cacheId="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2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2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5"/>
  <sheetViews>
    <sheetView topLeftCell="A31" zoomScale="85" zoomScaleNormal="85" workbookViewId="0">
      <selection activeCell="E5" sqref="E5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30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3000</v>
      </c>
      <c r="F13" t="s">
        <v>7</v>
      </c>
      <c r="G13">
        <v>2</v>
      </c>
      <c r="H13" s="3">
        <v>1</v>
      </c>
      <c r="I13" s="3">
        <v>6000</v>
      </c>
      <c r="J13" s="3">
        <v>0</v>
      </c>
      <c r="K13" s="3">
        <v>6000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M32"/>
    </row>
    <row r="33" spans="1:13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M33"/>
    </row>
    <row r="34" spans="1:13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M37"/>
    </row>
    <row r="38" spans="1:13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3000</v>
      </c>
      <c r="F38" t="s">
        <v>7</v>
      </c>
      <c r="G38">
        <v>1</v>
      </c>
      <c r="H38" s="3">
        <v>1</v>
      </c>
      <c r="I38" s="3">
        <v>3000</v>
      </c>
      <c r="J38" s="3">
        <v>0</v>
      </c>
      <c r="K38" s="3">
        <v>3000</v>
      </c>
      <c r="M38"/>
    </row>
    <row r="39" spans="1:13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4">
        <v>0.59138888888888885</v>
      </c>
      <c r="C46">
        <v>32</v>
      </c>
      <c r="D46" t="s">
        <v>57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4">
        <v>0.60063657407407411</v>
      </c>
      <c r="C47">
        <v>34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4">
        <v>0.80687500000000001</v>
      </c>
      <c r="C61">
        <v>47</v>
      </c>
      <c r="D61" t="s">
        <v>75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M62"/>
    </row>
    <row r="63" spans="1:13" x14ac:dyDescent="0.25">
      <c r="A63" s="10">
        <v>46078</v>
      </c>
      <c r="B63" s="14">
        <v>0.8189467592592593</v>
      </c>
      <c r="C63">
        <v>48</v>
      </c>
      <c r="D63" t="s">
        <v>57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M63"/>
    </row>
    <row r="64" spans="1:13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4">
        <v>0.55702546296296296</v>
      </c>
      <c r="C69">
        <v>54</v>
      </c>
      <c r="D69" t="s">
        <v>75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4">
        <v>0.63410879629629635</v>
      </c>
      <c r="C71">
        <v>56</v>
      </c>
      <c r="D71" t="s">
        <v>58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4">
        <v>0.71579861111111109</v>
      </c>
      <c r="C91">
        <v>71</v>
      </c>
      <c r="D91" t="s">
        <v>57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4">
        <v>0.71579861111111109</v>
      </c>
      <c r="C92">
        <v>71</v>
      </c>
      <c r="D92" t="s">
        <v>59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4">
        <v>0.72542824074074075</v>
      </c>
      <c r="C95">
        <v>72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3000</v>
      </c>
      <c r="F100" t="s">
        <v>28</v>
      </c>
      <c r="G100">
        <v>1</v>
      </c>
      <c r="H100" s="3">
        <v>1</v>
      </c>
      <c r="I100" s="3">
        <v>0</v>
      </c>
      <c r="J100" s="3">
        <v>3000</v>
      </c>
      <c r="K100" s="3">
        <v>3000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75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3000</v>
      </c>
      <c r="F108" t="s">
        <v>8</v>
      </c>
      <c r="G108">
        <v>1</v>
      </c>
      <c r="H108" s="3">
        <v>1</v>
      </c>
      <c r="I108" s="3">
        <v>0</v>
      </c>
      <c r="J108" s="3">
        <v>3000</v>
      </c>
      <c r="K108" s="3">
        <v>3000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59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4">
        <v>0.79509259259259257</v>
      </c>
      <c r="C120">
        <v>87</v>
      </c>
      <c r="D120" t="s">
        <v>60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4">
        <v>0.79549768518518515</v>
      </c>
      <c r="C121">
        <v>88</v>
      </c>
      <c r="D121" t="s">
        <v>57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4">
        <v>0.79572916666666671</v>
      </c>
      <c r="C122">
        <v>89</v>
      </c>
      <c r="D122" t="s">
        <v>57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4">
        <v>0.79718750000000005</v>
      </c>
      <c r="C123">
        <v>90</v>
      </c>
      <c r="D123" t="s">
        <v>61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4">
        <v>0.79751157407407403</v>
      </c>
      <c r="C124">
        <v>91</v>
      </c>
      <c r="D124" t="s">
        <v>62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4">
        <v>0.79766203703703709</v>
      </c>
      <c r="C125">
        <v>92</v>
      </c>
      <c r="D125" t="s">
        <v>63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4">
        <v>0.79902777777777778</v>
      </c>
      <c r="C126">
        <v>93</v>
      </c>
      <c r="D126" t="s">
        <v>75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4">
        <v>0.66587962962962965</v>
      </c>
      <c r="C138">
        <v>102</v>
      </c>
      <c r="D138" t="s">
        <v>60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4">
        <v>0.70716435185185189</v>
      </c>
      <c r="C140">
        <v>104</v>
      </c>
      <c r="D140" t="s">
        <v>64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4">
        <v>0.74128472222222219</v>
      </c>
      <c r="C143">
        <v>106</v>
      </c>
      <c r="D143" t="s">
        <v>53</v>
      </c>
      <c r="E143">
        <v>8000</v>
      </c>
      <c r="F143" t="s">
        <v>7</v>
      </c>
      <c r="G143">
        <v>1</v>
      </c>
      <c r="H143" s="3">
        <v>1</v>
      </c>
      <c r="I143" s="3">
        <v>8000</v>
      </c>
      <c r="J143" s="3">
        <v>0</v>
      </c>
      <c r="K143" s="3">
        <v>8000</v>
      </c>
    </row>
    <row r="144" spans="1:11" x14ac:dyDescent="0.25">
      <c r="A144" s="10">
        <v>46084</v>
      </c>
      <c r="B144" s="14">
        <v>0.74128472222222219</v>
      </c>
      <c r="C144">
        <v>106</v>
      </c>
      <c r="D144" t="s">
        <v>75</v>
      </c>
      <c r="E144">
        <v>4500</v>
      </c>
      <c r="F144" t="s">
        <v>7</v>
      </c>
      <c r="G144">
        <v>2</v>
      </c>
      <c r="H144" s="3">
        <v>1</v>
      </c>
      <c r="I144" s="3">
        <v>9000</v>
      </c>
      <c r="J144" s="3">
        <v>0</v>
      </c>
      <c r="K144" s="3">
        <v>9000</v>
      </c>
    </row>
    <row r="145" spans="1:11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4">
        <v>0.76284722222222223</v>
      </c>
      <c r="C147">
        <v>108</v>
      </c>
      <c r="D147" t="s">
        <v>60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4">
        <v>0.77130787037037041</v>
      </c>
      <c r="C150">
        <v>110</v>
      </c>
      <c r="D150" t="s">
        <v>65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</row>
    <row r="164" spans="1:11" x14ac:dyDescent="0.25">
      <c r="A164" s="10">
        <v>46085</v>
      </c>
      <c r="B164" s="14">
        <v>0.70192129629629629</v>
      </c>
      <c r="C164">
        <v>118</v>
      </c>
      <c r="D164" t="s">
        <v>58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</row>
    <row r="165" spans="1:11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4">
        <v>0.7832175925925926</v>
      </c>
      <c r="C167">
        <v>119</v>
      </c>
      <c r="D167" t="s">
        <v>75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4">
        <v>0.8313194444444445</v>
      </c>
      <c r="C174">
        <v>122</v>
      </c>
      <c r="D174" t="s">
        <v>76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4">
        <v>0.58488425925925924</v>
      </c>
      <c r="C175">
        <v>123</v>
      </c>
      <c r="D175" t="s">
        <v>64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4">
        <v>0.63901620370370371</v>
      </c>
      <c r="C180">
        <v>125</v>
      </c>
      <c r="D180" t="s">
        <v>60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4">
        <v>0.64901620370370372</v>
      </c>
      <c r="C181">
        <v>126</v>
      </c>
      <c r="D181" t="s">
        <v>60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4">
        <v>0.64901620370370372</v>
      </c>
      <c r="C182">
        <v>126</v>
      </c>
      <c r="D182" t="s">
        <v>57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4">
        <v>0.65855324074074073</v>
      </c>
      <c r="C183">
        <v>127</v>
      </c>
      <c r="D183" t="s">
        <v>57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4">
        <v>0.84318287037037032</v>
      </c>
      <c r="C194">
        <v>135</v>
      </c>
      <c r="D194" t="s">
        <v>59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4">
        <v>0.96141203703703704</v>
      </c>
      <c r="C205">
        <v>152</v>
      </c>
      <c r="D205" t="s">
        <v>60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4">
        <v>0.96318287037037043</v>
      </c>
      <c r="C206">
        <v>153</v>
      </c>
      <c r="D206" t="s">
        <v>66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4">
        <v>0.96481481481481479</v>
      </c>
      <c r="C207">
        <v>154</v>
      </c>
      <c r="D207" t="s">
        <v>67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4">
        <v>0.96510416666666665</v>
      </c>
      <c r="C209">
        <v>155</v>
      </c>
      <c r="D209" t="s">
        <v>60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</row>
    <row r="211" spans="1:11" x14ac:dyDescent="0.25">
      <c r="A211" s="10">
        <v>46088</v>
      </c>
      <c r="B211" s="14">
        <v>0.96643518518518523</v>
      </c>
      <c r="C211">
        <v>156</v>
      </c>
      <c r="D211" t="s">
        <v>68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</row>
    <row r="212" spans="1:11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4">
        <v>0.96680555555555558</v>
      </c>
      <c r="C213">
        <v>157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</row>
    <row r="219" spans="1:11" x14ac:dyDescent="0.25">
      <c r="A219" s="10">
        <v>46089</v>
      </c>
      <c r="B219" s="14">
        <v>0.59761574074074075</v>
      </c>
      <c r="C219">
        <v>138</v>
      </c>
      <c r="D219" t="s">
        <v>64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</row>
    <row r="220" spans="1:11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4">
        <v>0.63009259259259254</v>
      </c>
      <c r="C222">
        <v>140</v>
      </c>
      <c r="D222" t="s">
        <v>69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4">
        <v>0.63009259259259254</v>
      </c>
      <c r="C224">
        <v>140</v>
      </c>
      <c r="D224" t="s">
        <v>60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</row>
    <row r="226" spans="1:11" x14ac:dyDescent="0.25">
      <c r="A226" s="10">
        <v>46089</v>
      </c>
      <c r="B226" s="14">
        <v>0.63078703703703709</v>
      </c>
      <c r="C226">
        <v>141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</row>
    <row r="228" spans="1:11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3000</v>
      </c>
      <c r="F230" t="s">
        <v>28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4">
        <v>0.75215277777777778</v>
      </c>
      <c r="C232">
        <v>144</v>
      </c>
      <c r="D232" t="s">
        <v>70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  <row r="233" spans="1:11" x14ac:dyDescent="0.25">
      <c r="A233" s="10">
        <v>46090</v>
      </c>
      <c r="B233" s="14">
        <v>0.66708333333333336</v>
      </c>
      <c r="C233">
        <v>158</v>
      </c>
      <c r="D233" t="s">
        <v>69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</row>
    <row r="234" spans="1:11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</row>
    <row r="235" spans="1:11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</row>
    <row r="236" spans="1:11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</row>
    <row r="237" spans="1:11" x14ac:dyDescent="0.25">
      <c r="A237" s="10">
        <v>46090</v>
      </c>
      <c r="B237" s="14">
        <v>0.67082175925925924</v>
      </c>
      <c r="C237">
        <v>160</v>
      </c>
      <c r="D237" t="s">
        <v>60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</row>
    <row r="238" spans="1:11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</row>
    <row r="239" spans="1:11" x14ac:dyDescent="0.25">
      <c r="A239" s="10">
        <v>46090</v>
      </c>
      <c r="B239" s="14">
        <v>0.68744212962962958</v>
      </c>
      <c r="C239">
        <v>161</v>
      </c>
      <c r="D239" t="s">
        <v>69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</row>
    <row r="240" spans="1:11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</row>
    <row r="241" spans="1:11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</row>
    <row r="242" spans="1:11" x14ac:dyDescent="0.25">
      <c r="A242" s="10">
        <v>46090</v>
      </c>
      <c r="B242" s="14">
        <v>0.74246527777777782</v>
      </c>
      <c r="C242">
        <v>163</v>
      </c>
      <c r="D242" t="s">
        <v>69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</row>
    <row r="243" spans="1:11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</row>
    <row r="244" spans="1:11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</row>
    <row r="245" spans="1:11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</row>
    <row r="246" spans="1:11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</row>
    <row r="247" spans="1:11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</row>
    <row r="248" spans="1:11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</row>
    <row r="249" spans="1:11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</row>
    <row r="250" spans="1:11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</row>
    <row r="251" spans="1:11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</row>
    <row r="252" spans="1:11" x14ac:dyDescent="0.25">
      <c r="A252" s="10">
        <v>46092</v>
      </c>
      <c r="B252" s="14">
        <v>0.6121064814814815</v>
      </c>
      <c r="C252">
        <v>169</v>
      </c>
      <c r="D252" t="s">
        <v>57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</row>
    <row r="253" spans="1:11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</row>
    <row r="254" spans="1:11" x14ac:dyDescent="0.25">
      <c r="A254" s="10">
        <v>46092</v>
      </c>
      <c r="B254" s="14">
        <v>0.61641203703703706</v>
      </c>
      <c r="C254">
        <v>171</v>
      </c>
      <c r="D254" t="s">
        <v>71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</row>
    <row r="255" spans="1:11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7</v>
      </c>
      <c r="G255">
        <v>1</v>
      </c>
      <c r="H255" s="3">
        <v>1</v>
      </c>
      <c r="I255" s="3">
        <v>8000</v>
      </c>
      <c r="J255" s="3">
        <v>0</v>
      </c>
      <c r="K255" s="3">
        <v>8000</v>
      </c>
    </row>
    <row r="256" spans="1:11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</row>
    <row r="257" spans="1:11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</row>
    <row r="258" spans="1:11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</row>
    <row r="259" spans="1:11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</row>
    <row r="260" spans="1:11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</row>
    <row r="261" spans="1:11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</row>
    <row r="262" spans="1:11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</row>
    <row r="263" spans="1:11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</row>
    <row r="264" spans="1:11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</row>
    <row r="265" spans="1:11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</row>
    <row r="266" spans="1:11" x14ac:dyDescent="0.25">
      <c r="A266" s="10">
        <v>46092</v>
      </c>
      <c r="B266" s="14">
        <v>0.75146990740740738</v>
      </c>
      <c r="C266">
        <v>179</v>
      </c>
      <c r="D266" t="s">
        <v>53</v>
      </c>
      <c r="E266">
        <v>8000</v>
      </c>
      <c r="F266" t="s">
        <v>7</v>
      </c>
      <c r="G266">
        <v>1</v>
      </c>
      <c r="H266" s="3">
        <v>1</v>
      </c>
      <c r="I266" s="3">
        <v>8000</v>
      </c>
      <c r="J266" s="3">
        <v>0</v>
      </c>
      <c r="K266" s="3">
        <v>8000</v>
      </c>
    </row>
    <row r="267" spans="1:11" x14ac:dyDescent="0.25">
      <c r="A267" s="10">
        <v>46092</v>
      </c>
      <c r="B267" s="14">
        <v>0.75146990740740738</v>
      </c>
      <c r="C267">
        <v>179</v>
      </c>
      <c r="D267" t="s">
        <v>75</v>
      </c>
      <c r="E267">
        <v>4500</v>
      </c>
      <c r="F267" t="s">
        <v>7</v>
      </c>
      <c r="G267">
        <v>3</v>
      </c>
      <c r="H267" s="3">
        <v>1</v>
      </c>
      <c r="I267" s="3">
        <v>13500</v>
      </c>
      <c r="J267" s="3">
        <v>0</v>
      </c>
      <c r="K267" s="3">
        <v>13500</v>
      </c>
    </row>
    <row r="268" spans="1:11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</row>
    <row r="269" spans="1:11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</row>
    <row r="270" spans="1:11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</row>
    <row r="271" spans="1:11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8</v>
      </c>
      <c r="G271">
        <v>3</v>
      </c>
      <c r="H271" s="3">
        <v>1</v>
      </c>
      <c r="I271" s="3">
        <v>0</v>
      </c>
      <c r="J271" s="3">
        <v>24000</v>
      </c>
      <c r="K271" s="3">
        <v>24000</v>
      </c>
    </row>
    <row r="272" spans="1:11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</row>
    <row r="273" spans="1:11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</row>
    <row r="274" spans="1:11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</row>
    <row r="275" spans="1:11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</row>
    <row r="276" spans="1:11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</row>
    <row r="277" spans="1:11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</row>
    <row r="278" spans="1:11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</row>
    <row r="279" spans="1:11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</row>
    <row r="280" spans="1:11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</row>
    <row r="281" spans="1:11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</row>
    <row r="282" spans="1:11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</row>
    <row r="283" spans="1:11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</row>
    <row r="284" spans="1:11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</row>
    <row r="285" spans="1:11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</row>
    <row r="286" spans="1:11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</row>
    <row r="287" spans="1:11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</row>
    <row r="288" spans="1:11" x14ac:dyDescent="0.25">
      <c r="A288" s="10">
        <v>46093</v>
      </c>
      <c r="B288" s="14">
        <v>0.61758101851851854</v>
      </c>
      <c r="C288">
        <v>195</v>
      </c>
      <c r="D288" t="s">
        <v>53</v>
      </c>
      <c r="E288">
        <v>8000</v>
      </c>
      <c r="F288" t="s">
        <v>28</v>
      </c>
      <c r="G288">
        <v>1</v>
      </c>
      <c r="H288" s="3">
        <v>1</v>
      </c>
      <c r="I288" s="3">
        <v>0</v>
      </c>
      <c r="J288" s="3">
        <v>8000</v>
      </c>
      <c r="K288" s="3">
        <v>8000</v>
      </c>
    </row>
    <row r="289" spans="1:11" x14ac:dyDescent="0.25">
      <c r="A289" s="10">
        <v>46093</v>
      </c>
      <c r="B289" s="14">
        <v>0.61758101851851854</v>
      </c>
      <c r="C289">
        <v>195</v>
      </c>
      <c r="D289" t="s">
        <v>69</v>
      </c>
      <c r="E289">
        <v>35000</v>
      </c>
      <c r="F289" t="s">
        <v>28</v>
      </c>
      <c r="G289">
        <v>1</v>
      </c>
      <c r="H289" s="3">
        <v>1</v>
      </c>
      <c r="I289" s="3">
        <v>0</v>
      </c>
      <c r="J289" s="3">
        <v>35000</v>
      </c>
      <c r="K289" s="3">
        <v>35000</v>
      </c>
    </row>
    <row r="290" spans="1:11" x14ac:dyDescent="0.25">
      <c r="A290" s="10">
        <v>46093</v>
      </c>
      <c r="B290" s="14">
        <v>0.61758101851851854</v>
      </c>
      <c r="C290">
        <v>195</v>
      </c>
      <c r="D290" t="s">
        <v>54</v>
      </c>
      <c r="E290">
        <v>3000</v>
      </c>
      <c r="F290" t="s">
        <v>28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</row>
    <row r="291" spans="1:11" x14ac:dyDescent="0.25">
      <c r="A291" s="10">
        <v>46093</v>
      </c>
      <c r="B291" s="14">
        <v>0.61758101851851854</v>
      </c>
      <c r="C291">
        <v>195</v>
      </c>
      <c r="D291" t="s">
        <v>56</v>
      </c>
      <c r="E291">
        <v>3000</v>
      </c>
      <c r="F291" t="s">
        <v>28</v>
      </c>
      <c r="G291">
        <v>3</v>
      </c>
      <c r="H291" s="3">
        <v>1</v>
      </c>
      <c r="I291" s="3">
        <v>0</v>
      </c>
      <c r="J291" s="3">
        <v>9000</v>
      </c>
      <c r="K291" s="3">
        <v>9000</v>
      </c>
    </row>
    <row r="292" spans="1:11" x14ac:dyDescent="0.25">
      <c r="A292" s="10">
        <v>46093</v>
      </c>
      <c r="B292" s="14">
        <v>0.61758101851851854</v>
      </c>
      <c r="C292">
        <v>195</v>
      </c>
      <c r="D292" t="s">
        <v>77</v>
      </c>
      <c r="E292">
        <v>27000</v>
      </c>
      <c r="F292" t="s">
        <v>28</v>
      </c>
      <c r="G292">
        <v>1</v>
      </c>
      <c r="H292" s="3">
        <v>1</v>
      </c>
      <c r="I292" s="3">
        <v>0</v>
      </c>
      <c r="J292" s="3">
        <v>27000</v>
      </c>
      <c r="K292" s="3">
        <v>27000</v>
      </c>
    </row>
    <row r="293" spans="1:11" x14ac:dyDescent="0.25">
      <c r="A293" s="10">
        <v>46093</v>
      </c>
      <c r="B293" s="14">
        <v>0.68311342592592594</v>
      </c>
      <c r="C293">
        <v>196</v>
      </c>
      <c r="D293" t="s">
        <v>53</v>
      </c>
      <c r="E293">
        <v>8000</v>
      </c>
      <c r="F293" t="s">
        <v>8</v>
      </c>
      <c r="G293">
        <v>3</v>
      </c>
      <c r="H293" s="3">
        <v>1</v>
      </c>
      <c r="I293" s="3">
        <v>0</v>
      </c>
      <c r="J293" s="3">
        <v>24000</v>
      </c>
      <c r="K293" s="3">
        <v>24000</v>
      </c>
    </row>
    <row r="294" spans="1:11" x14ac:dyDescent="0.25">
      <c r="A294" s="10">
        <v>46093</v>
      </c>
      <c r="B294" s="14">
        <v>0.73273148148148148</v>
      </c>
      <c r="C294">
        <v>197</v>
      </c>
      <c r="D294" t="s">
        <v>53</v>
      </c>
      <c r="E294">
        <v>8000</v>
      </c>
      <c r="F294" t="s">
        <v>7</v>
      </c>
      <c r="G294">
        <v>1</v>
      </c>
      <c r="H294" s="3">
        <v>1</v>
      </c>
      <c r="I294" s="3">
        <v>8000</v>
      </c>
      <c r="J294" s="3">
        <v>0</v>
      </c>
      <c r="K294" s="3">
        <v>8000</v>
      </c>
    </row>
    <row r="295" spans="1:11" x14ac:dyDescent="0.25">
      <c r="A295" s="10">
        <v>46093</v>
      </c>
      <c r="B295" s="14">
        <v>0.73388888888888892</v>
      </c>
      <c r="C295">
        <v>198</v>
      </c>
      <c r="D295" t="s">
        <v>53</v>
      </c>
      <c r="E295">
        <v>8000</v>
      </c>
      <c r="F295" t="s">
        <v>8</v>
      </c>
      <c r="G295">
        <v>1</v>
      </c>
      <c r="H295" s="3">
        <v>1</v>
      </c>
      <c r="I295" s="3">
        <v>0</v>
      </c>
      <c r="J295" s="3">
        <v>8000</v>
      </c>
      <c r="K295" s="3">
        <v>8000</v>
      </c>
    </row>
    <row r="296" spans="1:11" x14ac:dyDescent="0.25">
      <c r="A296" s="10">
        <v>46093</v>
      </c>
      <c r="B296" s="14">
        <v>0.73388888888888892</v>
      </c>
      <c r="C296">
        <v>198</v>
      </c>
      <c r="D296" t="s">
        <v>54</v>
      </c>
      <c r="E296">
        <v>3000</v>
      </c>
      <c r="F296" t="s">
        <v>8</v>
      </c>
      <c r="G296">
        <v>1</v>
      </c>
      <c r="H296" s="3">
        <v>1</v>
      </c>
      <c r="I296" s="3">
        <v>0</v>
      </c>
      <c r="J296" s="3">
        <v>3000</v>
      </c>
      <c r="K296" s="3">
        <v>3000</v>
      </c>
    </row>
    <row r="297" spans="1:11" x14ac:dyDescent="0.25">
      <c r="A297" s="10">
        <v>46093</v>
      </c>
      <c r="B297" s="14">
        <v>0.73430555555555554</v>
      </c>
      <c r="C297">
        <v>199</v>
      </c>
      <c r="D297" t="s">
        <v>53</v>
      </c>
      <c r="E297">
        <v>8000</v>
      </c>
      <c r="F297" t="s">
        <v>7</v>
      </c>
      <c r="G297">
        <v>3</v>
      </c>
      <c r="H297" s="3">
        <v>1</v>
      </c>
      <c r="I297" s="3">
        <v>24000</v>
      </c>
      <c r="J297" s="3">
        <v>0</v>
      </c>
      <c r="K297" s="3">
        <v>24000</v>
      </c>
    </row>
    <row r="298" spans="1:11" x14ac:dyDescent="0.25">
      <c r="A298" s="10">
        <v>46093</v>
      </c>
      <c r="B298" s="14">
        <v>0.74609953703703702</v>
      </c>
      <c r="C298">
        <v>200</v>
      </c>
      <c r="D298" t="s">
        <v>53</v>
      </c>
      <c r="E298">
        <v>8000</v>
      </c>
      <c r="F298" t="s">
        <v>7</v>
      </c>
      <c r="G298">
        <v>3</v>
      </c>
      <c r="H298" s="3">
        <v>1</v>
      </c>
      <c r="I298" s="3">
        <v>24000</v>
      </c>
      <c r="J298" s="3">
        <v>0</v>
      </c>
      <c r="K298" s="3">
        <v>24000</v>
      </c>
    </row>
    <row r="299" spans="1:11" x14ac:dyDescent="0.25">
      <c r="A299" s="10">
        <v>46093</v>
      </c>
      <c r="B299" s="14">
        <v>0.74609953703703702</v>
      </c>
      <c r="C299">
        <v>200</v>
      </c>
      <c r="D299" t="s">
        <v>54</v>
      </c>
      <c r="E299">
        <v>3000</v>
      </c>
      <c r="F299" t="s">
        <v>7</v>
      </c>
      <c r="G299">
        <v>1</v>
      </c>
      <c r="H299" s="3">
        <v>1</v>
      </c>
      <c r="I299" s="3">
        <v>3000</v>
      </c>
      <c r="J299" s="3">
        <v>0</v>
      </c>
      <c r="K299" s="3">
        <v>3000</v>
      </c>
    </row>
    <row r="300" spans="1:11" x14ac:dyDescent="0.25">
      <c r="A300" s="10">
        <v>46093</v>
      </c>
      <c r="B300" s="14">
        <v>0.75689814814814815</v>
      </c>
      <c r="C300">
        <v>201</v>
      </c>
      <c r="D300" t="s">
        <v>53</v>
      </c>
      <c r="E300">
        <v>8000</v>
      </c>
      <c r="F300" t="s">
        <v>7</v>
      </c>
      <c r="G300">
        <v>1</v>
      </c>
      <c r="H300" s="3">
        <v>1</v>
      </c>
      <c r="I300" s="3">
        <v>8000</v>
      </c>
      <c r="J300" s="3">
        <v>0</v>
      </c>
      <c r="K300" s="3">
        <v>8000</v>
      </c>
    </row>
    <row r="301" spans="1:11" x14ac:dyDescent="0.25">
      <c r="A301" s="10">
        <v>46093</v>
      </c>
      <c r="B301" s="14">
        <v>0.78898148148148151</v>
      </c>
      <c r="C301">
        <v>202</v>
      </c>
      <c r="D301" t="s">
        <v>53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</row>
    <row r="302" spans="1:11" x14ac:dyDescent="0.25">
      <c r="A302" s="10">
        <v>46093</v>
      </c>
      <c r="B302" s="14">
        <v>0.80218750000000005</v>
      </c>
      <c r="C302">
        <v>203</v>
      </c>
      <c r="D302" t="s">
        <v>53</v>
      </c>
      <c r="E302">
        <v>8000</v>
      </c>
      <c r="F302" t="s">
        <v>8</v>
      </c>
      <c r="G302">
        <v>1</v>
      </c>
      <c r="H302" s="3">
        <v>1</v>
      </c>
      <c r="I302" s="3">
        <v>0</v>
      </c>
      <c r="J302" s="3">
        <v>8000</v>
      </c>
      <c r="K302" s="3">
        <v>8000</v>
      </c>
    </row>
    <row r="303" spans="1:11" x14ac:dyDescent="0.25">
      <c r="A303" s="10">
        <v>46093</v>
      </c>
      <c r="B303" s="14">
        <v>0.80218750000000005</v>
      </c>
      <c r="C303">
        <v>203</v>
      </c>
      <c r="D303" t="s">
        <v>54</v>
      </c>
      <c r="E303">
        <v>3000</v>
      </c>
      <c r="F303" t="s">
        <v>8</v>
      </c>
      <c r="G303">
        <v>1</v>
      </c>
      <c r="H303" s="3">
        <v>1</v>
      </c>
      <c r="I303" s="3">
        <v>0</v>
      </c>
      <c r="J303" s="3">
        <v>3000</v>
      </c>
      <c r="K303" s="3">
        <v>3000</v>
      </c>
    </row>
    <row r="304" spans="1:11" x14ac:dyDescent="0.25">
      <c r="A304" s="10">
        <v>46093</v>
      </c>
      <c r="B304" s="14">
        <v>0.81907407407407407</v>
      </c>
      <c r="C304">
        <v>204</v>
      </c>
      <c r="D304" t="s">
        <v>53</v>
      </c>
      <c r="E304">
        <v>8000</v>
      </c>
      <c r="F304" t="s">
        <v>8</v>
      </c>
      <c r="G304">
        <v>3</v>
      </c>
      <c r="H304" s="3">
        <v>1</v>
      </c>
      <c r="I304" s="3">
        <v>0</v>
      </c>
      <c r="J304" s="3">
        <v>24000</v>
      </c>
      <c r="K304" s="3">
        <v>24000</v>
      </c>
    </row>
    <row r="305" spans="1:11" x14ac:dyDescent="0.25">
      <c r="A305" s="10">
        <v>46094</v>
      </c>
      <c r="B305" s="14">
        <v>0.96432870370370372</v>
      </c>
      <c r="C305">
        <v>219</v>
      </c>
      <c r="D305" t="s">
        <v>53</v>
      </c>
      <c r="E305">
        <v>8000</v>
      </c>
      <c r="F305" t="s">
        <v>7</v>
      </c>
      <c r="G305">
        <v>1</v>
      </c>
      <c r="H305" s="3">
        <v>1</v>
      </c>
      <c r="I305" s="3">
        <v>8000</v>
      </c>
      <c r="J305" s="3">
        <v>0</v>
      </c>
      <c r="K305" s="3">
        <v>8000</v>
      </c>
    </row>
    <row r="306" spans="1:11" x14ac:dyDescent="0.25">
      <c r="A306" s="10">
        <v>46094</v>
      </c>
      <c r="B306" s="14">
        <v>0.96482638888888894</v>
      </c>
      <c r="C306">
        <v>220</v>
      </c>
      <c r="D306" t="s">
        <v>53</v>
      </c>
      <c r="E306">
        <v>8000</v>
      </c>
      <c r="F306" t="s">
        <v>7</v>
      </c>
      <c r="G306">
        <v>2</v>
      </c>
      <c r="H306" s="3">
        <v>1</v>
      </c>
      <c r="I306" s="3">
        <v>16000</v>
      </c>
      <c r="J306" s="3">
        <v>0</v>
      </c>
      <c r="K306" s="3">
        <v>16000</v>
      </c>
    </row>
    <row r="307" spans="1:11" x14ac:dyDescent="0.25">
      <c r="A307" s="10">
        <v>46094</v>
      </c>
      <c r="B307" s="14">
        <v>0.96482638888888894</v>
      </c>
      <c r="C307">
        <v>220</v>
      </c>
      <c r="D307" t="s">
        <v>54</v>
      </c>
      <c r="E307">
        <v>3000</v>
      </c>
      <c r="F307" t="s">
        <v>7</v>
      </c>
      <c r="G307">
        <v>2</v>
      </c>
      <c r="H307" s="3">
        <v>1</v>
      </c>
      <c r="I307" s="3">
        <v>6000</v>
      </c>
      <c r="J307" s="3">
        <v>0</v>
      </c>
      <c r="K307" s="3">
        <v>6000</v>
      </c>
    </row>
    <row r="308" spans="1:11" x14ac:dyDescent="0.25">
      <c r="A308" s="10">
        <v>46094</v>
      </c>
      <c r="B308" s="14">
        <v>0.96505787037037039</v>
      </c>
      <c r="C308">
        <v>221</v>
      </c>
      <c r="D308" t="s">
        <v>75</v>
      </c>
      <c r="E308">
        <v>4500</v>
      </c>
      <c r="F308" t="s">
        <v>7</v>
      </c>
      <c r="G308">
        <v>3</v>
      </c>
      <c r="H308" s="3">
        <v>1</v>
      </c>
      <c r="I308" s="3">
        <v>13500</v>
      </c>
      <c r="J308" s="3">
        <v>0</v>
      </c>
      <c r="K308" s="3">
        <v>13500</v>
      </c>
    </row>
    <row r="309" spans="1:11" x14ac:dyDescent="0.25">
      <c r="A309" s="10">
        <v>46094</v>
      </c>
      <c r="B309" s="14">
        <v>0.96568287037037037</v>
      </c>
      <c r="C309">
        <v>222</v>
      </c>
      <c r="D309" t="s">
        <v>53</v>
      </c>
      <c r="E309">
        <v>8000</v>
      </c>
      <c r="F309" t="s">
        <v>7</v>
      </c>
      <c r="G309">
        <v>3</v>
      </c>
      <c r="H309" s="3">
        <v>1</v>
      </c>
      <c r="I309" s="3">
        <v>24000</v>
      </c>
      <c r="J309" s="3">
        <v>0</v>
      </c>
      <c r="K309" s="3">
        <v>24000</v>
      </c>
    </row>
    <row r="310" spans="1:11" x14ac:dyDescent="0.25">
      <c r="A310" s="10">
        <v>46094</v>
      </c>
      <c r="B310" s="14">
        <v>0.96568287037037037</v>
      </c>
      <c r="C310">
        <v>222</v>
      </c>
      <c r="D310" t="s">
        <v>54</v>
      </c>
      <c r="E310">
        <v>3000</v>
      </c>
      <c r="F310" t="s">
        <v>7</v>
      </c>
      <c r="G310">
        <v>3</v>
      </c>
      <c r="H310" s="3">
        <v>1</v>
      </c>
      <c r="I310" s="3">
        <v>9000</v>
      </c>
      <c r="J310" s="3">
        <v>0</v>
      </c>
      <c r="K310" s="3">
        <v>9000</v>
      </c>
    </row>
    <row r="311" spans="1:11" x14ac:dyDescent="0.25">
      <c r="A311" s="10">
        <v>46094</v>
      </c>
      <c r="B311" s="14">
        <v>0.96591435185185182</v>
      </c>
      <c r="C311">
        <v>223</v>
      </c>
      <c r="D311" t="s">
        <v>75</v>
      </c>
      <c r="E311">
        <v>4500</v>
      </c>
      <c r="F311" t="s">
        <v>7</v>
      </c>
      <c r="G311">
        <v>4</v>
      </c>
      <c r="H311" s="3">
        <v>1</v>
      </c>
      <c r="I311" s="3">
        <v>18000</v>
      </c>
      <c r="J311" s="3">
        <v>0</v>
      </c>
      <c r="K311" s="3">
        <v>18000</v>
      </c>
    </row>
    <row r="312" spans="1:11" x14ac:dyDescent="0.25">
      <c r="A312" s="10">
        <v>46094</v>
      </c>
      <c r="B312" s="14">
        <v>0.96614583333333337</v>
      </c>
      <c r="C312">
        <v>224</v>
      </c>
      <c r="D312" t="s">
        <v>53</v>
      </c>
      <c r="E312">
        <v>8000</v>
      </c>
      <c r="F312" t="s">
        <v>7</v>
      </c>
      <c r="G312">
        <v>1</v>
      </c>
      <c r="H312" s="3">
        <v>1</v>
      </c>
      <c r="I312" s="3">
        <v>8000</v>
      </c>
      <c r="J312" s="3">
        <v>0</v>
      </c>
      <c r="K312" s="3">
        <v>8000</v>
      </c>
    </row>
    <row r="313" spans="1:11" x14ac:dyDescent="0.25">
      <c r="A313" s="10">
        <v>46094</v>
      </c>
      <c r="B313" s="14">
        <v>0.96630787037037036</v>
      </c>
      <c r="C313">
        <v>225</v>
      </c>
      <c r="D313" t="s">
        <v>71</v>
      </c>
      <c r="E313">
        <v>30000</v>
      </c>
      <c r="F313" t="s">
        <v>7</v>
      </c>
      <c r="G313">
        <v>1</v>
      </c>
      <c r="H313" s="3">
        <v>1</v>
      </c>
      <c r="I313" s="3">
        <v>30000</v>
      </c>
      <c r="J313" s="3">
        <v>0</v>
      </c>
      <c r="K313" s="3">
        <v>30000</v>
      </c>
    </row>
    <row r="314" spans="1:11" x14ac:dyDescent="0.25">
      <c r="A314" s="10">
        <v>46095</v>
      </c>
      <c r="B314" s="14">
        <v>0.63886574074074076</v>
      </c>
      <c r="C314">
        <v>205</v>
      </c>
      <c r="D314" t="s">
        <v>53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</row>
    <row r="315" spans="1:11" x14ac:dyDescent="0.25">
      <c r="A315" s="10">
        <v>46095</v>
      </c>
      <c r="B315" s="14">
        <v>0.63886574074074076</v>
      </c>
      <c r="C315">
        <v>205</v>
      </c>
      <c r="D315" t="s">
        <v>54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</row>
    <row r="316" spans="1:11" x14ac:dyDescent="0.25">
      <c r="A316" s="10">
        <v>46095</v>
      </c>
      <c r="B316" s="14">
        <v>0.63942129629629629</v>
      </c>
      <c r="C316">
        <v>206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</row>
    <row r="317" spans="1:11" x14ac:dyDescent="0.25">
      <c r="A317" s="10">
        <v>46095</v>
      </c>
      <c r="B317" s="14">
        <v>0.63942129629629629</v>
      </c>
      <c r="C317">
        <v>206</v>
      </c>
      <c r="D317" t="s">
        <v>54</v>
      </c>
      <c r="E317">
        <v>3000</v>
      </c>
      <c r="F317" t="s">
        <v>7</v>
      </c>
      <c r="G317">
        <v>1</v>
      </c>
      <c r="H317" s="3">
        <v>1</v>
      </c>
      <c r="I317" s="3">
        <v>3000</v>
      </c>
      <c r="J317" s="3">
        <v>0</v>
      </c>
      <c r="K317" s="3">
        <v>3000</v>
      </c>
    </row>
    <row r="318" spans="1:11" x14ac:dyDescent="0.25">
      <c r="A318" s="10">
        <v>46095</v>
      </c>
      <c r="B318" s="14">
        <v>0.64011574074074074</v>
      </c>
      <c r="C318">
        <v>207</v>
      </c>
      <c r="D318" t="s">
        <v>75</v>
      </c>
      <c r="E318">
        <v>4500</v>
      </c>
      <c r="F318" t="s">
        <v>7</v>
      </c>
      <c r="G318">
        <v>2</v>
      </c>
      <c r="H318" s="3">
        <v>1</v>
      </c>
      <c r="I318" s="3">
        <v>9000</v>
      </c>
      <c r="J318" s="3">
        <v>0</v>
      </c>
      <c r="K318" s="3">
        <v>9000</v>
      </c>
    </row>
    <row r="319" spans="1:11" x14ac:dyDescent="0.25">
      <c r="A319" s="10">
        <v>46095</v>
      </c>
      <c r="B319" s="14">
        <v>0.64046296296296301</v>
      </c>
      <c r="C319">
        <v>208</v>
      </c>
      <c r="D319" t="s">
        <v>53</v>
      </c>
      <c r="E319">
        <v>8000</v>
      </c>
      <c r="F319" t="s">
        <v>7</v>
      </c>
      <c r="G319">
        <v>2</v>
      </c>
      <c r="H319" s="3">
        <v>1</v>
      </c>
      <c r="I319" s="3">
        <v>16000</v>
      </c>
      <c r="J319" s="3">
        <v>0</v>
      </c>
      <c r="K319" s="3">
        <v>16000</v>
      </c>
    </row>
    <row r="320" spans="1:11" x14ac:dyDescent="0.25">
      <c r="A320" s="10">
        <v>46095</v>
      </c>
      <c r="B320" s="14">
        <v>0.64046296296296301</v>
      </c>
      <c r="C320">
        <v>208</v>
      </c>
      <c r="D320" t="s">
        <v>54</v>
      </c>
      <c r="E320">
        <v>3000</v>
      </c>
      <c r="F320" t="s">
        <v>7</v>
      </c>
      <c r="G320">
        <v>2</v>
      </c>
      <c r="H320" s="3">
        <v>1</v>
      </c>
      <c r="I320" s="3">
        <v>6000</v>
      </c>
      <c r="J320" s="3">
        <v>0</v>
      </c>
      <c r="K320" s="3">
        <v>6000</v>
      </c>
    </row>
    <row r="321" spans="1:11" x14ac:dyDescent="0.25">
      <c r="A321" s="10">
        <v>46095</v>
      </c>
      <c r="B321" s="14">
        <v>0.6466319444444445</v>
      </c>
      <c r="C321">
        <v>209</v>
      </c>
      <c r="D321" t="s">
        <v>78</v>
      </c>
      <c r="E321">
        <v>7000</v>
      </c>
      <c r="F321" t="s">
        <v>7</v>
      </c>
      <c r="G321">
        <v>1</v>
      </c>
      <c r="H321" s="3">
        <v>1</v>
      </c>
      <c r="I321" s="3">
        <v>7000</v>
      </c>
      <c r="J321" s="3">
        <v>0</v>
      </c>
      <c r="K321" s="3">
        <v>7000</v>
      </c>
    </row>
    <row r="322" spans="1:11" x14ac:dyDescent="0.25">
      <c r="A322" s="10">
        <v>46095</v>
      </c>
      <c r="B322" s="14">
        <v>0.6466319444444445</v>
      </c>
      <c r="C322">
        <v>209</v>
      </c>
      <c r="D322" t="s">
        <v>64</v>
      </c>
      <c r="E322">
        <v>30000</v>
      </c>
      <c r="F322" t="s">
        <v>7</v>
      </c>
      <c r="G322">
        <v>1</v>
      </c>
      <c r="H322" s="3">
        <v>1</v>
      </c>
      <c r="I322" s="3">
        <v>30000</v>
      </c>
      <c r="J322" s="3">
        <v>0</v>
      </c>
      <c r="K322" s="3">
        <v>30000</v>
      </c>
    </row>
    <row r="323" spans="1:11" x14ac:dyDescent="0.25">
      <c r="A323" s="10">
        <v>46095</v>
      </c>
      <c r="B323" s="14">
        <v>0.64921296296296294</v>
      </c>
      <c r="C323">
        <v>210</v>
      </c>
      <c r="D323" t="s">
        <v>53</v>
      </c>
      <c r="E323">
        <v>8000</v>
      </c>
      <c r="F323" t="s">
        <v>7</v>
      </c>
      <c r="G323">
        <v>3</v>
      </c>
      <c r="H323" s="3">
        <v>1</v>
      </c>
      <c r="I323" s="3">
        <v>24000</v>
      </c>
      <c r="J323" s="3">
        <v>0</v>
      </c>
      <c r="K323" s="3">
        <v>24000</v>
      </c>
    </row>
    <row r="324" spans="1:11" x14ac:dyDescent="0.25">
      <c r="A324" s="10">
        <v>46095</v>
      </c>
      <c r="B324" s="14">
        <v>0.64921296296296294</v>
      </c>
      <c r="C324">
        <v>210</v>
      </c>
      <c r="D324" t="s">
        <v>54</v>
      </c>
      <c r="E324">
        <v>3000</v>
      </c>
      <c r="F324" t="s">
        <v>7</v>
      </c>
      <c r="G324">
        <v>1</v>
      </c>
      <c r="H324" s="3">
        <v>1</v>
      </c>
      <c r="I324" s="3">
        <v>3000</v>
      </c>
      <c r="J324" s="3">
        <v>0</v>
      </c>
      <c r="K324" s="3">
        <v>3000</v>
      </c>
    </row>
    <row r="325" spans="1:11" x14ac:dyDescent="0.25">
      <c r="A325" s="10">
        <v>46095</v>
      </c>
      <c r="B325" s="14">
        <v>0.64921296296296294</v>
      </c>
      <c r="C325">
        <v>210</v>
      </c>
      <c r="D325" t="s">
        <v>79</v>
      </c>
      <c r="E325">
        <v>15000</v>
      </c>
      <c r="F325" t="s">
        <v>7</v>
      </c>
      <c r="G325">
        <v>1</v>
      </c>
      <c r="H325" s="3">
        <v>1</v>
      </c>
      <c r="I325" s="3">
        <v>15000</v>
      </c>
      <c r="J325" s="3">
        <v>0</v>
      </c>
      <c r="K325" s="3">
        <v>15000</v>
      </c>
    </row>
    <row r="326" spans="1:11" x14ac:dyDescent="0.25">
      <c r="A326" s="10">
        <v>46095</v>
      </c>
      <c r="B326" s="14">
        <v>0.66251157407407413</v>
      </c>
      <c r="C326">
        <v>211</v>
      </c>
      <c r="D326" t="s">
        <v>80</v>
      </c>
      <c r="E326">
        <v>23000</v>
      </c>
      <c r="F326" t="s">
        <v>28</v>
      </c>
      <c r="G326">
        <v>1</v>
      </c>
      <c r="H326" s="3">
        <v>1</v>
      </c>
      <c r="I326" s="3">
        <v>0</v>
      </c>
      <c r="J326" s="3">
        <v>23000</v>
      </c>
      <c r="K326" s="3">
        <v>23000</v>
      </c>
    </row>
    <row r="327" spans="1:11" x14ac:dyDescent="0.25">
      <c r="A327" s="10">
        <v>46095</v>
      </c>
      <c r="B327" s="14">
        <v>0.66951388888888885</v>
      </c>
      <c r="C327">
        <v>212</v>
      </c>
      <c r="D327" t="s">
        <v>53</v>
      </c>
      <c r="E327">
        <v>8000</v>
      </c>
      <c r="F327" t="s">
        <v>8</v>
      </c>
      <c r="G327">
        <v>1</v>
      </c>
      <c r="H327" s="3">
        <v>1</v>
      </c>
      <c r="I327" s="3">
        <v>0</v>
      </c>
      <c r="J327" s="3">
        <v>8000</v>
      </c>
      <c r="K327" s="3">
        <v>8000</v>
      </c>
    </row>
    <row r="328" spans="1:11" x14ac:dyDescent="0.25">
      <c r="A328" s="10">
        <v>46095</v>
      </c>
      <c r="B328" s="14">
        <v>0.66951388888888885</v>
      </c>
      <c r="C328">
        <v>212</v>
      </c>
      <c r="D328" t="s">
        <v>54</v>
      </c>
      <c r="E328">
        <v>3000</v>
      </c>
      <c r="F328" t="s">
        <v>8</v>
      </c>
      <c r="G328">
        <v>1</v>
      </c>
      <c r="H328" s="3">
        <v>1</v>
      </c>
      <c r="I328" s="3">
        <v>0</v>
      </c>
      <c r="J328" s="3">
        <v>3000</v>
      </c>
      <c r="K328" s="3">
        <v>3000</v>
      </c>
    </row>
    <row r="329" spans="1:11" x14ac:dyDescent="0.25">
      <c r="A329" s="10">
        <v>46095</v>
      </c>
      <c r="B329" s="14">
        <v>0.67760416666666667</v>
      </c>
      <c r="C329">
        <v>213</v>
      </c>
      <c r="D329" t="s">
        <v>81</v>
      </c>
      <c r="E329">
        <v>20000</v>
      </c>
      <c r="F329" t="s">
        <v>7</v>
      </c>
      <c r="G329">
        <v>1</v>
      </c>
      <c r="H329" s="3">
        <v>1</v>
      </c>
      <c r="I329" s="3">
        <v>20000</v>
      </c>
      <c r="J329" s="3">
        <v>0</v>
      </c>
      <c r="K329" s="3">
        <v>20000</v>
      </c>
    </row>
    <row r="330" spans="1:11" x14ac:dyDescent="0.25">
      <c r="A330" s="10">
        <v>46095</v>
      </c>
      <c r="B330" s="14">
        <v>0.68554398148148143</v>
      </c>
      <c r="C330">
        <v>214</v>
      </c>
      <c r="D330" t="s">
        <v>53</v>
      </c>
      <c r="E330">
        <v>8000</v>
      </c>
      <c r="F330" t="s">
        <v>7</v>
      </c>
      <c r="G330">
        <v>3</v>
      </c>
      <c r="H330" s="3">
        <v>1</v>
      </c>
      <c r="I330" s="3">
        <v>24000</v>
      </c>
      <c r="J330" s="3">
        <v>0</v>
      </c>
      <c r="K330" s="3">
        <v>24000</v>
      </c>
    </row>
    <row r="331" spans="1:11" x14ac:dyDescent="0.25">
      <c r="A331" s="10">
        <v>46095</v>
      </c>
      <c r="B331" s="14">
        <v>0.68554398148148143</v>
      </c>
      <c r="C331">
        <v>214</v>
      </c>
      <c r="D331" t="s">
        <v>78</v>
      </c>
      <c r="E331">
        <v>7000</v>
      </c>
      <c r="F331" t="s">
        <v>7</v>
      </c>
      <c r="G331">
        <v>1</v>
      </c>
      <c r="H331" s="3">
        <v>1</v>
      </c>
      <c r="I331" s="3">
        <v>7000</v>
      </c>
      <c r="J331" s="3">
        <v>0</v>
      </c>
      <c r="K331" s="3">
        <v>7000</v>
      </c>
    </row>
    <row r="332" spans="1:11" x14ac:dyDescent="0.25">
      <c r="A332" s="10">
        <v>46095</v>
      </c>
      <c r="B332" s="14">
        <v>0.68554398148148143</v>
      </c>
      <c r="C332">
        <v>214</v>
      </c>
      <c r="D332" t="s">
        <v>54</v>
      </c>
      <c r="E332">
        <v>3000</v>
      </c>
      <c r="F332" t="s">
        <v>7</v>
      </c>
      <c r="G332">
        <v>3</v>
      </c>
      <c r="H332" s="3">
        <v>1</v>
      </c>
      <c r="I332" s="3">
        <v>9000</v>
      </c>
      <c r="J332" s="3">
        <v>0</v>
      </c>
      <c r="K332" s="3">
        <v>9000</v>
      </c>
    </row>
    <row r="333" spans="1:11" x14ac:dyDescent="0.25">
      <c r="A333" s="10">
        <v>46095</v>
      </c>
      <c r="B333" s="14">
        <v>0.68554398148148143</v>
      </c>
      <c r="C333">
        <v>214</v>
      </c>
      <c r="D333" t="s">
        <v>67</v>
      </c>
      <c r="E333">
        <v>60000</v>
      </c>
      <c r="F333" t="s">
        <v>7</v>
      </c>
      <c r="G333">
        <v>1</v>
      </c>
      <c r="H333" s="3">
        <v>1</v>
      </c>
      <c r="I333" s="3">
        <v>60000</v>
      </c>
      <c r="J333" s="3">
        <v>0</v>
      </c>
      <c r="K333" s="3">
        <v>60000</v>
      </c>
    </row>
    <row r="334" spans="1:11" x14ac:dyDescent="0.25">
      <c r="A334" s="10">
        <v>46095</v>
      </c>
      <c r="B334" s="14">
        <v>0.70613425925925921</v>
      </c>
      <c r="C334">
        <v>215</v>
      </c>
      <c r="D334" t="s">
        <v>55</v>
      </c>
      <c r="E334">
        <v>3000</v>
      </c>
      <c r="F334" t="s">
        <v>8</v>
      </c>
      <c r="G334">
        <v>1</v>
      </c>
      <c r="H334" s="3">
        <v>1</v>
      </c>
      <c r="I334" s="3">
        <v>0</v>
      </c>
      <c r="J334" s="3">
        <v>3000</v>
      </c>
      <c r="K334" s="3">
        <v>3000</v>
      </c>
    </row>
    <row r="335" spans="1:11" x14ac:dyDescent="0.25">
      <c r="A335" s="10">
        <v>46095</v>
      </c>
      <c r="B335" s="14">
        <v>0.70613425925925921</v>
      </c>
      <c r="C335">
        <v>215</v>
      </c>
      <c r="D335" t="s">
        <v>54</v>
      </c>
      <c r="E335">
        <v>3000</v>
      </c>
      <c r="F335" t="s">
        <v>8</v>
      </c>
      <c r="G335">
        <v>1</v>
      </c>
      <c r="H335" s="3">
        <v>1</v>
      </c>
      <c r="I335" s="3">
        <v>0</v>
      </c>
      <c r="J335" s="3">
        <v>3000</v>
      </c>
      <c r="K335" s="3">
        <v>3000</v>
      </c>
    </row>
    <row r="336" spans="1:11" x14ac:dyDescent="0.25">
      <c r="A336" s="10">
        <v>46095</v>
      </c>
      <c r="B336" s="14">
        <v>0.70613425925925921</v>
      </c>
      <c r="C336">
        <v>215</v>
      </c>
      <c r="D336" t="s">
        <v>60</v>
      </c>
      <c r="E336">
        <v>4500</v>
      </c>
      <c r="F336" t="s">
        <v>8</v>
      </c>
      <c r="G336">
        <v>1</v>
      </c>
      <c r="H336" s="3">
        <v>1</v>
      </c>
      <c r="I336" s="3">
        <v>0</v>
      </c>
      <c r="J336" s="3">
        <v>4500</v>
      </c>
      <c r="K336" s="3">
        <v>4500</v>
      </c>
    </row>
    <row r="337" spans="1:11" x14ac:dyDescent="0.25">
      <c r="A337" s="10">
        <v>46095</v>
      </c>
      <c r="B337" s="14">
        <v>0.70613425925925921</v>
      </c>
      <c r="C337">
        <v>215</v>
      </c>
      <c r="D337" t="s">
        <v>43</v>
      </c>
      <c r="E337">
        <v>17000</v>
      </c>
      <c r="F337" t="s">
        <v>8</v>
      </c>
      <c r="G337">
        <v>1</v>
      </c>
      <c r="H337" s="3">
        <v>1</v>
      </c>
      <c r="I337" s="3">
        <v>0</v>
      </c>
      <c r="J337" s="3">
        <v>17000</v>
      </c>
      <c r="K337" s="3">
        <v>17000</v>
      </c>
    </row>
    <row r="338" spans="1:11" x14ac:dyDescent="0.25">
      <c r="A338" s="10">
        <v>46095</v>
      </c>
      <c r="B338" s="14">
        <v>0.70613425925925921</v>
      </c>
      <c r="C338">
        <v>215</v>
      </c>
      <c r="D338" t="s">
        <v>57</v>
      </c>
      <c r="E338">
        <v>35000</v>
      </c>
      <c r="F338" t="s">
        <v>8</v>
      </c>
      <c r="G338">
        <v>1</v>
      </c>
      <c r="H338" s="3">
        <v>1</v>
      </c>
      <c r="I338" s="3">
        <v>0</v>
      </c>
      <c r="J338" s="3">
        <v>35000</v>
      </c>
      <c r="K338" s="3">
        <v>35000</v>
      </c>
    </row>
    <row r="339" spans="1:11" x14ac:dyDescent="0.25">
      <c r="A339" s="10">
        <v>46095</v>
      </c>
      <c r="B339" s="14">
        <v>0.70646990740740745</v>
      </c>
      <c r="C339">
        <v>216</v>
      </c>
      <c r="D339" t="s">
        <v>53</v>
      </c>
      <c r="E339">
        <v>8000</v>
      </c>
      <c r="F339" t="s">
        <v>8</v>
      </c>
      <c r="G339">
        <v>1</v>
      </c>
      <c r="H339" s="3">
        <v>1</v>
      </c>
      <c r="I339" s="3">
        <v>0</v>
      </c>
      <c r="J339" s="3">
        <v>8000</v>
      </c>
      <c r="K339" s="3">
        <v>8000</v>
      </c>
    </row>
    <row r="340" spans="1:11" x14ac:dyDescent="0.25">
      <c r="A340" s="10">
        <v>46095</v>
      </c>
      <c r="B340" s="14">
        <v>0.70646990740740745</v>
      </c>
      <c r="C340">
        <v>216</v>
      </c>
      <c r="D340" t="s">
        <v>54</v>
      </c>
      <c r="E340">
        <v>3000</v>
      </c>
      <c r="F340" t="s">
        <v>8</v>
      </c>
      <c r="G340">
        <v>1</v>
      </c>
      <c r="H340" s="3">
        <v>1</v>
      </c>
      <c r="I340" s="3">
        <v>0</v>
      </c>
      <c r="J340" s="3">
        <v>3000</v>
      </c>
      <c r="K340" s="3">
        <v>3000</v>
      </c>
    </row>
    <row r="341" spans="1:11" x14ac:dyDescent="0.25">
      <c r="A341" s="10">
        <v>46095</v>
      </c>
      <c r="B341" s="14">
        <v>0.82105324074074071</v>
      </c>
      <c r="C341">
        <v>217</v>
      </c>
      <c r="D341" t="s">
        <v>82</v>
      </c>
      <c r="E341">
        <v>4500</v>
      </c>
      <c r="F341" t="s">
        <v>8</v>
      </c>
      <c r="G341">
        <v>3</v>
      </c>
      <c r="H341" s="3">
        <v>1</v>
      </c>
      <c r="I341" s="3">
        <v>0</v>
      </c>
      <c r="J341" s="3">
        <v>13500</v>
      </c>
      <c r="K341" s="3">
        <v>13500</v>
      </c>
    </row>
    <row r="342" spans="1:11" x14ac:dyDescent="0.25">
      <c r="A342" s="10">
        <v>46095</v>
      </c>
      <c r="B342" s="14">
        <v>0.82371527777777775</v>
      </c>
      <c r="C342">
        <v>218</v>
      </c>
      <c r="D342" t="s">
        <v>53</v>
      </c>
      <c r="E342">
        <v>8000</v>
      </c>
      <c r="F342" t="s">
        <v>7</v>
      </c>
      <c r="G342">
        <v>1</v>
      </c>
      <c r="H342" s="3">
        <v>1</v>
      </c>
      <c r="I342" s="3">
        <v>8000</v>
      </c>
      <c r="J342" s="3">
        <v>0</v>
      </c>
      <c r="K342" s="3">
        <v>8000</v>
      </c>
    </row>
    <row r="343" spans="1:11" x14ac:dyDescent="0.25">
      <c r="A343" s="10">
        <v>46096</v>
      </c>
      <c r="B343" s="14">
        <v>0.57894675925925931</v>
      </c>
      <c r="C343">
        <v>226</v>
      </c>
      <c r="D343" t="s">
        <v>53</v>
      </c>
      <c r="E343">
        <v>8000</v>
      </c>
      <c r="F343" t="s">
        <v>7</v>
      </c>
      <c r="G343">
        <v>2</v>
      </c>
      <c r="H343" s="3">
        <v>1</v>
      </c>
      <c r="I343" s="3">
        <v>16000</v>
      </c>
      <c r="J343" s="3">
        <v>0</v>
      </c>
      <c r="K343" s="3">
        <v>16000</v>
      </c>
    </row>
    <row r="344" spans="1:11" x14ac:dyDescent="0.25">
      <c r="A344" s="10">
        <v>46096</v>
      </c>
      <c r="B344" s="14">
        <v>0.59741898148148154</v>
      </c>
      <c r="C344">
        <v>227</v>
      </c>
      <c r="D344" t="s">
        <v>53</v>
      </c>
      <c r="E344">
        <v>8000</v>
      </c>
      <c r="F344" t="s">
        <v>7</v>
      </c>
      <c r="G344">
        <v>1</v>
      </c>
      <c r="H344" s="3">
        <v>1</v>
      </c>
      <c r="I344" s="3">
        <v>8000</v>
      </c>
      <c r="J344" s="3">
        <v>0</v>
      </c>
      <c r="K344" s="3">
        <v>8000</v>
      </c>
    </row>
    <row r="345" spans="1:11" x14ac:dyDescent="0.25">
      <c r="A345" s="10">
        <v>46096</v>
      </c>
      <c r="B345" s="14">
        <v>0.59741898148148154</v>
      </c>
      <c r="C345">
        <v>227</v>
      </c>
      <c r="D345" t="s">
        <v>54</v>
      </c>
      <c r="E345">
        <v>3000</v>
      </c>
      <c r="F345" t="s">
        <v>7</v>
      </c>
      <c r="G345">
        <v>1</v>
      </c>
      <c r="H345" s="3">
        <v>1</v>
      </c>
      <c r="I345" s="3">
        <v>3000</v>
      </c>
      <c r="J345" s="3">
        <v>0</v>
      </c>
      <c r="K345" s="3">
        <v>3000</v>
      </c>
    </row>
    <row r="346" spans="1:11" x14ac:dyDescent="0.25">
      <c r="A346" s="10">
        <v>46096</v>
      </c>
      <c r="B346" s="14">
        <v>0.61869212962962961</v>
      </c>
      <c r="C346">
        <v>228</v>
      </c>
      <c r="D346" t="s">
        <v>82</v>
      </c>
      <c r="E346">
        <v>4500</v>
      </c>
      <c r="F346" t="s">
        <v>7</v>
      </c>
      <c r="G346">
        <v>2</v>
      </c>
      <c r="H346" s="3">
        <v>1</v>
      </c>
      <c r="I346" s="3">
        <v>9000</v>
      </c>
      <c r="J346" s="3">
        <v>0</v>
      </c>
      <c r="K346" s="3">
        <v>9000</v>
      </c>
    </row>
    <row r="347" spans="1:11" x14ac:dyDescent="0.25">
      <c r="A347" s="10">
        <v>46096</v>
      </c>
      <c r="B347" s="14">
        <v>0.64789351851851851</v>
      </c>
      <c r="C347">
        <v>229</v>
      </c>
      <c r="D347" t="s">
        <v>53</v>
      </c>
      <c r="E347">
        <v>8000</v>
      </c>
      <c r="F347" t="s">
        <v>7</v>
      </c>
      <c r="G347">
        <v>1</v>
      </c>
      <c r="H347" s="3">
        <v>1</v>
      </c>
      <c r="I347" s="3">
        <v>8000</v>
      </c>
      <c r="J347" s="3">
        <v>0</v>
      </c>
      <c r="K347" s="3">
        <v>8000</v>
      </c>
    </row>
    <row r="348" spans="1:11" x14ac:dyDescent="0.25">
      <c r="A348" s="10">
        <v>46096</v>
      </c>
      <c r="B348" s="14">
        <v>0.64789351851851851</v>
      </c>
      <c r="C348">
        <v>229</v>
      </c>
      <c r="D348" t="s">
        <v>54</v>
      </c>
      <c r="E348">
        <v>3000</v>
      </c>
      <c r="F348" t="s">
        <v>7</v>
      </c>
      <c r="G348">
        <v>1</v>
      </c>
      <c r="H348" s="3">
        <v>1</v>
      </c>
      <c r="I348" s="3">
        <v>3000</v>
      </c>
      <c r="J348" s="3">
        <v>0</v>
      </c>
      <c r="K348" s="3">
        <v>3000</v>
      </c>
    </row>
    <row r="349" spans="1:11" x14ac:dyDescent="0.25">
      <c r="A349" s="10">
        <v>46096</v>
      </c>
      <c r="B349" s="14">
        <v>0.64811342592592591</v>
      </c>
      <c r="C349">
        <v>230</v>
      </c>
      <c r="D349" t="s">
        <v>53</v>
      </c>
      <c r="E349">
        <v>8000</v>
      </c>
      <c r="F349" t="s">
        <v>8</v>
      </c>
      <c r="G349">
        <v>2</v>
      </c>
      <c r="H349" s="3">
        <v>1</v>
      </c>
      <c r="I349" s="3">
        <v>0</v>
      </c>
      <c r="J349" s="3">
        <v>16000</v>
      </c>
      <c r="K349" s="3">
        <v>16000</v>
      </c>
    </row>
    <row r="350" spans="1:11" x14ac:dyDescent="0.25">
      <c r="A350" s="10">
        <v>46096</v>
      </c>
      <c r="B350" s="14">
        <v>0.64811342592592591</v>
      </c>
      <c r="C350">
        <v>230</v>
      </c>
      <c r="D350" t="s">
        <v>54</v>
      </c>
      <c r="E350">
        <v>3000</v>
      </c>
      <c r="F350" t="s">
        <v>8</v>
      </c>
      <c r="G350">
        <v>1</v>
      </c>
      <c r="H350" s="3">
        <v>1</v>
      </c>
      <c r="I350" s="3">
        <v>0</v>
      </c>
      <c r="J350" s="3">
        <v>3000</v>
      </c>
      <c r="K350" s="3">
        <v>3000</v>
      </c>
    </row>
    <row r="351" spans="1:11" x14ac:dyDescent="0.25">
      <c r="A351" s="10">
        <v>46096</v>
      </c>
      <c r="B351" s="14">
        <v>0.65579861111111115</v>
      </c>
      <c r="C351">
        <v>231</v>
      </c>
      <c r="D351" t="s">
        <v>53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</row>
    <row r="352" spans="1:11" x14ac:dyDescent="0.25">
      <c r="A352" s="10">
        <v>46096</v>
      </c>
      <c r="B352" s="14">
        <v>0.65579861111111115</v>
      </c>
      <c r="C352">
        <v>231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</row>
    <row r="353" spans="1:11" x14ac:dyDescent="0.25">
      <c r="A353" s="10">
        <v>46096</v>
      </c>
      <c r="B353" s="14">
        <v>0.72108796296296296</v>
      </c>
      <c r="C353">
        <v>232</v>
      </c>
      <c r="D353" t="s">
        <v>54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</row>
    <row r="354" spans="1:11" x14ac:dyDescent="0.25">
      <c r="A354" s="10">
        <v>46096</v>
      </c>
      <c r="B354" s="14">
        <v>0.72108796296296296</v>
      </c>
      <c r="C354">
        <v>232</v>
      </c>
      <c r="D354" t="s">
        <v>85</v>
      </c>
      <c r="E354">
        <v>30000</v>
      </c>
      <c r="F354" t="s">
        <v>7</v>
      </c>
      <c r="G354">
        <v>1</v>
      </c>
      <c r="H354" s="3">
        <v>1</v>
      </c>
      <c r="I354" s="3">
        <v>30000</v>
      </c>
      <c r="J354" s="3">
        <v>0</v>
      </c>
      <c r="K354" s="3">
        <v>30000</v>
      </c>
    </row>
    <row r="355" spans="1:11" x14ac:dyDescent="0.25">
      <c r="A355" s="10">
        <v>46097</v>
      </c>
      <c r="B355" s="14">
        <v>0.66733796296296299</v>
      </c>
      <c r="C355">
        <v>249</v>
      </c>
      <c r="D355" t="s">
        <v>53</v>
      </c>
      <c r="E355">
        <v>8000</v>
      </c>
      <c r="F355" t="s">
        <v>7</v>
      </c>
      <c r="G355">
        <v>3</v>
      </c>
      <c r="H355" s="3">
        <v>1</v>
      </c>
      <c r="I355" s="3">
        <v>24000</v>
      </c>
      <c r="J355" s="3">
        <v>0</v>
      </c>
      <c r="K355" s="3">
        <v>24000</v>
      </c>
    </row>
    <row r="356" spans="1:11" x14ac:dyDescent="0.25">
      <c r="A356" s="10">
        <v>46097</v>
      </c>
      <c r="B356" s="14">
        <v>0.6839467592592593</v>
      </c>
      <c r="C356">
        <v>250</v>
      </c>
      <c r="D356" t="s">
        <v>53</v>
      </c>
      <c r="E356">
        <v>8000</v>
      </c>
      <c r="F356" t="s">
        <v>7</v>
      </c>
      <c r="G356">
        <v>1</v>
      </c>
      <c r="H356" s="3">
        <v>1</v>
      </c>
      <c r="I356" s="3">
        <v>8000</v>
      </c>
      <c r="J356" s="3">
        <v>0</v>
      </c>
      <c r="K356" s="3">
        <v>8000</v>
      </c>
    </row>
    <row r="357" spans="1:11" x14ac:dyDescent="0.25">
      <c r="A357" s="10">
        <v>46097</v>
      </c>
      <c r="B357" s="14">
        <v>0.6839467592592593</v>
      </c>
      <c r="C357">
        <v>250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</row>
    <row r="358" spans="1:11" x14ac:dyDescent="0.25">
      <c r="A358" s="10">
        <v>46097</v>
      </c>
      <c r="B358" s="14">
        <v>0.68489583333333337</v>
      </c>
      <c r="C358">
        <v>251</v>
      </c>
      <c r="D358" t="s">
        <v>53</v>
      </c>
      <c r="E358">
        <v>8000</v>
      </c>
      <c r="F358" t="s">
        <v>8</v>
      </c>
      <c r="G358">
        <v>1</v>
      </c>
      <c r="H358" s="3">
        <v>1</v>
      </c>
      <c r="I358" s="3">
        <v>0</v>
      </c>
      <c r="J358" s="3">
        <v>8000</v>
      </c>
      <c r="K358" s="3">
        <v>8000</v>
      </c>
    </row>
    <row r="359" spans="1:11" x14ac:dyDescent="0.25">
      <c r="A359" s="10">
        <v>46097</v>
      </c>
      <c r="B359" s="14">
        <v>0.68489583333333337</v>
      </c>
      <c r="C359">
        <v>251</v>
      </c>
      <c r="D359" t="s">
        <v>54</v>
      </c>
      <c r="E359">
        <v>3000</v>
      </c>
      <c r="F359" t="s">
        <v>8</v>
      </c>
      <c r="G359">
        <v>1</v>
      </c>
      <c r="H359" s="3">
        <v>1</v>
      </c>
      <c r="I359" s="3">
        <v>0</v>
      </c>
      <c r="J359" s="3">
        <v>3000</v>
      </c>
      <c r="K359" s="3">
        <v>3000</v>
      </c>
    </row>
    <row r="360" spans="1:11" x14ac:dyDescent="0.25">
      <c r="A360" s="10">
        <v>46097</v>
      </c>
      <c r="B360" s="14">
        <v>0.72692129629629632</v>
      </c>
      <c r="C360">
        <v>252</v>
      </c>
      <c r="D360" t="s">
        <v>53</v>
      </c>
      <c r="E360">
        <v>8000</v>
      </c>
      <c r="F360" t="s">
        <v>7</v>
      </c>
      <c r="G360">
        <v>1</v>
      </c>
      <c r="H360" s="3">
        <v>1</v>
      </c>
      <c r="I360" s="3">
        <v>8000</v>
      </c>
      <c r="J360" s="3">
        <v>0</v>
      </c>
      <c r="K360" s="3">
        <v>8000</v>
      </c>
    </row>
    <row r="361" spans="1:11" x14ac:dyDescent="0.25">
      <c r="A361" s="10">
        <v>46097</v>
      </c>
      <c r="B361" s="14">
        <v>0.72692129629629632</v>
      </c>
      <c r="C361">
        <v>252</v>
      </c>
      <c r="D361" t="s">
        <v>54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</row>
    <row r="362" spans="1:11" x14ac:dyDescent="0.25">
      <c r="A362" s="10">
        <v>46097</v>
      </c>
      <c r="B362" s="14">
        <v>0.7690393518518519</v>
      </c>
      <c r="C362">
        <v>253</v>
      </c>
      <c r="D362" t="s">
        <v>53</v>
      </c>
      <c r="E362">
        <v>8000</v>
      </c>
      <c r="F362" t="s">
        <v>7</v>
      </c>
      <c r="G362">
        <v>6</v>
      </c>
      <c r="H362" s="3">
        <v>1</v>
      </c>
      <c r="I362" s="3">
        <v>48000</v>
      </c>
      <c r="J362" s="3">
        <v>0</v>
      </c>
      <c r="K362" s="3">
        <v>48000</v>
      </c>
    </row>
    <row r="363" spans="1:11" x14ac:dyDescent="0.25">
      <c r="A363" s="10">
        <v>46097</v>
      </c>
      <c r="B363" s="14">
        <v>0.7690393518518519</v>
      </c>
      <c r="C363">
        <v>253</v>
      </c>
      <c r="D363" t="s">
        <v>54</v>
      </c>
      <c r="E363">
        <v>3000</v>
      </c>
      <c r="F363" t="s">
        <v>7</v>
      </c>
      <c r="G363">
        <v>3</v>
      </c>
      <c r="H363" s="3">
        <v>1</v>
      </c>
      <c r="I363" s="3">
        <v>9000</v>
      </c>
      <c r="J363" s="3">
        <v>0</v>
      </c>
      <c r="K363" s="3">
        <v>9000</v>
      </c>
    </row>
    <row r="364" spans="1:11" x14ac:dyDescent="0.25">
      <c r="A364" s="10">
        <v>46097</v>
      </c>
      <c r="B364" s="14">
        <v>0.77001157407407406</v>
      </c>
      <c r="C364">
        <v>254</v>
      </c>
      <c r="D364" t="s">
        <v>78</v>
      </c>
      <c r="E364">
        <v>7000</v>
      </c>
      <c r="F364" t="s">
        <v>8</v>
      </c>
      <c r="G364">
        <v>1</v>
      </c>
      <c r="H364" s="3">
        <v>1</v>
      </c>
      <c r="I364" s="3">
        <v>0</v>
      </c>
      <c r="J364" s="3">
        <v>7000</v>
      </c>
      <c r="K364" s="3">
        <v>7000</v>
      </c>
    </row>
    <row r="365" spans="1:11" x14ac:dyDescent="0.25">
      <c r="A365" s="10">
        <v>46097</v>
      </c>
      <c r="B365" s="14">
        <v>0.77001157407407406</v>
      </c>
      <c r="C365">
        <v>254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</row>
    <row r="366" spans="1:11" x14ac:dyDescent="0.25">
      <c r="A366" s="10">
        <v>46098</v>
      </c>
      <c r="B366" s="14">
        <v>0.44481481481481483</v>
      </c>
      <c r="C366">
        <v>255</v>
      </c>
      <c r="D366" t="s">
        <v>53</v>
      </c>
      <c r="E366">
        <v>8000</v>
      </c>
      <c r="F366" t="s">
        <v>8</v>
      </c>
      <c r="G366">
        <v>4</v>
      </c>
      <c r="H366" s="3">
        <v>1</v>
      </c>
      <c r="I366" s="3">
        <v>0</v>
      </c>
      <c r="J366" s="3">
        <v>32000</v>
      </c>
      <c r="K366" s="3">
        <v>32000</v>
      </c>
    </row>
    <row r="367" spans="1:11" x14ac:dyDescent="0.25">
      <c r="A367" s="10">
        <v>46098</v>
      </c>
      <c r="B367" s="14">
        <v>0.61690972222222218</v>
      </c>
      <c r="C367">
        <v>233</v>
      </c>
      <c r="D367" t="s">
        <v>53</v>
      </c>
      <c r="E367">
        <v>8000</v>
      </c>
      <c r="F367" t="s">
        <v>7</v>
      </c>
      <c r="G367">
        <v>3</v>
      </c>
      <c r="H367" s="3">
        <v>1</v>
      </c>
      <c r="I367" s="3">
        <v>24000</v>
      </c>
      <c r="J367" s="3">
        <v>0</v>
      </c>
      <c r="K367" s="3">
        <v>24000</v>
      </c>
    </row>
    <row r="368" spans="1:11" x14ac:dyDescent="0.25">
      <c r="A368" s="10">
        <v>46098</v>
      </c>
      <c r="B368" s="14">
        <v>0.61690972222222218</v>
      </c>
      <c r="C368">
        <v>233</v>
      </c>
      <c r="D368" t="s">
        <v>56</v>
      </c>
      <c r="E368">
        <v>3000</v>
      </c>
      <c r="F368" t="s">
        <v>7</v>
      </c>
      <c r="G368">
        <v>1</v>
      </c>
      <c r="H368" s="3">
        <v>1</v>
      </c>
      <c r="I368" s="3">
        <v>3000</v>
      </c>
      <c r="J368" s="3">
        <v>0</v>
      </c>
      <c r="K368" s="3">
        <v>3000</v>
      </c>
    </row>
    <row r="369" spans="1:11" x14ac:dyDescent="0.25">
      <c r="A369" s="10">
        <v>46098</v>
      </c>
      <c r="B369" s="14">
        <v>0.61690972222222218</v>
      </c>
      <c r="C369">
        <v>233</v>
      </c>
      <c r="D369" t="s">
        <v>75</v>
      </c>
      <c r="E369">
        <v>4500</v>
      </c>
      <c r="F369" t="s">
        <v>7</v>
      </c>
      <c r="G369">
        <v>3</v>
      </c>
      <c r="H369" s="3">
        <v>1</v>
      </c>
      <c r="I369" s="3">
        <v>13500</v>
      </c>
      <c r="J369" s="3">
        <v>0</v>
      </c>
      <c r="K369" s="3">
        <v>13500</v>
      </c>
    </row>
    <row r="370" spans="1:11" x14ac:dyDescent="0.25">
      <c r="A370" s="10">
        <v>46098</v>
      </c>
      <c r="B370" s="14">
        <v>0.62935185185185183</v>
      </c>
      <c r="C370">
        <v>234</v>
      </c>
      <c r="D370" t="s">
        <v>53</v>
      </c>
      <c r="E370">
        <v>8000</v>
      </c>
      <c r="F370" t="s">
        <v>7</v>
      </c>
      <c r="G370">
        <v>2</v>
      </c>
      <c r="H370" s="3">
        <v>1</v>
      </c>
      <c r="I370" s="3">
        <v>16000</v>
      </c>
      <c r="J370" s="3">
        <v>0</v>
      </c>
      <c r="K370" s="3">
        <v>16000</v>
      </c>
    </row>
    <row r="371" spans="1:11" x14ac:dyDescent="0.25">
      <c r="A371" s="10">
        <v>46098</v>
      </c>
      <c r="B371" s="14">
        <v>0.65011574074074074</v>
      </c>
      <c r="C371">
        <v>235</v>
      </c>
      <c r="D371" t="s">
        <v>53</v>
      </c>
      <c r="E371">
        <v>8000</v>
      </c>
      <c r="F371" t="s">
        <v>28</v>
      </c>
      <c r="G371">
        <v>1</v>
      </c>
      <c r="H371" s="3">
        <v>1</v>
      </c>
      <c r="I371" s="3">
        <v>0</v>
      </c>
      <c r="J371" s="3">
        <v>8000</v>
      </c>
      <c r="K371" s="3">
        <v>8000</v>
      </c>
    </row>
    <row r="372" spans="1:11" x14ac:dyDescent="0.25">
      <c r="A372" s="10">
        <v>46098</v>
      </c>
      <c r="B372" s="14">
        <v>0.65011574074074074</v>
      </c>
      <c r="C372">
        <v>235</v>
      </c>
      <c r="D372" t="s">
        <v>54</v>
      </c>
      <c r="E372">
        <v>3000</v>
      </c>
      <c r="F372" t="s">
        <v>28</v>
      </c>
      <c r="G372">
        <v>1</v>
      </c>
      <c r="H372" s="3">
        <v>1</v>
      </c>
      <c r="I372" s="3">
        <v>0</v>
      </c>
      <c r="J372" s="3">
        <v>3000</v>
      </c>
      <c r="K372" s="3">
        <v>3000</v>
      </c>
    </row>
    <row r="373" spans="1:11" x14ac:dyDescent="0.25">
      <c r="A373" s="10">
        <v>46098</v>
      </c>
      <c r="B373" s="14">
        <v>0.65011574074074074</v>
      </c>
      <c r="C373">
        <v>235</v>
      </c>
      <c r="D373" t="s">
        <v>60</v>
      </c>
      <c r="E373">
        <v>4500</v>
      </c>
      <c r="F373" t="s">
        <v>28</v>
      </c>
      <c r="G373">
        <v>1</v>
      </c>
      <c r="H373" s="3">
        <v>1</v>
      </c>
      <c r="I373" s="3">
        <v>0</v>
      </c>
      <c r="J373" s="3">
        <v>4500</v>
      </c>
      <c r="K373" s="3">
        <v>4500</v>
      </c>
    </row>
    <row r="374" spans="1:11" x14ac:dyDescent="0.25">
      <c r="A374" s="10">
        <v>46098</v>
      </c>
      <c r="B374" s="14">
        <v>0.65350694444444446</v>
      </c>
      <c r="C374">
        <v>236</v>
      </c>
      <c r="D374" t="s">
        <v>75</v>
      </c>
      <c r="E374">
        <v>4500</v>
      </c>
      <c r="F374" t="s">
        <v>7</v>
      </c>
      <c r="G374">
        <v>2</v>
      </c>
      <c r="H374" s="3">
        <v>1</v>
      </c>
      <c r="I374" s="3">
        <v>9000</v>
      </c>
      <c r="J374" s="3">
        <v>0</v>
      </c>
      <c r="K374" s="3">
        <v>9000</v>
      </c>
    </row>
    <row r="375" spans="1:11" x14ac:dyDescent="0.25">
      <c r="A375" s="10">
        <v>46098</v>
      </c>
      <c r="B375" s="14">
        <v>0.68811342592592595</v>
      </c>
      <c r="C375">
        <v>237</v>
      </c>
      <c r="D375" t="s">
        <v>53</v>
      </c>
      <c r="E375">
        <v>8000</v>
      </c>
      <c r="F375" t="s">
        <v>7</v>
      </c>
      <c r="G375">
        <v>2</v>
      </c>
      <c r="H375" s="3">
        <v>1</v>
      </c>
      <c r="I375" s="3">
        <v>16000</v>
      </c>
      <c r="J375" s="3">
        <v>0</v>
      </c>
      <c r="K375" s="3">
        <v>16000</v>
      </c>
    </row>
    <row r="376" spans="1:11" x14ac:dyDescent="0.25">
      <c r="A376" s="10">
        <v>46098</v>
      </c>
      <c r="B376" s="14">
        <v>0.72674768518518518</v>
      </c>
      <c r="C376">
        <v>238</v>
      </c>
      <c r="D376" t="s">
        <v>53</v>
      </c>
      <c r="E376">
        <v>8000</v>
      </c>
      <c r="F376" t="s">
        <v>8</v>
      </c>
      <c r="G376">
        <v>1</v>
      </c>
      <c r="H376" s="3">
        <v>1</v>
      </c>
      <c r="I376" s="3">
        <v>0</v>
      </c>
      <c r="J376" s="3">
        <v>8000</v>
      </c>
      <c r="K376" s="3">
        <v>8000</v>
      </c>
    </row>
    <row r="377" spans="1:11" x14ac:dyDescent="0.25">
      <c r="A377" s="10">
        <v>46098</v>
      </c>
      <c r="B377" s="14">
        <v>0.72674768518518518</v>
      </c>
      <c r="C377">
        <v>238</v>
      </c>
      <c r="D377" t="s">
        <v>54</v>
      </c>
      <c r="E377">
        <v>3000</v>
      </c>
      <c r="F377" t="s">
        <v>8</v>
      </c>
      <c r="G377">
        <v>1</v>
      </c>
      <c r="H377" s="3">
        <v>1</v>
      </c>
      <c r="I377" s="3">
        <v>0</v>
      </c>
      <c r="J377" s="3">
        <v>3000</v>
      </c>
      <c r="K377" s="3">
        <v>3000</v>
      </c>
    </row>
    <row r="378" spans="1:11" x14ac:dyDescent="0.25">
      <c r="A378" s="10">
        <v>46098</v>
      </c>
      <c r="B378" s="14">
        <v>0.73148148148148151</v>
      </c>
      <c r="C378">
        <v>239</v>
      </c>
      <c r="D378" t="s">
        <v>53</v>
      </c>
      <c r="E378">
        <v>8000</v>
      </c>
      <c r="F378" t="s">
        <v>7</v>
      </c>
      <c r="G378">
        <v>2</v>
      </c>
      <c r="H378" s="3">
        <v>1</v>
      </c>
      <c r="I378" s="3">
        <v>16000</v>
      </c>
      <c r="J378" s="3">
        <v>0</v>
      </c>
      <c r="K378" s="3">
        <v>16000</v>
      </c>
    </row>
    <row r="379" spans="1:11" x14ac:dyDescent="0.25">
      <c r="A379" s="10">
        <v>46098</v>
      </c>
      <c r="B379" s="14">
        <v>0.73148148148148151</v>
      </c>
      <c r="C379">
        <v>239</v>
      </c>
      <c r="D379" t="s">
        <v>56</v>
      </c>
      <c r="E379">
        <v>3000</v>
      </c>
      <c r="F379" t="s">
        <v>7</v>
      </c>
      <c r="G379">
        <v>2</v>
      </c>
      <c r="H379" s="3">
        <v>1</v>
      </c>
      <c r="I379" s="3">
        <v>6000</v>
      </c>
      <c r="J379" s="3">
        <v>0</v>
      </c>
      <c r="K379" s="3">
        <v>6000</v>
      </c>
    </row>
    <row r="380" spans="1:11" x14ac:dyDescent="0.25">
      <c r="A380" s="10">
        <v>46098</v>
      </c>
      <c r="B380" s="14">
        <v>0.74342592592592593</v>
      </c>
      <c r="C380">
        <v>240</v>
      </c>
      <c r="D380" t="s">
        <v>75</v>
      </c>
      <c r="E380">
        <v>4500</v>
      </c>
      <c r="F380" t="s">
        <v>8</v>
      </c>
      <c r="G380">
        <v>12</v>
      </c>
      <c r="H380" s="3">
        <v>1</v>
      </c>
      <c r="I380" s="3">
        <v>0</v>
      </c>
      <c r="J380" s="3">
        <v>54000</v>
      </c>
      <c r="K380" s="3">
        <v>54000</v>
      </c>
    </row>
    <row r="381" spans="1:11" x14ac:dyDescent="0.25">
      <c r="A381" s="10">
        <v>46098</v>
      </c>
      <c r="B381" s="14">
        <v>0.74424768518518514</v>
      </c>
      <c r="C381">
        <v>0</v>
      </c>
      <c r="D381" t="s">
        <v>53</v>
      </c>
      <c r="E381">
        <v>8000</v>
      </c>
      <c r="F381" t="s">
        <v>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</row>
    <row r="382" spans="1:11" x14ac:dyDescent="0.25">
      <c r="A382" s="10">
        <v>46098</v>
      </c>
      <c r="B382" s="14">
        <v>0.74930555555555556</v>
      </c>
      <c r="C382">
        <v>241</v>
      </c>
      <c r="D382" t="s">
        <v>53</v>
      </c>
      <c r="E382">
        <v>8000</v>
      </c>
      <c r="F382" t="s">
        <v>7</v>
      </c>
      <c r="G382">
        <v>1</v>
      </c>
      <c r="H382" s="3">
        <v>1</v>
      </c>
      <c r="I382" s="3">
        <v>8000</v>
      </c>
      <c r="J382" s="3">
        <v>0</v>
      </c>
      <c r="K382" s="3">
        <v>8000</v>
      </c>
    </row>
    <row r="383" spans="1:11" x14ac:dyDescent="0.25">
      <c r="A383" s="10">
        <v>46098</v>
      </c>
      <c r="B383" s="14">
        <v>0.74944444444444447</v>
      </c>
      <c r="C383">
        <v>242</v>
      </c>
      <c r="D383" t="s">
        <v>53</v>
      </c>
      <c r="E383">
        <v>8000</v>
      </c>
      <c r="F383" t="s">
        <v>7</v>
      </c>
      <c r="G383">
        <v>1</v>
      </c>
      <c r="H383" s="3">
        <v>1</v>
      </c>
      <c r="I383" s="3">
        <v>8000</v>
      </c>
      <c r="J383" s="3">
        <v>0</v>
      </c>
      <c r="K383" s="3">
        <v>8000</v>
      </c>
    </row>
    <row r="384" spans="1:11" x14ac:dyDescent="0.25">
      <c r="A384" s="10">
        <v>46098</v>
      </c>
      <c r="B384" s="14">
        <v>0.74972222222222218</v>
      </c>
      <c r="C384">
        <v>243</v>
      </c>
      <c r="D384" t="s">
        <v>53</v>
      </c>
      <c r="E384">
        <v>8000</v>
      </c>
      <c r="F384" t="s">
        <v>28</v>
      </c>
      <c r="G384">
        <v>1</v>
      </c>
      <c r="H384" s="3">
        <v>1</v>
      </c>
      <c r="I384" s="3">
        <v>0</v>
      </c>
      <c r="J384" s="3">
        <v>8000</v>
      </c>
      <c r="K384" s="3">
        <v>8000</v>
      </c>
    </row>
    <row r="385" spans="1:11" x14ac:dyDescent="0.25">
      <c r="A385" s="10">
        <v>46098</v>
      </c>
      <c r="B385" s="14">
        <v>0.75292824074074072</v>
      </c>
      <c r="C385">
        <v>244</v>
      </c>
      <c r="D385" t="s">
        <v>78</v>
      </c>
      <c r="E385">
        <v>7000</v>
      </c>
      <c r="F385" t="s">
        <v>7</v>
      </c>
      <c r="G385">
        <v>2</v>
      </c>
      <c r="H385" s="3">
        <v>1</v>
      </c>
      <c r="I385" s="3">
        <v>14000</v>
      </c>
      <c r="J385" s="3">
        <v>0</v>
      </c>
      <c r="K385" s="3">
        <v>14000</v>
      </c>
    </row>
    <row r="386" spans="1:11" x14ac:dyDescent="0.25">
      <c r="A386" s="10">
        <v>46098</v>
      </c>
      <c r="B386" s="14">
        <v>0.76597222222222228</v>
      </c>
      <c r="C386">
        <v>245</v>
      </c>
      <c r="D386" t="s">
        <v>53</v>
      </c>
      <c r="E386">
        <v>8000</v>
      </c>
      <c r="F386" t="s">
        <v>7</v>
      </c>
      <c r="G386">
        <v>1</v>
      </c>
      <c r="H386" s="3">
        <v>1</v>
      </c>
      <c r="I386" s="3">
        <v>8000</v>
      </c>
      <c r="J386" s="3">
        <v>0</v>
      </c>
      <c r="K386" s="3">
        <v>8000</v>
      </c>
    </row>
    <row r="387" spans="1:11" x14ac:dyDescent="0.25">
      <c r="A387" s="10">
        <v>46098</v>
      </c>
      <c r="B387" s="14">
        <v>0.76597222222222228</v>
      </c>
      <c r="C387">
        <v>245</v>
      </c>
      <c r="D387" t="s">
        <v>54</v>
      </c>
      <c r="E387">
        <v>3000</v>
      </c>
      <c r="F387" t="s">
        <v>7</v>
      </c>
      <c r="G387">
        <v>1</v>
      </c>
      <c r="H387" s="3">
        <v>1</v>
      </c>
      <c r="I387" s="3">
        <v>3000</v>
      </c>
      <c r="J387" s="3">
        <v>0</v>
      </c>
      <c r="K387" s="3">
        <v>3000</v>
      </c>
    </row>
    <row r="388" spans="1:11" x14ac:dyDescent="0.25">
      <c r="A388" s="10">
        <v>46098</v>
      </c>
      <c r="B388" s="14">
        <v>0.76649305555555558</v>
      </c>
      <c r="C388">
        <v>246</v>
      </c>
      <c r="D388" t="s">
        <v>53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</row>
    <row r="389" spans="1:11" x14ac:dyDescent="0.25">
      <c r="A389" s="10">
        <v>46098</v>
      </c>
      <c r="B389" s="14">
        <v>0.76755787037037038</v>
      </c>
      <c r="C389">
        <v>247</v>
      </c>
      <c r="D389" t="s">
        <v>75</v>
      </c>
      <c r="E389">
        <v>4500</v>
      </c>
      <c r="F389" t="s">
        <v>8</v>
      </c>
      <c r="G389">
        <v>2</v>
      </c>
      <c r="H389" s="3">
        <v>1</v>
      </c>
      <c r="I389" s="3">
        <v>0</v>
      </c>
      <c r="J389" s="3">
        <v>9000</v>
      </c>
      <c r="K389" s="3">
        <v>9000</v>
      </c>
    </row>
    <row r="390" spans="1:11" x14ac:dyDescent="0.25">
      <c r="A390" s="10">
        <v>46098</v>
      </c>
      <c r="B390" s="14">
        <v>0.80873842592592593</v>
      </c>
      <c r="C390">
        <v>248</v>
      </c>
      <c r="D390" t="s">
        <v>53</v>
      </c>
      <c r="E390">
        <v>8000</v>
      </c>
      <c r="F390" t="s">
        <v>7</v>
      </c>
      <c r="G390">
        <v>2</v>
      </c>
      <c r="H390" s="3">
        <v>1</v>
      </c>
      <c r="I390" s="3">
        <v>16000</v>
      </c>
      <c r="J390" s="3">
        <v>0</v>
      </c>
      <c r="K390" s="3">
        <v>16000</v>
      </c>
    </row>
    <row r="391" spans="1:11" x14ac:dyDescent="0.25">
      <c r="A391" s="10">
        <v>46099</v>
      </c>
      <c r="B391" s="14">
        <v>0.69084490740740745</v>
      </c>
      <c r="C391">
        <v>256</v>
      </c>
      <c r="D391" t="s">
        <v>53</v>
      </c>
      <c r="E391">
        <v>8000</v>
      </c>
      <c r="F391" t="s">
        <v>8</v>
      </c>
      <c r="G391">
        <v>4</v>
      </c>
      <c r="H391" s="3">
        <v>1</v>
      </c>
      <c r="I391" s="3">
        <v>0</v>
      </c>
      <c r="J391" s="3">
        <v>32000</v>
      </c>
      <c r="K391" s="3">
        <v>32000</v>
      </c>
    </row>
    <row r="392" spans="1:11" x14ac:dyDescent="0.25">
      <c r="A392" s="10">
        <v>46099</v>
      </c>
      <c r="B392" s="14">
        <v>0.69084490740740745</v>
      </c>
      <c r="C392">
        <v>256</v>
      </c>
      <c r="D392" t="s">
        <v>54</v>
      </c>
      <c r="E392">
        <v>3000</v>
      </c>
      <c r="F392" t="s">
        <v>8</v>
      </c>
      <c r="G392">
        <v>2</v>
      </c>
      <c r="H392" s="3">
        <v>1</v>
      </c>
      <c r="I392" s="3">
        <v>0</v>
      </c>
      <c r="J392" s="3">
        <v>6000</v>
      </c>
      <c r="K392" s="3">
        <v>6000</v>
      </c>
    </row>
    <row r="393" spans="1:11" x14ac:dyDescent="0.25">
      <c r="A393" s="10">
        <v>46099</v>
      </c>
      <c r="B393" s="14">
        <v>0.69677083333333334</v>
      </c>
      <c r="C393">
        <v>257</v>
      </c>
      <c r="D393" t="s">
        <v>53</v>
      </c>
      <c r="E393">
        <v>8000</v>
      </c>
      <c r="F393" t="s">
        <v>7</v>
      </c>
      <c r="G393">
        <v>2</v>
      </c>
      <c r="H393" s="3">
        <v>1</v>
      </c>
      <c r="I393" s="3">
        <v>16000</v>
      </c>
      <c r="J393" s="3">
        <v>0</v>
      </c>
      <c r="K393" s="3">
        <v>16000</v>
      </c>
    </row>
    <row r="394" spans="1:11" x14ac:dyDescent="0.25">
      <c r="A394" s="10">
        <v>46099</v>
      </c>
      <c r="B394" s="14">
        <v>0.72040509259259256</v>
      </c>
      <c r="C394">
        <v>258</v>
      </c>
      <c r="D394" t="s">
        <v>53</v>
      </c>
      <c r="E394">
        <v>8000</v>
      </c>
      <c r="F394" t="s">
        <v>8</v>
      </c>
      <c r="G394">
        <v>2</v>
      </c>
      <c r="H394" s="3">
        <v>1</v>
      </c>
      <c r="I394" s="3">
        <v>0</v>
      </c>
      <c r="J394" s="3">
        <v>16000</v>
      </c>
      <c r="K394" s="3">
        <v>16000</v>
      </c>
    </row>
    <row r="395" spans="1:11" x14ac:dyDescent="0.25">
      <c r="A395" s="10">
        <v>46099</v>
      </c>
      <c r="B395" s="14">
        <v>0.73092592592592598</v>
      </c>
      <c r="C395">
        <v>259</v>
      </c>
      <c r="D395" t="s">
        <v>53</v>
      </c>
      <c r="E395">
        <v>8000</v>
      </c>
      <c r="F395" t="s">
        <v>8</v>
      </c>
      <c r="G395">
        <v>1</v>
      </c>
      <c r="H395" s="3">
        <v>1</v>
      </c>
      <c r="I395" s="3">
        <v>0</v>
      </c>
      <c r="J395" s="3">
        <v>8000</v>
      </c>
      <c r="K395" s="3">
        <v>8000</v>
      </c>
    </row>
    <row r="396" spans="1:11" x14ac:dyDescent="0.25">
      <c r="A396" s="10">
        <v>46099</v>
      </c>
      <c r="B396" s="14">
        <v>0.7310416666666667</v>
      </c>
      <c r="C396">
        <v>260</v>
      </c>
      <c r="D396" t="s">
        <v>53</v>
      </c>
      <c r="E396">
        <v>8000</v>
      </c>
      <c r="F396" t="s">
        <v>7</v>
      </c>
      <c r="G396">
        <v>1</v>
      </c>
      <c r="H396" s="3">
        <v>1</v>
      </c>
      <c r="I396" s="3">
        <v>8000</v>
      </c>
      <c r="J396" s="3">
        <v>0</v>
      </c>
      <c r="K396" s="3">
        <v>8000</v>
      </c>
    </row>
    <row r="397" spans="1:11" x14ac:dyDescent="0.25">
      <c r="A397" s="10">
        <v>46099</v>
      </c>
      <c r="B397" s="14">
        <v>0.74917824074074069</v>
      </c>
      <c r="C397">
        <v>261</v>
      </c>
      <c r="D397" t="s">
        <v>53</v>
      </c>
      <c r="E397">
        <v>8000</v>
      </c>
      <c r="F397" t="s">
        <v>7</v>
      </c>
      <c r="G397">
        <v>2</v>
      </c>
      <c r="H397" s="3">
        <v>1</v>
      </c>
      <c r="I397" s="3">
        <v>16000</v>
      </c>
      <c r="J397" s="3">
        <v>0</v>
      </c>
      <c r="K397" s="3">
        <v>16000</v>
      </c>
    </row>
    <row r="398" spans="1:11" x14ac:dyDescent="0.25">
      <c r="A398" s="10">
        <v>46099</v>
      </c>
      <c r="B398" s="14">
        <v>0.74917824074074069</v>
      </c>
      <c r="C398">
        <v>261</v>
      </c>
      <c r="D398" t="s">
        <v>54</v>
      </c>
      <c r="E398">
        <v>3000</v>
      </c>
      <c r="F398" t="s">
        <v>7</v>
      </c>
      <c r="G398">
        <v>2</v>
      </c>
      <c r="H398" s="3">
        <v>1</v>
      </c>
      <c r="I398" s="3">
        <v>6000</v>
      </c>
      <c r="J398" s="3">
        <v>0</v>
      </c>
      <c r="K398" s="3">
        <v>6000</v>
      </c>
    </row>
    <row r="399" spans="1:11" x14ac:dyDescent="0.25">
      <c r="A399" s="10">
        <v>46099</v>
      </c>
      <c r="B399" s="14">
        <v>0.76780092592592597</v>
      </c>
      <c r="C399">
        <v>262</v>
      </c>
      <c r="D399" t="s">
        <v>53</v>
      </c>
      <c r="E399">
        <v>8000</v>
      </c>
      <c r="F399" t="s">
        <v>7</v>
      </c>
      <c r="G399">
        <v>1</v>
      </c>
      <c r="H399" s="3">
        <v>1</v>
      </c>
      <c r="I399" s="3">
        <v>8000</v>
      </c>
      <c r="J399" s="3">
        <v>0</v>
      </c>
      <c r="K399" s="3">
        <v>8000</v>
      </c>
    </row>
    <row r="400" spans="1:11" x14ac:dyDescent="0.25">
      <c r="A400" s="10">
        <v>46099</v>
      </c>
      <c r="B400" s="14">
        <v>0.76891203703703703</v>
      </c>
      <c r="C400">
        <v>263</v>
      </c>
      <c r="D400" t="s">
        <v>75</v>
      </c>
      <c r="E400">
        <v>4500</v>
      </c>
      <c r="F400" t="s">
        <v>8</v>
      </c>
      <c r="G400">
        <v>2</v>
      </c>
      <c r="H400" s="3">
        <v>1</v>
      </c>
      <c r="I400" s="3">
        <v>0</v>
      </c>
      <c r="J400" s="3">
        <v>9000</v>
      </c>
      <c r="K400" s="3">
        <v>9000</v>
      </c>
    </row>
    <row r="401" spans="1:11" x14ac:dyDescent="0.25">
      <c r="A401" s="10">
        <v>46099</v>
      </c>
      <c r="B401" s="14">
        <v>0.79048611111111111</v>
      </c>
      <c r="C401">
        <v>264</v>
      </c>
      <c r="D401" t="s">
        <v>53</v>
      </c>
      <c r="E401">
        <v>8000</v>
      </c>
      <c r="F401" t="s">
        <v>7</v>
      </c>
      <c r="G401">
        <v>1</v>
      </c>
      <c r="H401" s="3">
        <v>1</v>
      </c>
      <c r="I401" s="3">
        <v>8000</v>
      </c>
      <c r="J401" s="3">
        <v>0</v>
      </c>
      <c r="K401" s="3">
        <v>8000</v>
      </c>
    </row>
    <row r="402" spans="1:11" x14ac:dyDescent="0.25">
      <c r="A402" s="10">
        <v>46099</v>
      </c>
      <c r="B402" s="14">
        <v>0.79672453703703705</v>
      </c>
      <c r="C402">
        <v>265</v>
      </c>
      <c r="D402" t="s">
        <v>53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</row>
    <row r="403" spans="1:11" x14ac:dyDescent="0.25">
      <c r="A403" s="10">
        <v>46099</v>
      </c>
      <c r="B403" s="14">
        <v>0.82532407407407404</v>
      </c>
      <c r="C403">
        <v>266</v>
      </c>
      <c r="D403" t="s">
        <v>53</v>
      </c>
      <c r="E403">
        <v>8000</v>
      </c>
      <c r="F403" t="s">
        <v>7</v>
      </c>
      <c r="G403">
        <v>1</v>
      </c>
      <c r="H403" s="3">
        <v>1</v>
      </c>
      <c r="I403" s="3">
        <v>8000</v>
      </c>
      <c r="J403" s="3">
        <v>0</v>
      </c>
      <c r="K403" s="3">
        <v>8000</v>
      </c>
    </row>
    <row r="404" spans="1:11" x14ac:dyDescent="0.25">
      <c r="A404" s="10">
        <v>46100</v>
      </c>
      <c r="B404" s="14">
        <v>0.59192129629629631</v>
      </c>
      <c r="C404">
        <v>267</v>
      </c>
      <c r="D404" t="s">
        <v>89</v>
      </c>
      <c r="E404">
        <v>3500</v>
      </c>
      <c r="F404" t="s">
        <v>7</v>
      </c>
      <c r="G404">
        <v>5</v>
      </c>
      <c r="H404" s="3">
        <v>1</v>
      </c>
      <c r="I404" s="3">
        <v>17500</v>
      </c>
      <c r="J404" s="3">
        <v>0</v>
      </c>
      <c r="K404" s="3">
        <v>17500</v>
      </c>
    </row>
    <row r="405" spans="1:11" x14ac:dyDescent="0.25">
      <c r="A405" s="10">
        <v>46100</v>
      </c>
      <c r="B405" s="14">
        <v>0.60305555555555557</v>
      </c>
      <c r="C405">
        <v>268</v>
      </c>
      <c r="D405" t="s">
        <v>53</v>
      </c>
      <c r="E405">
        <v>8000</v>
      </c>
      <c r="F405" t="s">
        <v>8</v>
      </c>
      <c r="G405">
        <v>1</v>
      </c>
      <c r="H405" s="3">
        <v>1</v>
      </c>
      <c r="I405" s="3">
        <v>0</v>
      </c>
      <c r="J405" s="3">
        <v>8000</v>
      </c>
      <c r="K405" s="3">
        <v>8000</v>
      </c>
    </row>
    <row r="406" spans="1:11" x14ac:dyDescent="0.25">
      <c r="A406" s="10">
        <v>46100</v>
      </c>
      <c r="B406" s="14">
        <v>0.65258101851851846</v>
      </c>
      <c r="C406">
        <v>269</v>
      </c>
      <c r="D406" t="s">
        <v>64</v>
      </c>
      <c r="E406">
        <v>30000</v>
      </c>
      <c r="F406" t="s">
        <v>7</v>
      </c>
      <c r="G406">
        <v>1</v>
      </c>
      <c r="H406" s="3">
        <v>1</v>
      </c>
      <c r="I406" s="3">
        <v>30000</v>
      </c>
      <c r="J406" s="3">
        <v>0</v>
      </c>
      <c r="K406" s="3">
        <v>30000</v>
      </c>
    </row>
    <row r="407" spans="1:11" x14ac:dyDescent="0.25">
      <c r="A407" s="10">
        <v>46100</v>
      </c>
      <c r="B407" s="14">
        <v>0.65258101851851846</v>
      </c>
      <c r="C407">
        <v>269</v>
      </c>
      <c r="D407" t="s">
        <v>56</v>
      </c>
      <c r="E407">
        <v>3000</v>
      </c>
      <c r="F407" t="s">
        <v>7</v>
      </c>
      <c r="G407">
        <v>1</v>
      </c>
      <c r="H407" s="3">
        <v>1</v>
      </c>
      <c r="I407" s="3">
        <v>3000</v>
      </c>
      <c r="J407" s="3">
        <v>0</v>
      </c>
      <c r="K407" s="3">
        <v>3000</v>
      </c>
    </row>
    <row r="408" spans="1:11" x14ac:dyDescent="0.25">
      <c r="A408" s="10">
        <v>46100</v>
      </c>
      <c r="B408" s="14">
        <v>0.67899305555555556</v>
      </c>
      <c r="C408">
        <v>270</v>
      </c>
      <c r="D408" t="s">
        <v>53</v>
      </c>
      <c r="E408">
        <v>8000</v>
      </c>
      <c r="F408" t="s">
        <v>8</v>
      </c>
      <c r="G408">
        <v>2</v>
      </c>
      <c r="H408" s="3">
        <v>1</v>
      </c>
      <c r="I408" s="3">
        <v>0</v>
      </c>
      <c r="J408" s="3">
        <v>16000</v>
      </c>
      <c r="K408" s="3">
        <v>16000</v>
      </c>
    </row>
    <row r="409" spans="1:11" x14ac:dyDescent="0.25">
      <c r="A409" s="10">
        <v>46100</v>
      </c>
      <c r="B409" s="14">
        <v>0.67899305555555556</v>
      </c>
      <c r="C409">
        <v>270</v>
      </c>
      <c r="D409" t="s">
        <v>54</v>
      </c>
      <c r="E409">
        <v>3000</v>
      </c>
      <c r="F409" t="s">
        <v>8</v>
      </c>
      <c r="G409">
        <v>2</v>
      </c>
      <c r="H409" s="3">
        <v>1</v>
      </c>
      <c r="I409" s="3">
        <v>0</v>
      </c>
      <c r="J409" s="3">
        <v>6000</v>
      </c>
      <c r="K409" s="3">
        <v>6000</v>
      </c>
    </row>
    <row r="410" spans="1:11" x14ac:dyDescent="0.25">
      <c r="A410" s="10">
        <v>46100</v>
      </c>
      <c r="B410" s="14">
        <v>0.70303240740740736</v>
      </c>
      <c r="C410">
        <v>271</v>
      </c>
      <c r="D410" t="s">
        <v>53</v>
      </c>
      <c r="E410">
        <v>8000</v>
      </c>
      <c r="F410" t="s">
        <v>8</v>
      </c>
      <c r="G410">
        <v>3</v>
      </c>
      <c r="H410" s="3">
        <v>1</v>
      </c>
      <c r="I410" s="3">
        <v>0</v>
      </c>
      <c r="J410" s="3">
        <v>24000</v>
      </c>
      <c r="K410" s="3">
        <v>24000</v>
      </c>
    </row>
    <row r="411" spans="1:11" x14ac:dyDescent="0.25">
      <c r="A411" s="10">
        <v>46100</v>
      </c>
      <c r="B411" s="14">
        <v>0.70303240740740736</v>
      </c>
      <c r="C411">
        <v>271</v>
      </c>
      <c r="D411" t="s">
        <v>54</v>
      </c>
      <c r="E411">
        <v>3000</v>
      </c>
      <c r="F411" t="s">
        <v>8</v>
      </c>
      <c r="G411">
        <v>2</v>
      </c>
      <c r="H411" s="3">
        <v>1</v>
      </c>
      <c r="I411" s="3">
        <v>0</v>
      </c>
      <c r="J411" s="3">
        <v>6000</v>
      </c>
      <c r="K411" s="3">
        <v>6000</v>
      </c>
    </row>
    <row r="412" spans="1:11" x14ac:dyDescent="0.25">
      <c r="A412" s="10">
        <v>46100</v>
      </c>
      <c r="B412" s="14">
        <v>0.7193518518518518</v>
      </c>
      <c r="C412">
        <v>272</v>
      </c>
      <c r="D412" t="s">
        <v>53</v>
      </c>
      <c r="E412">
        <v>8000</v>
      </c>
      <c r="F412" t="s">
        <v>8</v>
      </c>
      <c r="G412">
        <v>2</v>
      </c>
      <c r="H412" s="3">
        <v>1</v>
      </c>
      <c r="I412" s="3">
        <v>0</v>
      </c>
      <c r="J412" s="3">
        <v>16000</v>
      </c>
      <c r="K412" s="3">
        <v>16000</v>
      </c>
    </row>
    <row r="413" spans="1:11" x14ac:dyDescent="0.25">
      <c r="A413" s="10">
        <v>46100</v>
      </c>
      <c r="B413" s="14">
        <v>0.7193518518518518</v>
      </c>
      <c r="C413">
        <v>272</v>
      </c>
      <c r="D413" t="s">
        <v>54</v>
      </c>
      <c r="E413">
        <v>3000</v>
      </c>
      <c r="F413" t="s">
        <v>8</v>
      </c>
      <c r="G413">
        <v>1</v>
      </c>
      <c r="H413" s="3">
        <v>1</v>
      </c>
      <c r="I413" s="3">
        <v>0</v>
      </c>
      <c r="J413" s="3">
        <v>3000</v>
      </c>
      <c r="K413" s="3">
        <v>3000</v>
      </c>
    </row>
    <row r="414" spans="1:11" x14ac:dyDescent="0.25">
      <c r="A414" s="10">
        <v>46100</v>
      </c>
      <c r="B414" s="14">
        <v>0.73567129629629635</v>
      </c>
      <c r="C414">
        <v>273</v>
      </c>
      <c r="D414" t="s">
        <v>53</v>
      </c>
      <c r="E414">
        <v>8000</v>
      </c>
      <c r="F414" t="s">
        <v>7</v>
      </c>
      <c r="G414">
        <v>1</v>
      </c>
      <c r="H414" s="3">
        <v>1</v>
      </c>
      <c r="I414" s="3">
        <v>8000</v>
      </c>
      <c r="J414" s="3">
        <v>0</v>
      </c>
      <c r="K414" s="3">
        <v>8000</v>
      </c>
    </row>
    <row r="415" spans="1:11" x14ac:dyDescent="0.25">
      <c r="A415" s="10">
        <v>46100</v>
      </c>
      <c r="B415" s="14">
        <v>0.73567129629629635</v>
      </c>
      <c r="C415">
        <v>273</v>
      </c>
      <c r="D415" t="s">
        <v>54</v>
      </c>
      <c r="E415">
        <v>3000</v>
      </c>
      <c r="F415" t="s">
        <v>7</v>
      </c>
      <c r="G415">
        <v>1</v>
      </c>
      <c r="H415" s="3">
        <v>1</v>
      </c>
      <c r="I415" s="3">
        <v>3000</v>
      </c>
      <c r="J415" s="3">
        <v>0</v>
      </c>
      <c r="K415" s="3">
        <v>3000</v>
      </c>
    </row>
    <row r="416" spans="1:11" x14ac:dyDescent="0.25">
      <c r="A416" s="10">
        <v>46100</v>
      </c>
      <c r="B416" s="14">
        <v>0.73567129629629635</v>
      </c>
      <c r="C416">
        <v>273</v>
      </c>
      <c r="D416" t="s">
        <v>75</v>
      </c>
      <c r="E416">
        <v>4500</v>
      </c>
      <c r="F416" t="s">
        <v>7</v>
      </c>
      <c r="G416">
        <v>4</v>
      </c>
      <c r="H416" s="3">
        <v>1</v>
      </c>
      <c r="I416" s="3">
        <v>18000</v>
      </c>
      <c r="J416" s="3">
        <v>0</v>
      </c>
      <c r="K416" s="3">
        <v>18000</v>
      </c>
    </row>
    <row r="417" spans="1:11" x14ac:dyDescent="0.25">
      <c r="A417" s="10">
        <v>46100</v>
      </c>
      <c r="B417" s="14">
        <v>0.74875000000000003</v>
      </c>
      <c r="C417">
        <v>274</v>
      </c>
      <c r="D417" t="s">
        <v>53</v>
      </c>
      <c r="E417">
        <v>8000</v>
      </c>
      <c r="F417" t="s">
        <v>7</v>
      </c>
      <c r="G417">
        <v>2</v>
      </c>
      <c r="H417" s="3">
        <v>1</v>
      </c>
      <c r="I417" s="3">
        <v>16000</v>
      </c>
      <c r="J417" s="3">
        <v>0</v>
      </c>
      <c r="K417" s="3">
        <v>16000</v>
      </c>
    </row>
    <row r="418" spans="1:11" x14ac:dyDescent="0.25">
      <c r="A418" s="10">
        <v>46100</v>
      </c>
      <c r="B418" s="14">
        <v>0.74875000000000003</v>
      </c>
      <c r="C418">
        <v>274</v>
      </c>
      <c r="D418" t="s">
        <v>90</v>
      </c>
      <c r="E418">
        <v>3200</v>
      </c>
      <c r="F418" t="s">
        <v>7</v>
      </c>
      <c r="G418">
        <v>2</v>
      </c>
      <c r="H418" s="3">
        <v>1</v>
      </c>
      <c r="I418" s="3">
        <v>6400</v>
      </c>
      <c r="J418" s="3">
        <v>0</v>
      </c>
      <c r="K418" s="3">
        <v>6400</v>
      </c>
    </row>
    <row r="419" spans="1:11" x14ac:dyDescent="0.25">
      <c r="A419" s="10">
        <v>46100</v>
      </c>
      <c r="B419" s="14">
        <v>0.75240740740740741</v>
      </c>
      <c r="C419">
        <v>275</v>
      </c>
      <c r="D419" t="s">
        <v>53</v>
      </c>
      <c r="E419">
        <v>8000</v>
      </c>
      <c r="F419" t="s">
        <v>7</v>
      </c>
      <c r="G419">
        <v>1</v>
      </c>
      <c r="H419" s="3">
        <v>1</v>
      </c>
      <c r="I419" s="3">
        <v>8000</v>
      </c>
      <c r="J419" s="3">
        <v>0</v>
      </c>
      <c r="K419" s="3">
        <v>8000</v>
      </c>
    </row>
    <row r="420" spans="1:11" x14ac:dyDescent="0.25">
      <c r="A420" s="10">
        <v>46100</v>
      </c>
      <c r="B420" s="14">
        <v>0.75240740740740741</v>
      </c>
      <c r="C420">
        <v>275</v>
      </c>
      <c r="D420" t="s">
        <v>54</v>
      </c>
      <c r="E420">
        <v>3000</v>
      </c>
      <c r="F420" t="s">
        <v>7</v>
      </c>
      <c r="G420">
        <v>1</v>
      </c>
      <c r="H420" s="3">
        <v>1</v>
      </c>
      <c r="I420" s="3">
        <v>3000</v>
      </c>
      <c r="J420" s="3">
        <v>0</v>
      </c>
      <c r="K420" s="3">
        <v>3000</v>
      </c>
    </row>
    <row r="421" spans="1:11" x14ac:dyDescent="0.25">
      <c r="A421" s="10">
        <v>46100</v>
      </c>
      <c r="B421" s="14">
        <v>0.75858796296296294</v>
      </c>
      <c r="C421">
        <v>276</v>
      </c>
      <c r="D421" t="s">
        <v>53</v>
      </c>
      <c r="E421">
        <v>8000</v>
      </c>
      <c r="F421" t="s">
        <v>7</v>
      </c>
      <c r="G421">
        <v>2</v>
      </c>
      <c r="H421" s="3">
        <v>1</v>
      </c>
      <c r="I421" s="3">
        <v>16000</v>
      </c>
      <c r="J421" s="3">
        <v>0</v>
      </c>
      <c r="K421" s="3">
        <v>16000</v>
      </c>
    </row>
    <row r="422" spans="1:11" x14ac:dyDescent="0.25">
      <c r="A422" s="10">
        <v>46100</v>
      </c>
      <c r="B422" s="14">
        <v>0.75858796296296294</v>
      </c>
      <c r="C422">
        <v>276</v>
      </c>
      <c r="D422" t="s">
        <v>54</v>
      </c>
      <c r="E422">
        <v>3000</v>
      </c>
      <c r="F422" t="s">
        <v>7</v>
      </c>
      <c r="G422">
        <v>2</v>
      </c>
      <c r="H422" s="3">
        <v>1</v>
      </c>
      <c r="I422" s="3">
        <v>6000</v>
      </c>
      <c r="J422" s="3">
        <v>0</v>
      </c>
      <c r="K422" s="3">
        <v>6000</v>
      </c>
    </row>
    <row r="423" spans="1:11" x14ac:dyDescent="0.25">
      <c r="A423" s="10">
        <v>46100</v>
      </c>
      <c r="B423" s="14">
        <v>0.75858796296296294</v>
      </c>
      <c r="C423">
        <v>276</v>
      </c>
      <c r="D423" t="s">
        <v>42</v>
      </c>
      <c r="E423">
        <v>22000</v>
      </c>
      <c r="F423" t="s">
        <v>7</v>
      </c>
      <c r="G423">
        <v>1</v>
      </c>
      <c r="H423" s="3">
        <v>1</v>
      </c>
      <c r="I423" s="3">
        <v>22000</v>
      </c>
      <c r="J423" s="3">
        <v>0</v>
      </c>
      <c r="K423" s="3">
        <v>22000</v>
      </c>
    </row>
    <row r="424" spans="1:11" x14ac:dyDescent="0.25">
      <c r="A424" s="10">
        <v>46100</v>
      </c>
      <c r="B424" s="14">
        <v>0.7669097222222222</v>
      </c>
      <c r="C424">
        <v>277</v>
      </c>
      <c r="D424" t="s">
        <v>53</v>
      </c>
      <c r="E424">
        <v>8000</v>
      </c>
      <c r="F424" t="s">
        <v>7</v>
      </c>
      <c r="G424">
        <v>2</v>
      </c>
      <c r="H424" s="3">
        <v>1</v>
      </c>
      <c r="I424" s="3">
        <v>16000</v>
      </c>
      <c r="J424" s="3">
        <v>0</v>
      </c>
      <c r="K424" s="3">
        <v>16000</v>
      </c>
    </row>
    <row r="425" spans="1:11" x14ac:dyDescent="0.25">
      <c r="A425" s="10">
        <v>46100</v>
      </c>
      <c r="B425" s="14">
        <v>0.77180555555555552</v>
      </c>
      <c r="C425">
        <v>278</v>
      </c>
      <c r="D425" t="s">
        <v>53</v>
      </c>
      <c r="E425">
        <v>8000</v>
      </c>
      <c r="F425" t="s">
        <v>8</v>
      </c>
      <c r="G425">
        <v>2</v>
      </c>
      <c r="H425" s="3">
        <v>1</v>
      </c>
      <c r="I425" s="3">
        <v>0</v>
      </c>
      <c r="J425" s="3">
        <v>16000</v>
      </c>
      <c r="K425" s="3">
        <v>16000</v>
      </c>
    </row>
    <row r="426" spans="1:11" x14ac:dyDescent="0.25">
      <c r="A426" s="10">
        <v>46100</v>
      </c>
      <c r="B426" s="14">
        <v>0.77531249999999996</v>
      </c>
      <c r="C426">
        <v>279</v>
      </c>
      <c r="D426" t="s">
        <v>53</v>
      </c>
      <c r="E426">
        <v>8000</v>
      </c>
      <c r="F426" t="s">
        <v>8</v>
      </c>
      <c r="G426">
        <v>2</v>
      </c>
      <c r="H426" s="3">
        <v>1</v>
      </c>
      <c r="I426" s="3">
        <v>0</v>
      </c>
      <c r="J426" s="3">
        <v>16000</v>
      </c>
      <c r="K426" s="3">
        <v>16000</v>
      </c>
    </row>
    <row r="427" spans="1:11" x14ac:dyDescent="0.25">
      <c r="A427" s="10">
        <v>46100</v>
      </c>
      <c r="B427" s="14">
        <v>0.78291666666666671</v>
      </c>
      <c r="C427">
        <v>286</v>
      </c>
      <c r="D427" t="s">
        <v>54</v>
      </c>
      <c r="E427">
        <v>3000</v>
      </c>
      <c r="F427" t="s">
        <v>7</v>
      </c>
      <c r="G427">
        <v>1</v>
      </c>
      <c r="H427" s="3">
        <v>1</v>
      </c>
      <c r="I427" s="3">
        <v>3000</v>
      </c>
      <c r="J427" s="3">
        <v>0</v>
      </c>
      <c r="K427" s="3">
        <v>3000</v>
      </c>
    </row>
    <row r="428" spans="1:11" x14ac:dyDescent="0.25">
      <c r="A428" s="10">
        <v>46100</v>
      </c>
      <c r="B428" s="14">
        <v>0.78542824074074069</v>
      </c>
      <c r="C428">
        <v>280</v>
      </c>
      <c r="D428" t="s">
        <v>53</v>
      </c>
      <c r="E428">
        <v>8000</v>
      </c>
      <c r="F428" t="s">
        <v>7</v>
      </c>
      <c r="G428">
        <v>1</v>
      </c>
      <c r="H428" s="3">
        <v>1</v>
      </c>
      <c r="I428" s="3">
        <v>8000</v>
      </c>
      <c r="J428" s="3">
        <v>0</v>
      </c>
      <c r="K428" s="3">
        <v>8000</v>
      </c>
    </row>
    <row r="429" spans="1:11" x14ac:dyDescent="0.25">
      <c r="A429" s="10">
        <v>46100</v>
      </c>
      <c r="B429" s="14">
        <v>0.78782407407407407</v>
      </c>
      <c r="C429">
        <v>281</v>
      </c>
      <c r="D429" t="s">
        <v>53</v>
      </c>
      <c r="E429">
        <v>8000</v>
      </c>
      <c r="F429" t="s">
        <v>7</v>
      </c>
      <c r="G429">
        <v>1</v>
      </c>
      <c r="H429" s="3">
        <v>1</v>
      </c>
      <c r="I429" s="3">
        <v>8000</v>
      </c>
      <c r="J429" s="3">
        <v>0</v>
      </c>
      <c r="K429" s="3">
        <v>8000</v>
      </c>
    </row>
    <row r="430" spans="1:11" x14ac:dyDescent="0.25">
      <c r="A430" s="10">
        <v>46100</v>
      </c>
      <c r="B430" s="14">
        <v>0.79299768518518521</v>
      </c>
      <c r="C430">
        <v>282</v>
      </c>
      <c r="D430" t="s">
        <v>53</v>
      </c>
      <c r="E430">
        <v>8000</v>
      </c>
      <c r="F430" t="s">
        <v>7</v>
      </c>
      <c r="G430">
        <v>1</v>
      </c>
      <c r="H430" s="3">
        <v>1</v>
      </c>
      <c r="I430" s="3">
        <v>8000</v>
      </c>
      <c r="J430" s="3">
        <v>0</v>
      </c>
      <c r="K430" s="3">
        <v>8000</v>
      </c>
    </row>
    <row r="431" spans="1:11" x14ac:dyDescent="0.25">
      <c r="A431" s="10">
        <v>46100</v>
      </c>
      <c r="B431" s="14">
        <v>0.79532407407407413</v>
      </c>
      <c r="C431">
        <v>283</v>
      </c>
      <c r="D431" t="s">
        <v>53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</row>
    <row r="432" spans="1:11" x14ac:dyDescent="0.25">
      <c r="A432" s="10">
        <v>46100</v>
      </c>
      <c r="B432" s="14">
        <v>0.79532407407407413</v>
      </c>
      <c r="C432">
        <v>283</v>
      </c>
      <c r="D432" t="s">
        <v>54</v>
      </c>
      <c r="E432">
        <v>3000</v>
      </c>
      <c r="F432" t="s">
        <v>7</v>
      </c>
      <c r="G432">
        <v>1</v>
      </c>
      <c r="H432" s="3">
        <v>1</v>
      </c>
      <c r="I432" s="3">
        <v>3000</v>
      </c>
      <c r="J432" s="3">
        <v>0</v>
      </c>
      <c r="K432" s="3">
        <v>3000</v>
      </c>
    </row>
    <row r="433" spans="1:11" x14ac:dyDescent="0.25">
      <c r="A433" s="10">
        <v>46100</v>
      </c>
      <c r="B433" s="14">
        <v>0.81797453703703704</v>
      </c>
      <c r="C433">
        <v>284</v>
      </c>
      <c r="D433" t="s">
        <v>53</v>
      </c>
      <c r="E433">
        <v>8000</v>
      </c>
      <c r="F433" t="s">
        <v>28</v>
      </c>
      <c r="G433">
        <v>1</v>
      </c>
      <c r="H433" s="3">
        <v>1</v>
      </c>
      <c r="I433" s="3">
        <v>0</v>
      </c>
      <c r="J433" s="3">
        <v>8000</v>
      </c>
      <c r="K433" s="3">
        <v>8000</v>
      </c>
    </row>
    <row r="434" spans="1:11" x14ac:dyDescent="0.25">
      <c r="A434" s="10">
        <v>46100</v>
      </c>
      <c r="B434" s="14">
        <v>0.81797453703703704</v>
      </c>
      <c r="C434">
        <v>284</v>
      </c>
      <c r="D434" t="s">
        <v>54</v>
      </c>
      <c r="E434">
        <v>3000</v>
      </c>
      <c r="F434" t="s">
        <v>28</v>
      </c>
      <c r="G434">
        <v>1</v>
      </c>
      <c r="H434" s="3">
        <v>1</v>
      </c>
      <c r="I434" s="3">
        <v>0</v>
      </c>
      <c r="J434" s="3">
        <v>3000</v>
      </c>
      <c r="K434" s="3">
        <v>3000</v>
      </c>
    </row>
    <row r="435" spans="1:11" x14ac:dyDescent="0.25">
      <c r="A435" s="10">
        <v>46100</v>
      </c>
      <c r="B435" s="14">
        <v>0.82131944444444449</v>
      </c>
      <c r="C435">
        <v>285</v>
      </c>
      <c r="D435" t="s">
        <v>53</v>
      </c>
      <c r="E435">
        <v>8000</v>
      </c>
      <c r="F435" t="s">
        <v>8</v>
      </c>
      <c r="G435">
        <v>5</v>
      </c>
      <c r="H435" s="3">
        <v>1</v>
      </c>
      <c r="I435" s="3">
        <v>0</v>
      </c>
      <c r="J435" s="3">
        <v>40000</v>
      </c>
      <c r="K435" s="3">
        <v>40000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67"/>
  <sheetViews>
    <sheetView topLeftCell="A10" zoomScale="85" zoomScaleNormal="85" workbookViewId="0">
      <selection activeCell="G35" sqref="G35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1" width="21.42578125" bestFit="1" customWidth="1"/>
    <col min="22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1" t="s">
        <v>46</v>
      </c>
      <c r="K10" s="1" t="s">
        <v>20</v>
      </c>
      <c r="L10" s="1" t="s">
        <v>13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  <c r="K11" t="s">
        <v>9</v>
      </c>
      <c r="L11" t="s">
        <v>9</v>
      </c>
      <c r="M11" t="s">
        <v>9</v>
      </c>
      <c r="N11" t="s">
        <v>10</v>
      </c>
      <c r="O11" t="s">
        <v>10</v>
      </c>
      <c r="P11" t="s">
        <v>11</v>
      </c>
      <c r="Q11" t="s">
        <v>11</v>
      </c>
      <c r="R11" t="s">
        <v>11</v>
      </c>
      <c r="S11" t="s">
        <v>0</v>
      </c>
      <c r="T11" t="s">
        <v>0</v>
      </c>
      <c r="U11" t="s">
        <v>0</v>
      </c>
      <c r="V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J12" s="1" t="s">
        <v>12</v>
      </c>
      <c r="K12" t="s">
        <v>7</v>
      </c>
      <c r="L12" t="s">
        <v>28</v>
      </c>
      <c r="M12" t="s">
        <v>8</v>
      </c>
      <c r="N12" t="s">
        <v>7</v>
      </c>
      <c r="O12" t="s">
        <v>8</v>
      </c>
      <c r="P12" t="s">
        <v>7</v>
      </c>
      <c r="Q12" t="s">
        <v>28</v>
      </c>
      <c r="R12" t="s">
        <v>8</v>
      </c>
      <c r="S12" t="s">
        <v>7</v>
      </c>
      <c r="T12" t="s">
        <v>28</v>
      </c>
      <c r="U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192000</v>
      </c>
      <c r="F13" s="3"/>
      <c r="G13" s="3">
        <v>32000</v>
      </c>
      <c r="H13" s="3">
        <v>297700</v>
      </c>
      <c r="J13" t="s">
        <v>2</v>
      </c>
      <c r="K13" s="3">
        <v>0</v>
      </c>
      <c r="L13" s="3"/>
      <c r="M13" s="3"/>
      <c r="N13" s="3">
        <v>60000</v>
      </c>
      <c r="O13" s="3"/>
      <c r="P13" s="3">
        <v>100</v>
      </c>
      <c r="Q13" s="3"/>
      <c r="R13" s="3"/>
      <c r="S13" s="3">
        <v>0</v>
      </c>
      <c r="T13" s="3"/>
      <c r="U13" s="3">
        <v>0</v>
      </c>
      <c r="V13" s="3">
        <v>60100</v>
      </c>
      <c r="Z13" s="4">
        <f>+SUM(B13:C13)-O13</f>
        <v>73700</v>
      </c>
    </row>
    <row r="14" spans="1:27" x14ac:dyDescent="0.25">
      <c r="A14" t="s">
        <v>3</v>
      </c>
      <c r="B14" s="3">
        <v>205600</v>
      </c>
      <c r="C14" s="3"/>
      <c r="D14" s="3"/>
      <c r="E14" s="3">
        <v>213000</v>
      </c>
      <c r="F14" s="3"/>
      <c r="G14" s="3">
        <v>8000</v>
      </c>
      <c r="H14" s="3">
        <v>426600</v>
      </c>
      <c r="I14" s="3"/>
      <c r="J14" t="s">
        <v>3</v>
      </c>
      <c r="K14" s="3">
        <v>0</v>
      </c>
      <c r="L14" s="3"/>
      <c r="M14" s="3"/>
      <c r="N14" s="3">
        <v>103000</v>
      </c>
      <c r="O14" s="3"/>
      <c r="P14" s="3"/>
      <c r="Q14" s="3"/>
      <c r="R14" s="3"/>
      <c r="S14" s="3">
        <v>0</v>
      </c>
      <c r="T14" s="3"/>
      <c r="U14" s="3">
        <v>0</v>
      </c>
      <c r="V14" s="3">
        <v>103000</v>
      </c>
      <c r="Z14" s="4">
        <f>+SUM(B14:C14)-O14</f>
        <v>205600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/>
      <c r="G15" s="3">
        <v>46500</v>
      </c>
      <c r="H15" s="3">
        <v>390500</v>
      </c>
      <c r="I15" s="3"/>
      <c r="J15" t="s">
        <v>4</v>
      </c>
      <c r="K15" s="3"/>
      <c r="L15" s="3"/>
      <c r="M15" s="3"/>
      <c r="N15" s="3">
        <v>226700</v>
      </c>
      <c r="O15" s="3"/>
      <c r="P15" s="3"/>
      <c r="Q15" s="3"/>
      <c r="R15" s="3"/>
      <c r="S15" s="3">
        <v>0</v>
      </c>
      <c r="T15" s="3"/>
      <c r="U15" s="3">
        <v>0</v>
      </c>
      <c r="V15" s="3">
        <v>226700</v>
      </c>
      <c r="Z15" s="4">
        <f t="shared" ref="Z15:Z19" si="0">+SUM(B15:C15)-O15</f>
        <v>0</v>
      </c>
      <c r="AA15" s="3">
        <f>+SUM(Z14:Z15)</f>
        <v>205600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J16" t="s">
        <v>5</v>
      </c>
      <c r="K16" s="3"/>
      <c r="L16" s="3"/>
      <c r="M16" s="3"/>
      <c r="N16" s="3">
        <v>84000</v>
      </c>
      <c r="O16" s="3"/>
      <c r="P16" s="3"/>
      <c r="Q16" s="3"/>
      <c r="R16" s="3"/>
      <c r="S16" s="3">
        <v>0</v>
      </c>
      <c r="T16" s="3"/>
      <c r="U16" s="3">
        <v>0</v>
      </c>
      <c r="V16" s="3">
        <v>84000</v>
      </c>
      <c r="Z16" s="4">
        <f t="shared" si="0"/>
        <v>0</v>
      </c>
      <c r="AA16" s="3">
        <f>$AA$15-20000-7900</f>
        <v>177700</v>
      </c>
    </row>
    <row r="17" spans="1:28" x14ac:dyDescent="0.25">
      <c r="A17" t="s">
        <v>27</v>
      </c>
      <c r="B17" s="3">
        <v>405000</v>
      </c>
      <c r="C17" s="3"/>
      <c r="D17" s="3"/>
      <c r="E17" s="3">
        <v>186000</v>
      </c>
      <c r="F17" s="3">
        <v>11000</v>
      </c>
      <c r="G17" s="3">
        <v>51000</v>
      </c>
      <c r="H17" s="3">
        <v>653000</v>
      </c>
      <c r="I17" s="3"/>
      <c r="J17" t="s">
        <v>27</v>
      </c>
      <c r="K17" s="3">
        <v>0</v>
      </c>
      <c r="L17" s="3"/>
      <c r="M17" s="3"/>
      <c r="N17" s="3">
        <v>240000</v>
      </c>
      <c r="O17" s="3"/>
      <c r="P17" s="3">
        <v>307900</v>
      </c>
      <c r="Q17" s="3"/>
      <c r="R17" s="3"/>
      <c r="S17" s="3">
        <v>0</v>
      </c>
      <c r="T17" s="3">
        <v>0</v>
      </c>
      <c r="U17" s="3">
        <v>0</v>
      </c>
      <c r="V17" s="3">
        <v>547900</v>
      </c>
      <c r="Z17" s="4">
        <f t="shared" si="0"/>
        <v>405000</v>
      </c>
      <c r="AA17" s="3">
        <f>+Z17-20000-10000</f>
        <v>375000</v>
      </c>
    </row>
    <row r="18" spans="1:28" x14ac:dyDescent="0.25">
      <c r="A18" t="s">
        <v>32</v>
      </c>
      <c r="B18" s="3">
        <v>125000</v>
      </c>
      <c r="C18" s="3"/>
      <c r="D18" s="3"/>
      <c r="E18" s="3">
        <v>456500</v>
      </c>
      <c r="F18" s="3"/>
      <c r="G18" s="3">
        <v>47000</v>
      </c>
      <c r="H18" s="3">
        <v>628500</v>
      </c>
      <c r="I18" s="3"/>
      <c r="J18" t="s">
        <v>32</v>
      </c>
      <c r="K18" s="3">
        <v>0</v>
      </c>
      <c r="L18" s="3"/>
      <c r="M18" s="3"/>
      <c r="N18" s="3">
        <v>96400</v>
      </c>
      <c r="O18" s="3"/>
      <c r="P18" s="3">
        <v>350000</v>
      </c>
      <c r="Q18" s="3"/>
      <c r="R18" s="3"/>
      <c r="S18" s="3">
        <v>0</v>
      </c>
      <c r="T18" s="3"/>
      <c r="U18" s="3">
        <v>0</v>
      </c>
      <c r="V18" s="3">
        <v>446400</v>
      </c>
      <c r="Z18" s="4">
        <f t="shared" si="0"/>
        <v>125000</v>
      </c>
    </row>
    <row r="19" spans="1:28" x14ac:dyDescent="0.25">
      <c r="A19" t="s">
        <v>34</v>
      </c>
      <c r="B19" s="3">
        <v>141400</v>
      </c>
      <c r="C19" s="3"/>
      <c r="D19" s="3"/>
      <c r="E19" s="3">
        <v>60000</v>
      </c>
      <c r="F19" s="3"/>
      <c r="G19" s="3"/>
      <c r="H19" s="3">
        <v>201400</v>
      </c>
      <c r="I19" s="3"/>
      <c r="J19" t="s">
        <v>34</v>
      </c>
      <c r="K19" s="3">
        <v>0</v>
      </c>
      <c r="L19" s="3"/>
      <c r="M19" s="3"/>
      <c r="N19" s="3"/>
      <c r="O19" s="3"/>
      <c r="P19" s="3"/>
      <c r="Q19" s="3"/>
      <c r="R19" s="3"/>
      <c r="S19" s="3">
        <v>0</v>
      </c>
      <c r="T19" s="3"/>
      <c r="U19" s="3"/>
      <c r="V19" s="3">
        <v>0</v>
      </c>
      <c r="Z19" s="4">
        <f t="shared" si="0"/>
        <v>141400</v>
      </c>
      <c r="AA19" s="5"/>
      <c r="AB19" s="5"/>
    </row>
    <row r="20" spans="1:28" x14ac:dyDescent="0.25">
      <c r="A20" t="s">
        <v>35</v>
      </c>
      <c r="B20" s="3">
        <v>191900</v>
      </c>
      <c r="C20" s="3"/>
      <c r="D20" s="3"/>
      <c r="E20" s="3">
        <v>105000</v>
      </c>
      <c r="F20" s="3">
        <v>11000</v>
      </c>
      <c r="G20" s="3">
        <v>53000</v>
      </c>
      <c r="H20" s="3">
        <v>360900</v>
      </c>
      <c r="I20" s="3"/>
      <c r="J20" t="s">
        <v>35</v>
      </c>
      <c r="K20" s="3">
        <v>0</v>
      </c>
      <c r="L20" s="3"/>
      <c r="M20" s="3"/>
      <c r="N20" s="3">
        <v>58700</v>
      </c>
      <c r="O20" s="3"/>
      <c r="P20" s="3"/>
      <c r="Q20" s="3"/>
      <c r="R20" s="3"/>
      <c r="S20" s="3">
        <v>0</v>
      </c>
      <c r="T20" s="3">
        <v>0</v>
      </c>
      <c r="U20" s="3">
        <v>0</v>
      </c>
      <c r="V20" s="3">
        <v>58700</v>
      </c>
      <c r="Z20" s="4">
        <f t="shared" ref="Z20:Z24" si="1">+SUM(B20:C20)-O20</f>
        <v>191900</v>
      </c>
      <c r="AA20" s="5">
        <v>50000</v>
      </c>
      <c r="AB20" s="5">
        <f>+Z20-AA20</f>
        <v>141900</v>
      </c>
    </row>
    <row r="21" spans="1:28" x14ac:dyDescent="0.25">
      <c r="A21" t="s">
        <v>39</v>
      </c>
      <c r="B21" s="3">
        <v>252000</v>
      </c>
      <c r="C21" s="3"/>
      <c r="D21" s="3"/>
      <c r="E21" s="3">
        <v>260000</v>
      </c>
      <c r="F21" s="3"/>
      <c r="G21" s="3">
        <v>83000</v>
      </c>
      <c r="H21" s="3">
        <v>595000</v>
      </c>
      <c r="I21" s="3"/>
      <c r="J21" t="s">
        <v>39</v>
      </c>
      <c r="K21" s="3">
        <v>0</v>
      </c>
      <c r="L21" s="3"/>
      <c r="M21" s="3"/>
      <c r="N21" s="3">
        <v>285750</v>
      </c>
      <c r="O21" s="3"/>
      <c r="P21" s="3">
        <v>122700</v>
      </c>
      <c r="Q21" s="3"/>
      <c r="R21" s="3"/>
      <c r="S21" s="3">
        <v>0</v>
      </c>
      <c r="T21" s="3"/>
      <c r="U21" s="3">
        <v>0</v>
      </c>
      <c r="V21" s="3">
        <v>408450</v>
      </c>
      <c r="Z21" s="4">
        <f>+SUM(B21:C21)-O21</f>
        <v>252000</v>
      </c>
      <c r="AA21" s="5"/>
      <c r="AB21" s="5"/>
    </row>
    <row r="22" spans="1:28" x14ac:dyDescent="0.25">
      <c r="A22" t="s">
        <v>40</v>
      </c>
      <c r="B22" s="3">
        <v>120900</v>
      </c>
      <c r="C22" s="3"/>
      <c r="D22" s="3"/>
      <c r="E22" s="3">
        <v>143500</v>
      </c>
      <c r="F22" s="3"/>
      <c r="G22" s="3">
        <v>115500</v>
      </c>
      <c r="H22" s="3">
        <v>379900</v>
      </c>
      <c r="I22" s="3"/>
      <c r="J22" t="s">
        <v>40</v>
      </c>
      <c r="K22" s="3">
        <v>0</v>
      </c>
      <c r="L22" s="3"/>
      <c r="M22" s="3"/>
      <c r="N22" s="3">
        <v>84900</v>
      </c>
      <c r="O22" s="3"/>
      <c r="P22" s="3">
        <v>500</v>
      </c>
      <c r="Q22" s="3"/>
      <c r="R22" s="3"/>
      <c r="S22" s="3">
        <v>0</v>
      </c>
      <c r="T22" s="3"/>
      <c r="U22" s="3">
        <v>0</v>
      </c>
      <c r="V22" s="3">
        <v>85400</v>
      </c>
      <c r="Z22" s="4">
        <f t="shared" si="1"/>
        <v>120900</v>
      </c>
    </row>
    <row r="23" spans="1:28" x14ac:dyDescent="0.25">
      <c r="A23" t="s">
        <v>45</v>
      </c>
      <c r="B23" s="3">
        <v>93000</v>
      </c>
      <c r="C23" s="3"/>
      <c r="D23" s="3"/>
      <c r="E23" s="3">
        <v>211000</v>
      </c>
      <c r="F23" s="3"/>
      <c r="G23" s="3">
        <v>87500</v>
      </c>
      <c r="H23" s="3">
        <v>391500</v>
      </c>
      <c r="I23" s="3"/>
      <c r="J23" t="s">
        <v>45</v>
      </c>
      <c r="K23" s="3">
        <v>0</v>
      </c>
      <c r="L23" s="3"/>
      <c r="M23" s="3"/>
      <c r="N23" s="3">
        <v>213300</v>
      </c>
      <c r="O23" s="3"/>
      <c r="P23" s="3">
        <v>1500</v>
      </c>
      <c r="Q23" s="3"/>
      <c r="R23" s="3"/>
      <c r="S23" s="3">
        <v>0</v>
      </c>
      <c r="T23" s="3"/>
      <c r="U23" s="3">
        <v>0</v>
      </c>
      <c r="V23" s="3">
        <v>214800</v>
      </c>
      <c r="Z23" s="4">
        <f t="shared" si="1"/>
        <v>93000</v>
      </c>
      <c r="AA23" s="5"/>
      <c r="AB23" s="5"/>
    </row>
    <row r="24" spans="1:28" x14ac:dyDescent="0.25">
      <c r="A24" t="s">
        <v>41</v>
      </c>
      <c r="B24" s="3">
        <v>161050</v>
      </c>
      <c r="C24" s="3"/>
      <c r="D24" s="3"/>
      <c r="E24" s="3">
        <v>123500</v>
      </c>
      <c r="F24" s="3">
        <v>3000</v>
      </c>
      <c r="G24" s="3">
        <v>92000</v>
      </c>
      <c r="H24" s="3">
        <v>379550</v>
      </c>
      <c r="I24" s="3"/>
      <c r="J24" t="s">
        <v>41</v>
      </c>
      <c r="K24" s="3">
        <v>0</v>
      </c>
      <c r="L24" s="3"/>
      <c r="M24" s="3"/>
      <c r="N24" s="3">
        <v>156850</v>
      </c>
      <c r="O24" s="3"/>
      <c r="P24" s="3"/>
      <c r="Q24" s="3"/>
      <c r="R24" s="3"/>
      <c r="S24" s="3">
        <v>0</v>
      </c>
      <c r="T24" s="3">
        <v>0</v>
      </c>
      <c r="U24" s="3">
        <v>0</v>
      </c>
      <c r="V24" s="3">
        <v>156850</v>
      </c>
      <c r="Z24" s="4">
        <f t="shared" si="1"/>
        <v>161050</v>
      </c>
    </row>
    <row r="25" spans="1:28" x14ac:dyDescent="0.25">
      <c r="A25" t="s">
        <v>50</v>
      </c>
      <c r="B25" s="3">
        <v>141650</v>
      </c>
      <c r="C25" s="3"/>
      <c r="D25" s="3"/>
      <c r="E25" s="3">
        <v>172500</v>
      </c>
      <c r="F25" s="3"/>
      <c r="G25" s="3">
        <v>76000</v>
      </c>
      <c r="H25" s="3">
        <v>390150</v>
      </c>
      <c r="I25" s="3"/>
      <c r="J25" t="s">
        <v>50</v>
      </c>
      <c r="K25" s="3">
        <v>0</v>
      </c>
      <c r="L25" s="3"/>
      <c r="M25" s="3"/>
      <c r="N25" s="3">
        <v>130000</v>
      </c>
      <c r="O25" s="3"/>
      <c r="P25" s="3"/>
      <c r="Q25" s="3"/>
      <c r="R25" s="3"/>
      <c r="S25" s="3">
        <v>0</v>
      </c>
      <c r="T25" s="3"/>
      <c r="U25" s="3">
        <v>0</v>
      </c>
      <c r="V25" s="3">
        <v>130000</v>
      </c>
    </row>
    <row r="26" spans="1:28" x14ac:dyDescent="0.25">
      <c r="A26" t="s">
        <v>51</v>
      </c>
      <c r="B26" s="3">
        <v>100000</v>
      </c>
      <c r="C26" s="3"/>
      <c r="D26" s="3"/>
      <c r="E26" s="3">
        <v>51000</v>
      </c>
      <c r="F26" s="3"/>
      <c r="G26" s="3">
        <v>43000</v>
      </c>
      <c r="H26" s="3">
        <v>194000</v>
      </c>
      <c r="I26" s="3"/>
      <c r="J26" t="s">
        <v>51</v>
      </c>
      <c r="K26" s="3">
        <v>0</v>
      </c>
      <c r="L26" s="3"/>
      <c r="M26" s="3"/>
      <c r="N26" s="3"/>
      <c r="O26" s="3"/>
      <c r="P26" s="3"/>
      <c r="Q26" s="3"/>
      <c r="R26" s="3">
        <v>2000</v>
      </c>
      <c r="S26" s="3">
        <v>0</v>
      </c>
      <c r="T26" s="3"/>
      <c r="U26" s="3">
        <v>0</v>
      </c>
      <c r="V26" s="3">
        <v>2000</v>
      </c>
    </row>
    <row r="27" spans="1:28" x14ac:dyDescent="0.25">
      <c r="A27" t="s">
        <v>52</v>
      </c>
      <c r="B27" s="3">
        <v>151000</v>
      </c>
      <c r="C27" s="3"/>
      <c r="D27" s="3"/>
      <c r="E27" s="3">
        <v>338500</v>
      </c>
      <c r="F27" s="3">
        <v>23000</v>
      </c>
      <c r="G27" s="3">
        <v>113000</v>
      </c>
      <c r="H27" s="3">
        <v>625500</v>
      </c>
      <c r="I27" s="3"/>
      <c r="J27" t="s">
        <v>52</v>
      </c>
      <c r="K27" s="3">
        <v>0</v>
      </c>
      <c r="L27" s="3"/>
      <c r="M27" s="3"/>
      <c r="N27" s="3">
        <v>300100</v>
      </c>
      <c r="O27" s="3"/>
      <c r="P27" s="3">
        <v>101000</v>
      </c>
      <c r="Q27" s="3"/>
      <c r="R27" s="3"/>
      <c r="S27" s="3">
        <v>0</v>
      </c>
      <c r="T27" s="3">
        <v>0</v>
      </c>
      <c r="U27" s="3">
        <v>0</v>
      </c>
      <c r="V27" s="3">
        <v>401100</v>
      </c>
    </row>
    <row r="28" spans="1:28" x14ac:dyDescent="0.25">
      <c r="A28" t="s">
        <v>72</v>
      </c>
      <c r="B28" s="3">
        <v>106200</v>
      </c>
      <c r="C28" s="3">
        <v>21000</v>
      </c>
      <c r="D28" s="3">
        <v>271650</v>
      </c>
      <c r="E28" s="3">
        <v>67000</v>
      </c>
      <c r="F28" s="3">
        <v>82000</v>
      </c>
      <c r="G28" s="3">
        <v>94000</v>
      </c>
      <c r="H28" s="3">
        <v>641850</v>
      </c>
      <c r="I28" s="3"/>
      <c r="J28" t="s">
        <v>72</v>
      </c>
      <c r="K28" s="3">
        <v>0</v>
      </c>
      <c r="L28" s="3">
        <v>0</v>
      </c>
      <c r="M28" s="3">
        <v>0</v>
      </c>
      <c r="N28" s="3">
        <v>26100</v>
      </c>
      <c r="O28" s="3"/>
      <c r="P28" s="3">
        <v>55350</v>
      </c>
      <c r="Q28" s="3"/>
      <c r="R28" s="3"/>
      <c r="S28" s="3">
        <v>0</v>
      </c>
      <c r="T28" s="3">
        <v>0</v>
      </c>
      <c r="U28" s="3">
        <v>0</v>
      </c>
      <c r="V28" s="3">
        <v>81450</v>
      </c>
    </row>
    <row r="29" spans="1:28" x14ac:dyDescent="0.25">
      <c r="A29" t="s">
        <v>73</v>
      </c>
      <c r="B29" s="3">
        <v>84250</v>
      </c>
      <c r="C29" s="3"/>
      <c r="D29" s="3"/>
      <c r="E29" s="3">
        <v>132500</v>
      </c>
      <c r="F29" s="3"/>
      <c r="G29" s="3"/>
      <c r="H29" s="3">
        <v>216750</v>
      </c>
      <c r="I29" s="3"/>
      <c r="J29" t="s">
        <v>73</v>
      </c>
      <c r="K29" s="3">
        <v>0</v>
      </c>
      <c r="L29" s="3"/>
      <c r="M29" s="3"/>
      <c r="N29" s="3"/>
      <c r="O29" s="3"/>
      <c r="P29" s="3"/>
      <c r="Q29" s="3"/>
      <c r="R29" s="3"/>
      <c r="S29" s="3">
        <v>0</v>
      </c>
      <c r="T29" s="3"/>
      <c r="U29" s="3"/>
      <c r="V29" s="3">
        <v>0</v>
      </c>
    </row>
    <row r="30" spans="1:28" x14ac:dyDescent="0.25">
      <c r="A30" t="s">
        <v>74</v>
      </c>
      <c r="B30" s="3">
        <v>216750</v>
      </c>
      <c r="C30" s="3"/>
      <c r="D30" s="3"/>
      <c r="E30" s="3">
        <v>271000</v>
      </c>
      <c r="F30" s="3">
        <v>23000</v>
      </c>
      <c r="G30" s="3">
        <v>98000</v>
      </c>
      <c r="H30" s="3">
        <v>608750</v>
      </c>
      <c r="I30" s="3"/>
      <c r="J30" t="s">
        <v>74</v>
      </c>
      <c r="K30" s="3">
        <v>0</v>
      </c>
      <c r="L30" s="3"/>
      <c r="M30" s="3"/>
      <c r="N30" s="3">
        <v>251500</v>
      </c>
      <c r="O30" s="3"/>
      <c r="P30" s="3">
        <v>100000</v>
      </c>
      <c r="Q30" s="3"/>
      <c r="R30" s="3">
        <v>5000</v>
      </c>
      <c r="S30" s="3">
        <v>0</v>
      </c>
      <c r="T30" s="3">
        <v>0</v>
      </c>
      <c r="U30" s="3">
        <v>0</v>
      </c>
      <c r="V30" s="3">
        <v>356500</v>
      </c>
    </row>
    <row r="31" spans="1:28" x14ac:dyDescent="0.25">
      <c r="A31" t="s">
        <v>83</v>
      </c>
      <c r="B31" s="3">
        <v>-2686200</v>
      </c>
      <c r="C31" s="3">
        <v>-174000</v>
      </c>
      <c r="D31" s="3">
        <v>-1469150</v>
      </c>
      <c r="E31" s="3">
        <v>99000</v>
      </c>
      <c r="F31" s="3"/>
      <c r="G31" s="3">
        <v>19000</v>
      </c>
      <c r="H31" s="3">
        <v>-4211350</v>
      </c>
      <c r="I31" s="3"/>
      <c r="J31" t="s">
        <v>83</v>
      </c>
      <c r="K31" s="3">
        <v>0</v>
      </c>
      <c r="L31" s="3">
        <v>0</v>
      </c>
      <c r="M31" s="3">
        <v>0</v>
      </c>
      <c r="N31" s="3">
        <v>221350</v>
      </c>
      <c r="O31" s="3"/>
      <c r="P31" s="3"/>
      <c r="Q31" s="3"/>
      <c r="R31" s="3"/>
      <c r="S31" s="3">
        <v>0</v>
      </c>
      <c r="T31" s="3"/>
      <c r="U31" s="3">
        <v>0</v>
      </c>
      <c r="V31" s="3">
        <v>221350</v>
      </c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  <c r="J32" t="s">
        <v>86</v>
      </c>
      <c r="K32" s="3"/>
      <c r="L32" s="3"/>
      <c r="M32" s="3"/>
      <c r="N32" s="3">
        <v>15000</v>
      </c>
      <c r="O32" s="3"/>
      <c r="P32" s="3"/>
      <c r="Q32" s="3"/>
      <c r="R32" s="3"/>
      <c r="S32" s="3">
        <v>0</v>
      </c>
      <c r="T32" s="3"/>
      <c r="U32" s="3">
        <v>0</v>
      </c>
      <c r="V32" s="3">
        <v>15000</v>
      </c>
    </row>
    <row r="33" spans="1:26" x14ac:dyDescent="0.25">
      <c r="A33" t="s">
        <v>84</v>
      </c>
      <c r="B33" s="3">
        <v>172000</v>
      </c>
      <c r="C33" s="3">
        <v>128000</v>
      </c>
      <c r="D33" s="3">
        <v>510650</v>
      </c>
      <c r="E33" s="3">
        <v>176500</v>
      </c>
      <c r="F33" s="3">
        <v>23500</v>
      </c>
      <c r="G33" s="3">
        <v>114000</v>
      </c>
      <c r="H33" s="3">
        <v>1124650</v>
      </c>
      <c r="I33" s="3"/>
      <c r="J33" t="s">
        <v>84</v>
      </c>
      <c r="K33" s="3">
        <v>0</v>
      </c>
      <c r="L33" s="3">
        <v>0</v>
      </c>
      <c r="M33" s="3">
        <v>0</v>
      </c>
      <c r="N33" s="3"/>
      <c r="O33" s="3">
        <v>60000</v>
      </c>
      <c r="P33" s="3">
        <v>253000</v>
      </c>
      <c r="Q33" s="3">
        <v>500</v>
      </c>
      <c r="R33" s="3"/>
      <c r="S33" s="3">
        <v>0</v>
      </c>
      <c r="T33" s="3">
        <v>0</v>
      </c>
      <c r="U33" s="3">
        <v>4000</v>
      </c>
      <c r="V33" s="3">
        <v>317500</v>
      </c>
      <c r="Z33" s="4">
        <f>+SUM(B33:E33)-SUM(O33)</f>
        <v>927150</v>
      </c>
    </row>
    <row r="34" spans="1:26" x14ac:dyDescent="0.25">
      <c r="A34" t="s">
        <v>87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J34" t="s">
        <v>87</v>
      </c>
      <c r="K34" s="3"/>
      <c r="L34" s="3"/>
      <c r="M34" s="3">
        <v>0</v>
      </c>
      <c r="N34" s="3"/>
      <c r="O34" s="3">
        <v>180500</v>
      </c>
      <c r="P34" s="3"/>
      <c r="Q34" s="3"/>
      <c r="R34" s="3">
        <v>80000</v>
      </c>
      <c r="S34" s="3">
        <v>0</v>
      </c>
      <c r="T34" s="3"/>
      <c r="U34" s="3">
        <v>0</v>
      </c>
      <c r="V34" s="3">
        <v>260500</v>
      </c>
      <c r="Z34" s="4">
        <f>+SUM(B34:E34)-SUM(O34)</f>
        <v>241700</v>
      </c>
    </row>
    <row r="35" spans="1:26" x14ac:dyDescent="0.25">
      <c r="A35" t="s">
        <v>88</v>
      </c>
      <c r="B35" s="3"/>
      <c r="C35" s="3"/>
      <c r="D35" s="3"/>
      <c r="E35" s="3">
        <v>215700</v>
      </c>
      <c r="F35" s="3">
        <v>11000</v>
      </c>
      <c r="G35" s="3">
        <v>153800</v>
      </c>
      <c r="H35" s="3">
        <v>380500</v>
      </c>
      <c r="I35" s="3"/>
      <c r="J35" t="s">
        <v>88</v>
      </c>
      <c r="K35" s="3"/>
      <c r="L35" s="3"/>
      <c r="M35" s="3"/>
      <c r="N35" s="3">
        <v>49250</v>
      </c>
      <c r="O35" s="3">
        <v>50000</v>
      </c>
      <c r="P35" s="3"/>
      <c r="Q35" s="3"/>
      <c r="R35" s="3">
        <v>404000</v>
      </c>
      <c r="S35" s="3">
        <v>0</v>
      </c>
      <c r="T35" s="3">
        <v>0</v>
      </c>
      <c r="U35" s="3">
        <v>0</v>
      </c>
      <c r="V35" s="3">
        <v>503250</v>
      </c>
    </row>
    <row r="36" spans="1:26" x14ac:dyDescent="0.25">
      <c r="A36" t="s">
        <v>1</v>
      </c>
      <c r="B36" s="3">
        <v>55200</v>
      </c>
      <c r="C36" s="3">
        <v>-25000</v>
      </c>
      <c r="D36" s="3">
        <v>-341900</v>
      </c>
      <c r="E36" s="3">
        <v>4078450</v>
      </c>
      <c r="F36" s="3">
        <v>187500</v>
      </c>
      <c r="G36" s="3">
        <v>1543300</v>
      </c>
      <c r="H36" s="3">
        <v>5497550</v>
      </c>
      <c r="J36" t="s">
        <v>1</v>
      </c>
      <c r="K36" s="3">
        <v>0</v>
      </c>
      <c r="L36" s="3">
        <v>0</v>
      </c>
      <c r="M36" s="3">
        <v>0</v>
      </c>
      <c r="N36" s="3">
        <v>2602900</v>
      </c>
      <c r="O36" s="3">
        <v>290500</v>
      </c>
      <c r="P36" s="3">
        <v>1292050</v>
      </c>
      <c r="Q36" s="3">
        <v>500</v>
      </c>
      <c r="R36" s="3">
        <v>491000</v>
      </c>
      <c r="S36" s="3">
        <v>0</v>
      </c>
      <c r="T36" s="3">
        <v>0</v>
      </c>
      <c r="U36" s="3">
        <v>4000</v>
      </c>
      <c r="V36" s="3">
        <v>4680950</v>
      </c>
    </row>
    <row r="41" spans="1:26" x14ac:dyDescent="0.25">
      <c r="J41" s="1" t="s">
        <v>46</v>
      </c>
      <c r="K41" s="1" t="s">
        <v>20</v>
      </c>
      <c r="L41" s="1" t="s">
        <v>13</v>
      </c>
    </row>
    <row r="42" spans="1:26" x14ac:dyDescent="0.25"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11</v>
      </c>
      <c r="S42" t="s">
        <v>0</v>
      </c>
      <c r="T42" t="s">
        <v>0</v>
      </c>
      <c r="U42" t="s">
        <v>0</v>
      </c>
      <c r="V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8</v>
      </c>
      <c r="S43" t="s">
        <v>7</v>
      </c>
      <c r="T43" t="s">
        <v>28</v>
      </c>
      <c r="U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>
        <v>100</v>
      </c>
      <c r="Q44" s="3"/>
      <c r="R44" s="3"/>
      <c r="S44" s="3">
        <v>0</v>
      </c>
      <c r="T44" s="3"/>
      <c r="U44" s="3">
        <v>0</v>
      </c>
      <c r="V44" s="3">
        <v>60100</v>
      </c>
    </row>
    <row r="45" spans="1:26" x14ac:dyDescent="0.25">
      <c r="J45" t="s">
        <v>3</v>
      </c>
      <c r="K45" s="3">
        <v>0</v>
      </c>
      <c r="L45" s="3"/>
      <c r="M45" s="3"/>
      <c r="N45" s="3">
        <v>103000</v>
      </c>
      <c r="O45" s="3"/>
      <c r="P45" s="3"/>
      <c r="Q45" s="3"/>
      <c r="R45" s="3"/>
      <c r="S45" s="3">
        <v>0</v>
      </c>
      <c r="T45" s="3"/>
      <c r="U45" s="3">
        <v>0</v>
      </c>
      <c r="V45" s="3">
        <v>103000</v>
      </c>
    </row>
    <row r="46" spans="1:26" x14ac:dyDescent="0.25">
      <c r="J46" t="s">
        <v>4</v>
      </c>
      <c r="K46" s="3"/>
      <c r="L46" s="3"/>
      <c r="M46" s="3"/>
      <c r="N46" s="3">
        <v>226700</v>
      </c>
      <c r="O46" s="3"/>
      <c r="P46" s="3"/>
      <c r="Q46" s="3"/>
      <c r="R46" s="3"/>
      <c r="S46" s="3">
        <v>0</v>
      </c>
      <c r="T46" s="3"/>
      <c r="U46" s="3">
        <v>0</v>
      </c>
      <c r="V46" s="3">
        <v>226700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/>
      <c r="Q47" s="3"/>
      <c r="R47" s="3"/>
      <c r="S47" s="3">
        <v>0</v>
      </c>
      <c r="T47" s="3"/>
      <c r="U47" s="3">
        <v>0</v>
      </c>
      <c r="V47" s="3">
        <v>84000</v>
      </c>
    </row>
    <row r="48" spans="1:26" x14ac:dyDescent="0.25">
      <c r="J48" t="s">
        <v>27</v>
      </c>
      <c r="K48" s="3">
        <v>0</v>
      </c>
      <c r="L48" s="3"/>
      <c r="M48" s="3"/>
      <c r="N48" s="3">
        <v>240000</v>
      </c>
      <c r="O48" s="3"/>
      <c r="P48" s="3">
        <v>307900</v>
      </c>
      <c r="Q48" s="3"/>
      <c r="R48" s="3"/>
      <c r="S48" s="3">
        <v>0</v>
      </c>
      <c r="T48" s="3">
        <v>0</v>
      </c>
      <c r="U48" s="3">
        <v>0</v>
      </c>
      <c r="V48" s="3">
        <v>547900</v>
      </c>
    </row>
    <row r="49" spans="10:22" x14ac:dyDescent="0.25">
      <c r="J49" t="s">
        <v>32</v>
      </c>
      <c r="K49" s="3">
        <v>0</v>
      </c>
      <c r="L49" s="3"/>
      <c r="M49" s="3"/>
      <c r="N49" s="3">
        <v>96400</v>
      </c>
      <c r="O49" s="3"/>
      <c r="P49" s="3">
        <v>350000</v>
      </c>
      <c r="Q49" s="3"/>
      <c r="R49" s="3"/>
      <c r="S49" s="3">
        <v>0</v>
      </c>
      <c r="T49" s="3"/>
      <c r="U49" s="3">
        <v>0</v>
      </c>
      <c r="V49" s="3">
        <v>446400</v>
      </c>
    </row>
    <row r="50" spans="10:22" x14ac:dyDescent="0.25">
      <c r="J50" t="s">
        <v>34</v>
      </c>
      <c r="K50" s="3">
        <v>0</v>
      </c>
      <c r="L50" s="3"/>
      <c r="M50" s="3"/>
      <c r="N50" s="3"/>
      <c r="O50" s="3"/>
      <c r="P50" s="3"/>
      <c r="Q50" s="3"/>
      <c r="R50" s="3"/>
      <c r="S50" s="3">
        <v>0</v>
      </c>
      <c r="T50" s="3"/>
      <c r="U50" s="3"/>
      <c r="V50" s="3">
        <v>0</v>
      </c>
    </row>
    <row r="51" spans="10:22" x14ac:dyDescent="0.25">
      <c r="J51" t="s">
        <v>35</v>
      </c>
      <c r="K51" s="3">
        <v>0</v>
      </c>
      <c r="L51" s="3"/>
      <c r="M51" s="3"/>
      <c r="N51" s="3">
        <v>58700</v>
      </c>
      <c r="O51" s="3"/>
      <c r="P51" s="3"/>
      <c r="Q51" s="3"/>
      <c r="R51" s="3"/>
      <c r="S51" s="3">
        <v>0</v>
      </c>
      <c r="T51" s="3">
        <v>0</v>
      </c>
      <c r="U51" s="3">
        <v>0</v>
      </c>
      <c r="V51" s="3">
        <v>58700</v>
      </c>
    </row>
    <row r="52" spans="10:22" x14ac:dyDescent="0.25">
      <c r="J52" t="s">
        <v>39</v>
      </c>
      <c r="K52" s="3">
        <v>0</v>
      </c>
      <c r="L52" s="3"/>
      <c r="M52" s="3"/>
      <c r="N52" s="3">
        <v>285750</v>
      </c>
      <c r="O52" s="3"/>
      <c r="P52" s="3">
        <v>122700</v>
      </c>
      <c r="Q52" s="3"/>
      <c r="R52" s="3"/>
      <c r="S52" s="3">
        <v>0</v>
      </c>
      <c r="T52" s="3"/>
      <c r="U52" s="3">
        <v>0</v>
      </c>
      <c r="V52" s="3">
        <v>408450</v>
      </c>
    </row>
    <row r="53" spans="10:22" x14ac:dyDescent="0.25">
      <c r="J53" t="s">
        <v>40</v>
      </c>
      <c r="K53" s="3">
        <v>0</v>
      </c>
      <c r="L53" s="3"/>
      <c r="M53" s="3"/>
      <c r="N53" s="3">
        <v>84900</v>
      </c>
      <c r="O53" s="3"/>
      <c r="P53" s="3">
        <v>500</v>
      </c>
      <c r="Q53" s="3"/>
      <c r="R53" s="3"/>
      <c r="S53" s="3">
        <v>0</v>
      </c>
      <c r="T53" s="3"/>
      <c r="U53" s="3">
        <v>0</v>
      </c>
      <c r="V53" s="3">
        <v>85400</v>
      </c>
    </row>
    <row r="54" spans="10:22" x14ac:dyDescent="0.25">
      <c r="J54" t="s">
        <v>45</v>
      </c>
      <c r="K54" s="3">
        <v>0</v>
      </c>
      <c r="L54" s="3"/>
      <c r="M54" s="3"/>
      <c r="N54" s="3">
        <v>213300</v>
      </c>
      <c r="O54" s="3"/>
      <c r="P54" s="3">
        <v>1500</v>
      </c>
      <c r="Q54" s="3"/>
      <c r="R54" s="3"/>
      <c r="S54" s="3">
        <v>0</v>
      </c>
      <c r="T54" s="3"/>
      <c r="U54" s="3">
        <v>0</v>
      </c>
      <c r="V54" s="3">
        <v>214800</v>
      </c>
    </row>
    <row r="55" spans="10:22" x14ac:dyDescent="0.25">
      <c r="J55" t="s">
        <v>41</v>
      </c>
      <c r="K55" s="3">
        <v>0</v>
      </c>
      <c r="L55" s="3"/>
      <c r="M55" s="3"/>
      <c r="N55" s="3">
        <v>156850</v>
      </c>
      <c r="O55" s="3"/>
      <c r="P55" s="3"/>
      <c r="Q55" s="3"/>
      <c r="R55" s="3"/>
      <c r="S55" s="3">
        <v>0</v>
      </c>
      <c r="T55" s="3">
        <v>0</v>
      </c>
      <c r="U55" s="3">
        <v>0</v>
      </c>
      <c r="V55" s="3">
        <v>156850</v>
      </c>
    </row>
    <row r="56" spans="10:22" x14ac:dyDescent="0.25">
      <c r="J56" t="s">
        <v>50</v>
      </c>
      <c r="K56" s="3">
        <v>0</v>
      </c>
      <c r="L56" s="3"/>
      <c r="M56" s="3"/>
      <c r="N56" s="3">
        <v>130000</v>
      </c>
      <c r="O56" s="3"/>
      <c r="P56" s="3"/>
      <c r="Q56" s="3"/>
      <c r="R56" s="3"/>
      <c r="S56" s="3">
        <v>0</v>
      </c>
      <c r="T56" s="3"/>
      <c r="U56" s="3">
        <v>0</v>
      </c>
      <c r="V56" s="3">
        <v>130000</v>
      </c>
    </row>
    <row r="57" spans="10:22" x14ac:dyDescent="0.25">
      <c r="J57" t="s">
        <v>51</v>
      </c>
      <c r="K57" s="3">
        <v>0</v>
      </c>
      <c r="L57" s="3"/>
      <c r="M57" s="3"/>
      <c r="N57" s="3"/>
      <c r="O57" s="3"/>
      <c r="P57" s="3"/>
      <c r="Q57" s="3"/>
      <c r="R57" s="3">
        <v>2000</v>
      </c>
      <c r="S57" s="3">
        <v>0</v>
      </c>
      <c r="T57" s="3"/>
      <c r="U57" s="3">
        <v>0</v>
      </c>
      <c r="V57" s="3">
        <v>2000</v>
      </c>
    </row>
    <row r="58" spans="10:22" x14ac:dyDescent="0.25">
      <c r="J58" t="s">
        <v>52</v>
      </c>
      <c r="K58" s="3">
        <v>0</v>
      </c>
      <c r="L58" s="3"/>
      <c r="M58" s="3"/>
      <c r="N58" s="3">
        <v>300100</v>
      </c>
      <c r="O58" s="3"/>
      <c r="P58" s="3">
        <v>101000</v>
      </c>
      <c r="Q58" s="3"/>
      <c r="R58" s="3"/>
      <c r="S58" s="3">
        <v>0</v>
      </c>
      <c r="T58" s="3">
        <v>0</v>
      </c>
      <c r="U58" s="3">
        <v>0</v>
      </c>
      <c r="V58" s="3">
        <v>401100</v>
      </c>
    </row>
    <row r="59" spans="10:22" x14ac:dyDescent="0.25">
      <c r="J59" t="s">
        <v>72</v>
      </c>
      <c r="K59" s="3">
        <v>0</v>
      </c>
      <c r="L59" s="3">
        <v>0</v>
      </c>
      <c r="M59" s="3">
        <v>0</v>
      </c>
      <c r="N59" s="3">
        <v>26100</v>
      </c>
      <c r="O59" s="3"/>
      <c r="P59" s="3">
        <v>55350</v>
      </c>
      <c r="Q59" s="3"/>
      <c r="R59" s="3"/>
      <c r="S59" s="3">
        <v>0</v>
      </c>
      <c r="T59" s="3">
        <v>0</v>
      </c>
      <c r="U59" s="3">
        <v>0</v>
      </c>
      <c r="V59" s="3">
        <v>81450</v>
      </c>
    </row>
    <row r="60" spans="10:22" x14ac:dyDescent="0.25">
      <c r="J60" t="s">
        <v>73</v>
      </c>
      <c r="K60" s="3">
        <v>0</v>
      </c>
      <c r="L60" s="3"/>
      <c r="M60" s="3"/>
      <c r="N60" s="3"/>
      <c r="O60" s="3"/>
      <c r="P60" s="3"/>
      <c r="Q60" s="3"/>
      <c r="R60" s="3"/>
      <c r="S60" s="3">
        <v>0</v>
      </c>
      <c r="T60" s="3"/>
      <c r="U60" s="3"/>
      <c r="V60" s="3">
        <v>0</v>
      </c>
    </row>
    <row r="61" spans="10:22" x14ac:dyDescent="0.25">
      <c r="J61" t="s">
        <v>74</v>
      </c>
      <c r="K61" s="3">
        <v>0</v>
      </c>
      <c r="L61" s="3"/>
      <c r="M61" s="3"/>
      <c r="N61" s="3">
        <v>251500</v>
      </c>
      <c r="O61" s="3"/>
      <c r="P61" s="3">
        <v>100000</v>
      </c>
      <c r="Q61" s="3"/>
      <c r="R61" s="3">
        <v>5000</v>
      </c>
      <c r="S61" s="3">
        <v>0</v>
      </c>
      <c r="T61" s="3">
        <v>0</v>
      </c>
      <c r="U61" s="3">
        <v>0</v>
      </c>
      <c r="V61" s="3">
        <v>356500</v>
      </c>
    </row>
    <row r="62" spans="10:22" x14ac:dyDescent="0.25">
      <c r="J62" t="s">
        <v>83</v>
      </c>
      <c r="K62" s="3">
        <v>0</v>
      </c>
      <c r="L62" s="3">
        <v>0</v>
      </c>
      <c r="M62" s="3">
        <v>0</v>
      </c>
      <c r="N62" s="3">
        <v>221350</v>
      </c>
      <c r="O62" s="3"/>
      <c r="P62" s="3"/>
      <c r="Q62" s="3"/>
      <c r="R62" s="3"/>
      <c r="S62" s="3">
        <v>0</v>
      </c>
      <c r="T62" s="3"/>
      <c r="U62" s="3">
        <v>0</v>
      </c>
      <c r="V62" s="3">
        <v>221350</v>
      </c>
    </row>
    <row r="63" spans="10:22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/>
      <c r="S63" s="3">
        <v>0</v>
      </c>
      <c r="T63" s="3"/>
      <c r="U63" s="3">
        <v>0</v>
      </c>
      <c r="V63" s="3">
        <v>15000</v>
      </c>
    </row>
    <row r="64" spans="10:22" x14ac:dyDescent="0.25">
      <c r="J64" t="s">
        <v>84</v>
      </c>
      <c r="K64" s="3">
        <v>0</v>
      </c>
      <c r="L64" s="3">
        <v>0</v>
      </c>
      <c r="M64" s="3">
        <v>0</v>
      </c>
      <c r="N64" s="3"/>
      <c r="O64" s="3">
        <v>60000</v>
      </c>
      <c r="P64" s="3">
        <v>253000</v>
      </c>
      <c r="Q64" s="3">
        <v>500</v>
      </c>
      <c r="R64" s="3"/>
      <c r="S64" s="3">
        <v>0</v>
      </c>
      <c r="T64" s="3">
        <v>0</v>
      </c>
      <c r="U64" s="3">
        <v>4000</v>
      </c>
      <c r="V64" s="3">
        <v>317500</v>
      </c>
    </row>
    <row r="65" spans="10:22" x14ac:dyDescent="0.25">
      <c r="J65" t="s">
        <v>87</v>
      </c>
      <c r="K65" s="3"/>
      <c r="L65" s="3"/>
      <c r="M65" s="3">
        <v>0</v>
      </c>
      <c r="N65" s="3"/>
      <c r="O65" s="3">
        <v>180500</v>
      </c>
      <c r="P65" s="3"/>
      <c r="Q65" s="3"/>
      <c r="R65" s="3">
        <v>80000</v>
      </c>
      <c r="S65" s="3">
        <v>0</v>
      </c>
      <c r="T65" s="3"/>
      <c r="U65" s="3">
        <v>0</v>
      </c>
      <c r="V65" s="3">
        <v>260500</v>
      </c>
    </row>
    <row r="66" spans="10:22" x14ac:dyDescent="0.25">
      <c r="J66" t="s">
        <v>88</v>
      </c>
      <c r="K66" s="3"/>
      <c r="L66" s="3"/>
      <c r="M66" s="3"/>
      <c r="N66" s="3">
        <v>49250</v>
      </c>
      <c r="O66" s="3">
        <v>50000</v>
      </c>
      <c r="P66" s="3"/>
      <c r="Q66" s="3"/>
      <c r="R66" s="3">
        <v>404000</v>
      </c>
      <c r="S66" s="3">
        <v>0</v>
      </c>
      <c r="T66" s="3">
        <v>0</v>
      </c>
      <c r="U66" s="3">
        <v>0</v>
      </c>
      <c r="V66" s="3">
        <v>503250</v>
      </c>
    </row>
    <row r="67" spans="10:22" x14ac:dyDescent="0.25">
      <c r="J67" t="s">
        <v>1</v>
      </c>
      <c r="K67" s="3">
        <v>0</v>
      </c>
      <c r="L67" s="3">
        <v>0</v>
      </c>
      <c r="M67" s="3">
        <v>0</v>
      </c>
      <c r="N67" s="3">
        <v>2602900</v>
      </c>
      <c r="O67" s="3">
        <v>290500</v>
      </c>
      <c r="P67" s="3">
        <v>1292050</v>
      </c>
      <c r="Q67" s="3">
        <v>500</v>
      </c>
      <c r="R67" s="3">
        <v>491000</v>
      </c>
      <c r="S67" s="3">
        <v>0</v>
      </c>
      <c r="T67" s="3">
        <v>0</v>
      </c>
      <c r="U67" s="3">
        <v>4000</v>
      </c>
      <c r="V67" s="3">
        <v>4680950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38"/>
  <sheetViews>
    <sheetView topLeftCell="A7" zoomScale="85" zoomScaleNormal="85" workbookViewId="0">
      <selection activeCell="G32" activeCellId="4" sqref="G9:H9 G11:H12 G14:H16 G19:H20 G32:H32 G35:H35 G43:H43 G50:H50 G57:H57 G66:H67 G70:H72 G80:H81 G96:H96 G98:H98 G103:H103 G108:H108 G112:H112 G114:H114 G119:H120 G126:H126 G135:H136 G146:H146 G153:H154 G162:H162 G167:H167 G171:H171 G174:H174 G179:H180 G194:H194 G197:H198 G200:H200 G203:H205 G214:H214 G217:H217 G236:H236 G238:H238 G241:H241 G243:H245 G254:H254 G259:H261 G265:H266 G270:H270 G284:H285 G308:H309 G316:H317 G320:H322"/>
      <pivotSelection pane="bottomRight" showHeader="1" extendable="1" axis="axisRow" dimension="6" start="23" min="23" max="24" activeRow="31" activeCol="6" previousRow="31" previousCol="6" click="1" r:id="rId2">
        <pivotArea dataOnly="0" outline="0" fieldPosition="0">
          <references count="1">
            <reference field="5" count="1">
              <x v="0"/>
            </reference>
          </references>
        </pivotArea>
      </pivotSelection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K8" s="1" t="s">
        <v>30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55</v>
      </c>
      <c r="E15">
        <v>3000</v>
      </c>
      <c r="F15" t="s">
        <v>7</v>
      </c>
      <c r="G15">
        <v>2</v>
      </c>
      <c r="H15" s="3">
        <v>1</v>
      </c>
      <c r="I15" s="9">
        <f t="shared" si="0"/>
        <v>6000</v>
      </c>
      <c r="K15" t="s">
        <v>32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>
        <v>172500</v>
      </c>
      <c r="N22" s="3">
        <v>76000</v>
      </c>
      <c r="O22" s="3">
        <v>248500</v>
      </c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>
        <v>51000</v>
      </c>
      <c r="N23" s="3">
        <v>43000</v>
      </c>
      <c r="O23" s="3">
        <v>94000</v>
      </c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>
        <v>22000</v>
      </c>
      <c r="M24" s="3">
        <v>338500</v>
      </c>
      <c r="N24" s="3">
        <v>113000</v>
      </c>
      <c r="O24" s="3">
        <v>473500</v>
      </c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>
        <v>82000</v>
      </c>
      <c r="M25" s="3">
        <v>67000</v>
      </c>
      <c r="N25" s="3">
        <v>94000</v>
      </c>
      <c r="O25" s="3">
        <v>243000</v>
      </c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>
        <v>132500</v>
      </c>
      <c r="N26" s="3"/>
      <c r="O26" s="3">
        <v>132500</v>
      </c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>
        <v>23000</v>
      </c>
      <c r="M27" s="3">
        <v>271000</v>
      </c>
      <c r="N27" s="3">
        <v>98000</v>
      </c>
      <c r="O27" s="3">
        <v>392000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>
        <v>99000</v>
      </c>
      <c r="N28" s="3">
        <v>19000</v>
      </c>
      <c r="O28" s="3">
        <v>118000</v>
      </c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>
        <v>103000</v>
      </c>
      <c r="N29" s="3">
        <v>21000</v>
      </c>
      <c r="O29" s="3">
        <v>124000</v>
      </c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>
        <v>23500</v>
      </c>
      <c r="M30" s="3">
        <v>176500</v>
      </c>
      <c r="N30" s="3">
        <v>114000</v>
      </c>
      <c r="O30" s="3">
        <v>314000</v>
      </c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87</v>
      </c>
      <c r="L31" s="3"/>
      <c r="M31" s="3">
        <v>78000</v>
      </c>
      <c r="N31" s="3">
        <v>71000</v>
      </c>
      <c r="O31" s="3">
        <v>149000</v>
      </c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88</v>
      </c>
      <c r="L32" s="3">
        <v>11000</v>
      </c>
      <c r="M32" s="3">
        <v>218900</v>
      </c>
      <c r="N32" s="3">
        <v>151000</v>
      </c>
      <c r="O32" s="3">
        <v>380900</v>
      </c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1</v>
      </c>
      <c r="L33" s="3">
        <v>186500</v>
      </c>
      <c r="M33" s="3">
        <v>4086400</v>
      </c>
      <c r="N33" s="3">
        <v>1540500</v>
      </c>
      <c r="O33" s="3">
        <v>5813400</v>
      </c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3000</v>
      </c>
      <c r="F40" t="s">
        <v>7</v>
      </c>
      <c r="G40">
        <v>1</v>
      </c>
      <c r="H40" s="3">
        <v>1</v>
      </c>
      <c r="I40" s="9">
        <f t="shared" si="0"/>
        <v>3000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75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3000</v>
      </c>
      <c r="F102" t="s">
        <v>28</v>
      </c>
      <c r="G102">
        <v>1</v>
      </c>
      <c r="H102" s="3">
        <v>1</v>
      </c>
      <c r="I102" s="9">
        <f t="shared" si="1"/>
        <v>3000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3000</v>
      </c>
      <c r="F110" t="s">
        <v>8</v>
      </c>
      <c r="G110">
        <v>1</v>
      </c>
      <c r="H110" s="3">
        <v>1</v>
      </c>
      <c r="I110" s="9">
        <f t="shared" si="1"/>
        <v>3000</v>
      </c>
    </row>
    <row r="111" spans="1:17" x14ac:dyDescent="0.25">
      <c r="A111" t="s">
        <v>32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</row>
    <row r="146" spans="1:8" x14ac:dyDescent="0.25">
      <c r="A146" t="s">
        <v>35</v>
      </c>
      <c r="D146" t="s">
        <v>75</v>
      </c>
      <c r="E146">
        <v>4500</v>
      </c>
      <c r="F146" t="s">
        <v>7</v>
      </c>
      <c r="G146">
        <v>2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58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75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76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64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57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57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59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66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67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68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64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69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3000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69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69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69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57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71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7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53</v>
      </c>
      <c r="E268">
        <v>8000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D269" t="s">
        <v>75</v>
      </c>
      <c r="E269">
        <v>4500</v>
      </c>
      <c r="F269" t="s">
        <v>7</v>
      </c>
      <c r="G269">
        <v>3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8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72</v>
      </c>
      <c r="B290" s="10">
        <v>46093</v>
      </c>
      <c r="C290">
        <v>195</v>
      </c>
      <c r="D290" t="s">
        <v>53</v>
      </c>
      <c r="E290">
        <v>8000</v>
      </c>
      <c r="F290" t="s">
        <v>28</v>
      </c>
      <c r="G290">
        <v>1</v>
      </c>
      <c r="H290" s="3">
        <v>1</v>
      </c>
    </row>
    <row r="291" spans="1:8" x14ac:dyDescent="0.25">
      <c r="A291" t="s">
        <v>72</v>
      </c>
      <c r="D291" t="s">
        <v>69</v>
      </c>
      <c r="E291">
        <v>35000</v>
      </c>
      <c r="F291" t="s">
        <v>28</v>
      </c>
      <c r="G291">
        <v>1</v>
      </c>
      <c r="H291" s="3">
        <v>1</v>
      </c>
    </row>
    <row r="292" spans="1:8" x14ac:dyDescent="0.25">
      <c r="A292" t="s">
        <v>72</v>
      </c>
      <c r="D292" t="s">
        <v>54</v>
      </c>
      <c r="E292">
        <v>3000</v>
      </c>
      <c r="F292" t="s">
        <v>28</v>
      </c>
      <c r="G292">
        <v>1</v>
      </c>
      <c r="H292" s="3">
        <v>1</v>
      </c>
    </row>
    <row r="293" spans="1:8" x14ac:dyDescent="0.25">
      <c r="A293" t="s">
        <v>72</v>
      </c>
      <c r="D293" t="s">
        <v>56</v>
      </c>
      <c r="E293">
        <v>3000</v>
      </c>
      <c r="F293" t="s">
        <v>28</v>
      </c>
      <c r="G293">
        <v>3</v>
      </c>
      <c r="H293" s="3">
        <v>1</v>
      </c>
    </row>
    <row r="294" spans="1:8" x14ac:dyDescent="0.25">
      <c r="A294" t="s">
        <v>72</v>
      </c>
      <c r="D294" t="s">
        <v>77</v>
      </c>
      <c r="E294">
        <v>27000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C295">
        <v>196</v>
      </c>
      <c r="D295" t="s">
        <v>53</v>
      </c>
      <c r="E295">
        <v>8000</v>
      </c>
      <c r="F295" t="s">
        <v>8</v>
      </c>
      <c r="G295">
        <v>3</v>
      </c>
      <c r="H295" s="3">
        <v>1</v>
      </c>
    </row>
    <row r="296" spans="1:8" x14ac:dyDescent="0.25">
      <c r="A296" t="s">
        <v>72</v>
      </c>
      <c r="C296">
        <v>197</v>
      </c>
      <c r="D296" t="s">
        <v>53</v>
      </c>
      <c r="E296">
        <v>8000</v>
      </c>
      <c r="F296" t="s">
        <v>7</v>
      </c>
      <c r="G296">
        <v>1</v>
      </c>
      <c r="H296" s="3">
        <v>1</v>
      </c>
    </row>
    <row r="297" spans="1:8" x14ac:dyDescent="0.25">
      <c r="A297" t="s">
        <v>72</v>
      </c>
      <c r="C297">
        <v>198</v>
      </c>
      <c r="D297" t="s">
        <v>53</v>
      </c>
      <c r="E297">
        <v>8000</v>
      </c>
      <c r="F297" t="s">
        <v>8</v>
      </c>
      <c r="G297">
        <v>1</v>
      </c>
      <c r="H297" s="3">
        <v>1</v>
      </c>
    </row>
    <row r="298" spans="1:8" x14ac:dyDescent="0.25">
      <c r="A298" t="s">
        <v>72</v>
      </c>
      <c r="D298" t="s">
        <v>54</v>
      </c>
      <c r="E298">
        <v>3000</v>
      </c>
      <c r="F298" t="s">
        <v>8</v>
      </c>
      <c r="G298">
        <v>1</v>
      </c>
      <c r="H298" s="3">
        <v>1</v>
      </c>
    </row>
    <row r="299" spans="1:8" x14ac:dyDescent="0.25">
      <c r="A299" t="s">
        <v>72</v>
      </c>
      <c r="C299">
        <v>199</v>
      </c>
      <c r="D299" t="s">
        <v>53</v>
      </c>
      <c r="E299">
        <v>8000</v>
      </c>
      <c r="F299" t="s">
        <v>7</v>
      </c>
      <c r="G299">
        <v>3</v>
      </c>
      <c r="H299" s="3">
        <v>1</v>
      </c>
    </row>
    <row r="300" spans="1:8" x14ac:dyDescent="0.25">
      <c r="A300" t="s">
        <v>72</v>
      </c>
      <c r="C300">
        <v>200</v>
      </c>
      <c r="D300" t="s">
        <v>53</v>
      </c>
      <c r="E300">
        <v>8000</v>
      </c>
      <c r="F300" t="s">
        <v>7</v>
      </c>
      <c r="G300">
        <v>3</v>
      </c>
      <c r="H300" s="3">
        <v>1</v>
      </c>
    </row>
    <row r="301" spans="1:8" x14ac:dyDescent="0.25">
      <c r="A301" t="s">
        <v>72</v>
      </c>
      <c r="D301" t="s">
        <v>54</v>
      </c>
      <c r="E301">
        <v>3000</v>
      </c>
      <c r="F301" t="s">
        <v>7</v>
      </c>
      <c r="G301">
        <v>1</v>
      </c>
      <c r="H301" s="3">
        <v>1</v>
      </c>
    </row>
    <row r="302" spans="1:8" x14ac:dyDescent="0.25">
      <c r="A302" t="s">
        <v>72</v>
      </c>
      <c r="C302">
        <v>201</v>
      </c>
      <c r="D302" t="s">
        <v>53</v>
      </c>
      <c r="E302">
        <v>8000</v>
      </c>
      <c r="F302" t="s">
        <v>7</v>
      </c>
      <c r="G302">
        <v>1</v>
      </c>
      <c r="H302" s="3">
        <v>1</v>
      </c>
    </row>
    <row r="303" spans="1:8" x14ac:dyDescent="0.25">
      <c r="A303" t="s">
        <v>72</v>
      </c>
      <c r="C303">
        <v>202</v>
      </c>
      <c r="D303" t="s">
        <v>53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72</v>
      </c>
      <c r="C304">
        <v>203</v>
      </c>
      <c r="D304" t="s">
        <v>53</v>
      </c>
      <c r="E304">
        <v>8000</v>
      </c>
      <c r="F304" t="s">
        <v>8</v>
      </c>
      <c r="G304">
        <v>1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8</v>
      </c>
      <c r="G305">
        <v>1</v>
      </c>
      <c r="H305" s="3">
        <v>1</v>
      </c>
    </row>
    <row r="306" spans="1:8" x14ac:dyDescent="0.25">
      <c r="A306" t="s">
        <v>72</v>
      </c>
      <c r="C306">
        <v>204</v>
      </c>
      <c r="D306" t="s">
        <v>53</v>
      </c>
      <c r="E306">
        <v>8000</v>
      </c>
      <c r="F306" t="s">
        <v>8</v>
      </c>
      <c r="G306">
        <v>3</v>
      </c>
      <c r="H306" s="3">
        <v>1</v>
      </c>
    </row>
    <row r="307" spans="1:8" x14ac:dyDescent="0.25">
      <c r="A307" t="s">
        <v>73</v>
      </c>
      <c r="B307" s="10">
        <v>46094</v>
      </c>
      <c r="C307">
        <v>219</v>
      </c>
      <c r="D307" t="s">
        <v>53</v>
      </c>
      <c r="E307">
        <v>8000</v>
      </c>
      <c r="F307" t="s">
        <v>7</v>
      </c>
      <c r="G307">
        <v>1</v>
      </c>
      <c r="H307" s="3">
        <v>1</v>
      </c>
    </row>
    <row r="308" spans="1:8" x14ac:dyDescent="0.25">
      <c r="A308" t="s">
        <v>73</v>
      </c>
      <c r="C308">
        <v>220</v>
      </c>
      <c r="D308" t="s">
        <v>53</v>
      </c>
      <c r="E308">
        <v>8000</v>
      </c>
      <c r="F308" t="s">
        <v>7</v>
      </c>
      <c r="G308">
        <v>2</v>
      </c>
      <c r="H308" s="3">
        <v>1</v>
      </c>
    </row>
    <row r="309" spans="1:8" x14ac:dyDescent="0.25">
      <c r="A309" t="s">
        <v>73</v>
      </c>
      <c r="D309" t="s">
        <v>54</v>
      </c>
      <c r="E309">
        <v>3000</v>
      </c>
      <c r="F309" t="s">
        <v>7</v>
      </c>
      <c r="G309">
        <v>2</v>
      </c>
      <c r="H309" s="3">
        <v>1</v>
      </c>
    </row>
    <row r="310" spans="1:8" x14ac:dyDescent="0.25">
      <c r="A310" t="s">
        <v>73</v>
      </c>
      <c r="C310">
        <v>221</v>
      </c>
      <c r="D310" t="s">
        <v>75</v>
      </c>
      <c r="E310">
        <v>4500</v>
      </c>
      <c r="F310" t="s">
        <v>7</v>
      </c>
      <c r="G310">
        <v>3</v>
      </c>
      <c r="H310" s="3">
        <v>1</v>
      </c>
    </row>
    <row r="311" spans="1:8" x14ac:dyDescent="0.25">
      <c r="A311" t="s">
        <v>73</v>
      </c>
      <c r="C311">
        <v>222</v>
      </c>
      <c r="D311" t="s">
        <v>53</v>
      </c>
      <c r="E311">
        <v>8000</v>
      </c>
      <c r="F311" t="s">
        <v>7</v>
      </c>
      <c r="G311">
        <v>3</v>
      </c>
      <c r="H311" s="3">
        <v>1</v>
      </c>
    </row>
    <row r="312" spans="1:8" x14ac:dyDescent="0.25">
      <c r="A312" t="s">
        <v>73</v>
      </c>
      <c r="D312" t="s">
        <v>54</v>
      </c>
      <c r="E312">
        <v>3000</v>
      </c>
      <c r="F312" t="s">
        <v>7</v>
      </c>
      <c r="G312">
        <v>3</v>
      </c>
      <c r="H312" s="3">
        <v>1</v>
      </c>
    </row>
    <row r="313" spans="1:8" x14ac:dyDescent="0.25">
      <c r="A313" t="s">
        <v>73</v>
      </c>
      <c r="C313">
        <v>223</v>
      </c>
      <c r="D313" t="s">
        <v>75</v>
      </c>
      <c r="E313">
        <v>4500</v>
      </c>
      <c r="F313" t="s">
        <v>7</v>
      </c>
      <c r="G313">
        <v>4</v>
      </c>
      <c r="H313" s="3">
        <v>1</v>
      </c>
    </row>
    <row r="314" spans="1:8" x14ac:dyDescent="0.25">
      <c r="A314" t="s">
        <v>73</v>
      </c>
      <c r="C314">
        <v>224</v>
      </c>
      <c r="D314" t="s">
        <v>53</v>
      </c>
      <c r="E314">
        <v>8000</v>
      </c>
      <c r="F314" t="s">
        <v>7</v>
      </c>
      <c r="G314">
        <v>1</v>
      </c>
      <c r="H314" s="3">
        <v>1</v>
      </c>
    </row>
    <row r="315" spans="1:8" x14ac:dyDescent="0.25">
      <c r="A315" t="s">
        <v>73</v>
      </c>
      <c r="C315">
        <v>225</v>
      </c>
      <c r="D315" t="s">
        <v>71</v>
      </c>
      <c r="E315">
        <v>30000</v>
      </c>
      <c r="F315" t="s">
        <v>7</v>
      </c>
      <c r="G315">
        <v>1</v>
      </c>
      <c r="H315" s="3">
        <v>1</v>
      </c>
    </row>
    <row r="316" spans="1:8" x14ac:dyDescent="0.25">
      <c r="A316" t="s">
        <v>74</v>
      </c>
      <c r="B316" s="10">
        <v>46095</v>
      </c>
      <c r="C316">
        <v>205</v>
      </c>
      <c r="D316" t="s">
        <v>53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74</v>
      </c>
      <c r="D317" t="s">
        <v>54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74</v>
      </c>
      <c r="C318">
        <v>206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74</v>
      </c>
      <c r="D319" t="s">
        <v>54</v>
      </c>
      <c r="E319">
        <v>3000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C320">
        <v>207</v>
      </c>
      <c r="D320" t="s">
        <v>75</v>
      </c>
      <c r="E320">
        <v>4500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C321">
        <v>208</v>
      </c>
      <c r="D321" t="s">
        <v>53</v>
      </c>
      <c r="E321">
        <v>8000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D322" t="s">
        <v>54</v>
      </c>
      <c r="E322">
        <v>3000</v>
      </c>
      <c r="F322" t="s">
        <v>7</v>
      </c>
      <c r="G322">
        <v>2</v>
      </c>
      <c r="H322" s="3">
        <v>1</v>
      </c>
    </row>
    <row r="323" spans="1:8" x14ac:dyDescent="0.25">
      <c r="A323" t="s">
        <v>74</v>
      </c>
      <c r="C323">
        <v>209</v>
      </c>
      <c r="D323" t="s">
        <v>78</v>
      </c>
      <c r="E323">
        <v>7000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D324" t="s">
        <v>64</v>
      </c>
      <c r="E324">
        <v>30000</v>
      </c>
      <c r="F324" t="s">
        <v>7</v>
      </c>
      <c r="G324">
        <v>1</v>
      </c>
      <c r="H324" s="3">
        <v>1</v>
      </c>
    </row>
    <row r="325" spans="1:8" x14ac:dyDescent="0.25">
      <c r="A325" t="s">
        <v>74</v>
      </c>
      <c r="C325">
        <v>210</v>
      </c>
      <c r="D325" t="s">
        <v>53</v>
      </c>
      <c r="E325">
        <v>8000</v>
      </c>
      <c r="F325" t="s">
        <v>7</v>
      </c>
      <c r="G325">
        <v>3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1</v>
      </c>
      <c r="H326" s="3">
        <v>1</v>
      </c>
    </row>
    <row r="327" spans="1:8" x14ac:dyDescent="0.25">
      <c r="A327" t="s">
        <v>74</v>
      </c>
      <c r="D327" t="s">
        <v>79</v>
      </c>
      <c r="E327">
        <v>15000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C328">
        <v>211</v>
      </c>
      <c r="D328" t="s">
        <v>80</v>
      </c>
      <c r="E328">
        <v>23000</v>
      </c>
      <c r="F328" t="s">
        <v>28</v>
      </c>
      <c r="G328">
        <v>1</v>
      </c>
      <c r="H328" s="3">
        <v>1</v>
      </c>
    </row>
    <row r="329" spans="1:8" x14ac:dyDescent="0.25">
      <c r="A329" t="s">
        <v>74</v>
      </c>
      <c r="C329">
        <v>212</v>
      </c>
      <c r="D329" t="s">
        <v>53</v>
      </c>
      <c r="E329">
        <v>8000</v>
      </c>
      <c r="F329" t="s">
        <v>8</v>
      </c>
      <c r="G329">
        <v>1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8</v>
      </c>
      <c r="G330">
        <v>1</v>
      </c>
      <c r="H330" s="3">
        <v>1</v>
      </c>
    </row>
    <row r="331" spans="1:8" x14ac:dyDescent="0.25">
      <c r="A331" t="s">
        <v>74</v>
      </c>
      <c r="C331">
        <v>213</v>
      </c>
      <c r="D331" t="s">
        <v>81</v>
      </c>
      <c r="E331">
        <v>20000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214</v>
      </c>
      <c r="D332" t="s">
        <v>53</v>
      </c>
      <c r="E332">
        <v>8000</v>
      </c>
      <c r="F332" t="s">
        <v>7</v>
      </c>
      <c r="G332">
        <v>3</v>
      </c>
      <c r="H332" s="3">
        <v>1</v>
      </c>
    </row>
    <row r="333" spans="1:8" x14ac:dyDescent="0.25">
      <c r="A333" t="s">
        <v>74</v>
      </c>
      <c r="D333" t="s">
        <v>78</v>
      </c>
      <c r="E333">
        <v>7000</v>
      </c>
      <c r="F333" t="s">
        <v>7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7</v>
      </c>
      <c r="G334">
        <v>3</v>
      </c>
      <c r="H334" s="3">
        <v>1</v>
      </c>
    </row>
    <row r="335" spans="1:8" x14ac:dyDescent="0.25">
      <c r="A335" t="s">
        <v>74</v>
      </c>
      <c r="D335" t="s">
        <v>67</v>
      </c>
      <c r="E335">
        <v>60000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215</v>
      </c>
      <c r="D336" t="s">
        <v>55</v>
      </c>
      <c r="E336">
        <v>3000</v>
      </c>
      <c r="F336" t="s">
        <v>8</v>
      </c>
      <c r="G336">
        <v>1</v>
      </c>
      <c r="H336" s="3">
        <v>1</v>
      </c>
    </row>
    <row r="337" spans="1:8" x14ac:dyDescent="0.25">
      <c r="A337" t="s">
        <v>74</v>
      </c>
      <c r="D337" t="s">
        <v>54</v>
      </c>
      <c r="E337">
        <v>3000</v>
      </c>
      <c r="F337" t="s">
        <v>8</v>
      </c>
      <c r="G337">
        <v>1</v>
      </c>
      <c r="H337" s="3">
        <v>1</v>
      </c>
    </row>
    <row r="338" spans="1:8" x14ac:dyDescent="0.25">
      <c r="A338" t="s">
        <v>74</v>
      </c>
      <c r="D338" t="s">
        <v>60</v>
      </c>
      <c r="E338">
        <v>4500</v>
      </c>
      <c r="F338" t="s">
        <v>8</v>
      </c>
      <c r="G338">
        <v>1</v>
      </c>
      <c r="H338" s="3">
        <v>1</v>
      </c>
    </row>
    <row r="339" spans="1:8" x14ac:dyDescent="0.25">
      <c r="A339" t="s">
        <v>74</v>
      </c>
      <c r="D339" t="s">
        <v>43</v>
      </c>
      <c r="E339">
        <v>17000</v>
      </c>
      <c r="F339" t="s">
        <v>8</v>
      </c>
      <c r="G339">
        <v>1</v>
      </c>
      <c r="H339" s="3">
        <v>1</v>
      </c>
    </row>
    <row r="340" spans="1:8" x14ac:dyDescent="0.25">
      <c r="A340" t="s">
        <v>74</v>
      </c>
      <c r="D340" t="s">
        <v>57</v>
      </c>
      <c r="E340">
        <v>35000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C341">
        <v>216</v>
      </c>
      <c r="D341" t="s">
        <v>53</v>
      </c>
      <c r="E341">
        <v>8000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54</v>
      </c>
      <c r="E342">
        <v>3000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C343">
        <v>217</v>
      </c>
      <c r="D343" t="s">
        <v>82</v>
      </c>
      <c r="E343">
        <v>4500</v>
      </c>
      <c r="F343" t="s">
        <v>8</v>
      </c>
      <c r="G343">
        <v>3</v>
      </c>
      <c r="H343" s="3">
        <v>1</v>
      </c>
    </row>
    <row r="344" spans="1:8" x14ac:dyDescent="0.25">
      <c r="A344" t="s">
        <v>74</v>
      </c>
      <c r="C344">
        <v>218</v>
      </c>
      <c r="D344" t="s">
        <v>53</v>
      </c>
      <c r="E344">
        <v>8000</v>
      </c>
      <c r="F344" t="s">
        <v>7</v>
      </c>
      <c r="G344">
        <v>1</v>
      </c>
      <c r="H344" s="3">
        <v>1</v>
      </c>
    </row>
    <row r="345" spans="1:8" x14ac:dyDescent="0.25">
      <c r="A345" t="s">
        <v>83</v>
      </c>
      <c r="B345" s="10">
        <v>46096</v>
      </c>
      <c r="C345">
        <v>226</v>
      </c>
      <c r="D345" t="s">
        <v>53</v>
      </c>
      <c r="E345">
        <v>8000</v>
      </c>
      <c r="F345" t="s">
        <v>7</v>
      </c>
      <c r="G345">
        <v>2</v>
      </c>
      <c r="H345" s="3">
        <v>1</v>
      </c>
    </row>
    <row r="346" spans="1:8" x14ac:dyDescent="0.25">
      <c r="A346" t="s">
        <v>83</v>
      </c>
      <c r="C346">
        <v>227</v>
      </c>
      <c r="D346" t="s">
        <v>53</v>
      </c>
      <c r="E346">
        <v>8000</v>
      </c>
      <c r="F346" t="s">
        <v>7</v>
      </c>
      <c r="G346">
        <v>1</v>
      </c>
      <c r="H346" s="3">
        <v>1</v>
      </c>
    </row>
    <row r="347" spans="1:8" x14ac:dyDescent="0.25">
      <c r="A347" t="s">
        <v>83</v>
      </c>
      <c r="D347" t="s">
        <v>54</v>
      </c>
      <c r="E347">
        <v>3000</v>
      </c>
      <c r="F347" t="s">
        <v>7</v>
      </c>
      <c r="G347">
        <v>1</v>
      </c>
      <c r="H347" s="3">
        <v>1</v>
      </c>
    </row>
    <row r="348" spans="1:8" x14ac:dyDescent="0.25">
      <c r="A348" t="s">
        <v>83</v>
      </c>
      <c r="C348">
        <v>228</v>
      </c>
      <c r="D348" t="s">
        <v>82</v>
      </c>
      <c r="E348">
        <v>4500</v>
      </c>
      <c r="F348" t="s">
        <v>7</v>
      </c>
      <c r="G348">
        <v>2</v>
      </c>
      <c r="H348" s="3">
        <v>1</v>
      </c>
    </row>
    <row r="349" spans="1:8" x14ac:dyDescent="0.25">
      <c r="A349" t="s">
        <v>83</v>
      </c>
      <c r="C349">
        <v>229</v>
      </c>
      <c r="D349" t="s">
        <v>53</v>
      </c>
      <c r="E349">
        <v>8000</v>
      </c>
      <c r="F349" t="s">
        <v>7</v>
      </c>
      <c r="G349">
        <v>1</v>
      </c>
      <c r="H349" s="3">
        <v>1</v>
      </c>
    </row>
    <row r="350" spans="1:8" x14ac:dyDescent="0.25">
      <c r="A350" t="s">
        <v>83</v>
      </c>
      <c r="D350" t="s">
        <v>54</v>
      </c>
      <c r="E350">
        <v>3000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C351">
        <v>230</v>
      </c>
      <c r="D351" t="s">
        <v>53</v>
      </c>
      <c r="E351">
        <v>8000</v>
      </c>
      <c r="F351" t="s">
        <v>8</v>
      </c>
      <c r="G351">
        <v>2</v>
      </c>
      <c r="H351" s="3">
        <v>1</v>
      </c>
    </row>
    <row r="352" spans="1:8" x14ac:dyDescent="0.25">
      <c r="A352" t="s">
        <v>83</v>
      </c>
      <c r="D352" t="s">
        <v>54</v>
      </c>
      <c r="E352">
        <v>3000</v>
      </c>
      <c r="F352" t="s">
        <v>8</v>
      </c>
      <c r="G352">
        <v>1</v>
      </c>
      <c r="H352" s="3">
        <v>1</v>
      </c>
    </row>
    <row r="353" spans="1:8" x14ac:dyDescent="0.25">
      <c r="A353" t="s">
        <v>83</v>
      </c>
      <c r="C353">
        <v>231</v>
      </c>
      <c r="D353" t="s">
        <v>53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232</v>
      </c>
      <c r="D355" t="s">
        <v>54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83</v>
      </c>
      <c r="D356" t="s">
        <v>85</v>
      </c>
      <c r="E356">
        <v>30000</v>
      </c>
      <c r="F356" t="s">
        <v>7</v>
      </c>
      <c r="G356">
        <v>1</v>
      </c>
      <c r="H356" s="3">
        <v>1</v>
      </c>
    </row>
    <row r="357" spans="1:8" x14ac:dyDescent="0.25">
      <c r="A357" t="s">
        <v>86</v>
      </c>
      <c r="B357" s="10">
        <v>46097</v>
      </c>
      <c r="C357">
        <v>249</v>
      </c>
      <c r="D357" t="s">
        <v>53</v>
      </c>
      <c r="E357">
        <v>8000</v>
      </c>
      <c r="F357" t="s">
        <v>7</v>
      </c>
      <c r="G357">
        <v>3</v>
      </c>
      <c r="H357" s="3">
        <v>1</v>
      </c>
    </row>
    <row r="358" spans="1:8" x14ac:dyDescent="0.25">
      <c r="A358" t="s">
        <v>86</v>
      </c>
      <c r="C358">
        <v>250</v>
      </c>
      <c r="D358" t="s">
        <v>53</v>
      </c>
      <c r="E358">
        <v>8000</v>
      </c>
      <c r="F358" t="s">
        <v>7</v>
      </c>
      <c r="G358">
        <v>1</v>
      </c>
      <c r="H358" s="3">
        <v>1</v>
      </c>
    </row>
    <row r="359" spans="1:8" x14ac:dyDescent="0.25">
      <c r="A359" t="s">
        <v>86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86</v>
      </c>
      <c r="C360">
        <v>251</v>
      </c>
      <c r="D360" t="s">
        <v>53</v>
      </c>
      <c r="E360">
        <v>8000</v>
      </c>
      <c r="F360" t="s">
        <v>8</v>
      </c>
      <c r="G360">
        <v>1</v>
      </c>
      <c r="H360" s="3">
        <v>1</v>
      </c>
    </row>
    <row r="361" spans="1:8" x14ac:dyDescent="0.25">
      <c r="A361" t="s">
        <v>86</v>
      </c>
      <c r="D361" t="s">
        <v>54</v>
      </c>
      <c r="E361">
        <v>3000</v>
      </c>
      <c r="F361" t="s">
        <v>8</v>
      </c>
      <c r="G361">
        <v>1</v>
      </c>
      <c r="H361" s="3">
        <v>1</v>
      </c>
    </row>
    <row r="362" spans="1:8" x14ac:dyDescent="0.25">
      <c r="A362" t="s">
        <v>86</v>
      </c>
      <c r="C362">
        <v>252</v>
      </c>
      <c r="D362" t="s">
        <v>53</v>
      </c>
      <c r="E362">
        <v>8000</v>
      </c>
      <c r="F362" t="s">
        <v>7</v>
      </c>
      <c r="G362">
        <v>1</v>
      </c>
      <c r="H362" s="3">
        <v>1</v>
      </c>
    </row>
    <row r="363" spans="1:8" x14ac:dyDescent="0.25">
      <c r="A363" t="s">
        <v>86</v>
      </c>
      <c r="D363" t="s">
        <v>54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86</v>
      </c>
      <c r="C364">
        <v>253</v>
      </c>
      <c r="D364" t="s">
        <v>53</v>
      </c>
      <c r="E364">
        <v>8000</v>
      </c>
      <c r="F364" t="s">
        <v>7</v>
      </c>
      <c r="G364">
        <v>6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3</v>
      </c>
      <c r="H365" s="3">
        <v>1</v>
      </c>
    </row>
    <row r="366" spans="1:8" x14ac:dyDescent="0.25">
      <c r="A366" t="s">
        <v>86</v>
      </c>
      <c r="C366">
        <v>254</v>
      </c>
      <c r="D366" t="s">
        <v>78</v>
      </c>
      <c r="E366">
        <v>7000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84</v>
      </c>
      <c r="B368" s="10">
        <v>46098</v>
      </c>
      <c r="C368">
        <v>0</v>
      </c>
      <c r="D368" t="s">
        <v>53</v>
      </c>
      <c r="E368">
        <v>8000</v>
      </c>
      <c r="F368" t="s">
        <v>8</v>
      </c>
      <c r="G368">
        <v>1</v>
      </c>
      <c r="H368" s="3">
        <v>1</v>
      </c>
    </row>
    <row r="369" spans="1:8" x14ac:dyDescent="0.25">
      <c r="A369" t="s">
        <v>84</v>
      </c>
      <c r="C369">
        <v>233</v>
      </c>
      <c r="D369" t="s">
        <v>53</v>
      </c>
      <c r="E369">
        <v>8000</v>
      </c>
      <c r="F369" t="s">
        <v>7</v>
      </c>
      <c r="G369">
        <v>3</v>
      </c>
      <c r="H369" s="3">
        <v>1</v>
      </c>
    </row>
    <row r="370" spans="1:8" x14ac:dyDescent="0.25">
      <c r="A370" t="s">
        <v>84</v>
      </c>
      <c r="D370" t="s">
        <v>56</v>
      </c>
      <c r="E370">
        <v>3000</v>
      </c>
      <c r="F370" t="s">
        <v>7</v>
      </c>
      <c r="G370">
        <v>1</v>
      </c>
      <c r="H370" s="3">
        <v>1</v>
      </c>
    </row>
    <row r="371" spans="1:8" x14ac:dyDescent="0.25">
      <c r="A371" t="s">
        <v>84</v>
      </c>
      <c r="D371" t="s">
        <v>75</v>
      </c>
      <c r="E371">
        <v>4500</v>
      </c>
      <c r="F371" t="s">
        <v>7</v>
      </c>
      <c r="G371">
        <v>3</v>
      </c>
      <c r="H371" s="3">
        <v>1</v>
      </c>
    </row>
    <row r="372" spans="1:8" x14ac:dyDescent="0.25">
      <c r="A372" t="s">
        <v>84</v>
      </c>
      <c r="C372">
        <v>234</v>
      </c>
      <c r="D372" t="s">
        <v>53</v>
      </c>
      <c r="E372">
        <v>8000</v>
      </c>
      <c r="F372" t="s">
        <v>7</v>
      </c>
      <c r="G372">
        <v>2</v>
      </c>
      <c r="H372" s="3">
        <v>1</v>
      </c>
    </row>
    <row r="373" spans="1:8" x14ac:dyDescent="0.25">
      <c r="A373" t="s">
        <v>84</v>
      </c>
      <c r="C373">
        <v>235</v>
      </c>
      <c r="D373" t="s">
        <v>53</v>
      </c>
      <c r="E373">
        <v>8000</v>
      </c>
      <c r="F373" t="s">
        <v>28</v>
      </c>
      <c r="G373">
        <v>1</v>
      </c>
      <c r="H373" s="3">
        <v>1</v>
      </c>
    </row>
    <row r="374" spans="1:8" x14ac:dyDescent="0.25">
      <c r="A374" t="s">
        <v>84</v>
      </c>
      <c r="D374" t="s">
        <v>54</v>
      </c>
      <c r="E374">
        <v>3000</v>
      </c>
      <c r="F374" t="s">
        <v>28</v>
      </c>
      <c r="G374">
        <v>1</v>
      </c>
      <c r="H374" s="3">
        <v>1</v>
      </c>
    </row>
    <row r="375" spans="1:8" x14ac:dyDescent="0.25">
      <c r="A375" t="s">
        <v>84</v>
      </c>
      <c r="D375" t="s">
        <v>60</v>
      </c>
      <c r="E375">
        <v>4500</v>
      </c>
      <c r="F375" t="s">
        <v>28</v>
      </c>
      <c r="G375">
        <v>1</v>
      </c>
      <c r="H375" s="3">
        <v>1</v>
      </c>
    </row>
    <row r="376" spans="1:8" x14ac:dyDescent="0.25">
      <c r="A376" t="s">
        <v>84</v>
      </c>
      <c r="C376">
        <v>236</v>
      </c>
      <c r="D376" t="s">
        <v>75</v>
      </c>
      <c r="E376">
        <v>4500</v>
      </c>
      <c r="F376" t="s">
        <v>7</v>
      </c>
      <c r="G376">
        <v>2</v>
      </c>
      <c r="H376" s="3">
        <v>1</v>
      </c>
    </row>
    <row r="377" spans="1:8" x14ac:dyDescent="0.25">
      <c r="A377" t="s">
        <v>84</v>
      </c>
      <c r="C377">
        <v>237</v>
      </c>
      <c r="D377" t="s">
        <v>53</v>
      </c>
      <c r="E377">
        <v>8000</v>
      </c>
      <c r="F377" t="s">
        <v>7</v>
      </c>
      <c r="G377">
        <v>2</v>
      </c>
      <c r="H377" s="3">
        <v>1</v>
      </c>
    </row>
    <row r="378" spans="1:8" x14ac:dyDescent="0.25">
      <c r="A378" t="s">
        <v>84</v>
      </c>
      <c r="C378">
        <v>238</v>
      </c>
      <c r="D378" t="s">
        <v>53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84</v>
      </c>
      <c r="D379" t="s">
        <v>54</v>
      </c>
      <c r="E379">
        <v>3000</v>
      </c>
      <c r="F379" t="s">
        <v>8</v>
      </c>
      <c r="G379">
        <v>1</v>
      </c>
      <c r="H379" s="3">
        <v>1</v>
      </c>
    </row>
    <row r="380" spans="1:8" x14ac:dyDescent="0.25">
      <c r="A380" t="s">
        <v>84</v>
      </c>
      <c r="C380">
        <v>239</v>
      </c>
      <c r="D380" t="s">
        <v>53</v>
      </c>
      <c r="E380">
        <v>8000</v>
      </c>
      <c r="F380" t="s">
        <v>7</v>
      </c>
      <c r="G380">
        <v>2</v>
      </c>
      <c r="H380" s="3">
        <v>1</v>
      </c>
    </row>
    <row r="381" spans="1:8" x14ac:dyDescent="0.25">
      <c r="A381" t="s">
        <v>84</v>
      </c>
      <c r="D381" t="s">
        <v>56</v>
      </c>
      <c r="E381">
        <v>3000</v>
      </c>
      <c r="F381" t="s">
        <v>7</v>
      </c>
      <c r="G381">
        <v>2</v>
      </c>
      <c r="H381" s="3">
        <v>1</v>
      </c>
    </row>
    <row r="382" spans="1:8" x14ac:dyDescent="0.25">
      <c r="A382" t="s">
        <v>84</v>
      </c>
      <c r="C382">
        <v>240</v>
      </c>
      <c r="D382" t="s">
        <v>75</v>
      </c>
      <c r="E382">
        <v>4500</v>
      </c>
      <c r="F382" t="s">
        <v>8</v>
      </c>
      <c r="G382">
        <v>12</v>
      </c>
      <c r="H382" s="3">
        <v>1</v>
      </c>
    </row>
    <row r="383" spans="1:8" x14ac:dyDescent="0.25">
      <c r="A383" t="s">
        <v>84</v>
      </c>
      <c r="C383">
        <v>241</v>
      </c>
      <c r="D383" t="s">
        <v>53</v>
      </c>
      <c r="E383">
        <v>8000</v>
      </c>
      <c r="F383" t="s">
        <v>7</v>
      </c>
      <c r="G383">
        <v>1</v>
      </c>
      <c r="H383" s="3">
        <v>1</v>
      </c>
    </row>
    <row r="384" spans="1:8" x14ac:dyDescent="0.25">
      <c r="A384" t="s">
        <v>84</v>
      </c>
      <c r="C384">
        <v>242</v>
      </c>
      <c r="D384" t="s">
        <v>53</v>
      </c>
      <c r="E384">
        <v>8000</v>
      </c>
      <c r="F384" t="s">
        <v>7</v>
      </c>
      <c r="G384">
        <v>1</v>
      </c>
      <c r="H384" s="3">
        <v>1</v>
      </c>
    </row>
    <row r="385" spans="1:8" x14ac:dyDescent="0.25">
      <c r="A385" t="s">
        <v>84</v>
      </c>
      <c r="C385">
        <v>243</v>
      </c>
      <c r="D385" t="s">
        <v>53</v>
      </c>
      <c r="E385">
        <v>8000</v>
      </c>
      <c r="F385" t="s">
        <v>28</v>
      </c>
      <c r="G385">
        <v>1</v>
      </c>
      <c r="H385" s="3">
        <v>1</v>
      </c>
    </row>
    <row r="386" spans="1:8" x14ac:dyDescent="0.25">
      <c r="A386" t="s">
        <v>84</v>
      </c>
      <c r="C386">
        <v>244</v>
      </c>
      <c r="D386" t="s">
        <v>78</v>
      </c>
      <c r="E386">
        <v>7000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C387">
        <v>245</v>
      </c>
      <c r="D387" t="s">
        <v>53</v>
      </c>
      <c r="E387">
        <v>8000</v>
      </c>
      <c r="F387" t="s">
        <v>7</v>
      </c>
      <c r="G387">
        <v>1</v>
      </c>
      <c r="H387" s="3">
        <v>1</v>
      </c>
    </row>
    <row r="388" spans="1:8" x14ac:dyDescent="0.25">
      <c r="A388" t="s">
        <v>84</v>
      </c>
      <c r="D388" t="s">
        <v>54</v>
      </c>
      <c r="E388">
        <v>3000</v>
      </c>
      <c r="F388" t="s">
        <v>7</v>
      </c>
      <c r="G388">
        <v>1</v>
      </c>
      <c r="H388" s="3">
        <v>1</v>
      </c>
    </row>
    <row r="389" spans="1:8" x14ac:dyDescent="0.25">
      <c r="A389" t="s">
        <v>84</v>
      </c>
      <c r="C389">
        <v>246</v>
      </c>
      <c r="D389" t="s">
        <v>53</v>
      </c>
      <c r="E389">
        <v>8000</v>
      </c>
      <c r="F389" t="s">
        <v>7</v>
      </c>
      <c r="G389">
        <v>2</v>
      </c>
      <c r="H389" s="3">
        <v>1</v>
      </c>
    </row>
    <row r="390" spans="1:8" x14ac:dyDescent="0.25">
      <c r="A390" t="s">
        <v>84</v>
      </c>
      <c r="C390">
        <v>247</v>
      </c>
      <c r="D390" t="s">
        <v>75</v>
      </c>
      <c r="E390">
        <v>4500</v>
      </c>
      <c r="F390" t="s">
        <v>8</v>
      </c>
      <c r="G390">
        <v>2</v>
      </c>
      <c r="H390" s="3">
        <v>1</v>
      </c>
    </row>
    <row r="391" spans="1:8" x14ac:dyDescent="0.25">
      <c r="A391" t="s">
        <v>84</v>
      </c>
      <c r="C391">
        <v>248</v>
      </c>
      <c r="D391" t="s">
        <v>53</v>
      </c>
      <c r="E391">
        <v>8000</v>
      </c>
      <c r="F391" t="s">
        <v>7</v>
      </c>
      <c r="G391">
        <v>2</v>
      </c>
      <c r="H391" s="3">
        <v>1</v>
      </c>
    </row>
    <row r="392" spans="1:8" x14ac:dyDescent="0.25">
      <c r="A392" t="s">
        <v>84</v>
      </c>
      <c r="C392">
        <v>255</v>
      </c>
      <c r="D392" t="s">
        <v>53</v>
      </c>
      <c r="E392">
        <v>8000</v>
      </c>
      <c r="F392" t="s">
        <v>8</v>
      </c>
      <c r="G392">
        <v>4</v>
      </c>
      <c r="H392" s="3">
        <v>1</v>
      </c>
    </row>
    <row r="393" spans="1:8" x14ac:dyDescent="0.25">
      <c r="A393" t="s">
        <v>87</v>
      </c>
      <c r="B393" s="10">
        <v>46099</v>
      </c>
      <c r="C393">
        <v>256</v>
      </c>
      <c r="D393" t="s">
        <v>53</v>
      </c>
      <c r="E393">
        <v>8000</v>
      </c>
      <c r="F393" t="s">
        <v>8</v>
      </c>
      <c r="G393">
        <v>4</v>
      </c>
      <c r="H393" s="3">
        <v>1</v>
      </c>
    </row>
    <row r="394" spans="1:8" x14ac:dyDescent="0.25">
      <c r="A394" t="s">
        <v>87</v>
      </c>
      <c r="D394" t="s">
        <v>54</v>
      </c>
      <c r="E394">
        <v>3000</v>
      </c>
      <c r="F394" t="s">
        <v>8</v>
      </c>
      <c r="G394">
        <v>2</v>
      </c>
      <c r="H394" s="3">
        <v>1</v>
      </c>
    </row>
    <row r="395" spans="1:8" x14ac:dyDescent="0.25">
      <c r="A395" t="s">
        <v>87</v>
      </c>
      <c r="C395">
        <v>257</v>
      </c>
      <c r="D395" t="s">
        <v>53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87</v>
      </c>
      <c r="C396">
        <v>258</v>
      </c>
      <c r="D396" t="s">
        <v>53</v>
      </c>
      <c r="E396">
        <v>8000</v>
      </c>
      <c r="F396" t="s">
        <v>8</v>
      </c>
      <c r="G396">
        <v>2</v>
      </c>
      <c r="H396" s="3">
        <v>1</v>
      </c>
    </row>
    <row r="397" spans="1:8" x14ac:dyDescent="0.25">
      <c r="A397" t="s">
        <v>87</v>
      </c>
      <c r="C397">
        <v>259</v>
      </c>
      <c r="D397" t="s">
        <v>53</v>
      </c>
      <c r="E397">
        <v>8000</v>
      </c>
      <c r="F397" t="s">
        <v>8</v>
      </c>
      <c r="G397">
        <v>1</v>
      </c>
      <c r="H397" s="3">
        <v>1</v>
      </c>
    </row>
    <row r="398" spans="1:8" x14ac:dyDescent="0.25">
      <c r="A398" t="s">
        <v>87</v>
      </c>
      <c r="C398">
        <v>260</v>
      </c>
      <c r="D398" t="s">
        <v>53</v>
      </c>
      <c r="E398">
        <v>8000</v>
      </c>
      <c r="F398" t="s">
        <v>7</v>
      </c>
      <c r="G398">
        <v>1</v>
      </c>
      <c r="H398" s="3">
        <v>1</v>
      </c>
    </row>
    <row r="399" spans="1:8" x14ac:dyDescent="0.25">
      <c r="A399" t="s">
        <v>87</v>
      </c>
      <c r="C399">
        <v>261</v>
      </c>
      <c r="D399" t="s">
        <v>53</v>
      </c>
      <c r="E399">
        <v>8000</v>
      </c>
      <c r="F399" t="s">
        <v>7</v>
      </c>
      <c r="G399">
        <v>2</v>
      </c>
      <c r="H399" s="3">
        <v>1</v>
      </c>
    </row>
    <row r="400" spans="1:8" x14ac:dyDescent="0.25">
      <c r="A400" t="s">
        <v>87</v>
      </c>
      <c r="D400" t="s">
        <v>54</v>
      </c>
      <c r="E400">
        <v>3000</v>
      </c>
      <c r="F400" t="s">
        <v>7</v>
      </c>
      <c r="G400">
        <v>2</v>
      </c>
      <c r="H400" s="3">
        <v>1</v>
      </c>
    </row>
    <row r="401" spans="1:8" x14ac:dyDescent="0.25">
      <c r="A401" t="s">
        <v>87</v>
      </c>
      <c r="C401">
        <v>262</v>
      </c>
      <c r="D401" t="s">
        <v>53</v>
      </c>
      <c r="E401">
        <v>8000</v>
      </c>
      <c r="F401" t="s">
        <v>7</v>
      </c>
      <c r="G401">
        <v>1</v>
      </c>
      <c r="H401" s="3">
        <v>1</v>
      </c>
    </row>
    <row r="402" spans="1:8" x14ac:dyDescent="0.25">
      <c r="A402" t="s">
        <v>87</v>
      </c>
      <c r="C402">
        <v>263</v>
      </c>
      <c r="D402" t="s">
        <v>75</v>
      </c>
      <c r="E402">
        <v>4500</v>
      </c>
      <c r="F402" t="s">
        <v>8</v>
      </c>
      <c r="G402">
        <v>2</v>
      </c>
      <c r="H402" s="3">
        <v>1</v>
      </c>
    </row>
    <row r="403" spans="1:8" x14ac:dyDescent="0.25">
      <c r="A403" t="s">
        <v>87</v>
      </c>
      <c r="C403">
        <v>264</v>
      </c>
      <c r="D403" t="s">
        <v>53</v>
      </c>
      <c r="E403">
        <v>8000</v>
      </c>
      <c r="F403" t="s">
        <v>7</v>
      </c>
      <c r="G403">
        <v>1</v>
      </c>
      <c r="H403" s="3">
        <v>1</v>
      </c>
    </row>
    <row r="404" spans="1:8" x14ac:dyDescent="0.25">
      <c r="A404" t="s">
        <v>87</v>
      </c>
      <c r="C404">
        <v>265</v>
      </c>
      <c r="D404" t="s">
        <v>53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87</v>
      </c>
      <c r="C405">
        <v>266</v>
      </c>
      <c r="D405" t="s">
        <v>53</v>
      </c>
      <c r="E405">
        <v>8000</v>
      </c>
      <c r="F405" t="s">
        <v>7</v>
      </c>
      <c r="G405">
        <v>1</v>
      </c>
      <c r="H405" s="3">
        <v>1</v>
      </c>
    </row>
    <row r="406" spans="1:8" x14ac:dyDescent="0.25">
      <c r="A406" t="s">
        <v>88</v>
      </c>
      <c r="B406" s="10">
        <v>46100</v>
      </c>
      <c r="C406">
        <v>267</v>
      </c>
      <c r="D406" t="s">
        <v>89</v>
      </c>
      <c r="E406">
        <v>3500</v>
      </c>
      <c r="F406" t="s">
        <v>7</v>
      </c>
      <c r="G406">
        <v>5</v>
      </c>
      <c r="H406" s="3">
        <v>1</v>
      </c>
    </row>
    <row r="407" spans="1:8" x14ac:dyDescent="0.25">
      <c r="A407" t="s">
        <v>88</v>
      </c>
      <c r="C407">
        <v>268</v>
      </c>
      <c r="D407" t="s">
        <v>53</v>
      </c>
      <c r="E407">
        <v>8000</v>
      </c>
      <c r="F407" t="s">
        <v>8</v>
      </c>
      <c r="G407">
        <v>1</v>
      </c>
      <c r="H407" s="3">
        <v>1</v>
      </c>
    </row>
    <row r="408" spans="1:8" x14ac:dyDescent="0.25">
      <c r="A408" t="s">
        <v>88</v>
      </c>
      <c r="C408">
        <v>269</v>
      </c>
      <c r="D408" t="s">
        <v>64</v>
      </c>
      <c r="E408">
        <v>30000</v>
      </c>
      <c r="F408" t="s">
        <v>7</v>
      </c>
      <c r="G408">
        <v>1</v>
      </c>
      <c r="H408" s="3">
        <v>1</v>
      </c>
    </row>
    <row r="409" spans="1:8" x14ac:dyDescent="0.25">
      <c r="A409" t="s">
        <v>88</v>
      </c>
      <c r="D409" t="s">
        <v>56</v>
      </c>
      <c r="E409">
        <v>3000</v>
      </c>
      <c r="F409" t="s">
        <v>7</v>
      </c>
      <c r="G409">
        <v>1</v>
      </c>
      <c r="H409" s="3">
        <v>1</v>
      </c>
    </row>
    <row r="410" spans="1:8" x14ac:dyDescent="0.25">
      <c r="A410" t="s">
        <v>88</v>
      </c>
      <c r="C410">
        <v>270</v>
      </c>
      <c r="D410" t="s">
        <v>53</v>
      </c>
      <c r="E410">
        <v>8000</v>
      </c>
      <c r="F410" t="s">
        <v>8</v>
      </c>
      <c r="G410">
        <v>2</v>
      </c>
      <c r="H410" s="3">
        <v>1</v>
      </c>
    </row>
    <row r="411" spans="1:8" x14ac:dyDescent="0.25">
      <c r="A411" t="s">
        <v>88</v>
      </c>
      <c r="D411" t="s">
        <v>54</v>
      </c>
      <c r="E411">
        <v>3000</v>
      </c>
      <c r="F411" t="s">
        <v>8</v>
      </c>
      <c r="G411">
        <v>2</v>
      </c>
      <c r="H411" s="3">
        <v>1</v>
      </c>
    </row>
    <row r="412" spans="1:8" x14ac:dyDescent="0.25">
      <c r="A412" t="s">
        <v>88</v>
      </c>
      <c r="C412">
        <v>271</v>
      </c>
      <c r="D412" t="s">
        <v>53</v>
      </c>
      <c r="E412">
        <v>8000</v>
      </c>
      <c r="F412" t="s">
        <v>8</v>
      </c>
      <c r="G412">
        <v>3</v>
      </c>
      <c r="H412" s="3">
        <v>1</v>
      </c>
    </row>
    <row r="413" spans="1:8" x14ac:dyDescent="0.25">
      <c r="A413" t="s">
        <v>88</v>
      </c>
      <c r="D413" t="s">
        <v>54</v>
      </c>
      <c r="E413">
        <v>3000</v>
      </c>
      <c r="F413" t="s">
        <v>8</v>
      </c>
      <c r="G413">
        <v>2</v>
      </c>
      <c r="H413" s="3">
        <v>1</v>
      </c>
    </row>
    <row r="414" spans="1:8" x14ac:dyDescent="0.25">
      <c r="A414" t="s">
        <v>88</v>
      </c>
      <c r="C414">
        <v>272</v>
      </c>
      <c r="D414" t="s">
        <v>53</v>
      </c>
      <c r="E414">
        <v>8000</v>
      </c>
      <c r="F414" t="s">
        <v>8</v>
      </c>
      <c r="G414">
        <v>2</v>
      </c>
      <c r="H414" s="3">
        <v>1</v>
      </c>
    </row>
    <row r="415" spans="1:8" x14ac:dyDescent="0.25">
      <c r="A415" t="s">
        <v>88</v>
      </c>
      <c r="D415" t="s">
        <v>54</v>
      </c>
      <c r="E415">
        <v>3000</v>
      </c>
      <c r="F415" t="s">
        <v>8</v>
      </c>
      <c r="G415">
        <v>1</v>
      </c>
      <c r="H415" s="3">
        <v>1</v>
      </c>
    </row>
    <row r="416" spans="1:8" x14ac:dyDescent="0.25">
      <c r="A416" t="s">
        <v>88</v>
      </c>
      <c r="C416">
        <v>273</v>
      </c>
      <c r="D416" t="s">
        <v>53</v>
      </c>
      <c r="E416">
        <v>8000</v>
      </c>
      <c r="F416" t="s">
        <v>7</v>
      </c>
      <c r="G416">
        <v>1</v>
      </c>
      <c r="H416" s="3">
        <v>1</v>
      </c>
    </row>
    <row r="417" spans="1:8" x14ac:dyDescent="0.25">
      <c r="A417" t="s">
        <v>88</v>
      </c>
      <c r="D417" t="s">
        <v>54</v>
      </c>
      <c r="E417">
        <v>3000</v>
      </c>
      <c r="F417" t="s">
        <v>7</v>
      </c>
      <c r="G417">
        <v>1</v>
      </c>
      <c r="H417" s="3">
        <v>1</v>
      </c>
    </row>
    <row r="418" spans="1:8" x14ac:dyDescent="0.25">
      <c r="A418" t="s">
        <v>88</v>
      </c>
      <c r="D418" t="s">
        <v>75</v>
      </c>
      <c r="E418">
        <v>4500</v>
      </c>
      <c r="F418" t="s">
        <v>7</v>
      </c>
      <c r="G418">
        <v>4</v>
      </c>
      <c r="H418" s="3">
        <v>1</v>
      </c>
    </row>
    <row r="419" spans="1:8" x14ac:dyDescent="0.25">
      <c r="A419" t="s">
        <v>88</v>
      </c>
      <c r="C419">
        <v>274</v>
      </c>
      <c r="D419" t="s">
        <v>53</v>
      </c>
      <c r="E419">
        <v>8000</v>
      </c>
      <c r="F419" t="s">
        <v>7</v>
      </c>
      <c r="G419">
        <v>2</v>
      </c>
      <c r="H419" s="3">
        <v>1</v>
      </c>
    </row>
    <row r="420" spans="1:8" x14ac:dyDescent="0.25">
      <c r="A420" t="s">
        <v>88</v>
      </c>
      <c r="D420" t="s">
        <v>90</v>
      </c>
      <c r="E420">
        <v>3200</v>
      </c>
      <c r="F420" t="s">
        <v>7</v>
      </c>
      <c r="G420">
        <v>2</v>
      </c>
      <c r="H420" s="3">
        <v>1</v>
      </c>
    </row>
    <row r="421" spans="1:8" x14ac:dyDescent="0.25">
      <c r="A421" t="s">
        <v>88</v>
      </c>
      <c r="C421">
        <v>275</v>
      </c>
      <c r="D421" t="s">
        <v>53</v>
      </c>
      <c r="E421">
        <v>8000</v>
      </c>
      <c r="F421" t="s">
        <v>7</v>
      </c>
      <c r="G421">
        <v>1</v>
      </c>
      <c r="H421" s="3">
        <v>1</v>
      </c>
    </row>
    <row r="422" spans="1:8" x14ac:dyDescent="0.25">
      <c r="A422" t="s">
        <v>88</v>
      </c>
      <c r="D422" t="s">
        <v>54</v>
      </c>
      <c r="E422">
        <v>3000</v>
      </c>
      <c r="F422" t="s">
        <v>7</v>
      </c>
      <c r="G422">
        <v>1</v>
      </c>
      <c r="H422" s="3">
        <v>1</v>
      </c>
    </row>
    <row r="423" spans="1:8" x14ac:dyDescent="0.25">
      <c r="A423" t="s">
        <v>88</v>
      </c>
      <c r="C423">
        <v>276</v>
      </c>
      <c r="D423" t="s">
        <v>53</v>
      </c>
      <c r="E423">
        <v>8000</v>
      </c>
      <c r="F423" t="s">
        <v>7</v>
      </c>
      <c r="G423">
        <v>2</v>
      </c>
      <c r="H423" s="3">
        <v>1</v>
      </c>
    </row>
    <row r="424" spans="1:8" x14ac:dyDescent="0.25">
      <c r="A424" t="s">
        <v>88</v>
      </c>
      <c r="D424" t="s">
        <v>54</v>
      </c>
      <c r="E424">
        <v>3000</v>
      </c>
      <c r="F424" t="s">
        <v>7</v>
      </c>
      <c r="G424">
        <v>2</v>
      </c>
      <c r="H424" s="3">
        <v>1</v>
      </c>
    </row>
    <row r="425" spans="1:8" x14ac:dyDescent="0.25">
      <c r="A425" t="s">
        <v>88</v>
      </c>
      <c r="D425" t="s">
        <v>42</v>
      </c>
      <c r="E425">
        <v>22000</v>
      </c>
      <c r="F425" t="s">
        <v>7</v>
      </c>
      <c r="G425">
        <v>1</v>
      </c>
      <c r="H425" s="3">
        <v>1</v>
      </c>
    </row>
    <row r="426" spans="1:8" x14ac:dyDescent="0.25">
      <c r="A426" t="s">
        <v>88</v>
      </c>
      <c r="C426">
        <v>277</v>
      </c>
      <c r="D426" t="s">
        <v>53</v>
      </c>
      <c r="E426">
        <v>8000</v>
      </c>
      <c r="F426" t="s">
        <v>7</v>
      </c>
      <c r="G426">
        <v>2</v>
      </c>
      <c r="H426" s="3">
        <v>1</v>
      </c>
    </row>
    <row r="427" spans="1:8" x14ac:dyDescent="0.25">
      <c r="A427" t="s">
        <v>88</v>
      </c>
      <c r="C427">
        <v>278</v>
      </c>
      <c r="D427" t="s">
        <v>53</v>
      </c>
      <c r="E427">
        <v>8000</v>
      </c>
      <c r="F427" t="s">
        <v>8</v>
      </c>
      <c r="G427">
        <v>2</v>
      </c>
      <c r="H427" s="3">
        <v>1</v>
      </c>
    </row>
    <row r="428" spans="1:8" x14ac:dyDescent="0.25">
      <c r="A428" t="s">
        <v>88</v>
      </c>
      <c r="C428">
        <v>279</v>
      </c>
      <c r="D428" t="s">
        <v>53</v>
      </c>
      <c r="E428">
        <v>8000</v>
      </c>
      <c r="F428" t="s">
        <v>8</v>
      </c>
      <c r="G428">
        <v>2</v>
      </c>
      <c r="H428" s="3">
        <v>1</v>
      </c>
    </row>
    <row r="429" spans="1:8" x14ac:dyDescent="0.25">
      <c r="A429" t="s">
        <v>88</v>
      </c>
      <c r="C429">
        <v>280</v>
      </c>
      <c r="D429" t="s">
        <v>53</v>
      </c>
      <c r="E429">
        <v>8000</v>
      </c>
      <c r="F429" t="s">
        <v>7</v>
      </c>
      <c r="G429">
        <v>1</v>
      </c>
      <c r="H429" s="3">
        <v>1</v>
      </c>
    </row>
    <row r="430" spans="1:8" x14ac:dyDescent="0.25">
      <c r="A430" t="s">
        <v>88</v>
      </c>
      <c r="C430">
        <v>281</v>
      </c>
      <c r="D430" t="s">
        <v>53</v>
      </c>
      <c r="E430">
        <v>8000</v>
      </c>
      <c r="F430" t="s">
        <v>7</v>
      </c>
      <c r="G430">
        <v>1</v>
      </c>
      <c r="H430" s="3">
        <v>1</v>
      </c>
    </row>
    <row r="431" spans="1:8" x14ac:dyDescent="0.25">
      <c r="A431" t="s">
        <v>88</v>
      </c>
      <c r="C431">
        <v>282</v>
      </c>
      <c r="D431" t="s">
        <v>53</v>
      </c>
      <c r="E431">
        <v>8000</v>
      </c>
      <c r="F431" t="s">
        <v>7</v>
      </c>
      <c r="G431">
        <v>1</v>
      </c>
      <c r="H431" s="3">
        <v>1</v>
      </c>
    </row>
    <row r="432" spans="1:8" x14ac:dyDescent="0.25">
      <c r="A432" t="s">
        <v>88</v>
      </c>
      <c r="C432">
        <v>283</v>
      </c>
      <c r="D432" t="s">
        <v>53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88</v>
      </c>
      <c r="D433" t="s">
        <v>54</v>
      </c>
      <c r="E433">
        <v>3000</v>
      </c>
      <c r="F433" t="s">
        <v>7</v>
      </c>
      <c r="G433">
        <v>1</v>
      </c>
      <c r="H433" s="3">
        <v>1</v>
      </c>
    </row>
    <row r="434" spans="1:8" x14ac:dyDescent="0.25">
      <c r="A434" t="s">
        <v>88</v>
      </c>
      <c r="C434">
        <v>284</v>
      </c>
      <c r="D434" t="s">
        <v>53</v>
      </c>
      <c r="E434">
        <v>8000</v>
      </c>
      <c r="F434" t="s">
        <v>28</v>
      </c>
      <c r="G434">
        <v>1</v>
      </c>
      <c r="H434" s="3">
        <v>1</v>
      </c>
    </row>
    <row r="435" spans="1:8" x14ac:dyDescent="0.25">
      <c r="A435" t="s">
        <v>88</v>
      </c>
      <c r="D435" t="s">
        <v>54</v>
      </c>
      <c r="E435">
        <v>3000</v>
      </c>
      <c r="F435" t="s">
        <v>28</v>
      </c>
      <c r="G435">
        <v>1</v>
      </c>
      <c r="H435" s="3">
        <v>1</v>
      </c>
    </row>
    <row r="436" spans="1:8" x14ac:dyDescent="0.25">
      <c r="A436" t="s">
        <v>88</v>
      </c>
      <c r="C436">
        <v>285</v>
      </c>
      <c r="D436" t="s">
        <v>53</v>
      </c>
      <c r="E436">
        <v>8000</v>
      </c>
      <c r="F436" t="s">
        <v>8</v>
      </c>
      <c r="G436">
        <v>5</v>
      </c>
      <c r="H436" s="3">
        <v>1</v>
      </c>
    </row>
    <row r="437" spans="1:8" x14ac:dyDescent="0.25">
      <c r="A437" t="s">
        <v>88</v>
      </c>
      <c r="C437">
        <v>286</v>
      </c>
      <c r="D437" t="s">
        <v>54</v>
      </c>
      <c r="E437">
        <v>3000</v>
      </c>
      <c r="F437" t="s">
        <v>7</v>
      </c>
      <c r="G437">
        <v>1</v>
      </c>
      <c r="H437" s="3">
        <v>1</v>
      </c>
    </row>
    <row r="438" spans="1:8" x14ac:dyDescent="0.25">
      <c r="A438" t="s">
        <v>1</v>
      </c>
      <c r="G438"/>
      <c r="H438" s="3">
        <v>429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7"/>
  <sheetViews>
    <sheetView tabSelected="1" zoomScale="85" zoomScaleNormal="85" workbookViewId="0">
      <selection activeCell="D34" sqref="D34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  <c r="H6" t="s">
        <v>4</v>
      </c>
      <c r="I6" s="3">
        <v>0</v>
      </c>
      <c r="J6" s="3"/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43000</v>
      </c>
      <c r="E17" s="3">
        <v>94000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338500</v>
      </c>
      <c r="C18" s="3">
        <v>23000</v>
      </c>
      <c r="D18" s="3">
        <v>113000</v>
      </c>
      <c r="E18" s="3">
        <v>474500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67000</v>
      </c>
      <c r="C19" s="3">
        <v>82000</v>
      </c>
      <c r="D19" s="3">
        <v>94000</v>
      </c>
      <c r="E19" s="3">
        <v>243000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98000</v>
      </c>
      <c r="E21" s="3">
        <v>392000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19000</v>
      </c>
      <c r="E22" s="3">
        <v>118000</v>
      </c>
      <c r="F22" t="str">
        <f t="shared" si="0"/>
        <v>dom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23500</v>
      </c>
      <c r="D24" s="3">
        <v>114000</v>
      </c>
      <c r="E24" s="3">
        <v>314000</v>
      </c>
      <c r="F24" t="str">
        <f t="shared" si="0"/>
        <v>mar</v>
      </c>
      <c r="H24" t="s">
        <v>84</v>
      </c>
      <c r="I24" s="3">
        <v>0</v>
      </c>
      <c r="J24" s="3">
        <v>0</v>
      </c>
      <c r="K24" s="3">
        <v>4000</v>
      </c>
      <c r="L24" s="3">
        <v>4000</v>
      </c>
    </row>
    <row r="25" spans="1:12" x14ac:dyDescent="0.25">
      <c r="A25" t="s">
        <v>87</v>
      </c>
      <c r="B25" s="3">
        <v>77250</v>
      </c>
      <c r="C25" s="3"/>
      <c r="D25" s="3">
        <v>71000</v>
      </c>
      <c r="E25" s="3">
        <v>148250</v>
      </c>
      <c r="H25" t="s">
        <v>87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88</v>
      </c>
      <c r="B26" s="3">
        <v>215700</v>
      </c>
      <c r="C26" s="3">
        <v>11000</v>
      </c>
      <c r="D26" s="3">
        <v>153800</v>
      </c>
      <c r="E26" s="3">
        <v>380500</v>
      </c>
      <c r="H26" t="s">
        <v>88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1</v>
      </c>
      <c r="B27" s="3">
        <v>4078450</v>
      </c>
      <c r="C27" s="3">
        <v>187500</v>
      </c>
      <c r="D27" s="3">
        <v>1543300</v>
      </c>
      <c r="E27" s="3">
        <v>5809250</v>
      </c>
      <c r="H27" t="s">
        <v>1</v>
      </c>
      <c r="I27" s="3">
        <v>0</v>
      </c>
      <c r="J27" s="3">
        <v>0</v>
      </c>
      <c r="K27" s="3">
        <v>4000</v>
      </c>
      <c r="L27" s="3">
        <v>4000</v>
      </c>
    </row>
  </sheetData>
  <autoFilter ref="F3:F25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EC34395-E632-4875-8B6F-C2A8A996A5BE}">
  <ds:schemaRefs/>
</ds:datastoreItem>
</file>

<file path=customXml/itemProps2.xml><?xml version="1.0" encoding="utf-8"?>
<ds:datastoreItem xmlns:ds="http://schemas.openxmlformats.org/officeDocument/2006/customXml" ds:itemID="{D7FE6DC1-B767-470D-8489-3CAA60CF0C5D}">
  <ds:schemaRefs/>
</ds:datastoreItem>
</file>

<file path=customXml/itemProps3.xml><?xml version="1.0" encoding="utf-8"?>
<ds:datastoreItem xmlns:ds="http://schemas.openxmlformats.org/officeDocument/2006/customXml" ds:itemID="{B63E7085-228C-46D5-BA95-D5BD8D46D3BC}">
  <ds:schemaRefs/>
</ds:datastoreItem>
</file>

<file path=customXml/itemProps4.xml><?xml version="1.0" encoding="utf-8"?>
<ds:datastoreItem xmlns:ds="http://schemas.openxmlformats.org/officeDocument/2006/customXml" ds:itemID="{FB1D0CD9-7ED3-48D8-A3AB-0AA528A1780A}">
  <ds:schemaRefs/>
</ds:datastoreItem>
</file>

<file path=customXml/itemProps5.xml><?xml version="1.0" encoding="utf-8"?>
<ds:datastoreItem xmlns:ds="http://schemas.openxmlformats.org/officeDocument/2006/customXml" ds:itemID="{098E4327-974B-4B0D-91F5-162E9D75323A}">
  <ds:schemaRefs/>
</ds:datastoreItem>
</file>

<file path=customXml/itemProps6.xml><?xml version="1.0" encoding="utf-8"?>
<ds:datastoreItem xmlns:ds="http://schemas.openxmlformats.org/officeDocument/2006/customXml" ds:itemID="{F948004D-76CA-46D7-9E0F-4E5D474F9C46}">
  <ds:schemaRefs/>
</ds:datastoreItem>
</file>

<file path=customXml/itemProps7.xml><?xml version="1.0" encoding="utf-8"?>
<ds:datastoreItem xmlns:ds="http://schemas.openxmlformats.org/officeDocument/2006/customXml" ds:itemID="{A8C41FBF-174E-45B2-B0BA-73A832AA7326}">
  <ds:schemaRefs/>
</ds:datastoreItem>
</file>

<file path=customXml/itemProps8.xml><?xml version="1.0" encoding="utf-8"?>
<ds:datastoreItem xmlns:ds="http://schemas.openxmlformats.org/officeDocument/2006/customXml" ds:itemID="{BB25C675-0142-46C0-B119-B964A69C36F7}">
  <ds:schemaRefs/>
</ds:datastoreItem>
</file>

<file path=customXml/itemProps9.xml><?xml version="1.0" encoding="utf-8"?>
<ds:datastoreItem xmlns:ds="http://schemas.openxmlformats.org/officeDocument/2006/customXml" ds:itemID="{63D48641-18DD-40CE-9EE1-4A67630B95CD}">
  <ds:schemaRefs/>
</ds:datastoreItem>
</file>

<file path=customXml/itemProps10.xml><?xml version="1.0" encoding="utf-8"?>
<ds:datastoreItem xmlns:ds="http://schemas.openxmlformats.org/officeDocument/2006/customXml" ds:itemID="{A91E5C76-40E7-4996-8584-0118F04FBEF4}">
  <ds:schemaRefs/>
</ds:datastoreItem>
</file>

<file path=customXml/itemProps11.xml><?xml version="1.0" encoding="utf-8"?>
<ds:datastoreItem xmlns:ds="http://schemas.openxmlformats.org/officeDocument/2006/customXml" ds:itemID="{45FC6974-0190-4FD5-8A3E-E2BFFBF9BA06}">
  <ds:schemaRefs/>
</ds:datastoreItem>
</file>

<file path=customXml/itemProps12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537CA801-B62F-4F55-B4C0-348E472E09E8}">
  <ds:schemaRefs/>
</ds:datastoreItem>
</file>

<file path=customXml/itemProps14.xml><?xml version="1.0" encoding="utf-8"?>
<ds:datastoreItem xmlns:ds="http://schemas.openxmlformats.org/officeDocument/2006/customXml" ds:itemID="{29466B21-50A0-4711-8C3B-BA3D21363A53}">
  <ds:schemaRefs/>
</ds:datastoreItem>
</file>

<file path=customXml/itemProps15.xml><?xml version="1.0" encoding="utf-8"?>
<ds:datastoreItem xmlns:ds="http://schemas.openxmlformats.org/officeDocument/2006/customXml" ds:itemID="{0923900A-484E-4754-B4CA-7CD7455B29F8}">
  <ds:schemaRefs/>
</ds:datastoreItem>
</file>

<file path=customXml/itemProps16.xml><?xml version="1.0" encoding="utf-8"?>
<ds:datastoreItem xmlns:ds="http://schemas.openxmlformats.org/officeDocument/2006/customXml" ds:itemID="{BACC00BD-3502-47AC-941E-7A1E8D4D2542}">
  <ds:schemaRefs/>
</ds:datastoreItem>
</file>

<file path=customXml/itemProps17.xml><?xml version="1.0" encoding="utf-8"?>
<ds:datastoreItem xmlns:ds="http://schemas.openxmlformats.org/officeDocument/2006/customXml" ds:itemID="{FC409827-E32F-4F48-9FF4-3818E929E424}">
  <ds:schemaRefs/>
</ds:datastoreItem>
</file>

<file path=customXml/itemProps18.xml><?xml version="1.0" encoding="utf-8"?>
<ds:datastoreItem xmlns:ds="http://schemas.openxmlformats.org/officeDocument/2006/customXml" ds:itemID="{39D61B41-5A67-43EE-9419-C185D49D9134}">
  <ds:schemaRefs/>
</ds:datastoreItem>
</file>

<file path=customXml/itemProps19.xml><?xml version="1.0" encoding="utf-8"?>
<ds:datastoreItem xmlns:ds="http://schemas.openxmlformats.org/officeDocument/2006/customXml" ds:itemID="{AFCE4F4F-8B07-4A23-9CE3-B3362828CA1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entradas</vt:lpstr>
      <vt:lpstr>Informe</vt:lpstr>
      <vt:lpstr>historial de venta</vt:lpstr>
      <vt:lpstr>Informe_ventas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2026-03-20T13:35:44Z</dcterms:modified>
</cp:coreProperties>
</file>