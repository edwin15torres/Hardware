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-120" yWindow="-120" windowWidth="20730" windowHeight="11160" activeTab="2"/>
  </bookViews>
  <sheets>
    <sheet name="25-mar" sheetId="1" r:id="rId1"/>
    <sheet name="26-mar" sheetId="2" r:id="rId2"/>
    <sheet name="GASTOS" sheetId="3" r:id="rId3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3" l="1"/>
  <c r="C4" i="3"/>
  <c r="E9" i="3"/>
  <c r="B6" i="1" l="1"/>
  <c r="B5" i="1"/>
</calcChain>
</file>

<file path=xl/sharedStrings.xml><?xml version="1.0" encoding="utf-8"?>
<sst xmlns="http://schemas.openxmlformats.org/spreadsheetml/2006/main" count="23" uniqueCount="19">
  <si>
    <t>3 chorizos</t>
  </si>
  <si>
    <t>3 gaseosas</t>
  </si>
  <si>
    <t>nequi</t>
  </si>
  <si>
    <t>agua</t>
  </si>
  <si>
    <t>2 CHORIZOS</t>
  </si>
  <si>
    <t>1 CHORIZOS</t>
  </si>
  <si>
    <t>GASTOS</t>
  </si>
  <si>
    <t>VENTAS</t>
  </si>
  <si>
    <t>CASINO: Melón, Guayaba</t>
  </si>
  <si>
    <t>MATERIA PRIMA: Bulto de papa</t>
  </si>
  <si>
    <t>MATERIA PRIMA: Pan perro</t>
  </si>
  <si>
    <t>unidades</t>
  </si>
  <si>
    <t>precio unidad</t>
  </si>
  <si>
    <t>precio empaque</t>
  </si>
  <si>
    <t>EPS: Pastas y cura</t>
  </si>
  <si>
    <t>MERCADO: cebolla, aji, bolsas negras</t>
  </si>
  <si>
    <t>CASINO: Leche</t>
  </si>
  <si>
    <t>SERVICIOS: Luz</t>
  </si>
  <si>
    <t>gastos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</si>
</sst>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5" x14ac:knownFonts="1">
    <font>
      <sz val="11"/>
      <color theme="1"/>
      <name val="Calibri"/>
      <family val="2"/>
      <scheme val="minor"/>
    </font>
    <font>
      <b/>
      <u/>
      <sz val="11"/>
      <color theme="9" tint="-0.499984740745262"/>
      <name val="Calibri"/>
      <family val="2"/>
      <scheme val="minor"/>
    </font>
    <font>
      <b/>
      <u/>
      <sz val="11"/>
      <color rgb="FFC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0" fontId="4" fillId="2" borderId="0" applyNumberFormat="0" applyBorder="0" applyAlignment="0" applyProtection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16" fontId="0" fillId="0" borderId="0" xfId="0" applyNumberFormat="1"/>
    <xf numFmtId="164" fontId="0" fillId="0" borderId="0" xfId="1" applyNumberFormat="1" applyFont="1"/>
    <xf numFmtId="0" fontId="4" fillId="2" borderId="0" xfId="2"/>
    <xf numFmtId="164" fontId="4" fillId="2" borderId="0" xfId="2" applyNumberFormat="1"/>
  </cellXfs>
  <cellStyles count="3">
    <cellStyle name="Incorrecto" xfId="2" builtinId="27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7"/>
  <sheetViews>
    <sheetView workbookViewId="0">
      <selection activeCell="B5" sqref="B5"/>
    </sheetView>
  </sheetViews>
  <sheetFormatPr baseColWidth="10" defaultColWidth="9.140625" defaultRowHeight="15" x14ac:dyDescent="0.25"/>
  <sheetData>
    <row r="3" spans="1:3" x14ac:dyDescent="0.25">
      <c r="A3" s="1" t="s">
        <v>7</v>
      </c>
    </row>
    <row r="5" spans="1:3" x14ac:dyDescent="0.25">
      <c r="A5" t="s">
        <v>0</v>
      </c>
      <c r="B5">
        <f>8000*3</f>
        <v>24000</v>
      </c>
      <c r="C5" t="s">
        <v>2</v>
      </c>
    </row>
    <row r="6" spans="1:3" x14ac:dyDescent="0.25">
      <c r="A6" t="s">
        <v>1</v>
      </c>
      <c r="B6">
        <f>3000*3</f>
        <v>9000</v>
      </c>
      <c r="C6" t="s">
        <v>2</v>
      </c>
    </row>
    <row r="7" spans="1:3" x14ac:dyDescent="0.25">
      <c r="A7" t="s">
        <v>3</v>
      </c>
      <c r="B7">
        <v>3000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6"/>
  <sheetViews>
    <sheetView workbookViewId="0">
      <selection activeCell="F11" sqref="F11"/>
    </sheetView>
  </sheetViews>
  <sheetFormatPr baseColWidth="10" defaultRowHeight="15" x14ac:dyDescent="0.25"/>
  <cols>
    <col min="2" max="2" width="6" bestFit="1" customWidth="1"/>
  </cols>
  <sheetData>
    <row r="3" spans="1:3" x14ac:dyDescent="0.25">
      <c r="A3" s="1" t="s">
        <v>7</v>
      </c>
    </row>
    <row r="5" spans="1:3" x14ac:dyDescent="0.25">
      <c r="A5" t="s">
        <v>4</v>
      </c>
      <c r="B5">
        <v>16000</v>
      </c>
      <c r="C5" t="s">
        <v>2</v>
      </c>
    </row>
    <row r="6" spans="1:3" x14ac:dyDescent="0.25">
      <c r="A6" t="s">
        <v>5</v>
      </c>
      <c r="B6">
        <v>8000</v>
      </c>
      <c r="C6" t="s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tabSelected="1" topLeftCell="A2" zoomScale="115" zoomScaleNormal="115" workbookViewId="0">
      <selection activeCell="C5" sqref="C5"/>
    </sheetView>
  </sheetViews>
  <sheetFormatPr baseColWidth="10" defaultRowHeight="15" x14ac:dyDescent="0.25"/>
  <cols>
    <col min="2" max="2" width="28.85546875" bestFit="1" customWidth="1"/>
    <col min="3" max="3" width="12" style="4" bestFit="1" customWidth="1"/>
    <col min="4" max="4" width="15.42578125" bestFit="1" customWidth="1"/>
    <col min="5" max="5" width="13.140625" bestFit="1" customWidth="1"/>
  </cols>
  <sheetData>
    <row r="1" spans="1:6" x14ac:dyDescent="0.25">
      <c r="A1" s="2" t="s">
        <v>6</v>
      </c>
    </row>
    <row r="3" spans="1:6" x14ac:dyDescent="0.25">
      <c r="C3" s="4">
        <v>300000</v>
      </c>
    </row>
    <row r="4" spans="1:6" x14ac:dyDescent="0.25">
      <c r="B4" t="s">
        <v>18</v>
      </c>
      <c r="C4" s="4">
        <f>+SUM(C7:C12)</f>
        <v>168803</v>
      </c>
    </row>
    <row r="5" spans="1:6" x14ac:dyDescent="0.25">
      <c r="C5" s="4">
        <f>+C3-C4</f>
        <v>131197</v>
      </c>
    </row>
    <row r="7" spans="1:6" x14ac:dyDescent="0.25">
      <c r="A7" s="3">
        <v>46106</v>
      </c>
      <c r="B7" t="s">
        <v>9</v>
      </c>
      <c r="C7" s="4">
        <v>80000</v>
      </c>
    </row>
    <row r="8" spans="1:6" x14ac:dyDescent="0.25">
      <c r="A8" s="3">
        <v>46107</v>
      </c>
      <c r="B8" t="s">
        <v>8</v>
      </c>
      <c r="C8" s="4">
        <v>12000</v>
      </c>
      <c r="D8" t="s">
        <v>13</v>
      </c>
      <c r="E8" t="s">
        <v>12</v>
      </c>
      <c r="F8" t="s">
        <v>11</v>
      </c>
    </row>
    <row r="9" spans="1:6" x14ac:dyDescent="0.25">
      <c r="A9" s="3">
        <v>46107</v>
      </c>
      <c r="B9" s="5" t="s">
        <v>10</v>
      </c>
      <c r="C9" s="6">
        <v>17000</v>
      </c>
      <c r="D9">
        <v>8500</v>
      </c>
      <c r="E9">
        <f>+D9/6</f>
        <v>1416.6666666666667</v>
      </c>
      <c r="F9">
        <v>6</v>
      </c>
    </row>
    <row r="10" spans="1:6" x14ac:dyDescent="0.25">
      <c r="A10" s="3">
        <v>46107</v>
      </c>
      <c r="B10" t="s">
        <v>14</v>
      </c>
      <c r="C10" s="4">
        <v>39803</v>
      </c>
    </row>
    <row r="11" spans="1:6" x14ac:dyDescent="0.25">
      <c r="A11" s="3">
        <v>46109</v>
      </c>
      <c r="B11" t="s">
        <v>15</v>
      </c>
      <c r="C11" s="4">
        <v>12500</v>
      </c>
    </row>
    <row r="12" spans="1:6" x14ac:dyDescent="0.25">
      <c r="A12" s="3">
        <v>46109</v>
      </c>
      <c r="B12" t="s">
        <v>16</v>
      </c>
      <c r="C12" s="4">
        <v>7500</v>
      </c>
    </row>
    <row r="13" spans="1:6" x14ac:dyDescent="0.25">
      <c r="A13" s="3"/>
    </row>
    <row r="14" spans="1:6" x14ac:dyDescent="0.25">
      <c r="A14" s="3">
        <v>46109</v>
      </c>
      <c r="B14" t="s">
        <v>17</v>
      </c>
      <c r="C14" s="4">
        <v>160150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25-mar</vt:lpstr>
      <vt:lpstr>26-mar</vt:lpstr>
      <vt:lpstr>GASTOS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dcterms:created xsi:type="dcterms:W3CDTF">2015-06-05T18:19:34Z</dcterms:created>
  <dcterms:modified xsi:type="dcterms:W3CDTF">2026-03-29T00:41:11Z</dcterms:modified>
</cp:coreProperties>
</file>