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Fabrica\"/>
    </mc:Choice>
  </mc:AlternateContent>
  <bookViews>
    <workbookView xWindow="-120" yWindow="-120" windowWidth="20730" windowHeight="11160" firstSheet="1" activeTab="2"/>
  </bookViews>
  <sheets>
    <sheet name="25-mar" sheetId="1" r:id="rId1"/>
    <sheet name="26-mar" sheetId="2" r:id="rId2"/>
    <sheet name="GASTO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 l="1"/>
  <c r="F8" i="3"/>
  <c r="B6" i="1" l="1"/>
  <c r="B5" i="1"/>
</calcChain>
</file>

<file path=xl/sharedStrings.xml><?xml version="1.0" encoding="utf-8"?>
<sst xmlns="http://schemas.openxmlformats.org/spreadsheetml/2006/main" count="25" uniqueCount="21">
  <si>
    <t>3 chorizos</t>
  </si>
  <si>
    <t>3 gaseosas</t>
  </si>
  <si>
    <t>nequi</t>
  </si>
  <si>
    <t>agua</t>
  </si>
  <si>
    <t>2 CHORIZOS</t>
  </si>
  <si>
    <t>1 CHORIZOS</t>
  </si>
  <si>
    <t>GASTOS</t>
  </si>
  <si>
    <t>VENTAS</t>
  </si>
  <si>
    <t>CASINO: Melón, Guayaba</t>
  </si>
  <si>
    <t>MATERIA PRIMA: Bulto de papa</t>
  </si>
  <si>
    <t>MATERIA PRIMA: Pan perro</t>
  </si>
  <si>
    <t>unidades</t>
  </si>
  <si>
    <t>precio unidad</t>
  </si>
  <si>
    <t>precio empaque</t>
  </si>
  <si>
    <t>EPS: Pastas y cura</t>
  </si>
  <si>
    <t>MERCADO: cebolla, aji, bolsas negras</t>
  </si>
  <si>
    <t>CASINO: Leche</t>
  </si>
  <si>
    <t>SERVICIOS: Luz</t>
  </si>
  <si>
    <t>gastos</t>
  </si>
  <si>
    <t>MERCADO: platano limòn</t>
  </si>
  <si>
    <t>CASINO: 2 bolsas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</si>
</sst>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  <xf numFmtId="164" fontId="0" fillId="0" borderId="0" xfId="1" applyNumberFormat="1" applyFont="1"/>
    <xf numFmtId="0" fontId="4" fillId="2" borderId="0" xfId="2"/>
    <xf numFmtId="164" fontId="4" fillId="2" borderId="0" xfId="2" applyNumberFormat="1"/>
  </cellXfs>
  <cellStyles count="3">
    <cellStyle name="Incorrecto" xfId="2" builtinId="27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B5" sqref="B5"/>
    </sheetView>
  </sheetViews>
  <sheetFormatPr baseColWidth="10" defaultColWidth="9.140625" defaultRowHeight="15" x14ac:dyDescent="0.25"/>
  <sheetData>
    <row r="3" spans="1:3" x14ac:dyDescent="0.25">
      <c r="A3" s="1" t="s">
        <v>7</v>
      </c>
    </row>
    <row r="5" spans="1:3" x14ac:dyDescent="0.25">
      <c r="A5" t="s">
        <v>0</v>
      </c>
      <c r="B5">
        <f>8000*3</f>
        <v>24000</v>
      </c>
      <c r="C5" t="s">
        <v>2</v>
      </c>
    </row>
    <row r="6" spans="1:3" x14ac:dyDescent="0.25">
      <c r="A6" t="s">
        <v>1</v>
      </c>
      <c r="B6">
        <f>3000*3</f>
        <v>9000</v>
      </c>
      <c r="C6" t="s">
        <v>2</v>
      </c>
    </row>
    <row r="7" spans="1:3" x14ac:dyDescent="0.25">
      <c r="A7" t="s">
        <v>3</v>
      </c>
      <c r="B7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F11" sqref="F11"/>
    </sheetView>
  </sheetViews>
  <sheetFormatPr baseColWidth="10" defaultRowHeight="15" x14ac:dyDescent="0.25"/>
  <cols>
    <col min="2" max="2" width="6" bestFit="1" customWidth="1"/>
  </cols>
  <sheetData>
    <row r="3" spans="1:3" x14ac:dyDescent="0.25">
      <c r="A3" s="1" t="s">
        <v>7</v>
      </c>
    </row>
    <row r="5" spans="1:3" x14ac:dyDescent="0.25">
      <c r="A5" t="s">
        <v>4</v>
      </c>
      <c r="B5">
        <v>16000</v>
      </c>
      <c r="C5" t="s">
        <v>2</v>
      </c>
    </row>
    <row r="6" spans="1:3" x14ac:dyDescent="0.25">
      <c r="A6" t="s">
        <v>5</v>
      </c>
      <c r="B6">
        <v>8000</v>
      </c>
      <c r="C6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topLeftCell="A4" zoomScale="115" zoomScaleNormal="115" workbookViewId="0">
      <selection activeCell="D13" sqref="C6:D13"/>
    </sheetView>
  </sheetViews>
  <sheetFormatPr baseColWidth="10" defaultRowHeight="15" x14ac:dyDescent="0.25"/>
  <cols>
    <col min="2" max="2" width="28.85546875" bestFit="1" customWidth="1"/>
    <col min="3" max="3" width="12" style="4" bestFit="1" customWidth="1"/>
    <col min="4" max="4" width="15.42578125" bestFit="1" customWidth="1"/>
    <col min="5" max="5" width="13.140625" bestFit="1" customWidth="1"/>
  </cols>
  <sheetData>
    <row r="1" spans="1:7" x14ac:dyDescent="0.25">
      <c r="A1" s="2" t="s">
        <v>6</v>
      </c>
    </row>
    <row r="2" spans="1:7" x14ac:dyDescent="0.25">
      <c r="C2" s="4">
        <v>300000</v>
      </c>
    </row>
    <row r="3" spans="1:7" x14ac:dyDescent="0.25">
      <c r="B3" t="s">
        <v>18</v>
      </c>
      <c r="C3" s="4">
        <f>+SUM(C6:C12)</f>
        <v>193803</v>
      </c>
    </row>
    <row r="4" spans="1:7" x14ac:dyDescent="0.25">
      <c r="C4" s="4">
        <f>+C2-C3</f>
        <v>106197</v>
      </c>
    </row>
    <row r="6" spans="1:7" x14ac:dyDescent="0.25">
      <c r="A6" s="3">
        <v>46106</v>
      </c>
      <c r="B6" t="s">
        <v>9</v>
      </c>
      <c r="C6" s="4">
        <v>80000</v>
      </c>
    </row>
    <row r="7" spans="1:7" x14ac:dyDescent="0.25">
      <c r="A7" s="3">
        <v>46107</v>
      </c>
      <c r="B7" t="s">
        <v>8</v>
      </c>
      <c r="C7" s="4">
        <v>12000</v>
      </c>
      <c r="E7" t="s">
        <v>13</v>
      </c>
      <c r="F7" t="s">
        <v>12</v>
      </c>
      <c r="G7" t="s">
        <v>11</v>
      </c>
    </row>
    <row r="8" spans="1:7" x14ac:dyDescent="0.25">
      <c r="A8" s="3">
        <v>46107</v>
      </c>
      <c r="B8" s="5" t="s">
        <v>10</v>
      </c>
      <c r="C8" s="6">
        <v>17000</v>
      </c>
      <c r="E8">
        <v>8500</v>
      </c>
      <c r="F8">
        <f>+E8/6</f>
        <v>1416.6666666666667</v>
      </c>
      <c r="G8">
        <v>6</v>
      </c>
    </row>
    <row r="9" spans="1:7" x14ac:dyDescent="0.25">
      <c r="A9" s="3">
        <v>46107</v>
      </c>
      <c r="B9" t="s">
        <v>14</v>
      </c>
      <c r="C9" s="4">
        <v>39803</v>
      </c>
    </row>
    <row r="10" spans="1:7" x14ac:dyDescent="0.25">
      <c r="A10" s="3">
        <v>46109</v>
      </c>
      <c r="B10" t="s">
        <v>15</v>
      </c>
      <c r="C10" s="4">
        <v>12500</v>
      </c>
    </row>
    <row r="11" spans="1:7" x14ac:dyDescent="0.25">
      <c r="A11" s="3">
        <v>46109</v>
      </c>
      <c r="B11" t="s">
        <v>16</v>
      </c>
      <c r="C11" s="4">
        <v>7500</v>
      </c>
    </row>
    <row r="12" spans="1:7" x14ac:dyDescent="0.25">
      <c r="A12" s="3">
        <v>46110</v>
      </c>
      <c r="B12" t="s">
        <v>19</v>
      </c>
      <c r="C12" s="4">
        <v>25000</v>
      </c>
    </row>
    <row r="13" spans="1:7" x14ac:dyDescent="0.25">
      <c r="A13" s="3">
        <v>46110</v>
      </c>
      <c r="B13" t="s">
        <v>20</v>
      </c>
      <c r="D13">
        <v>9900</v>
      </c>
    </row>
    <row r="14" spans="1:7" x14ac:dyDescent="0.25">
      <c r="A14" s="3"/>
    </row>
    <row r="15" spans="1:7" x14ac:dyDescent="0.25">
      <c r="A15" s="3"/>
    </row>
    <row r="16" spans="1:7" x14ac:dyDescent="0.25">
      <c r="A16" s="3">
        <v>46109</v>
      </c>
      <c r="B16" t="s">
        <v>17</v>
      </c>
      <c r="C16" s="4">
        <v>160150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25-mar</vt:lpstr>
      <vt:lpstr>26-mar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2015-06-05T18:19:34Z</dcterms:created>
  <dcterms:modified xsi:type="dcterms:W3CDTF">2026-03-29T20:40:32Z</dcterms:modified>
</cp:coreProperties>
</file>