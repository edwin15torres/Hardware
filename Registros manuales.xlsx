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26924B61-9E43-40AD-8B98-D7A44723D382}" xr6:coauthVersionLast="47" xr6:coauthVersionMax="47" xr10:uidLastSave="{00000000-0000-0000-0000-000000000000}"/>
  <bookViews>
    <workbookView xWindow="20370" yWindow="-2070" windowWidth="21840" windowHeight="13140" activeTab="2" xr2:uid="{00000000-000D-0000-FFFF-FFFF00000000}"/>
  </bookViews>
  <sheets>
    <sheet name="25-mar" sheetId="1" r:id="rId1"/>
    <sheet name="26-mar" sheetId="2" r:id="rId2"/>
    <sheet name="REGISTROS" sheetId="4" r:id="rId3"/>
    <sheet name="GASTO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C16" i="4"/>
  <c r="C24" i="4"/>
  <c r="C7" i="4"/>
  <c r="C29" i="4"/>
  <c r="C3" i="3" l="1"/>
  <c r="C17" i="4" l="1"/>
  <c r="C4" i="3"/>
  <c r="F8" i="3"/>
  <c r="B6" i="1" l="1"/>
  <c r="B5" i="1"/>
</calcChain>
</file>

<file path=xl/sharedStrings.xml><?xml version="1.0" encoding="utf-8"?>
<sst xmlns="http://schemas.openxmlformats.org/spreadsheetml/2006/main" count="61" uniqueCount="34">
  <si>
    <t>3 chorizos</t>
  </si>
  <si>
    <t>3 gaseosas</t>
  </si>
  <si>
    <t>nequi</t>
  </si>
  <si>
    <t>agua</t>
  </si>
  <si>
    <t>2 CHORIZOS</t>
  </si>
  <si>
    <t>1 CHORIZOS</t>
  </si>
  <si>
    <t>GASTOS</t>
  </si>
  <si>
    <t>VENTAS</t>
  </si>
  <si>
    <t>CASINO: Melón, Guayaba</t>
  </si>
  <si>
    <t>MATERIA PRIMA: Bulto de papa</t>
  </si>
  <si>
    <t>MATERIA PRIMA: Pan perro</t>
  </si>
  <si>
    <t>unidades</t>
  </si>
  <si>
    <t>precio unidad</t>
  </si>
  <si>
    <t>precio empaque</t>
  </si>
  <si>
    <t>EPS: Pastas y cura</t>
  </si>
  <si>
    <t>MERCADO: cebolla, aji, bolsas negras</t>
  </si>
  <si>
    <t>CASINO: Leche</t>
  </si>
  <si>
    <t>SERVICIOS: Luz</t>
  </si>
  <si>
    <t>gastos</t>
  </si>
  <si>
    <t>MERCADO: platano limòn</t>
  </si>
  <si>
    <t>CASINO: 2 bolsas de agua</t>
  </si>
  <si>
    <t>fecha</t>
  </si>
  <si>
    <t>20 CHORIZOS CRUDOS</t>
  </si>
  <si>
    <t>NEQUI</t>
  </si>
  <si>
    <t>EFEC</t>
  </si>
  <si>
    <t>OK</t>
  </si>
  <si>
    <t>chorizos</t>
  </si>
  <si>
    <t>gaseosas</t>
  </si>
  <si>
    <t>2 chorizos</t>
  </si>
  <si>
    <t>2 chorizos + gaseosa</t>
  </si>
  <si>
    <t>1 gaseosa  + chorizo</t>
  </si>
  <si>
    <t>chorizo</t>
  </si>
  <si>
    <t>2 chorizo con arepa y 1 chorizo solo</t>
  </si>
  <si>
    <t>3 chorizos + hit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</si>
</sst>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6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b/>
      <u/>
      <sz val="11"/>
      <color theme="9" tint="-0.499984740745262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B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66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0" fontId="4" fillId="2" borderId="0" applyNumberFormat="0" applyBorder="0" applyAlignment="0" applyProtection="0"/>
    <xf numFmtId="43" fontId="3" fillId="0" borderId="0" applyFont="0" applyFill="0" applyBorder="0" applyAlignment="0" applyProtection="0"/>
    <xf numFmtId="0" fontId="5" fillId="3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16" fontId="0" fillId="0" borderId="0" xfId="0" applyNumberFormat="1"/>
    <xf numFmtId="164" fontId="0" fillId="0" borderId="0" xfId="1" applyNumberFormat="1" applyFont="1"/>
    <xf numFmtId="0" fontId="4" fillId="2" borderId="0" xfId="2"/>
    <xf numFmtId="164" fontId="4" fillId="2" borderId="0" xfId="2" applyNumberFormat="1"/>
    <xf numFmtId="0" fontId="6" fillId="0" borderId="0" xfId="0" applyFont="1"/>
    <xf numFmtId="0" fontId="7" fillId="0" borderId="0" xfId="0" applyFont="1"/>
    <xf numFmtId="166" fontId="0" fillId="0" borderId="0" xfId="3" applyNumberFormat="1" applyFont="1"/>
    <xf numFmtId="16" fontId="0" fillId="4" borderId="0" xfId="0" applyNumberFormat="1" applyFill="1"/>
    <xf numFmtId="0" fontId="0" fillId="5" borderId="0" xfId="0" applyFill="1"/>
    <xf numFmtId="0" fontId="0" fillId="6" borderId="0" xfId="0" applyFill="1"/>
    <xf numFmtId="0" fontId="5" fillId="3" borderId="0" xfId="4"/>
    <xf numFmtId="164" fontId="0" fillId="0" borderId="0" xfId="0" applyNumberFormat="1"/>
    <xf numFmtId="164" fontId="0" fillId="0" borderId="1" xfId="1" applyNumberFormat="1" applyFont="1" applyBorder="1"/>
    <xf numFmtId="164" fontId="0" fillId="7" borderId="0" xfId="1" applyNumberFormat="1" applyFont="1" applyFill="1"/>
    <xf numFmtId="0" fontId="0" fillId="7" borderId="0" xfId="0" applyFill="1"/>
  </cellXfs>
  <cellStyles count="5">
    <cellStyle name="Bueno" xfId="4" builtinId="26"/>
    <cellStyle name="Incorrecto" xfId="2" builtinId="27"/>
    <cellStyle name="Millares" xfId="3" builtinId="3"/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CC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7"/>
  <sheetViews>
    <sheetView workbookViewId="0">
      <selection activeCell="B5" sqref="B5"/>
    </sheetView>
  </sheetViews>
  <sheetFormatPr baseColWidth="10" defaultColWidth="9.140625" defaultRowHeight="15" x14ac:dyDescent="0.25"/>
  <sheetData>
    <row r="3" spans="1:3" x14ac:dyDescent="0.25">
      <c r="A3" s="1" t="s">
        <v>7</v>
      </c>
    </row>
    <row r="5" spans="1:3" x14ac:dyDescent="0.25">
      <c r="A5" t="s">
        <v>0</v>
      </c>
      <c r="B5">
        <f>8000*3</f>
        <v>24000</v>
      </c>
      <c r="C5" t="s">
        <v>2</v>
      </c>
    </row>
    <row r="6" spans="1:3" x14ac:dyDescent="0.25">
      <c r="A6" t="s">
        <v>1</v>
      </c>
      <c r="B6">
        <f>3000*3</f>
        <v>9000</v>
      </c>
      <c r="C6" t="s">
        <v>2</v>
      </c>
    </row>
    <row r="7" spans="1:3" x14ac:dyDescent="0.25">
      <c r="A7" t="s">
        <v>3</v>
      </c>
      <c r="B7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6"/>
  <sheetViews>
    <sheetView workbookViewId="0">
      <selection activeCell="F11" sqref="F11"/>
    </sheetView>
  </sheetViews>
  <sheetFormatPr baseColWidth="10" defaultRowHeight="15" x14ac:dyDescent="0.25"/>
  <cols>
    <col min="2" max="2" width="6" bestFit="1" customWidth="1"/>
  </cols>
  <sheetData>
    <row r="3" spans="1:3" x14ac:dyDescent="0.25">
      <c r="A3" s="1" t="s">
        <v>7</v>
      </c>
    </row>
    <row r="5" spans="1:3" x14ac:dyDescent="0.25">
      <c r="A5" t="s">
        <v>4</v>
      </c>
      <c r="B5">
        <v>16000</v>
      </c>
      <c r="C5" t="s">
        <v>2</v>
      </c>
    </row>
    <row r="6" spans="1:3" x14ac:dyDescent="0.25">
      <c r="A6" t="s">
        <v>5</v>
      </c>
      <c r="B6">
        <v>8000</v>
      </c>
      <c r="C6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EAEB-9B66-489D-944F-8CF3924FF6F9}">
  <dimension ref="B3:F30"/>
  <sheetViews>
    <sheetView tabSelected="1" workbookViewId="0">
      <selection activeCell="C13" sqref="C11:C13"/>
    </sheetView>
  </sheetViews>
  <sheetFormatPr baseColWidth="10" defaultRowHeight="15" x14ac:dyDescent="0.25"/>
  <cols>
    <col min="2" max="2" width="32.28515625" bestFit="1" customWidth="1"/>
    <col min="3" max="3" width="12.140625" customWidth="1"/>
  </cols>
  <sheetData>
    <row r="3" spans="2:6" x14ac:dyDescent="0.25">
      <c r="B3" s="8" t="s">
        <v>7</v>
      </c>
      <c r="F3" s="2" t="s">
        <v>6</v>
      </c>
    </row>
    <row r="5" spans="2:6" x14ac:dyDescent="0.25">
      <c r="B5" s="7" t="s">
        <v>21</v>
      </c>
      <c r="C5" s="10">
        <v>46111</v>
      </c>
    </row>
    <row r="7" spans="2:6" x14ac:dyDescent="0.25">
      <c r="B7" t="s">
        <v>32</v>
      </c>
      <c r="C7" s="4">
        <f>16000+7000</f>
        <v>23000</v>
      </c>
      <c r="D7" s="11" t="s">
        <v>23</v>
      </c>
    </row>
    <row r="8" spans="2:6" x14ac:dyDescent="0.25">
      <c r="B8" t="s">
        <v>28</v>
      </c>
      <c r="C8" s="4">
        <v>16000</v>
      </c>
      <c r="D8" s="11" t="s">
        <v>23</v>
      </c>
      <c r="E8" s="13" t="s">
        <v>25</v>
      </c>
    </row>
    <row r="9" spans="2:6" x14ac:dyDescent="0.25">
      <c r="B9" t="s">
        <v>29</v>
      </c>
      <c r="C9" s="4">
        <v>19000</v>
      </c>
      <c r="D9" s="11" t="s">
        <v>23</v>
      </c>
      <c r="E9" s="13" t="s">
        <v>25</v>
      </c>
    </row>
    <row r="10" spans="2:6" x14ac:dyDescent="0.25">
      <c r="B10" s="17" t="s">
        <v>33</v>
      </c>
      <c r="C10" s="16">
        <v>28500</v>
      </c>
      <c r="D10" s="11" t="s">
        <v>23</v>
      </c>
      <c r="E10" s="13" t="s">
        <v>25</v>
      </c>
    </row>
    <row r="11" spans="2:6" x14ac:dyDescent="0.25">
      <c r="B11" t="s">
        <v>30</v>
      </c>
      <c r="C11" s="4">
        <v>11000</v>
      </c>
      <c r="D11" s="12" t="s">
        <v>24</v>
      </c>
    </row>
    <row r="12" spans="2:6" x14ac:dyDescent="0.25">
      <c r="B12" t="s">
        <v>30</v>
      </c>
      <c r="C12" s="4">
        <v>11000</v>
      </c>
      <c r="D12" s="12" t="s">
        <v>24</v>
      </c>
    </row>
    <row r="13" spans="2:6" x14ac:dyDescent="0.25">
      <c r="B13" t="s">
        <v>31</v>
      </c>
      <c r="C13" s="4">
        <v>8000</v>
      </c>
      <c r="D13" s="12" t="s">
        <v>24</v>
      </c>
    </row>
    <row r="14" spans="2:6" x14ac:dyDescent="0.25">
      <c r="C14" s="4"/>
    </row>
    <row r="15" spans="2:6" x14ac:dyDescent="0.25">
      <c r="C15" s="16">
        <f>+SUMIF($D$7:$D$13,D15,$C$7:$C$13)</f>
        <v>86500</v>
      </c>
      <c r="D15" s="11" t="s">
        <v>23</v>
      </c>
    </row>
    <row r="16" spans="2:6" ht="15.75" thickBot="1" x14ac:dyDescent="0.3">
      <c r="C16" s="15">
        <f>+SUMIF($D$7:$D$13,D16,$C$7:$C$13)</f>
        <v>30000</v>
      </c>
      <c r="D16" s="12" t="s">
        <v>24</v>
      </c>
    </row>
    <row r="17" spans="2:5" ht="15.75" thickTop="1" x14ac:dyDescent="0.25">
      <c r="C17" s="14">
        <f>+C15+C16</f>
        <v>116500</v>
      </c>
    </row>
    <row r="19" spans="2:5" x14ac:dyDescent="0.25">
      <c r="B19" s="7" t="s">
        <v>21</v>
      </c>
      <c r="C19" s="10">
        <v>46112</v>
      </c>
    </row>
    <row r="21" spans="2:5" x14ac:dyDescent="0.25">
      <c r="B21" t="s">
        <v>26</v>
      </c>
      <c r="C21" s="4">
        <v>64000</v>
      </c>
      <c r="D21" s="12" t="s">
        <v>24</v>
      </c>
      <c r="E21" s="13" t="s">
        <v>25</v>
      </c>
    </row>
    <row r="22" spans="2:5" x14ac:dyDescent="0.25">
      <c r="B22" t="s">
        <v>27</v>
      </c>
      <c r="C22" s="4">
        <v>12000</v>
      </c>
      <c r="D22" s="12" t="s">
        <v>24</v>
      </c>
      <c r="E22" s="13" t="s">
        <v>25</v>
      </c>
    </row>
    <row r="24" spans="2:5" x14ac:dyDescent="0.25">
      <c r="C24" s="14">
        <f>+C21+C22</f>
        <v>76000</v>
      </c>
    </row>
    <row r="27" spans="2:5" x14ac:dyDescent="0.25">
      <c r="B27" s="7" t="s">
        <v>21</v>
      </c>
      <c r="C27" s="10">
        <v>46082</v>
      </c>
    </row>
    <row r="29" spans="2:5" x14ac:dyDescent="0.25">
      <c r="B29" t="s">
        <v>22</v>
      </c>
      <c r="C29" s="9">
        <f>4500*20</f>
        <v>90000</v>
      </c>
      <c r="D29" s="11" t="s">
        <v>23</v>
      </c>
      <c r="E29" s="13" t="s">
        <v>25</v>
      </c>
    </row>
    <row r="30" spans="2:5" x14ac:dyDescent="0.25">
      <c r="B30" t="s">
        <v>3</v>
      </c>
      <c r="C30">
        <v>3500</v>
      </c>
      <c r="D30" s="12" t="s">
        <v>24</v>
      </c>
      <c r="E30" s="13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zoomScale="115" zoomScaleNormal="115" workbookViewId="0">
      <selection activeCell="C13" sqref="C13"/>
    </sheetView>
  </sheetViews>
  <sheetFormatPr baseColWidth="10" defaultRowHeight="15" x14ac:dyDescent="0.25"/>
  <cols>
    <col min="2" max="2" width="28.85546875" bestFit="1" customWidth="1"/>
    <col min="3" max="3" width="12" style="4" bestFit="1" customWidth="1"/>
    <col min="4" max="4" width="15.42578125" bestFit="1" customWidth="1"/>
    <col min="5" max="5" width="13.140625" bestFit="1" customWidth="1"/>
  </cols>
  <sheetData>
    <row r="1" spans="1:7" x14ac:dyDescent="0.25">
      <c r="A1" s="2" t="s">
        <v>6</v>
      </c>
    </row>
    <row r="2" spans="1:7" x14ac:dyDescent="0.25">
      <c r="C2" s="4">
        <v>300000</v>
      </c>
    </row>
    <row r="3" spans="1:7" x14ac:dyDescent="0.25">
      <c r="B3" t="s">
        <v>18</v>
      </c>
      <c r="C3" s="4">
        <f>+SUM(C6:C12)</f>
        <v>193803</v>
      </c>
    </row>
    <row r="4" spans="1:7" x14ac:dyDescent="0.25">
      <c r="C4" s="4">
        <f>+C2-C3</f>
        <v>106197</v>
      </c>
    </row>
    <row r="6" spans="1:7" x14ac:dyDescent="0.25">
      <c r="A6" s="3">
        <v>46106</v>
      </c>
      <c r="B6" t="s">
        <v>9</v>
      </c>
      <c r="C6" s="4">
        <v>80000</v>
      </c>
    </row>
    <row r="7" spans="1:7" x14ac:dyDescent="0.25">
      <c r="A7" s="3">
        <v>46107</v>
      </c>
      <c r="B7" t="s">
        <v>8</v>
      </c>
      <c r="C7" s="4">
        <v>12000</v>
      </c>
      <c r="E7" t="s">
        <v>13</v>
      </c>
      <c r="F7" t="s">
        <v>12</v>
      </c>
      <c r="G7" t="s">
        <v>11</v>
      </c>
    </row>
    <row r="8" spans="1:7" x14ac:dyDescent="0.25">
      <c r="A8" s="3">
        <v>46107</v>
      </c>
      <c r="B8" s="5" t="s">
        <v>10</v>
      </c>
      <c r="C8" s="6">
        <v>17000</v>
      </c>
      <c r="E8">
        <v>8500</v>
      </c>
      <c r="F8">
        <f>+E8/6</f>
        <v>1416.6666666666667</v>
      </c>
      <c r="G8">
        <v>6</v>
      </c>
    </row>
    <row r="9" spans="1:7" x14ac:dyDescent="0.25">
      <c r="A9" s="3">
        <v>46107</v>
      </c>
      <c r="B9" t="s">
        <v>14</v>
      </c>
      <c r="C9" s="4">
        <v>39803</v>
      </c>
    </row>
    <row r="10" spans="1:7" x14ac:dyDescent="0.25">
      <c r="A10" s="3">
        <v>46109</v>
      </c>
      <c r="B10" t="s">
        <v>15</v>
      </c>
      <c r="C10" s="4">
        <v>12500</v>
      </c>
    </row>
    <row r="11" spans="1:7" x14ac:dyDescent="0.25">
      <c r="A11" s="3">
        <v>46109</v>
      </c>
      <c r="B11" t="s">
        <v>16</v>
      </c>
      <c r="C11" s="4">
        <v>7500</v>
      </c>
    </row>
    <row r="12" spans="1:7" x14ac:dyDescent="0.25">
      <c r="A12" s="3">
        <v>46110</v>
      </c>
      <c r="B12" t="s">
        <v>19</v>
      </c>
      <c r="C12" s="4">
        <v>25000</v>
      </c>
    </row>
    <row r="13" spans="1:7" x14ac:dyDescent="0.25">
      <c r="A13" s="3">
        <v>46110</v>
      </c>
      <c r="B13" t="s">
        <v>20</v>
      </c>
      <c r="D13">
        <v>9900</v>
      </c>
    </row>
    <row r="14" spans="1:7" x14ac:dyDescent="0.25">
      <c r="A14" s="3"/>
    </row>
    <row r="15" spans="1:7" x14ac:dyDescent="0.25">
      <c r="A15" s="3"/>
    </row>
    <row r="16" spans="1:7" x14ac:dyDescent="0.25">
      <c r="A16" s="3">
        <v>46109</v>
      </c>
      <c r="B16" t="s">
        <v>17</v>
      </c>
      <c r="C16" s="4">
        <v>160150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25-mar</vt:lpstr>
      <vt:lpstr>26-mar</vt:lpstr>
      <vt:lpstr>REGISTROS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2026-04-02T18:13:27Z</dcterms:modified>
</cp:coreProperties>
</file>