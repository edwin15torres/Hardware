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780" firstSheet="1" activeTab="4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CxP" sheetId="49" r:id="rId6"/>
    <sheet name="TICO" sheetId="48" r:id="rId7"/>
    <sheet name="16mar" sheetId="34" state="hidden" r:id="rId8"/>
    <sheet name="Extracto" sheetId="10" r:id="rId9"/>
    <sheet name="Extracto (2)" sheetId="47" state="hidden" r:id="rId10"/>
    <sheet name="Inf - Extracto" sheetId="50" r:id="rId11"/>
    <sheet name="Prestamos" sheetId="12" r:id="rId12"/>
    <sheet name="Arqueo de Caja (2)" sheetId="46" state="hidden" r:id="rId13"/>
    <sheet name="25 marzo" sheetId="40" r:id="rId14"/>
    <sheet name="Gas" sheetId="32" state="hidden" r:id="rId15"/>
    <sheet name="Registros" sheetId="31" state="hidden" r:id="rId16"/>
    <sheet name="DevOps" sheetId="21" r:id="rId17"/>
    <sheet name="Forecast_dia" sheetId="51" r:id="rId18"/>
    <sheet name="MP" sheetId="37" r:id="rId19"/>
    <sheet name="MP2" sheetId="38" r:id="rId20"/>
    <sheet name="Hoja2" sheetId="36" state="hidden" r:id="rId21"/>
    <sheet name="Clientes" sheetId="24" state="hidden" r:id="rId22"/>
    <sheet name="Empaques" sheetId="25" r:id="rId23"/>
    <sheet name="proveedores" sheetId="7" r:id="rId24"/>
    <sheet name="informe" sheetId="6" state="hidden" r:id="rId25"/>
    <sheet name="Costos" sheetId="8" state="hidden" r:id="rId26"/>
    <sheet name="Inventario" sheetId="27" state="hidden" r:id="rId27"/>
    <sheet name="Reporte" sheetId="11" r:id="rId28"/>
    <sheet name="Rappi" sheetId="26" r:id="rId29"/>
    <sheet name="7-MARZO" sheetId="22" state="hidden" r:id="rId30"/>
    <sheet name="Informe ventas" sheetId="13" state="hidden" r:id="rId31"/>
    <sheet name="historial de venta" sheetId="14" state="hidden" r:id="rId32"/>
  </sheets>
  <externalReferences>
    <externalReference r:id="rId33"/>
  </externalReferences>
  <definedNames>
    <definedName name="_xlnm._FilterDatabase" localSheetId="1" hidden="1">choriboni!$C$23:$I$87</definedName>
    <definedName name="_xlnm._FilterDatabase" localSheetId="16" hidden="1">DevOps!$B$2:$E$45</definedName>
    <definedName name="_xlnm._FilterDatabase" localSheetId="8" hidden="1">Extracto!$A$6:$J$134</definedName>
    <definedName name="_xlnm._FilterDatabase" localSheetId="9" hidden="1">'Extracto (2)'!$A$5:$K$128</definedName>
    <definedName name="_xlnm._FilterDatabase" localSheetId="3" hidden="1">maquina!$C$6:$J$15</definedName>
    <definedName name="_xlnm._FilterDatabase" localSheetId="19" hidden="1">'MP2'!$A$3:$AK$52</definedName>
  </definedNames>
  <calcPr calcId="162913"/>
  <pivotCaches>
    <pivotCache cacheId="0" r:id="rId34"/>
    <pivotCache cacheId="1" r:id="rId35"/>
    <pivotCache cacheId="2" r:id="rId36"/>
    <pivotCache cacheId="3" r:id="rId37"/>
    <pivotCache cacheId="4" r:id="rId38"/>
    <pivotCache cacheId="5" r:id="rId39"/>
    <pivotCache cacheId="6" r:id="rId4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3" i="43" l="1"/>
  <c r="BU12" i="43"/>
  <c r="BU11" i="43"/>
  <c r="BU10" i="43"/>
  <c r="BU9" i="43"/>
  <c r="BU8" i="43"/>
  <c r="BU7" i="43"/>
  <c r="BU6" i="43"/>
  <c r="BU5" i="43"/>
  <c r="BU4" i="43"/>
  <c r="BU3" i="43"/>
  <c r="BU2" i="43"/>
  <c r="BU1" i="43"/>
  <c r="BU14" i="43" l="1"/>
  <c r="F19" i="48"/>
  <c r="BS41" i="43" l="1"/>
  <c r="BS38" i="43"/>
  <c r="BS36" i="43"/>
  <c r="BS35" i="43"/>
  <c r="BS32" i="43"/>
  <c r="BS17" i="43"/>
  <c r="BS13" i="43"/>
  <c r="BS12" i="43"/>
  <c r="BS11" i="43"/>
  <c r="BS10" i="43"/>
  <c r="BS9" i="43"/>
  <c r="BS8" i="43"/>
  <c r="BS7" i="43"/>
  <c r="BS6" i="43"/>
  <c r="BS5" i="43"/>
  <c r="BS4" i="43"/>
  <c r="BS3" i="43"/>
  <c r="BS2" i="43"/>
  <c r="BS1" i="43"/>
  <c r="F15" i="48"/>
  <c r="F13" i="48"/>
  <c r="H6" i="23"/>
  <c r="C29" i="12"/>
  <c r="BS14" i="43" l="1"/>
  <c r="G6" i="48" l="1"/>
  <c r="G7" i="48"/>
  <c r="G8" i="48"/>
  <c r="G9" i="48"/>
  <c r="G10" i="48"/>
  <c r="G11" i="48"/>
  <c r="G12" i="48"/>
  <c r="G13" i="48"/>
  <c r="G14" i="48"/>
  <c r="C8" i="50" l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C7" i="50"/>
  <c r="C6" i="50"/>
  <c r="C5" i="50"/>
  <c r="D29" i="10"/>
  <c r="D86" i="10"/>
  <c r="D90" i="10"/>
  <c r="D94" i="10"/>
  <c r="D112" i="10"/>
  <c r="D20" i="50"/>
  <c r="D8" i="50"/>
  <c r="D24" i="50"/>
  <c r="D17" i="50"/>
  <c r="D6" i="50"/>
  <c r="D22" i="50"/>
  <c r="D11" i="50"/>
  <c r="D27" i="50"/>
  <c r="D18" i="50"/>
  <c r="D7" i="50"/>
  <c r="D12" i="50"/>
  <c r="D28" i="50"/>
  <c r="D21" i="50"/>
  <c r="D10" i="50"/>
  <c r="D26" i="50"/>
  <c r="D15" i="50"/>
  <c r="D5" i="50"/>
  <c r="D29" i="50"/>
  <c r="D23" i="50"/>
  <c r="D16" i="50"/>
  <c r="D9" i="50"/>
  <c r="D25" i="50"/>
  <c r="D14" i="50"/>
  <c r="D30" i="50"/>
  <c r="D19" i="50"/>
  <c r="D13" i="50"/>
  <c r="E5" i="50" l="1"/>
  <c r="E27" i="50"/>
  <c r="E23" i="50"/>
  <c r="E19" i="50"/>
  <c r="E15" i="50"/>
  <c r="E11" i="50"/>
  <c r="E7" i="50"/>
  <c r="E30" i="50"/>
  <c r="E26" i="50"/>
  <c r="E22" i="50"/>
  <c r="E18" i="50"/>
  <c r="E14" i="50"/>
  <c r="E10" i="50"/>
  <c r="E6" i="50"/>
  <c r="E29" i="50"/>
  <c r="E25" i="50"/>
  <c r="E21" i="50"/>
  <c r="E17" i="50"/>
  <c r="E13" i="50"/>
  <c r="E9" i="50"/>
  <c r="E28" i="50"/>
  <c r="E24" i="50"/>
  <c r="E20" i="50"/>
  <c r="E16" i="50"/>
  <c r="E12" i="50"/>
  <c r="E8" i="50"/>
  <c r="BQ36" i="43"/>
  <c r="BQ38" i="43" s="1"/>
  <c r="G5" i="48"/>
  <c r="L15" i="4"/>
  <c r="C24" i="2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BO38" i="43"/>
  <c r="BQ13" i="43"/>
  <c r="BQ12" i="43"/>
  <c r="BQ11" i="43"/>
  <c r="BQ10" i="43"/>
  <c r="BQ9" i="43"/>
  <c r="BQ8" i="43"/>
  <c r="BQ7" i="43"/>
  <c r="BQ6" i="43"/>
  <c r="BQ5" i="43"/>
  <c r="BQ4" i="43"/>
  <c r="BQ3" i="43"/>
  <c r="BO13" i="43"/>
  <c r="BO12" i="43"/>
  <c r="BO11" i="43"/>
  <c r="BO10" i="43"/>
  <c r="BO9" i="43"/>
  <c r="BO8" i="43"/>
  <c r="BO7" i="43"/>
  <c r="BO6" i="43"/>
  <c r="BO5" i="43"/>
  <c r="BO4" i="43"/>
  <c r="BO3" i="43"/>
  <c r="D71" i="4"/>
  <c r="D67" i="4"/>
  <c r="D64" i="4"/>
  <c r="G15" i="4"/>
  <c r="M67" i="4"/>
  <c r="F24" i="23" s="1"/>
  <c r="U21" i="43"/>
  <c r="K21" i="43"/>
  <c r="BQ14" i="43" l="1"/>
  <c r="AU31" i="43"/>
  <c r="BA31" i="43"/>
  <c r="S30" i="43"/>
  <c r="S38" i="43" s="1"/>
  <c r="B29" i="10"/>
  <c r="E30" i="43"/>
  <c r="E38" i="43" s="1"/>
  <c r="C30" i="43"/>
  <c r="C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I19" i="43"/>
  <c r="AY31" i="43"/>
  <c r="AW30" i="43"/>
  <c r="AW38" i="43" s="1"/>
  <c r="AU30" i="43"/>
  <c r="F2" i="34"/>
  <c r="F11" i="34"/>
  <c r="AS18" i="46"/>
  <c r="AO18" i="46"/>
  <c r="BA14" i="46"/>
  <c r="AY14" i="46"/>
  <c r="AW14" i="46"/>
  <c r="AY18" i="46" s="1"/>
  <c r="AY23" i="46" s="1"/>
  <c r="AY25" i="46" s="1"/>
  <c r="AU14" i="46"/>
  <c r="AS14" i="46"/>
  <c r="AQ21" i="43"/>
  <c r="AI28" i="43"/>
  <c r="AK28" i="43" s="1"/>
  <c r="AM28" i="43" s="1"/>
  <c r="AO28" i="43" s="1"/>
  <c r="AQ28" i="43" s="1"/>
  <c r="AS28" i="43" s="1"/>
  <c r="AU28" i="43" s="1"/>
  <c r="AW28" i="43" s="1"/>
  <c r="AY28" i="43" s="1"/>
  <c r="BA28" i="43" s="1"/>
  <c r="AK38" i="43"/>
  <c r="AG31" i="43"/>
  <c r="AG30" i="43"/>
  <c r="AG38" i="43" s="1"/>
  <c r="AC33" i="43"/>
  <c r="AC38" i="43" s="1"/>
  <c r="B64" i="10"/>
  <c r="B63" i="10"/>
  <c r="B62" i="10"/>
  <c r="B61" i="10"/>
  <c r="B60" i="10"/>
  <c r="AE27" i="43"/>
  <c r="AE38" i="43"/>
  <c r="AA38" i="43"/>
  <c r="Y2" i="43"/>
  <c r="Y38" i="43"/>
  <c r="Y28" i="43"/>
  <c r="AA28" i="43" s="1"/>
  <c r="Y25" i="43"/>
  <c r="Y1" i="43"/>
  <c r="Y17" i="43" s="1"/>
  <c r="W38" i="43"/>
  <c r="U18" i="46"/>
  <c r="O38" i="43"/>
  <c r="I14" i="43"/>
  <c r="K28" i="43"/>
  <c r="M22" i="43"/>
  <c r="U38" i="43"/>
  <c r="S25" i="46"/>
  <c r="Q38" i="43"/>
  <c r="BE40" i="46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AS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G32" i="46"/>
  <c r="I32" i="46" s="1"/>
  <c r="K32" i="46" s="1"/>
  <c r="M32" i="46" s="1"/>
  <c r="E32" i="46"/>
  <c r="C32" i="46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M37" i="46" s="1"/>
  <c r="AI22" i="46"/>
  <c r="BA21" i="46"/>
  <c r="AY21" i="46"/>
  <c r="AW21" i="46"/>
  <c r="AO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AK20" i="46"/>
  <c r="BG19" i="46"/>
  <c r="AQ19" i="46"/>
  <c r="AW18" i="46"/>
  <c r="AW23" i="46" s="1"/>
  <c r="AO23" i="46"/>
  <c r="AG18" i="46"/>
  <c r="AG23" i="46" s="1"/>
  <c r="BK14" i="46"/>
  <c r="BE14" i="46"/>
  <c r="BC14" i="46"/>
  <c r="AO14" i="46"/>
  <c r="AQ18" i="46" s="1"/>
  <c r="AQ23" i="46" s="1"/>
  <c r="AS23" i="46" s="1"/>
  <c r="AM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I3" i="46"/>
  <c r="BI14" i="46" s="1"/>
  <c r="BG3" i="46"/>
  <c r="BG14" i="46" s="1"/>
  <c r="BE3" i="46"/>
  <c r="BC3" i="46"/>
  <c r="BA3" i="46"/>
  <c r="AY3" i="46"/>
  <c r="AW3" i="46"/>
  <c r="AU3" i="46"/>
  <c r="AS3" i="46"/>
  <c r="AS25" i="46" s="1"/>
  <c r="AQ3" i="46"/>
  <c r="AQ14" i="46" s="1"/>
  <c r="AO3" i="46"/>
  <c r="AM3" i="46"/>
  <c r="AI3" i="46"/>
  <c r="AI14" i="46" s="1"/>
  <c r="AG3" i="46"/>
  <c r="AG14" i="46" s="1"/>
  <c r="AE3" i="46"/>
  <c r="AE14" i="46" s="1"/>
  <c r="AE25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E14" i="46" s="1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M38" i="43"/>
  <c r="G21" i="43"/>
  <c r="C1" i="43"/>
  <c r="E1" i="43"/>
  <c r="G1" i="43"/>
  <c r="I1" i="43"/>
  <c r="K1" i="43"/>
  <c r="M1" i="43"/>
  <c r="K38" i="43"/>
  <c r="I38" i="43"/>
  <c r="G38" i="43"/>
  <c r="C35" i="43"/>
  <c r="BC41" i="43"/>
  <c r="BE41" i="43" s="1"/>
  <c r="BI41" i="43" s="1"/>
  <c r="BK41" i="43" s="1"/>
  <c r="BM41" i="43" s="1"/>
  <c r="BO41" i="43" s="1"/>
  <c r="BQ41" i="43" s="1"/>
  <c r="BM38" i="43"/>
  <c r="BK38" i="43"/>
  <c r="BG38" i="43"/>
  <c r="BE38" i="43"/>
  <c r="BC38" i="43"/>
  <c r="BA38" i="43"/>
  <c r="AY38" i="43"/>
  <c r="AU33" i="43"/>
  <c r="AO33" i="43"/>
  <c r="AI33" i="43"/>
  <c r="AI35" i="43" s="1"/>
  <c r="AK35" i="43" s="1"/>
  <c r="AM35" i="43" s="1"/>
  <c r="BK31" i="43"/>
  <c r="AS30" i="43"/>
  <c r="AS38" i="43" s="1"/>
  <c r="AQ30" i="43"/>
  <c r="AQ38" i="43" s="1"/>
  <c r="AO30" i="43"/>
  <c r="AO38" i="43" s="1"/>
  <c r="AI27" i="43"/>
  <c r="AK27" i="43" s="1"/>
  <c r="AG27" i="43"/>
  <c r="AK22" i="43"/>
  <c r="BC21" i="43"/>
  <c r="BA21" i="43"/>
  <c r="AY21" i="43"/>
  <c r="AO21" i="43"/>
  <c r="AK21" i="43"/>
  <c r="AI21" i="43"/>
  <c r="AC21" i="43"/>
  <c r="W21" i="43"/>
  <c r="S21" i="43"/>
  <c r="M21" i="43"/>
  <c r="I21" i="43"/>
  <c r="C21" i="43"/>
  <c r="C23" i="43" s="1"/>
  <c r="E18" i="43" s="1"/>
  <c r="E23" i="43" s="1"/>
  <c r="BI20" i="43"/>
  <c r="BI38" i="43" s="1"/>
  <c r="AM20" i="43"/>
  <c r="AM38" i="43" s="1"/>
  <c r="BI13" i="43"/>
  <c r="BC13" i="43"/>
  <c r="BA13" i="43"/>
  <c r="AY13" i="43"/>
  <c r="AW13" i="43"/>
  <c r="AU13" i="43"/>
  <c r="AQ13" i="43"/>
  <c r="AO13" i="43"/>
  <c r="AK13" i="43"/>
  <c r="AI13" i="43"/>
  <c r="AG13" i="43"/>
  <c r="AE13" i="43"/>
  <c r="AC13" i="43"/>
  <c r="AA13" i="43"/>
  <c r="W13" i="43"/>
  <c r="U13" i="43"/>
  <c r="Q13" i="43"/>
  <c r="M13" i="43"/>
  <c r="K13" i="43"/>
  <c r="I13" i="43"/>
  <c r="E13" i="43"/>
  <c r="C13" i="43"/>
  <c r="BI12" i="43"/>
  <c r="BC12" i="43"/>
  <c r="BA12" i="43"/>
  <c r="AY12" i="43"/>
  <c r="AW12" i="43"/>
  <c r="AU12" i="43"/>
  <c r="AQ12" i="43"/>
  <c r="AO12" i="43"/>
  <c r="AK12" i="43"/>
  <c r="AI12" i="43"/>
  <c r="AG12" i="43"/>
  <c r="AE12" i="43"/>
  <c r="AC12" i="43"/>
  <c r="AA12" i="43"/>
  <c r="W12" i="43"/>
  <c r="U12" i="43"/>
  <c r="Q12" i="43"/>
  <c r="M12" i="43"/>
  <c r="K12" i="43"/>
  <c r="I12" i="43"/>
  <c r="E12" i="43"/>
  <c r="C12" i="43"/>
  <c r="BI11" i="43"/>
  <c r="BC11" i="43"/>
  <c r="BA11" i="43"/>
  <c r="AY11" i="43"/>
  <c r="AW11" i="43"/>
  <c r="AU11" i="43"/>
  <c r="AQ11" i="43"/>
  <c r="AO11" i="43"/>
  <c r="AK11" i="43"/>
  <c r="AI11" i="43"/>
  <c r="AG11" i="43"/>
  <c r="AE11" i="43"/>
  <c r="AC11" i="43"/>
  <c r="AA11" i="43"/>
  <c r="W11" i="43"/>
  <c r="U11" i="43"/>
  <c r="Q11" i="43"/>
  <c r="M11" i="43"/>
  <c r="K11" i="43"/>
  <c r="I11" i="43"/>
  <c r="E11" i="43"/>
  <c r="C11" i="43"/>
  <c r="BI10" i="43"/>
  <c r="BC10" i="43"/>
  <c r="BA10" i="43"/>
  <c r="AY10" i="43"/>
  <c r="AW10" i="43"/>
  <c r="AU10" i="43"/>
  <c r="AQ10" i="43"/>
  <c r="AO10" i="43"/>
  <c r="AK10" i="43"/>
  <c r="AI10" i="43"/>
  <c r="AG10" i="43"/>
  <c r="AE10" i="43"/>
  <c r="AC10" i="43"/>
  <c r="AA10" i="43"/>
  <c r="W10" i="43"/>
  <c r="U10" i="43"/>
  <c r="Q10" i="43"/>
  <c r="M10" i="43"/>
  <c r="K10" i="43"/>
  <c r="I10" i="43"/>
  <c r="E10" i="43"/>
  <c r="C10" i="43"/>
  <c r="BI9" i="43"/>
  <c r="BC9" i="43"/>
  <c r="BA9" i="43"/>
  <c r="AY9" i="43"/>
  <c r="AW9" i="43"/>
  <c r="AU9" i="43"/>
  <c r="AQ9" i="43"/>
  <c r="AO9" i="43"/>
  <c r="AK9" i="43"/>
  <c r="AI9" i="43"/>
  <c r="AG9" i="43"/>
  <c r="AE9" i="43"/>
  <c r="AC9" i="43"/>
  <c r="AA9" i="43"/>
  <c r="W9" i="43"/>
  <c r="U9" i="43"/>
  <c r="Q9" i="43"/>
  <c r="M9" i="43"/>
  <c r="K9" i="43"/>
  <c r="I9" i="43"/>
  <c r="E9" i="43"/>
  <c r="C9" i="43"/>
  <c r="BI8" i="43"/>
  <c r="BC8" i="43"/>
  <c r="BA8" i="43"/>
  <c r="AY8" i="43"/>
  <c r="AW8" i="43"/>
  <c r="AU8" i="43"/>
  <c r="AQ8" i="43"/>
  <c r="AO8" i="43"/>
  <c r="AK8" i="43"/>
  <c r="AI8" i="43"/>
  <c r="AG8" i="43"/>
  <c r="AE8" i="43"/>
  <c r="AC8" i="43"/>
  <c r="AA8" i="43"/>
  <c r="W8" i="43"/>
  <c r="U8" i="43"/>
  <c r="Q8" i="43"/>
  <c r="M8" i="43"/>
  <c r="K8" i="43"/>
  <c r="I8" i="43"/>
  <c r="E8" i="43"/>
  <c r="C8" i="43"/>
  <c r="BI7" i="43"/>
  <c r="BC7" i="43"/>
  <c r="BA7" i="43"/>
  <c r="AY7" i="43"/>
  <c r="AW7" i="43"/>
  <c r="AU7" i="43"/>
  <c r="AQ7" i="43"/>
  <c r="AO7" i="43"/>
  <c r="AK7" i="43"/>
  <c r="AI7" i="43"/>
  <c r="AG7" i="43"/>
  <c r="AE7" i="43"/>
  <c r="AC7" i="43"/>
  <c r="AA7" i="43"/>
  <c r="W7" i="43"/>
  <c r="U7" i="43"/>
  <c r="Q7" i="43"/>
  <c r="M7" i="43"/>
  <c r="K7" i="43"/>
  <c r="I7" i="43"/>
  <c r="E7" i="43"/>
  <c r="C7" i="43"/>
  <c r="BI6" i="43"/>
  <c r="BC6" i="43"/>
  <c r="BA6" i="43"/>
  <c r="AY6" i="43"/>
  <c r="AW6" i="43"/>
  <c r="AU6" i="43"/>
  <c r="AQ6" i="43"/>
  <c r="AO6" i="43"/>
  <c r="AK6" i="43"/>
  <c r="AI6" i="43"/>
  <c r="AG6" i="43"/>
  <c r="AE6" i="43"/>
  <c r="AC6" i="43"/>
  <c r="AA6" i="43"/>
  <c r="W6" i="43"/>
  <c r="U6" i="43"/>
  <c r="Q6" i="43"/>
  <c r="M6" i="43"/>
  <c r="K6" i="43"/>
  <c r="I6" i="43"/>
  <c r="E6" i="43"/>
  <c r="C6" i="43"/>
  <c r="BI5" i="43"/>
  <c r="BC5" i="43"/>
  <c r="BA5" i="43"/>
  <c r="AY5" i="43"/>
  <c r="AW5" i="43"/>
  <c r="AU5" i="43"/>
  <c r="AQ5" i="43"/>
  <c r="AO5" i="43"/>
  <c r="AK5" i="43"/>
  <c r="AI5" i="43"/>
  <c r="AG5" i="43"/>
  <c r="AE5" i="43"/>
  <c r="AC5" i="43"/>
  <c r="AA5" i="43"/>
  <c r="W5" i="43"/>
  <c r="U5" i="43"/>
  <c r="Q5" i="43"/>
  <c r="M5" i="43"/>
  <c r="K5" i="43"/>
  <c r="I5" i="43"/>
  <c r="E5" i="43"/>
  <c r="C5" i="43"/>
  <c r="BI4" i="43"/>
  <c r="BC4" i="43"/>
  <c r="BA4" i="43"/>
  <c r="AY4" i="43"/>
  <c r="AW4" i="43"/>
  <c r="AU4" i="43"/>
  <c r="AQ4" i="43"/>
  <c r="AO4" i="43"/>
  <c r="AK4" i="43"/>
  <c r="AI4" i="43"/>
  <c r="AG4" i="43"/>
  <c r="AE4" i="43"/>
  <c r="AC4" i="43"/>
  <c r="AA4" i="43"/>
  <c r="W4" i="43"/>
  <c r="U4" i="43"/>
  <c r="Q4" i="43"/>
  <c r="M4" i="43"/>
  <c r="K4" i="43"/>
  <c r="I4" i="43"/>
  <c r="E4" i="43"/>
  <c r="C4" i="43"/>
  <c r="BI3" i="43"/>
  <c r="BC3" i="43"/>
  <c r="BA3" i="43"/>
  <c r="AY3" i="43"/>
  <c r="AW3" i="43"/>
  <c r="AU3" i="43"/>
  <c r="AQ3" i="43"/>
  <c r="AO3" i="43"/>
  <c r="AK3" i="43"/>
  <c r="AI3" i="43"/>
  <c r="AG3" i="43"/>
  <c r="AE3" i="43"/>
  <c r="Q3" i="43"/>
  <c r="M3" i="43"/>
  <c r="K3" i="43"/>
  <c r="I3" i="43"/>
  <c r="E3" i="43"/>
  <c r="C3" i="43"/>
  <c r="AS2" i="43"/>
  <c r="AU2" i="43" s="1"/>
  <c r="AW2" i="43" s="1"/>
  <c r="AQ1" i="43"/>
  <c r="AQ17" i="43" s="1"/>
  <c r="AO1" i="43"/>
  <c r="AO17" i="43" s="1"/>
  <c r="AM1" i="43"/>
  <c r="AM17" i="43" s="1"/>
  <c r="AK1" i="43"/>
  <c r="AK17" i="43" s="1"/>
  <c r="AI1" i="43"/>
  <c r="AI17" i="43" s="1"/>
  <c r="AG1" i="43"/>
  <c r="AG17" i="43" s="1"/>
  <c r="AE1" i="43"/>
  <c r="AE17" i="43" s="1"/>
  <c r="AC1" i="43"/>
  <c r="AC17" i="43" s="1"/>
  <c r="AA1" i="43"/>
  <c r="AA17" i="43" s="1"/>
  <c r="W1" i="43"/>
  <c r="W17" i="43" s="1"/>
  <c r="U1" i="43"/>
  <c r="U17" i="43" s="1"/>
  <c r="S1" i="43"/>
  <c r="S17" i="43" s="1"/>
  <c r="Q1" i="43"/>
  <c r="Q17" i="43" s="1"/>
  <c r="O1" i="43"/>
  <c r="O17" i="43" s="1"/>
  <c r="M71" i="4"/>
  <c r="F25" i="23" s="1"/>
  <c r="C25" i="23" s="1"/>
  <c r="M64" i="4"/>
  <c r="F23" i="23" s="1"/>
  <c r="C23" i="23" s="1"/>
  <c r="B130" i="10"/>
  <c r="B129" i="10"/>
  <c r="C19" i="23"/>
  <c r="C18" i="23"/>
  <c r="C22" i="23"/>
  <c r="B10" i="41"/>
  <c r="B11" i="41" s="1"/>
  <c r="B8" i="41"/>
  <c r="B7" i="41"/>
  <c r="B4" i="41"/>
  <c r="F17" i="23"/>
  <c r="C17" i="23" s="1"/>
  <c r="C16" i="23"/>
  <c r="C7" i="23"/>
  <c r="D21" i="4"/>
  <c r="L64" i="4"/>
  <c r="D17" i="4"/>
  <c r="H4" i="4"/>
  <c r="I15" i="37"/>
  <c r="F15" i="37"/>
  <c r="J15" i="37" s="1"/>
  <c r="C8" i="23"/>
  <c r="C9" i="23"/>
  <c r="C12" i="23"/>
  <c r="AU38" i="43" l="1"/>
  <c r="AO14" i="43"/>
  <c r="M28" i="43"/>
  <c r="O28" i="43" s="1"/>
  <c r="Q28" i="43" s="1"/>
  <c r="S28" i="43" s="1"/>
  <c r="U28" i="43" s="1"/>
  <c r="D2" i="47"/>
  <c r="AI38" i="43"/>
  <c r="C32" i="43"/>
  <c r="AM27" i="43"/>
  <c r="C14" i="43"/>
  <c r="C25" i="43" s="1"/>
  <c r="M14" i="43"/>
  <c r="AI14" i="43"/>
  <c r="BA14" i="43"/>
  <c r="BI14" i="43"/>
  <c r="AC14" i="43"/>
  <c r="E14" i="43"/>
  <c r="E25" i="43" s="1"/>
  <c r="Q14" i="43"/>
  <c r="AK14" i="43"/>
  <c r="AU14" i="43"/>
  <c r="BC14" i="43"/>
  <c r="U14" i="43"/>
  <c r="AS1" i="43"/>
  <c r="AS17" i="43" s="1"/>
  <c r="AW14" i="43"/>
  <c r="W14" i="43"/>
  <c r="AG14" i="43"/>
  <c r="AQ14" i="43"/>
  <c r="AY14" i="43"/>
  <c r="AA14" i="43"/>
  <c r="G18" i="43"/>
  <c r="BG41" i="43"/>
  <c r="AK18" i="46"/>
  <c r="AK23" i="46" s="1"/>
  <c r="AM18" i="46" s="1"/>
  <c r="AM23" i="46" s="1"/>
  <c r="AI25" i="46"/>
  <c r="BC18" i="46"/>
  <c r="BI25" i="46"/>
  <c r="AC18" i="46"/>
  <c r="AC23" i="46" s="1"/>
  <c r="AC25" i="46" s="1"/>
  <c r="AK25" i="46"/>
  <c r="BA18" i="46"/>
  <c r="AU2" i="46"/>
  <c r="AS1" i="46"/>
  <c r="AS17" i="46" s="1"/>
  <c r="AM25" i="46"/>
  <c r="M25" i="46"/>
  <c r="O18" i="46"/>
  <c r="AU18" i="46"/>
  <c r="AU23" i="46" s="1"/>
  <c r="AW37" i="46"/>
  <c r="AQ32" i="46"/>
  <c r="AS32" i="46" s="1"/>
  <c r="AU32" i="46" s="1"/>
  <c r="AW32" i="46" s="1"/>
  <c r="AY32" i="46" s="1"/>
  <c r="BA32" i="46" s="1"/>
  <c r="E25" i="46"/>
  <c r="AI18" i="46"/>
  <c r="AI23" i="46" s="1"/>
  <c r="AG25" i="46"/>
  <c r="AQ25" i="46"/>
  <c r="BI18" i="46"/>
  <c r="BI23" i="46" s="1"/>
  <c r="AA18" i="46"/>
  <c r="AA23" i="46" s="1"/>
  <c r="AA25" i="46" s="1"/>
  <c r="AU25" i="46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O25" i="46"/>
  <c r="AW25" i="46"/>
  <c r="AQ1" i="46"/>
  <c r="AQ17" i="46" s="1"/>
  <c r="M16" i="46"/>
  <c r="C39" i="43"/>
  <c r="E35" i="43"/>
  <c r="G35" i="43" s="1"/>
  <c r="I35" i="43" s="1"/>
  <c r="K35" i="43" s="1"/>
  <c r="M35" i="43" s="1"/>
  <c r="O35" i="43" s="1"/>
  <c r="Q35" i="43" s="1"/>
  <c r="S35" i="43" s="1"/>
  <c r="U35" i="43" s="1"/>
  <c r="W35" i="43" s="1"/>
  <c r="Y35" i="43" s="1"/>
  <c r="AA35" i="43" s="1"/>
  <c r="AC35" i="43" s="1"/>
  <c r="AE35" i="43" s="1"/>
  <c r="AO35" i="43"/>
  <c r="AQ35" i="43" s="1"/>
  <c r="AS35" i="43" s="1"/>
  <c r="AU35" i="43" s="1"/>
  <c r="AW35" i="43" s="1"/>
  <c r="AY35" i="43" s="1"/>
  <c r="BA35" i="43" s="1"/>
  <c r="BC35" i="43" s="1"/>
  <c r="AY2" i="43"/>
  <c r="AW1" i="43"/>
  <c r="AW17" i="43" s="1"/>
  <c r="AU1" i="43"/>
  <c r="AU17" i="43" s="1"/>
  <c r="K15" i="37"/>
  <c r="E32" i="43" l="1"/>
  <c r="G32" i="43" s="1"/>
  <c r="I32" i="43" s="1"/>
  <c r="K32" i="43" s="1"/>
  <c r="M32" i="43" s="1"/>
  <c r="O32" i="43" s="1"/>
  <c r="Q32" i="43" s="1"/>
  <c r="S32" i="43" s="1"/>
  <c r="U32" i="43" s="1"/>
  <c r="W32" i="43" s="1"/>
  <c r="Y32" i="43" s="1"/>
  <c r="AA32" i="43" s="1"/>
  <c r="AC32" i="43" s="1"/>
  <c r="AE32" i="43" s="1"/>
  <c r="AG32" i="43" s="1"/>
  <c r="AI32" i="43" s="1"/>
  <c r="AK32" i="43" s="1"/>
  <c r="AM32" i="43" s="1"/>
  <c r="AO32" i="43" s="1"/>
  <c r="AQ32" i="43" s="1"/>
  <c r="AS32" i="43" s="1"/>
  <c r="AU32" i="43" s="1"/>
  <c r="AO27" i="43"/>
  <c r="AQ27" i="43" s="1"/>
  <c r="AS27" i="43" s="1"/>
  <c r="AU27" i="43" s="1"/>
  <c r="AW31" i="43" s="1"/>
  <c r="BA23" i="46"/>
  <c r="AG35" i="43"/>
  <c r="G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BI37" i="46"/>
  <c r="AS37" i="46"/>
  <c r="AW2" i="46"/>
  <c r="AU1" i="46"/>
  <c r="AU17" i="46" s="1"/>
  <c r="AM42" i="46"/>
  <c r="AU37" i="46"/>
  <c r="E39" i="43"/>
  <c r="BG35" i="43"/>
  <c r="BI35" i="43" s="1"/>
  <c r="BK35" i="43" s="1"/>
  <c r="BM35" i="43" s="1"/>
  <c r="BO35" i="43" s="1"/>
  <c r="BQ35" i="43" s="1"/>
  <c r="BE35" i="43"/>
  <c r="BA2" i="43"/>
  <c r="BA1" i="43" s="1"/>
  <c r="AY1" i="43"/>
  <c r="AY17" i="43" s="1"/>
  <c r="B119" i="10"/>
  <c r="B124" i="10"/>
  <c r="B128" i="10"/>
  <c r="B125" i="10"/>
  <c r="B127" i="10"/>
  <c r="B126" i="10"/>
  <c r="I23" i="37"/>
  <c r="I24" i="37" s="1"/>
  <c r="I21" i="37"/>
  <c r="F23" i="37"/>
  <c r="J23" i="37" s="1"/>
  <c r="B123" i="10"/>
  <c r="B122" i="10"/>
  <c r="B121" i="10"/>
  <c r="B120" i="10"/>
  <c r="B118" i="10"/>
  <c r="AW32" i="43" l="1"/>
  <c r="AY32" i="43" s="1"/>
  <c r="G14" i="43"/>
  <c r="G25" i="43" s="1"/>
  <c r="I18" i="43"/>
  <c r="I23" i="43" s="1"/>
  <c r="K18" i="43" s="1"/>
  <c r="K23" i="43" s="1"/>
  <c r="G39" i="43"/>
  <c r="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C2" i="43"/>
  <c r="BA17" i="43"/>
  <c r="K23" i="37"/>
  <c r="BA32" i="43" l="1"/>
  <c r="BC32" i="43" s="1"/>
  <c r="M18" i="43"/>
  <c r="I25" i="43"/>
  <c r="I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BE2" i="43"/>
  <c r="BC1" i="43"/>
  <c r="BC17" i="43" s="1"/>
  <c r="D39" i="38"/>
  <c r="BG32" i="43" l="1"/>
  <c r="BI32" i="43" s="1"/>
  <c r="BK32" i="43" s="1"/>
  <c r="BM32" i="43" s="1"/>
  <c r="BO32" i="43" s="1"/>
  <c r="BE32" i="43"/>
  <c r="K14" i="43"/>
  <c r="K25" i="43" s="1"/>
  <c r="M23" i="43"/>
  <c r="K39" i="43"/>
  <c r="BC2" i="46"/>
  <c r="BA1" i="46"/>
  <c r="BA17" i="46" s="1"/>
  <c r="BG37" i="46"/>
  <c r="BG25" i="46"/>
  <c r="K37" i="46"/>
  <c r="K25" i="46"/>
  <c r="W18" i="46"/>
  <c r="U25" i="46"/>
  <c r="W19" i="46" s="1"/>
  <c r="BE1" i="43"/>
  <c r="BE17" i="43" s="1"/>
  <c r="BG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BQ32" i="43" l="1"/>
  <c r="M25" i="43"/>
  <c r="M39" i="43"/>
  <c r="O39" i="43" s="1"/>
  <c r="Q18" i="43"/>
  <c r="Q23" i="43" s="1"/>
  <c r="W23" i="46"/>
  <c r="BE2" i="46"/>
  <c r="BC1" i="46"/>
  <c r="BC17" i="46" s="1"/>
  <c r="BI2" i="43"/>
  <c r="BG1" i="43"/>
  <c r="BG17" i="43" s="1"/>
  <c r="E6" i="23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S18" i="43" l="1"/>
  <c r="S23" i="43" s="1"/>
  <c r="Q25" i="43"/>
  <c r="Q39" i="43"/>
  <c r="BG2" i="46"/>
  <c r="BE1" i="46"/>
  <c r="BE17" i="46" s="1"/>
  <c r="Y18" i="46"/>
  <c r="Y23" i="46" s="1"/>
  <c r="Y25" i="46" s="1"/>
  <c r="W25" i="46"/>
  <c r="BK2" i="43"/>
  <c r="BI1" i="43"/>
  <c r="BI17" i="43" s="1"/>
  <c r="U18" i="43" l="1"/>
  <c r="S14" i="43"/>
  <c r="S25" i="43" s="1"/>
  <c r="S39" i="43"/>
  <c r="BI2" i="46"/>
  <c r="BG1" i="46"/>
  <c r="BG17" i="46" s="1"/>
  <c r="BM2" i="43"/>
  <c r="BK1" i="43"/>
  <c r="BK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BM1" i="43" l="1"/>
  <c r="BM17" i="43" s="1"/>
  <c r="BO2" i="43"/>
  <c r="U23" i="43"/>
  <c r="U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BQ2" i="43" l="1"/>
  <c r="BQ1" i="43" s="1"/>
  <c r="BQ17" i="43" s="1"/>
  <c r="BO1" i="43"/>
  <c r="BO17" i="43" s="1"/>
  <c r="W18" i="43"/>
  <c r="W23" i="43" s="1"/>
  <c r="W25" i="43" s="1"/>
  <c r="U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W39" i="43" l="1"/>
  <c r="Y39" i="43" s="1"/>
  <c r="AA18" i="43"/>
  <c r="AA23" i="43" s="1"/>
  <c r="AC18" i="43" s="1"/>
  <c r="AC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AA39" i="43" l="1"/>
  <c r="AA25" i="43"/>
  <c r="AE18" i="43"/>
  <c r="AC25" i="43"/>
  <c r="AE19" i="43" s="1"/>
  <c r="AC39" i="43"/>
  <c r="J6" i="36"/>
  <c r="J7" i="36"/>
  <c r="J9" i="36" s="1"/>
  <c r="AE23" i="43" l="1"/>
  <c r="D1" i="10"/>
  <c r="K7" i="34"/>
  <c r="B86" i="10"/>
  <c r="B81" i="10"/>
  <c r="B80" i="10"/>
  <c r="B85" i="10"/>
  <c r="B84" i="10"/>
  <c r="B83" i="10"/>
  <c r="B82" i="10"/>
  <c r="B79" i="10"/>
  <c r="B78" i="10"/>
  <c r="B77" i="10"/>
  <c r="B76" i="10"/>
  <c r="AE14" i="43" l="1"/>
  <c r="AE25" i="43" s="1"/>
  <c r="AG18" i="43"/>
  <c r="AG23" i="43" s="1"/>
  <c r="AE39" i="43"/>
  <c r="G18" i="34"/>
  <c r="I7" i="34"/>
  <c r="I5" i="34"/>
  <c r="AI18" i="43" l="1"/>
  <c r="AI23" i="43" s="1"/>
  <c r="AK18" i="43" s="1"/>
  <c r="AG39" i="43"/>
  <c r="AG25" i="43"/>
  <c r="AI25" i="43" l="1"/>
  <c r="AK23" i="43"/>
  <c r="AM18" i="43" s="1"/>
  <c r="AM23" i="43" s="1"/>
  <c r="AI39" i="43"/>
  <c r="D4" i="34"/>
  <c r="D2" i="34" s="1"/>
  <c r="AM39" i="43" l="1"/>
  <c r="AM14" i="43"/>
  <c r="AM25" i="43" s="1"/>
  <c r="AO18" i="43"/>
  <c r="AO23" i="43" s="1"/>
  <c r="AK25" i="43"/>
  <c r="AK39" i="43"/>
  <c r="C15" i="32"/>
  <c r="D13" i="32"/>
  <c r="D18" i="25"/>
  <c r="D17" i="25"/>
  <c r="E6" i="32"/>
  <c r="E7" i="32" s="1"/>
  <c r="B4" i="32"/>
  <c r="B5" i="32" s="1"/>
  <c r="A3" i="32"/>
  <c r="AO25" i="43" l="1"/>
  <c r="AQ19" i="43" s="1"/>
  <c r="AO39" i="43"/>
  <c r="AQ18" i="43"/>
  <c r="B75" i="10"/>
  <c r="B74" i="10"/>
  <c r="B73" i="10"/>
  <c r="B72" i="10"/>
  <c r="B71" i="10"/>
  <c r="AQ23" i="43" l="1"/>
  <c r="AS18" i="43" s="1"/>
  <c r="AS23" i="43" s="1"/>
  <c r="AU18" i="43" s="1"/>
  <c r="AU23" i="43" s="1"/>
  <c r="E2" i="31"/>
  <c r="C9" i="31"/>
  <c r="C10" i="31"/>
  <c r="C7" i="31"/>
  <c r="E27" i="31"/>
  <c r="AU39" i="43" l="1"/>
  <c r="AW18" i="43"/>
  <c r="AW23" i="43" s="1"/>
  <c r="AU25" i="43"/>
  <c r="AQ39" i="43"/>
  <c r="AQ25" i="43"/>
  <c r="AS14" i="43"/>
  <c r="AS25" i="43" s="1"/>
  <c r="AU16" i="43"/>
  <c r="AS39" i="43"/>
  <c r="C13" i="31"/>
  <c r="B90" i="10"/>
  <c r="B70" i="10"/>
  <c r="B69" i="10"/>
  <c r="B68" i="10"/>
  <c r="B67" i="10"/>
  <c r="B88" i="10"/>
  <c r="C1" i="27"/>
  <c r="AW39" i="43" l="1"/>
  <c r="AW25" i="43"/>
  <c r="AY18" i="43"/>
  <c r="AY23" i="43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Y39" i="43" l="1"/>
  <c r="BA18" i="43"/>
  <c r="BA23" i="43" s="1"/>
  <c r="AY25" i="43"/>
  <c r="G11" i="26"/>
  <c r="D9" i="26"/>
  <c r="BA25" i="43" l="1"/>
  <c r="BC18" i="43"/>
  <c r="BC23" i="43" s="1"/>
  <c r="BA39" i="43"/>
  <c r="B50" i="10"/>
  <c r="B47" i="10"/>
  <c r="B46" i="10"/>
  <c r="B45" i="10"/>
  <c r="B44" i="10"/>
  <c r="B49" i="10"/>
  <c r="B43" i="10"/>
  <c r="B42" i="10"/>
  <c r="BC39" i="43" l="1"/>
  <c r="BC25" i="43"/>
  <c r="BE18" i="43"/>
  <c r="E6" i="25"/>
  <c r="C2" i="25"/>
  <c r="BG18" i="43" l="1"/>
  <c r="BG23" i="43" s="1"/>
  <c r="BE23" i="43"/>
  <c r="BE14" i="43" s="1"/>
  <c r="C23" i="12"/>
  <c r="F22" i="22"/>
  <c r="F12" i="22"/>
  <c r="G16" i="22"/>
  <c r="F15" i="22"/>
  <c r="F14" i="22"/>
  <c r="F13" i="22"/>
  <c r="F11" i="22"/>
  <c r="F10" i="22"/>
  <c r="F5" i="22"/>
  <c r="BI18" i="43" l="1"/>
  <c r="BG14" i="43"/>
  <c r="BG25" i="43" s="1"/>
  <c r="BG39" i="43"/>
  <c r="BE39" i="43"/>
  <c r="BE25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E15" i="43" l="1"/>
  <c r="BC16" i="43" s="1"/>
  <c r="BI23" i="43"/>
  <c r="H1" i="22"/>
  <c r="I1" i="22" s="1"/>
  <c r="BI39" i="43" l="1"/>
  <c r="BI25" i="43"/>
  <c r="BK18" i="43"/>
  <c r="BK23" i="43" s="1"/>
  <c r="BK14" i="43" s="1"/>
  <c r="M40" i="10"/>
  <c r="BK25" i="43" l="1"/>
  <c r="BK39" i="43"/>
  <c r="BM18" i="43"/>
  <c r="BM23" i="43" s="1"/>
  <c r="BO18" i="43" s="1"/>
  <c r="BO23" i="43" s="1"/>
  <c r="B30" i="10"/>
  <c r="B31" i="10"/>
  <c r="B28" i="10"/>
  <c r="B27" i="10"/>
  <c r="D27" i="10"/>
  <c r="D5" i="10" s="1"/>
  <c r="C9" i="12"/>
  <c r="C1" i="12" s="1"/>
  <c r="BO14" i="43" l="1"/>
  <c r="BO25" i="43" s="1"/>
  <c r="BQ18" i="43"/>
  <c r="BQ23" i="43" s="1"/>
  <c r="BO39" i="43"/>
  <c r="BM14" i="43"/>
  <c r="BM25" i="43" s="1"/>
  <c r="BM39" i="43"/>
  <c r="D2" i="10"/>
  <c r="D3" i="10"/>
  <c r="BQ39" i="43" l="1"/>
  <c r="BS18" i="43"/>
  <c r="BS23" i="43" s="1"/>
  <c r="BQ25" i="43"/>
  <c r="D8" i="11"/>
  <c r="E8" i="11" s="1"/>
  <c r="D9" i="11"/>
  <c r="E9" i="11" s="1"/>
  <c r="B24" i="10"/>
  <c r="B25" i="10"/>
  <c r="B26" i="10"/>
  <c r="BS39" i="43" l="1"/>
  <c r="BS25" i="43"/>
  <c r="B23" i="10"/>
  <c r="E7" i="11" l="1"/>
  <c r="E6" i="11"/>
  <c r="B22" i="10"/>
  <c r="B21" i="10"/>
  <c r="B20" i="10"/>
  <c r="B19" i="10"/>
  <c r="N6" i="13" l="1"/>
  <c r="G68" i="14" l="1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M37" i="10" l="1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E2" i="11" l="1"/>
  <c r="F7" i="8" l="1"/>
  <c r="F6" i="8"/>
  <c r="F5" i="8"/>
  <c r="F4" i="8"/>
  <c r="D5" i="8"/>
  <c r="D6" i="8"/>
  <c r="D7" i="8"/>
  <c r="D4" i="8"/>
  <c r="D78" i="4"/>
  <c r="H6" i="4" s="1"/>
  <c r="D9" i="8" l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D32" i="4"/>
  <c r="D19" i="4" l="1"/>
  <c r="D3" i="4"/>
  <c r="D4" i="4"/>
  <c r="D5" i="4" l="1"/>
  <c r="D7" i="4" s="1"/>
  <c r="F15" i="4" s="1"/>
</calcChain>
</file>

<file path=xl/comments1.xml><?xml version="1.0" encoding="utf-8"?>
<comments xmlns="http://schemas.openxmlformats.org/spreadsheetml/2006/main">
  <authors>
    <author>ADMIN</author>
    <author>PC</author>
  </authors>
  <commentList>
    <comment ref="F15" authorId="0" shapeId="0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13" authorId="0" shapeId="0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4" authorId="0" shapeId="0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E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K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E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Q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I19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Q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S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C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I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O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A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C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I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M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O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K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M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U2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C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K2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U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25" authorId="0" shapeId="0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G27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Q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U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K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AO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U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W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G31" authorId="0" shapeId="0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K3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BS31" authorId="1" shapeId="0">
      <text>
        <r>
          <rPr>
            <b/>
            <sz val="9"/>
            <color indexed="81"/>
            <rFont val="Tahoma"/>
            <charset val="1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S32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7 chorizos 
56.000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C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AE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S3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BA41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H88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9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0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9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I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8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9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40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<sst xmlns="http://schemas.openxmlformats.org/spreadsheetml/2006/main" count="2013" uniqueCount="686">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</sst>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4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21" fillId="6" borderId="0" xfId="0" applyNumberFormat="1" applyFont="1" applyFill="1"/>
    <xf numFmtId="164" fontId="24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6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7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0" fontId="2" fillId="0" borderId="3" xfId="0" applyFont="1" applyFill="1" applyBorder="1"/>
    <xf numFmtId="0" fontId="0" fillId="0" borderId="3" xfId="0" applyFill="1" applyBorder="1"/>
    <xf numFmtId="164" fontId="0" fillId="0" borderId="3" xfId="1" applyNumberFormat="1" applyFont="1" applyFill="1" applyBorder="1"/>
    <xf numFmtId="164" fontId="25" fillId="8" borderId="0" xfId="4" applyNumberFormat="1" applyFont="1" applyAlignment="1">
      <alignment horizontal="center" vertical="center" wrapText="1"/>
    </xf>
    <xf numFmtId="164" fontId="25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42" Type="http://schemas.openxmlformats.org/officeDocument/2006/relationships/connections" Target="connections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pivotCacheDefinition" Target="pivotCache/pivotCacheDefinition5.xml"/><Relationship Id="rId46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4.xml"/><Relationship Id="rId40" Type="http://schemas.openxmlformats.org/officeDocument/2006/relationships/pivotCacheDefinition" Target="pivotCache/pivotCacheDefinition7.xml"/><Relationship Id="rId45" Type="http://schemas.openxmlformats.org/officeDocument/2006/relationships/sheetMetadata" Target="metadata.xml"/><Relationship Id="rId53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3.xml"/><Relationship Id="rId49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52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2.xml"/><Relationship Id="rId43" Type="http://schemas.openxmlformats.org/officeDocument/2006/relationships/styles" Target="styles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ransacciones_EGRESO"/>
      <sheetName val="inf_Libro Auxiliar"/>
      <sheetName val="sale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940600</v>
          </cell>
        </row>
        <row r="32">
          <cell r="A32">
            <v>46099</v>
          </cell>
          <cell r="G32">
            <v>900600</v>
          </cell>
        </row>
        <row r="33">
          <cell r="A33">
            <v>46099</v>
          </cell>
          <cell r="G33">
            <v>850600</v>
          </cell>
        </row>
        <row r="34">
          <cell r="A34">
            <v>46099</v>
          </cell>
          <cell r="G34">
            <v>844600</v>
          </cell>
        </row>
        <row r="35">
          <cell r="A35">
            <v>46099</v>
          </cell>
          <cell r="G35">
            <v>728600</v>
          </cell>
        </row>
        <row r="36">
          <cell r="A36">
            <v>46099</v>
          </cell>
          <cell r="G36">
            <v>799600</v>
          </cell>
        </row>
        <row r="37">
          <cell r="A37">
            <v>46100</v>
          </cell>
          <cell r="G37">
            <v>395600</v>
          </cell>
        </row>
        <row r="38">
          <cell r="A38">
            <v>46100</v>
          </cell>
          <cell r="G38">
            <v>345600</v>
          </cell>
        </row>
        <row r="39">
          <cell r="A39">
            <v>46100</v>
          </cell>
          <cell r="G39">
            <v>515400</v>
          </cell>
        </row>
        <row r="40">
          <cell r="A40">
            <v>46101</v>
          </cell>
          <cell r="G40">
            <v>745400</v>
          </cell>
        </row>
        <row r="41">
          <cell r="A41">
            <v>46101</v>
          </cell>
          <cell r="G41">
            <v>724400</v>
          </cell>
        </row>
        <row r="42">
          <cell r="A42">
            <v>46101</v>
          </cell>
          <cell r="G42">
            <v>790100</v>
          </cell>
        </row>
        <row r="43">
          <cell r="A43">
            <v>46102</v>
          </cell>
          <cell r="G43">
            <v>801100</v>
          </cell>
        </row>
        <row r="44">
          <cell r="A44">
            <v>46105</v>
          </cell>
          <cell r="G44">
            <v>928100</v>
          </cell>
        </row>
        <row r="45">
          <cell r="A45">
            <v>46106</v>
          </cell>
          <cell r="G45">
            <v>814100</v>
          </cell>
        </row>
        <row r="46">
          <cell r="A46">
            <v>46106</v>
          </cell>
          <cell r="G46">
            <v>774100</v>
          </cell>
        </row>
        <row r="47">
          <cell r="A47">
            <v>46106</v>
          </cell>
          <cell r="G47">
            <v>822100</v>
          </cell>
        </row>
        <row r="48">
          <cell r="A48">
            <v>46107</v>
          </cell>
          <cell r="G48">
            <v>846100</v>
          </cell>
        </row>
        <row r="49">
          <cell r="A49">
            <v>46109</v>
          </cell>
          <cell r="G49">
            <v>932100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110.494782754628" createdVersion="8" refreshedVersion="8" minRefreshableVersion="3" recordCount="128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0">
      <pivotArea outline="0" collapsedLevelsAreSubtotals="1" fieldPosition="0"/>
    </format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" filterMode="1">
    <tabColor rgb="FF92D050"/>
  </sheetPr>
  <dimension ref="B2:M87"/>
  <sheetViews>
    <sheetView showGridLines="0" topLeftCell="A7" zoomScale="70" zoomScaleNormal="70" workbookViewId="0">
      <selection activeCell="D20" sqref="D20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634</v>
      </c>
      <c r="D2" s="139" t="s">
        <v>635</v>
      </c>
      <c r="E2"/>
      <c r="F2"/>
      <c r="G2" s="142" t="s">
        <v>7</v>
      </c>
      <c r="H2" s="142" t="s">
        <v>638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639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636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638</v>
      </c>
      <c r="E9" s="142" t="s">
        <v>637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643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643</v>
      </c>
      <c r="F15" s="3">
        <f>+D19-D7</f>
        <v>-9.999999962747097E-2</v>
      </c>
      <c r="G15" s="194">
        <f>3855000-SUM(L64,L71,L67)/2</f>
        <v>2324075</v>
      </c>
      <c r="H15" s="15" t="s">
        <v>646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645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641</v>
      </c>
      <c r="D18" s="186">
        <v>3198300</v>
      </c>
    </row>
    <row r="19" spans="2:9" outlineLevel="1" x14ac:dyDescent="0.25">
      <c r="C19" s="15" t="s">
        <v>636</v>
      </c>
      <c r="D19" s="184">
        <f>+D17+D18</f>
        <v>15503300</v>
      </c>
      <c r="E19" s="16" t="s">
        <v>642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639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639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639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639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639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639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639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639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639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639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639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639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639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639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639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644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640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>
    <filterColumn colId="1">
      <colorFilter dxfId="30"/>
    </filterColumn>
  </autoFilter>
  <conditionalFormatting sqref="D19:D20">
    <cfRule type="containsText" dxfId="29" priority="3" operator="containsText" text="Patrimonio">
      <formula>NOT(ISERROR(SEARCH("Patrimonio",D19)))</formula>
    </cfRule>
    <cfRule type="containsText" dxfId="28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27" priority="25" operator="containsText" text="Patrimonio">
      <formula>NOT(ISERROR(SEARCH("Patrimonio",D2)))</formula>
    </cfRule>
    <cfRule type="containsText" dxfId="26" priority="26" operator="containsText" text="Por Pagar">
      <formula>NOT(ISERROR(SEARCH("Por Pagar",D2)))</formula>
    </cfRule>
  </conditionalFormatting>
  <conditionalFormatting sqref="H2">
    <cfRule type="containsText" dxfId="25" priority="1" operator="containsText" text="Patrimonio">
      <formula>NOT(ISERROR(SEARCH("Patrimonio",H2)))</formula>
    </cfRule>
    <cfRule type="containsText" dxfId="24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4">
    <tabColor rgb="FFFFFF00"/>
  </sheetPr>
  <dimension ref="A1:H25"/>
  <sheetViews>
    <sheetView showGridLines="0" topLeftCell="A5" zoomScale="70" zoomScaleNormal="70" workbookViewId="0">
      <selection activeCell="F17" sqref="F17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8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8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8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8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8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8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8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8" x14ac:dyDescent="0.25">
      <c r="B16" s="2">
        <v>46097</v>
      </c>
      <c r="C16" s="195" t="str">
        <f>+IF(F16&gt;1," Jose","Edwin")</f>
        <v>Edwin</v>
      </c>
      <c r="D16" t="s">
        <v>632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631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633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633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671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672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647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666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BU45"/>
  <sheetViews>
    <sheetView showGridLines="0" tabSelected="1" zoomScaleNormal="100" workbookViewId="0">
      <pane xSplit="1" ySplit="2" topLeftCell="BP3" activePane="bottomRight" state="frozen"/>
      <selection pane="topRight" activeCell="B1" sqref="B1"/>
      <selection pane="bottomLeft" activeCell="A3" sqref="A3"/>
      <selection pane="bottomRight" activeCell="BV6" sqref="BV6"/>
    </sheetView>
  </sheetViews>
  <sheetFormatPr baseColWidth="10" defaultRowHeight="15" outlineLevelRow="1" x14ac:dyDescent="0.25"/>
  <cols>
    <col min="1" max="1" width="23.85546875" style="3" bestFit="1" customWidth="1"/>
    <col min="2" max="2" width="4.28515625" customWidth="1"/>
    <col min="3" max="3" width="13" style="3" customWidth="1"/>
    <col min="4" max="4" width="3.42578125" style="3" customWidth="1"/>
    <col min="5" max="5" width="11.42578125" customWidth="1"/>
    <col min="6" max="6" width="3.140625" customWidth="1"/>
    <col min="7" max="7" width="11.42578125" customWidth="1"/>
    <col min="8" max="8" width="3.140625" customWidth="1"/>
    <col min="9" max="9" width="11.42578125" customWidth="1"/>
    <col min="10" max="10" width="3.140625" customWidth="1"/>
    <col min="11" max="11" width="11.42578125" customWidth="1"/>
    <col min="12" max="12" width="3.140625" customWidth="1"/>
    <col min="13" max="13" width="11.42578125" customWidth="1"/>
    <col min="14" max="14" width="3.140625" customWidth="1"/>
    <col min="15" max="15" width="11.42578125" customWidth="1"/>
    <col min="16" max="16" width="3.140625" customWidth="1" collapsed="1"/>
    <col min="17" max="17" width="11.42578125" customWidth="1"/>
    <col min="18" max="18" width="3.140625" customWidth="1" collapsed="1"/>
    <col min="19" max="19" width="11.42578125" customWidth="1"/>
    <col min="20" max="20" width="3.140625" customWidth="1" collapsed="1"/>
    <col min="21" max="21" width="11.42578125" customWidth="1"/>
    <col min="22" max="22" width="3.140625" customWidth="1" collapsed="1"/>
    <col min="23" max="23" width="12" customWidth="1"/>
    <col min="24" max="24" width="3.140625" customWidth="1"/>
    <col min="25" max="25" width="12" customWidth="1"/>
    <col min="26" max="26" width="3.140625" customWidth="1" collapsed="1"/>
    <col min="27" max="27" width="12" customWidth="1"/>
    <col min="28" max="28" width="3.140625" customWidth="1" collapsed="1"/>
    <col min="29" max="29" width="12" customWidth="1"/>
    <col min="30" max="30" width="3.140625" customWidth="1" collapsed="1"/>
    <col min="31" max="31" width="12" customWidth="1"/>
    <col min="32" max="32" width="3.140625" customWidth="1" collapsed="1"/>
    <col min="33" max="33" width="12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.42578125" customWidth="1"/>
    <col min="40" max="40" width="3.140625" customWidth="1" collapsed="1"/>
    <col min="41" max="41" width="12" customWidth="1"/>
    <col min="42" max="42" width="3.140625" customWidth="1" collapsed="1"/>
    <col min="43" max="43" width="12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3" customWidth="1"/>
    <col min="58" max="58" width="3.140625" customWidth="1" collapsed="1"/>
    <col min="59" max="59" width="13" customWidth="1"/>
    <col min="60" max="60" width="3.140625" customWidth="1" collapsed="1"/>
    <col min="61" max="61" width="13" customWidth="1"/>
    <col min="62" max="62" width="3.140625" customWidth="1" collapsed="1"/>
    <col min="63" max="63" width="13" customWidth="1"/>
    <col min="64" max="64" width="3.140625" customWidth="1" collapsed="1"/>
    <col min="65" max="65" width="13" customWidth="1"/>
    <col min="66" max="66" width="3.140625" bestFit="1" customWidth="1" collapsed="1"/>
    <col min="67" max="67" width="13" bestFit="1" customWidth="1"/>
    <col min="68" max="68" width="3.140625" bestFit="1" customWidth="1" collapsed="1"/>
    <col min="69" max="69" width="13" bestFit="1" customWidth="1"/>
    <col min="70" max="70" width="3.140625" bestFit="1" customWidth="1" collapsed="1"/>
    <col min="71" max="71" width="13" bestFit="1" customWidth="1"/>
    <col min="72" max="72" width="3" bestFit="1" customWidth="1"/>
  </cols>
  <sheetData>
    <row r="1" spans="1:73" x14ac:dyDescent="0.25">
      <c r="A1" s="33" t="s">
        <v>0</v>
      </c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Y1" s="34" t="str">
        <f>+TEXT(Y2,"ddd")</f>
        <v>vie</v>
      </c>
      <c r="Z1" s="34"/>
      <c r="AA1" s="34" t="str">
        <f>+TEXT(AA2,"ddd")</f>
        <v>sáb</v>
      </c>
      <c r="AB1" s="34"/>
      <c r="AC1" s="34" t="str">
        <f>+TEXT(AC2,"ddd")</f>
        <v>dom</v>
      </c>
      <c r="AD1" s="34"/>
      <c r="AE1" s="34" t="str">
        <f>+TEXT(AE2,"ddd")</f>
        <v>lun</v>
      </c>
      <c r="AF1" s="34"/>
      <c r="AG1" s="203" t="str">
        <f>+TEXT(AG2,"ddd")</f>
        <v>mar</v>
      </c>
      <c r="AH1" s="34"/>
      <c r="AI1" s="203" t="str">
        <f>+TEXT(AI2,"ddd")</f>
        <v>mié</v>
      </c>
      <c r="AJ1" s="34"/>
      <c r="AK1" s="203" t="str">
        <f>+TEXT(AK2,"ddd")</f>
        <v>jue</v>
      </c>
      <c r="AL1" s="34"/>
      <c r="AM1" s="203" t="str">
        <f>+TEXT(AM2,"ddd")</f>
        <v>vie</v>
      </c>
      <c r="AN1" s="34"/>
      <c r="AO1" s="203" t="str">
        <f>+TEXT(AO2,"ddd")</f>
        <v>sáb</v>
      </c>
      <c r="AP1" s="34"/>
      <c r="AQ1" s="203" t="str">
        <f>+TEXT(AQ2,"ddd")</f>
        <v>dom</v>
      </c>
      <c r="AR1" s="34"/>
      <c r="AS1" s="203" t="str">
        <f>+TEXT(AS2,"ddd")</f>
        <v>lun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203" t="str">
        <f>+TEXT(AY2,"ddd")</f>
        <v>jue</v>
      </c>
      <c r="AZ1" s="34"/>
      <c r="BA1" s="203" t="str">
        <f>+TEXT(BA2,"ddd")</f>
        <v>vie</v>
      </c>
      <c r="BB1" s="34"/>
      <c r="BC1" s="203" t="str">
        <f>+TEXT(BC2,"ddd")</f>
        <v>sáb</v>
      </c>
      <c r="BD1" s="34"/>
      <c r="BE1" s="203" t="str">
        <f>+TEXT(BE2,"ddd")</f>
        <v>dom</v>
      </c>
      <c r="BF1" s="34"/>
      <c r="BG1" s="203" t="str">
        <f>+TEXT(BG2,"ddd")</f>
        <v>lun</v>
      </c>
      <c r="BH1" s="34"/>
      <c r="BI1" s="203" t="str">
        <f>+TEXT(BI2,"ddd")</f>
        <v>mar</v>
      </c>
      <c r="BJ1" s="34"/>
      <c r="BK1" s="203" t="str">
        <f>+TEXT(BK2,"ddd")</f>
        <v>mié</v>
      </c>
      <c r="BL1" s="34"/>
      <c r="BM1" s="203" t="str">
        <f>+TEXT(BM2,"ddd")</f>
        <v>jue</v>
      </c>
      <c r="BN1" s="34"/>
      <c r="BO1" s="203" t="str">
        <f>+TEXT(BO2,"ddd")</f>
        <v>vie</v>
      </c>
      <c r="BP1" s="34"/>
      <c r="BQ1" s="203" t="str">
        <f>+TEXT(BQ2,"ddd")</f>
        <v>sáb</v>
      </c>
      <c r="BR1" s="34"/>
      <c r="BS1" s="203" t="str">
        <f>+TEXT(BS2,"ddd")</f>
        <v>dom</v>
      </c>
      <c r="BT1" s="34"/>
      <c r="BU1" s="203" t="str">
        <f>+TEXT(BU2,"ddd")</f>
        <v>lun</v>
      </c>
    </row>
    <row r="2" spans="1:7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f>+W2+1</f>
        <v>46087</v>
      </c>
      <c r="Z2" s="36" t="s">
        <v>131</v>
      </c>
      <c r="AA2" s="37">
        <v>46088</v>
      </c>
      <c r="AB2" s="36" t="s">
        <v>131</v>
      </c>
      <c r="AC2" s="37">
        <v>46089</v>
      </c>
      <c r="AD2" s="36" t="s">
        <v>131</v>
      </c>
      <c r="AE2" s="37">
        <v>46090</v>
      </c>
      <c r="AF2" s="36" t="s">
        <v>131</v>
      </c>
      <c r="AG2" s="37">
        <v>46091</v>
      </c>
      <c r="AH2" s="36" t="s">
        <v>131</v>
      </c>
      <c r="AI2" s="37">
        <v>46092</v>
      </c>
      <c r="AJ2" s="36" t="s">
        <v>131</v>
      </c>
      <c r="AK2" s="37">
        <v>46093</v>
      </c>
      <c r="AL2" s="36" t="s">
        <v>131</v>
      </c>
      <c r="AM2" s="37">
        <v>46094</v>
      </c>
      <c r="AN2" s="36" t="s">
        <v>131</v>
      </c>
      <c r="AO2" s="37">
        <v>46095</v>
      </c>
      <c r="AP2" s="36" t="s">
        <v>131</v>
      </c>
      <c r="AQ2" s="37">
        <v>46096</v>
      </c>
      <c r="AR2" s="36" t="s">
        <v>131</v>
      </c>
      <c r="AS2" s="37">
        <f>+AQ2+1</f>
        <v>46097</v>
      </c>
      <c r="AT2" s="36" t="s">
        <v>131</v>
      </c>
      <c r="AU2" s="37">
        <f>+AS2+1</f>
        <v>46098</v>
      </c>
      <c r="AV2" s="36" t="s">
        <v>131</v>
      </c>
      <c r="AW2" s="37">
        <f>+AU2+1</f>
        <v>46099</v>
      </c>
      <c r="AX2" s="36" t="s">
        <v>131</v>
      </c>
      <c r="AY2" s="37">
        <f>+AW2+1</f>
        <v>46100</v>
      </c>
      <c r="AZ2" s="36" t="s">
        <v>131</v>
      </c>
      <c r="BA2" s="37">
        <f>+AY2+1</f>
        <v>46101</v>
      </c>
      <c r="BB2" s="36" t="s">
        <v>131</v>
      </c>
      <c r="BC2" s="37">
        <f>+BA2+1</f>
        <v>46102</v>
      </c>
      <c r="BD2" s="36" t="s">
        <v>131</v>
      </c>
      <c r="BE2" s="37">
        <f>+BC2+1</f>
        <v>46103</v>
      </c>
      <c r="BF2" s="36" t="s">
        <v>131</v>
      </c>
      <c r="BG2" s="37">
        <f>+BE2+1</f>
        <v>46104</v>
      </c>
      <c r="BH2" s="36" t="s">
        <v>131</v>
      </c>
      <c r="BI2" s="37">
        <f>+BG2+1</f>
        <v>46105</v>
      </c>
      <c r="BJ2" s="36" t="s">
        <v>131</v>
      </c>
      <c r="BK2" s="37">
        <f>+BI2+1</f>
        <v>46106</v>
      </c>
      <c r="BL2" s="36" t="s">
        <v>131</v>
      </c>
      <c r="BM2" s="37">
        <f>+BK2+1</f>
        <v>46107</v>
      </c>
      <c r="BN2" s="36" t="s">
        <v>131</v>
      </c>
      <c r="BO2" s="37">
        <f>+BM2+1</f>
        <v>46108</v>
      </c>
      <c r="BP2" s="36" t="s">
        <v>131</v>
      </c>
      <c r="BQ2" s="37">
        <f>+BO2+1</f>
        <v>46109</v>
      </c>
      <c r="BR2" s="36" t="s">
        <v>131</v>
      </c>
      <c r="BS2" s="37">
        <f>+BQ2+1</f>
        <v>46110</v>
      </c>
      <c r="BT2" s="36" t="s">
        <v>131</v>
      </c>
      <c r="BU2" s="37">
        <f>+BS2+1</f>
        <v>46111</v>
      </c>
    </row>
    <row r="3" spans="1:73" ht="15" customHeight="1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6">
        <f>+$A3*D3</f>
        <v>0</v>
      </c>
      <c r="F3" s="19">
        <v>0</v>
      </c>
      <c r="G3" s="240" t="s">
        <v>652</v>
      </c>
      <c r="H3" s="19">
        <v>0</v>
      </c>
      <c r="I3" s="23">
        <f>+$A3*H3</f>
        <v>0</v>
      </c>
      <c r="J3" s="19">
        <v>1</v>
      </c>
      <c r="K3" s="23">
        <f>+$A3*J3</f>
        <v>100000</v>
      </c>
      <c r="L3" s="19"/>
      <c r="M3" s="3">
        <f>+$A3*L3</f>
        <v>0</v>
      </c>
      <c r="N3" s="19"/>
      <c r="O3" s="238" t="s">
        <v>653</v>
      </c>
      <c r="P3" s="19">
        <v>0</v>
      </c>
      <c r="Q3" s="3">
        <f>+$A3*P3</f>
        <v>0</v>
      </c>
      <c r="R3" s="19">
        <v>0</v>
      </c>
      <c r="S3" s="240" t="s">
        <v>652</v>
      </c>
      <c r="T3" s="19">
        <v>0</v>
      </c>
      <c r="U3" s="3">
        <v>0</v>
      </c>
      <c r="V3" s="1">
        <v>0</v>
      </c>
      <c r="W3" s="3">
        <v>0</v>
      </c>
      <c r="X3" s="19"/>
      <c r="Y3" s="238" t="s">
        <v>653</v>
      </c>
      <c r="Z3" s="1">
        <v>0</v>
      </c>
      <c r="AA3" s="3">
        <v>0</v>
      </c>
      <c r="AB3" s="1">
        <v>0</v>
      </c>
      <c r="AC3" s="3">
        <v>0</v>
      </c>
      <c r="AD3" s="1">
        <v>2</v>
      </c>
      <c r="AE3" s="6">
        <f t="shared" ref="AC3:AE5" si="0">+$A3*AD3</f>
        <v>200000</v>
      </c>
      <c r="AF3" s="1">
        <v>0</v>
      </c>
      <c r="AG3" s="3">
        <f t="shared" ref="AG3:AI13" si="1">+$A3*AF3</f>
        <v>0</v>
      </c>
      <c r="AH3" s="1">
        <v>0</v>
      </c>
      <c r="AI3" s="3">
        <f t="shared" si="1"/>
        <v>0</v>
      </c>
      <c r="AJ3" s="1">
        <v>0</v>
      </c>
      <c r="AK3" s="3">
        <f t="shared" ref="AK3:AK13" si="2">+$A3*AJ3</f>
        <v>0</v>
      </c>
      <c r="AL3" s="1"/>
      <c r="AM3" s="240" t="s">
        <v>652</v>
      </c>
      <c r="AN3" s="1">
        <v>0</v>
      </c>
      <c r="AO3" s="3">
        <f t="shared" ref="AO3:AO13" si="3">+$A3*AN3</f>
        <v>0</v>
      </c>
      <c r="AP3" s="1">
        <v>0</v>
      </c>
      <c r="AQ3" s="3">
        <f t="shared" ref="AQ3:AQ13" si="4">+$A3*AP3</f>
        <v>0</v>
      </c>
      <c r="AR3" s="1"/>
      <c r="AS3" s="240" t="s">
        <v>652</v>
      </c>
      <c r="AT3" s="1">
        <v>0</v>
      </c>
      <c r="AU3" s="3">
        <f t="shared" ref="AU3:AU13" si="5">+$A3*AT3</f>
        <v>0</v>
      </c>
      <c r="AV3" s="1">
        <v>0</v>
      </c>
      <c r="AW3" s="3">
        <f t="shared" ref="AW3:AW13" si="6">+$A3*AV3</f>
        <v>0</v>
      </c>
      <c r="AX3" s="1">
        <v>1</v>
      </c>
      <c r="AY3" s="3">
        <f t="shared" ref="AY3:AY13" si="7">+$A3*AX3</f>
        <v>100000</v>
      </c>
      <c r="AZ3" s="1">
        <v>0</v>
      </c>
      <c r="BA3" s="3">
        <f t="shared" ref="BA3:BA13" si="8">+$A3*AZ3</f>
        <v>0</v>
      </c>
      <c r="BB3" s="1">
        <v>0</v>
      </c>
      <c r="BC3" s="3">
        <f t="shared" ref="BC3:BC13" si="9">+$A3*BB3</f>
        <v>0</v>
      </c>
      <c r="BD3" s="1">
        <v>0</v>
      </c>
      <c r="BE3" s="238" t="s">
        <v>653</v>
      </c>
      <c r="BF3" s="1">
        <v>0</v>
      </c>
      <c r="BG3" s="238" t="s">
        <v>653</v>
      </c>
      <c r="BH3" s="1">
        <v>0</v>
      </c>
      <c r="BI3" s="3">
        <f t="shared" ref="BI3:BI13" si="10">+$A3*BH3</f>
        <v>0</v>
      </c>
      <c r="BJ3" s="1">
        <v>0</v>
      </c>
      <c r="BK3" s="240" t="s">
        <v>652</v>
      </c>
      <c r="BL3" s="1">
        <v>0</v>
      </c>
      <c r="BM3" s="240" t="s">
        <v>652</v>
      </c>
      <c r="BN3" s="1">
        <v>0</v>
      </c>
      <c r="BO3" s="3">
        <f t="shared" ref="BO3:BO13" si="11">+$A3*BN3</f>
        <v>0</v>
      </c>
      <c r="BP3" s="1">
        <v>0</v>
      </c>
      <c r="BQ3" s="3">
        <f t="shared" ref="BQ3:BQ13" si="12">+$A3*BP3</f>
        <v>0</v>
      </c>
      <c r="BR3" s="1">
        <v>0</v>
      </c>
      <c r="BS3" s="3">
        <f t="shared" ref="BS3:BS13" si="13">+$A3*BR3</f>
        <v>0</v>
      </c>
      <c r="BT3" s="1">
        <v>0</v>
      </c>
      <c r="BU3" s="3">
        <f t="shared" ref="BU3:BU13" si="14">+$A3*BT3</f>
        <v>0</v>
      </c>
    </row>
    <row r="4" spans="1:73" ht="15" customHeight="1" outlineLevel="1" x14ac:dyDescent="0.25">
      <c r="A4" s="20">
        <v>50000</v>
      </c>
      <c r="B4" s="19">
        <v>1</v>
      </c>
      <c r="C4" s="3">
        <f t="shared" ref="C4:C13" si="15">+A4*B4</f>
        <v>50000</v>
      </c>
      <c r="D4" s="19">
        <v>1</v>
      </c>
      <c r="E4" s="6">
        <f t="shared" ref="E4:E13" si="16">+$A4*D4</f>
        <v>50000</v>
      </c>
      <c r="F4" s="19">
        <v>1</v>
      </c>
      <c r="G4" s="240"/>
      <c r="H4" s="19">
        <v>0</v>
      </c>
      <c r="I4" s="23">
        <f t="shared" ref="I4" si="17">+$A4*H4</f>
        <v>0</v>
      </c>
      <c r="J4" s="19">
        <v>2</v>
      </c>
      <c r="K4" s="23">
        <f t="shared" ref="K4" si="18">+$A4*J4</f>
        <v>100000</v>
      </c>
      <c r="L4" s="19">
        <v>0</v>
      </c>
      <c r="M4" s="3">
        <f t="shared" ref="M4" si="19">+$A4*L4</f>
        <v>0</v>
      </c>
      <c r="N4" s="19">
        <v>0</v>
      </c>
      <c r="O4" s="238"/>
      <c r="P4" s="19">
        <v>1</v>
      </c>
      <c r="Q4" s="3">
        <f t="shared" ref="Q4" si="20">+$A4*P4</f>
        <v>50000</v>
      </c>
      <c r="R4" s="19">
        <v>1</v>
      </c>
      <c r="S4" s="240"/>
      <c r="T4" s="19">
        <v>0</v>
      </c>
      <c r="U4" s="3">
        <f t="shared" ref="U4:U5" si="21">+$A4*T4</f>
        <v>0</v>
      </c>
      <c r="V4" s="1">
        <v>1</v>
      </c>
      <c r="W4" s="3">
        <f t="shared" ref="W4:W5" si="22">+$A4*V4</f>
        <v>50000</v>
      </c>
      <c r="X4" s="19">
        <v>0</v>
      </c>
      <c r="Y4" s="238"/>
      <c r="Z4" s="1">
        <v>0</v>
      </c>
      <c r="AA4" s="3">
        <f t="shared" ref="AA4:AA5" si="23">+$A4*Z4</f>
        <v>0</v>
      </c>
      <c r="AB4" s="1">
        <v>1</v>
      </c>
      <c r="AC4" s="3">
        <f t="shared" si="0"/>
        <v>50000</v>
      </c>
      <c r="AD4" s="1">
        <v>0</v>
      </c>
      <c r="AE4" s="6">
        <f t="shared" si="0"/>
        <v>0</v>
      </c>
      <c r="AF4" s="1">
        <v>1</v>
      </c>
      <c r="AG4" s="3">
        <f t="shared" si="1"/>
        <v>50000</v>
      </c>
      <c r="AH4" s="1">
        <v>0</v>
      </c>
      <c r="AI4" s="3">
        <f t="shared" si="1"/>
        <v>0</v>
      </c>
      <c r="AJ4" s="1">
        <v>0</v>
      </c>
      <c r="AK4" s="3">
        <f t="shared" si="2"/>
        <v>0</v>
      </c>
      <c r="AL4" s="1"/>
      <c r="AM4" s="240"/>
      <c r="AN4" s="1">
        <v>0</v>
      </c>
      <c r="AO4" s="3">
        <f t="shared" si="3"/>
        <v>0</v>
      </c>
      <c r="AP4" s="1">
        <v>0</v>
      </c>
      <c r="AQ4" s="3">
        <f t="shared" si="4"/>
        <v>0</v>
      </c>
      <c r="AR4" s="1"/>
      <c r="AS4" s="240"/>
      <c r="AT4" s="1">
        <v>0</v>
      </c>
      <c r="AU4" s="3">
        <f t="shared" si="5"/>
        <v>0</v>
      </c>
      <c r="AV4" s="1">
        <v>0</v>
      </c>
      <c r="AW4" s="3">
        <f t="shared" si="6"/>
        <v>0</v>
      </c>
      <c r="AX4" s="1">
        <v>2</v>
      </c>
      <c r="AY4" s="3">
        <f t="shared" si="7"/>
        <v>100000</v>
      </c>
      <c r="AZ4" s="1">
        <v>0</v>
      </c>
      <c r="BA4" s="3">
        <f t="shared" si="8"/>
        <v>0</v>
      </c>
      <c r="BB4" s="1">
        <v>0</v>
      </c>
      <c r="BC4" s="3">
        <f t="shared" si="9"/>
        <v>0</v>
      </c>
      <c r="BD4" s="1">
        <v>0</v>
      </c>
      <c r="BE4" s="238"/>
      <c r="BF4" s="1">
        <v>0</v>
      </c>
      <c r="BG4" s="238"/>
      <c r="BH4" s="1">
        <v>0</v>
      </c>
      <c r="BI4" s="3">
        <f t="shared" si="10"/>
        <v>0</v>
      </c>
      <c r="BJ4" s="1">
        <v>0</v>
      </c>
      <c r="BK4" s="240"/>
      <c r="BL4" s="1">
        <v>0</v>
      </c>
      <c r="BM4" s="240"/>
      <c r="BN4" s="1">
        <v>0</v>
      </c>
      <c r="BO4" s="3">
        <f t="shared" si="11"/>
        <v>0</v>
      </c>
      <c r="BP4" s="1">
        <v>3</v>
      </c>
      <c r="BQ4" s="3">
        <f t="shared" si="12"/>
        <v>150000</v>
      </c>
      <c r="BR4" s="1">
        <v>3</v>
      </c>
      <c r="BS4" s="3">
        <f t="shared" si="13"/>
        <v>150000</v>
      </c>
      <c r="BT4" s="1">
        <v>0</v>
      </c>
      <c r="BU4" s="3">
        <f t="shared" si="14"/>
        <v>0</v>
      </c>
    </row>
    <row r="5" spans="1:73" ht="15" customHeight="1" outlineLevel="1" x14ac:dyDescent="0.25">
      <c r="A5" s="20">
        <v>20000</v>
      </c>
      <c r="B5" s="19">
        <v>4</v>
      </c>
      <c r="C5" s="3">
        <f t="shared" si="15"/>
        <v>80000</v>
      </c>
      <c r="D5" s="19">
        <v>5</v>
      </c>
      <c r="E5" s="6">
        <f>+$A5*D5</f>
        <v>100000</v>
      </c>
      <c r="F5" s="19">
        <v>5</v>
      </c>
      <c r="G5" s="240"/>
      <c r="H5" s="19">
        <v>4</v>
      </c>
      <c r="I5" s="23">
        <f>+$A5*H5</f>
        <v>80000</v>
      </c>
      <c r="J5" s="19"/>
      <c r="K5" s="23">
        <f>+$A5*J5</f>
        <v>0</v>
      </c>
      <c r="L5" s="19">
        <v>0</v>
      </c>
      <c r="M5" s="3">
        <f>+$A5*L5</f>
        <v>0</v>
      </c>
      <c r="N5" s="19">
        <v>0</v>
      </c>
      <c r="O5" s="238"/>
      <c r="P5" s="19">
        <v>1</v>
      </c>
      <c r="Q5" s="3">
        <f>+$A5*P5</f>
        <v>20000</v>
      </c>
      <c r="R5" s="19">
        <v>1</v>
      </c>
      <c r="S5" s="240"/>
      <c r="T5" s="19">
        <v>0</v>
      </c>
      <c r="U5" s="3">
        <f t="shared" si="21"/>
        <v>0</v>
      </c>
      <c r="V5" s="1">
        <v>0</v>
      </c>
      <c r="W5" s="3">
        <f t="shared" si="22"/>
        <v>0</v>
      </c>
      <c r="X5" s="19">
        <v>0</v>
      </c>
      <c r="Y5" s="238"/>
      <c r="Z5" s="1">
        <v>0</v>
      </c>
      <c r="AA5" s="3">
        <f t="shared" si="23"/>
        <v>0</v>
      </c>
      <c r="AB5" s="1">
        <v>1</v>
      </c>
      <c r="AC5" s="3">
        <f t="shared" si="0"/>
        <v>20000</v>
      </c>
      <c r="AD5" s="1">
        <v>0</v>
      </c>
      <c r="AE5" s="6">
        <f t="shared" si="0"/>
        <v>0</v>
      </c>
      <c r="AF5" s="1">
        <v>0</v>
      </c>
      <c r="AG5" s="3">
        <f t="shared" si="1"/>
        <v>0</v>
      </c>
      <c r="AH5" s="1">
        <v>0</v>
      </c>
      <c r="AI5" s="3">
        <f t="shared" si="1"/>
        <v>0</v>
      </c>
      <c r="AJ5" s="1">
        <v>0</v>
      </c>
      <c r="AK5" s="3">
        <f t="shared" si="2"/>
        <v>0</v>
      </c>
      <c r="AL5" s="1"/>
      <c r="AM5" s="240"/>
      <c r="AN5" s="1">
        <v>2</v>
      </c>
      <c r="AO5" s="3">
        <f t="shared" si="3"/>
        <v>40000</v>
      </c>
      <c r="AP5" s="1">
        <v>0</v>
      </c>
      <c r="AQ5" s="3">
        <f t="shared" si="4"/>
        <v>0</v>
      </c>
      <c r="AR5" s="1"/>
      <c r="AS5" s="240"/>
      <c r="AT5" s="1">
        <v>0</v>
      </c>
      <c r="AU5" s="3">
        <f t="shared" si="5"/>
        <v>0</v>
      </c>
      <c r="AV5" s="1">
        <v>0</v>
      </c>
      <c r="AW5" s="3">
        <f t="shared" si="6"/>
        <v>0</v>
      </c>
      <c r="AX5" s="1">
        <v>0</v>
      </c>
      <c r="AY5" s="3">
        <f t="shared" si="7"/>
        <v>0</v>
      </c>
      <c r="AZ5" s="1">
        <v>0</v>
      </c>
      <c r="BA5" s="3">
        <f t="shared" si="8"/>
        <v>0</v>
      </c>
      <c r="BB5" s="1">
        <v>3</v>
      </c>
      <c r="BC5" s="3">
        <f t="shared" si="9"/>
        <v>60000</v>
      </c>
      <c r="BD5" s="1">
        <v>0</v>
      </c>
      <c r="BE5" s="238"/>
      <c r="BF5" s="1">
        <v>0</v>
      </c>
      <c r="BG5" s="238"/>
      <c r="BH5" s="1">
        <v>4</v>
      </c>
      <c r="BI5" s="3">
        <f t="shared" si="10"/>
        <v>80000</v>
      </c>
      <c r="BJ5" s="1">
        <v>0</v>
      </c>
      <c r="BK5" s="240"/>
      <c r="BL5" s="1">
        <v>0</v>
      </c>
      <c r="BM5" s="240"/>
      <c r="BN5" s="1">
        <v>0</v>
      </c>
      <c r="BO5" s="3">
        <f t="shared" si="11"/>
        <v>0</v>
      </c>
      <c r="BP5" s="1">
        <v>6</v>
      </c>
      <c r="BQ5" s="3">
        <f t="shared" si="12"/>
        <v>120000</v>
      </c>
      <c r="BR5" s="1">
        <v>6</v>
      </c>
      <c r="BS5" s="3">
        <f t="shared" si="13"/>
        <v>120000</v>
      </c>
      <c r="BT5" s="1">
        <v>0</v>
      </c>
      <c r="BU5" s="3">
        <f t="shared" si="14"/>
        <v>0</v>
      </c>
    </row>
    <row r="6" spans="1:73" ht="15" customHeight="1" outlineLevel="1" x14ac:dyDescent="0.25">
      <c r="A6" s="20">
        <v>10000</v>
      </c>
      <c r="B6" s="19">
        <v>2</v>
      </c>
      <c r="C6" s="3">
        <f t="shared" si="15"/>
        <v>20000</v>
      </c>
      <c r="D6" s="19">
        <v>2</v>
      </c>
      <c r="E6" s="6">
        <f>+$A6*D6</f>
        <v>20000</v>
      </c>
      <c r="F6" s="19">
        <v>2</v>
      </c>
      <c r="G6" s="240"/>
      <c r="H6" s="19">
        <v>1</v>
      </c>
      <c r="I6" s="23">
        <f>+$A6*H6</f>
        <v>10000</v>
      </c>
      <c r="J6" s="19">
        <v>1</v>
      </c>
      <c r="K6" s="23">
        <f>+$A6*J6</f>
        <v>10000</v>
      </c>
      <c r="L6" s="19">
        <v>5</v>
      </c>
      <c r="M6" s="3">
        <f>+$A6*L6</f>
        <v>50000</v>
      </c>
      <c r="N6" s="19">
        <v>0</v>
      </c>
      <c r="O6" s="238"/>
      <c r="P6" s="19">
        <v>4</v>
      </c>
      <c r="Q6" s="3">
        <f>+$A6*P6</f>
        <v>40000</v>
      </c>
      <c r="R6" s="19">
        <v>4</v>
      </c>
      <c r="S6" s="240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9">
        <v>0</v>
      </c>
      <c r="Y6" s="238"/>
      <c r="Z6" s="1">
        <v>1</v>
      </c>
      <c r="AA6" s="3">
        <f>+$A6*Z6</f>
        <v>10000</v>
      </c>
      <c r="AB6" s="1">
        <v>1</v>
      </c>
      <c r="AC6" s="3">
        <f>+$A6*AB6</f>
        <v>10000</v>
      </c>
      <c r="AD6" s="1">
        <v>2</v>
      </c>
      <c r="AE6" s="6">
        <f>+$A6*AD6</f>
        <v>20000</v>
      </c>
      <c r="AF6" s="1">
        <v>1</v>
      </c>
      <c r="AG6" s="3">
        <f t="shared" si="1"/>
        <v>10000</v>
      </c>
      <c r="AH6" s="1">
        <v>0</v>
      </c>
      <c r="AI6" s="3">
        <f t="shared" si="1"/>
        <v>0</v>
      </c>
      <c r="AJ6" s="1">
        <v>1</v>
      </c>
      <c r="AK6" s="3">
        <f t="shared" si="2"/>
        <v>10000</v>
      </c>
      <c r="AL6" s="1"/>
      <c r="AM6" s="240"/>
      <c r="AN6" s="1">
        <v>4</v>
      </c>
      <c r="AO6" s="3">
        <f t="shared" si="3"/>
        <v>40000</v>
      </c>
      <c r="AP6" s="1">
        <v>0</v>
      </c>
      <c r="AQ6" s="3">
        <f t="shared" si="4"/>
        <v>0</v>
      </c>
      <c r="AR6" s="1"/>
      <c r="AS6" s="240"/>
      <c r="AT6" s="1">
        <v>4</v>
      </c>
      <c r="AU6" s="3">
        <f t="shared" si="5"/>
        <v>40000</v>
      </c>
      <c r="AV6" s="1">
        <v>5</v>
      </c>
      <c r="AW6" s="3">
        <f t="shared" si="6"/>
        <v>50000</v>
      </c>
      <c r="AX6" s="1">
        <v>1</v>
      </c>
      <c r="AY6" s="3">
        <f t="shared" si="7"/>
        <v>10000</v>
      </c>
      <c r="AZ6" s="1">
        <v>0</v>
      </c>
      <c r="BA6" s="3">
        <f t="shared" si="8"/>
        <v>0</v>
      </c>
      <c r="BB6" s="1">
        <v>0</v>
      </c>
      <c r="BC6" s="3">
        <f t="shared" si="9"/>
        <v>0</v>
      </c>
      <c r="BD6" s="1">
        <v>0</v>
      </c>
      <c r="BE6" s="238"/>
      <c r="BF6" s="1">
        <v>0</v>
      </c>
      <c r="BG6" s="238"/>
      <c r="BH6" s="1">
        <v>6</v>
      </c>
      <c r="BI6" s="3">
        <f t="shared" si="10"/>
        <v>60000</v>
      </c>
      <c r="BJ6" s="1">
        <v>0</v>
      </c>
      <c r="BK6" s="240"/>
      <c r="BL6" s="1">
        <v>0</v>
      </c>
      <c r="BM6" s="240"/>
      <c r="BN6" s="1">
        <v>0</v>
      </c>
      <c r="BO6" s="3">
        <f t="shared" si="11"/>
        <v>0</v>
      </c>
      <c r="BP6" s="1">
        <v>7</v>
      </c>
      <c r="BQ6" s="3">
        <f t="shared" si="12"/>
        <v>70000</v>
      </c>
      <c r="BR6" s="1">
        <v>7</v>
      </c>
      <c r="BS6" s="3">
        <f t="shared" si="13"/>
        <v>70000</v>
      </c>
      <c r="BT6" s="1">
        <v>0</v>
      </c>
      <c r="BU6" s="3">
        <f t="shared" si="14"/>
        <v>0</v>
      </c>
    </row>
    <row r="7" spans="1:73" ht="15" customHeight="1" outlineLevel="1" x14ac:dyDescent="0.25">
      <c r="A7" s="20">
        <v>5000</v>
      </c>
      <c r="B7" s="19">
        <v>2</v>
      </c>
      <c r="C7" s="3">
        <f t="shared" si="15"/>
        <v>10000</v>
      </c>
      <c r="D7" s="19">
        <v>4</v>
      </c>
      <c r="E7" s="6">
        <f t="shared" si="16"/>
        <v>20000</v>
      </c>
      <c r="F7" s="19">
        <v>4</v>
      </c>
      <c r="G7" s="240"/>
      <c r="H7" s="19">
        <v>6</v>
      </c>
      <c r="I7" s="23">
        <f t="shared" ref="I7:I13" si="24">+$A7*H7</f>
        <v>30000</v>
      </c>
      <c r="J7" s="19">
        <v>5</v>
      </c>
      <c r="K7" s="23">
        <f t="shared" ref="K7:K13" si="25">+$A7*J7</f>
        <v>25000</v>
      </c>
      <c r="L7" s="19">
        <v>5</v>
      </c>
      <c r="M7" s="3">
        <f t="shared" ref="M7:M13" si="26">+$A7*L7</f>
        <v>25000</v>
      </c>
      <c r="N7" s="19">
        <v>0</v>
      </c>
      <c r="O7" s="238"/>
      <c r="P7" s="19">
        <v>3</v>
      </c>
      <c r="Q7" s="3">
        <f t="shared" ref="Q7:Q13" si="27">+$A7*P7</f>
        <v>15000</v>
      </c>
      <c r="R7" s="19">
        <v>3</v>
      </c>
      <c r="S7" s="240"/>
      <c r="T7" s="19">
        <v>3</v>
      </c>
      <c r="U7" s="3">
        <f t="shared" ref="U7:U13" si="28">+$A7*T7</f>
        <v>15000</v>
      </c>
      <c r="V7" s="1">
        <v>4</v>
      </c>
      <c r="W7" s="3">
        <f t="shared" ref="W7:W13" si="29">+$A7*V7</f>
        <v>20000</v>
      </c>
      <c r="X7" s="19">
        <v>0</v>
      </c>
      <c r="Y7" s="238"/>
      <c r="Z7" s="1">
        <v>0</v>
      </c>
      <c r="AA7" s="3">
        <f t="shared" ref="AA7:AA13" si="30">+$A7*Z7</f>
        <v>0</v>
      </c>
      <c r="AB7" s="1">
        <v>0</v>
      </c>
      <c r="AC7" s="3">
        <f t="shared" ref="AC7:AE13" si="31">+$A7*AB7</f>
        <v>0</v>
      </c>
      <c r="AD7" s="1">
        <v>3</v>
      </c>
      <c r="AE7" s="6">
        <f t="shared" si="31"/>
        <v>15000</v>
      </c>
      <c r="AF7" s="1">
        <v>3</v>
      </c>
      <c r="AG7" s="3">
        <f t="shared" si="1"/>
        <v>15000</v>
      </c>
      <c r="AH7" s="1">
        <v>5</v>
      </c>
      <c r="AI7" s="3">
        <f t="shared" si="1"/>
        <v>25000</v>
      </c>
      <c r="AJ7" s="1">
        <v>3</v>
      </c>
      <c r="AK7" s="3">
        <f t="shared" si="2"/>
        <v>15000</v>
      </c>
      <c r="AL7" s="1"/>
      <c r="AM7" s="240"/>
      <c r="AN7" s="1">
        <v>8</v>
      </c>
      <c r="AO7" s="3">
        <f t="shared" si="3"/>
        <v>40000</v>
      </c>
      <c r="AP7" s="1">
        <v>3</v>
      </c>
      <c r="AQ7" s="3">
        <f t="shared" si="4"/>
        <v>15000</v>
      </c>
      <c r="AR7" s="1"/>
      <c r="AS7" s="240"/>
      <c r="AT7" s="1">
        <v>3</v>
      </c>
      <c r="AU7" s="3">
        <f t="shared" si="5"/>
        <v>15000</v>
      </c>
      <c r="AV7" s="1">
        <v>10</v>
      </c>
      <c r="AW7" s="3">
        <f t="shared" si="6"/>
        <v>50000</v>
      </c>
      <c r="AX7" s="1">
        <v>8</v>
      </c>
      <c r="AY7" s="3">
        <f t="shared" si="7"/>
        <v>40000</v>
      </c>
      <c r="AZ7" s="1">
        <v>6</v>
      </c>
      <c r="BA7" s="3">
        <f t="shared" si="8"/>
        <v>30000</v>
      </c>
      <c r="BB7" s="1">
        <v>3</v>
      </c>
      <c r="BC7" s="3">
        <f t="shared" si="9"/>
        <v>15000</v>
      </c>
      <c r="BD7" s="1">
        <v>0</v>
      </c>
      <c r="BE7" s="238"/>
      <c r="BF7" s="1">
        <v>0</v>
      </c>
      <c r="BG7" s="238"/>
      <c r="BH7" s="1">
        <v>1</v>
      </c>
      <c r="BI7" s="3">
        <f t="shared" si="10"/>
        <v>5000</v>
      </c>
      <c r="BJ7" s="1">
        <v>0</v>
      </c>
      <c r="BK7" s="240"/>
      <c r="BL7" s="1">
        <v>0</v>
      </c>
      <c r="BM7" s="240"/>
      <c r="BN7" s="1">
        <v>0</v>
      </c>
      <c r="BO7" s="3">
        <f t="shared" si="11"/>
        <v>0</v>
      </c>
      <c r="BP7" s="1">
        <v>6</v>
      </c>
      <c r="BQ7" s="3">
        <f t="shared" si="12"/>
        <v>30000</v>
      </c>
      <c r="BR7" s="1">
        <v>6</v>
      </c>
      <c r="BS7" s="3">
        <f t="shared" si="13"/>
        <v>30000</v>
      </c>
      <c r="BT7" s="1">
        <v>0</v>
      </c>
      <c r="BU7" s="3">
        <f t="shared" si="14"/>
        <v>0</v>
      </c>
    </row>
    <row r="8" spans="1:73" ht="15" customHeight="1" outlineLevel="1" x14ac:dyDescent="0.25">
      <c r="A8" s="20">
        <v>2000</v>
      </c>
      <c r="B8" s="19">
        <v>4</v>
      </c>
      <c r="C8" s="3">
        <f t="shared" si="15"/>
        <v>8000</v>
      </c>
      <c r="D8" s="19">
        <v>5</v>
      </c>
      <c r="E8" s="6">
        <f t="shared" si="16"/>
        <v>10000</v>
      </c>
      <c r="F8" s="19">
        <v>5</v>
      </c>
      <c r="G8" s="240"/>
      <c r="H8" s="19">
        <v>12</v>
      </c>
      <c r="I8" s="23">
        <f t="shared" si="24"/>
        <v>24000</v>
      </c>
      <c r="J8" s="19">
        <v>17</v>
      </c>
      <c r="K8" s="23">
        <f t="shared" si="25"/>
        <v>34000</v>
      </c>
      <c r="L8" s="19">
        <v>14</v>
      </c>
      <c r="M8" s="3">
        <f t="shared" si="26"/>
        <v>28000</v>
      </c>
      <c r="N8" s="19">
        <v>0</v>
      </c>
      <c r="O8" s="238"/>
      <c r="P8" s="19">
        <v>10</v>
      </c>
      <c r="Q8" s="3">
        <f t="shared" si="27"/>
        <v>20000</v>
      </c>
      <c r="R8" s="19">
        <v>10</v>
      </c>
      <c r="S8" s="240"/>
      <c r="T8" s="19">
        <v>12</v>
      </c>
      <c r="U8" s="3">
        <f t="shared" si="28"/>
        <v>24000</v>
      </c>
      <c r="V8" s="1">
        <v>22</v>
      </c>
      <c r="W8" s="3">
        <f t="shared" si="29"/>
        <v>44000</v>
      </c>
      <c r="X8" s="19">
        <v>0</v>
      </c>
      <c r="Y8" s="238"/>
      <c r="Z8" s="1">
        <v>23</v>
      </c>
      <c r="AA8" s="3">
        <f t="shared" si="30"/>
        <v>46000</v>
      </c>
      <c r="AB8" s="1">
        <v>20</v>
      </c>
      <c r="AC8" s="3">
        <f t="shared" si="31"/>
        <v>40000</v>
      </c>
      <c r="AD8" s="1">
        <v>25</v>
      </c>
      <c r="AE8" s="6">
        <f t="shared" si="31"/>
        <v>50000</v>
      </c>
      <c r="AF8" s="1">
        <v>25</v>
      </c>
      <c r="AG8" s="3">
        <f t="shared" si="1"/>
        <v>50000</v>
      </c>
      <c r="AH8" s="1">
        <v>25</v>
      </c>
      <c r="AI8" s="3">
        <f t="shared" si="1"/>
        <v>50000</v>
      </c>
      <c r="AJ8" s="1">
        <v>20</v>
      </c>
      <c r="AK8" s="3">
        <f t="shared" si="2"/>
        <v>40000</v>
      </c>
      <c r="AL8" s="1"/>
      <c r="AM8" s="240"/>
      <c r="AN8" s="1">
        <v>23</v>
      </c>
      <c r="AO8" s="3">
        <f t="shared" si="3"/>
        <v>46000</v>
      </c>
      <c r="AP8" s="1">
        <v>18</v>
      </c>
      <c r="AQ8" s="3">
        <f t="shared" si="4"/>
        <v>36000</v>
      </c>
      <c r="AR8" s="1"/>
      <c r="AS8" s="240"/>
      <c r="AT8" s="1">
        <v>3</v>
      </c>
      <c r="AU8" s="3">
        <f t="shared" si="5"/>
        <v>6000</v>
      </c>
      <c r="AV8" s="1">
        <v>15</v>
      </c>
      <c r="AW8" s="3">
        <f t="shared" si="6"/>
        <v>30000</v>
      </c>
      <c r="AX8" s="1">
        <v>23</v>
      </c>
      <c r="AY8" s="3">
        <f t="shared" si="7"/>
        <v>46000</v>
      </c>
      <c r="AZ8" s="1">
        <v>21</v>
      </c>
      <c r="BA8" s="3">
        <f t="shared" si="8"/>
        <v>42000</v>
      </c>
      <c r="BB8" s="1">
        <v>18</v>
      </c>
      <c r="BC8" s="3">
        <f t="shared" si="9"/>
        <v>36000</v>
      </c>
      <c r="BD8" s="1">
        <v>0</v>
      </c>
      <c r="BE8" s="238"/>
      <c r="BF8" s="1">
        <v>0</v>
      </c>
      <c r="BG8" s="238"/>
      <c r="BH8" s="1">
        <v>18</v>
      </c>
      <c r="BI8" s="3">
        <f t="shared" si="10"/>
        <v>36000</v>
      </c>
      <c r="BJ8" s="1">
        <v>0</v>
      </c>
      <c r="BK8" s="240"/>
      <c r="BL8" s="1">
        <v>0</v>
      </c>
      <c r="BM8" s="240"/>
      <c r="BN8" s="1">
        <v>0</v>
      </c>
      <c r="BO8" s="3">
        <f t="shared" si="11"/>
        <v>0</v>
      </c>
      <c r="BP8" s="1">
        <v>13</v>
      </c>
      <c r="BQ8" s="3">
        <f t="shared" si="12"/>
        <v>26000</v>
      </c>
      <c r="BR8" s="1">
        <v>13</v>
      </c>
      <c r="BS8" s="3">
        <f t="shared" si="13"/>
        <v>26000</v>
      </c>
      <c r="BT8" s="1">
        <v>15</v>
      </c>
      <c r="BU8" s="3">
        <f t="shared" si="14"/>
        <v>30000</v>
      </c>
    </row>
    <row r="9" spans="1:73" ht="15" customHeight="1" outlineLevel="1" x14ac:dyDescent="0.25">
      <c r="A9" s="20">
        <v>1000</v>
      </c>
      <c r="B9" s="19">
        <v>7</v>
      </c>
      <c r="C9" s="3">
        <f t="shared" si="15"/>
        <v>7000</v>
      </c>
      <c r="D9" s="19">
        <v>8</v>
      </c>
      <c r="E9" s="6">
        <f t="shared" si="16"/>
        <v>8000</v>
      </c>
      <c r="F9" s="19">
        <v>8</v>
      </c>
      <c r="G9" s="240"/>
      <c r="H9" s="19">
        <v>3</v>
      </c>
      <c r="I9" s="23">
        <f t="shared" si="24"/>
        <v>3000</v>
      </c>
      <c r="J9" s="19">
        <v>2</v>
      </c>
      <c r="K9" s="23">
        <f t="shared" si="25"/>
        <v>2000</v>
      </c>
      <c r="L9" s="19">
        <v>0</v>
      </c>
      <c r="M9" s="3">
        <f t="shared" si="26"/>
        <v>0</v>
      </c>
      <c r="N9" s="19">
        <v>0</v>
      </c>
      <c r="O9" s="238"/>
      <c r="P9" s="19">
        <v>0</v>
      </c>
      <c r="Q9" s="3">
        <f t="shared" si="27"/>
        <v>0</v>
      </c>
      <c r="R9" s="19">
        <v>0</v>
      </c>
      <c r="S9" s="240"/>
      <c r="T9" s="19">
        <v>20</v>
      </c>
      <c r="U9" s="3">
        <f t="shared" si="28"/>
        <v>20000</v>
      </c>
      <c r="V9" s="1">
        <v>16</v>
      </c>
      <c r="W9" s="3">
        <f t="shared" si="29"/>
        <v>16000</v>
      </c>
      <c r="X9" s="19">
        <v>0</v>
      </c>
      <c r="Y9" s="238"/>
      <c r="Z9" s="1">
        <v>12</v>
      </c>
      <c r="AA9" s="3">
        <f t="shared" si="30"/>
        <v>12000</v>
      </c>
      <c r="AB9" s="1">
        <v>9</v>
      </c>
      <c r="AC9" s="3">
        <f t="shared" si="31"/>
        <v>9000</v>
      </c>
      <c r="AD9" s="1">
        <v>6</v>
      </c>
      <c r="AE9" s="6">
        <f t="shared" si="31"/>
        <v>6000</v>
      </c>
      <c r="AF9" s="1">
        <v>11</v>
      </c>
      <c r="AG9" s="3">
        <f t="shared" si="1"/>
        <v>11000</v>
      </c>
      <c r="AH9" s="1">
        <v>10</v>
      </c>
      <c r="AI9" s="3">
        <f t="shared" si="1"/>
        <v>10000</v>
      </c>
      <c r="AJ9" s="1">
        <v>6</v>
      </c>
      <c r="AK9" s="3">
        <f t="shared" si="2"/>
        <v>6000</v>
      </c>
      <c r="AL9" s="1"/>
      <c r="AM9" s="240"/>
      <c r="AN9" s="1">
        <v>11</v>
      </c>
      <c r="AO9" s="3">
        <f t="shared" si="3"/>
        <v>11000</v>
      </c>
      <c r="AP9" s="1">
        <v>9</v>
      </c>
      <c r="AQ9" s="3">
        <f t="shared" si="4"/>
        <v>9000</v>
      </c>
      <c r="AR9" s="1"/>
      <c r="AS9" s="240"/>
      <c r="AT9" s="1">
        <v>3</v>
      </c>
      <c r="AU9" s="3">
        <f t="shared" si="5"/>
        <v>3000</v>
      </c>
      <c r="AV9" s="1">
        <v>14</v>
      </c>
      <c r="AW9" s="3">
        <f t="shared" si="6"/>
        <v>14000</v>
      </c>
      <c r="AX9" s="1">
        <v>7</v>
      </c>
      <c r="AY9" s="3">
        <f t="shared" si="7"/>
        <v>7000</v>
      </c>
      <c r="AZ9" s="1">
        <v>7</v>
      </c>
      <c r="BA9" s="3">
        <f t="shared" si="8"/>
        <v>7000</v>
      </c>
      <c r="BB9" s="1">
        <v>6</v>
      </c>
      <c r="BC9" s="3">
        <f t="shared" si="9"/>
        <v>6000</v>
      </c>
      <c r="BD9" s="1">
        <v>0</v>
      </c>
      <c r="BE9" s="238"/>
      <c r="BF9" s="1">
        <v>0</v>
      </c>
      <c r="BG9" s="238"/>
      <c r="BH9" s="1">
        <v>6</v>
      </c>
      <c r="BI9" s="3">
        <f t="shared" si="10"/>
        <v>6000</v>
      </c>
      <c r="BJ9" s="1">
        <v>0</v>
      </c>
      <c r="BK9" s="240"/>
      <c r="BL9" s="1">
        <v>0</v>
      </c>
      <c r="BM9" s="240"/>
      <c r="BN9" s="1">
        <v>0</v>
      </c>
      <c r="BO9" s="3">
        <f t="shared" si="11"/>
        <v>0</v>
      </c>
      <c r="BP9" s="1">
        <v>10</v>
      </c>
      <c r="BQ9" s="3">
        <f t="shared" si="12"/>
        <v>10000</v>
      </c>
      <c r="BR9" s="1">
        <v>10</v>
      </c>
      <c r="BS9" s="3">
        <f t="shared" si="13"/>
        <v>10000</v>
      </c>
      <c r="BT9" s="1">
        <v>11</v>
      </c>
      <c r="BU9" s="3">
        <f t="shared" si="14"/>
        <v>11000</v>
      </c>
    </row>
    <row r="10" spans="1:73" ht="15" customHeight="1" outlineLevel="1" x14ac:dyDescent="0.25">
      <c r="A10" s="20">
        <v>500</v>
      </c>
      <c r="B10" s="19">
        <v>31</v>
      </c>
      <c r="C10" s="3">
        <f t="shared" si="15"/>
        <v>15500</v>
      </c>
      <c r="D10" s="19">
        <v>32</v>
      </c>
      <c r="E10" s="6">
        <f t="shared" si="16"/>
        <v>16000</v>
      </c>
      <c r="F10" s="19">
        <v>32</v>
      </c>
      <c r="G10" s="240"/>
      <c r="H10" s="19">
        <v>38</v>
      </c>
      <c r="I10" s="23">
        <f t="shared" si="24"/>
        <v>19000</v>
      </c>
      <c r="J10" s="19">
        <v>37</v>
      </c>
      <c r="K10" s="23">
        <f t="shared" si="25"/>
        <v>18500</v>
      </c>
      <c r="L10" s="19">
        <v>36</v>
      </c>
      <c r="M10" s="3">
        <f t="shared" si="26"/>
        <v>18000</v>
      </c>
      <c r="N10" s="19">
        <v>0</v>
      </c>
      <c r="O10" s="238"/>
      <c r="P10" s="19">
        <v>36</v>
      </c>
      <c r="Q10" s="3">
        <f t="shared" si="27"/>
        <v>18000</v>
      </c>
      <c r="R10" s="19">
        <v>36</v>
      </c>
      <c r="S10" s="240"/>
      <c r="T10" s="19">
        <v>40</v>
      </c>
      <c r="U10" s="3">
        <f t="shared" si="28"/>
        <v>20000</v>
      </c>
      <c r="V10" s="1">
        <v>45</v>
      </c>
      <c r="W10" s="3">
        <f t="shared" si="29"/>
        <v>22500</v>
      </c>
      <c r="X10" s="19">
        <v>0</v>
      </c>
      <c r="Y10" s="238"/>
      <c r="Z10" s="1">
        <v>31</v>
      </c>
      <c r="AA10" s="3">
        <f t="shared" si="30"/>
        <v>15500</v>
      </c>
      <c r="AB10" s="1">
        <v>20</v>
      </c>
      <c r="AC10" s="3">
        <f t="shared" si="31"/>
        <v>10000</v>
      </c>
      <c r="AD10" s="1">
        <v>21</v>
      </c>
      <c r="AE10" s="6">
        <f t="shared" si="31"/>
        <v>10500</v>
      </c>
      <c r="AF10" s="1">
        <v>21</v>
      </c>
      <c r="AG10" s="3">
        <f t="shared" si="1"/>
        <v>10500</v>
      </c>
      <c r="AH10" s="1">
        <v>35</v>
      </c>
      <c r="AI10" s="3">
        <f t="shared" si="1"/>
        <v>17500</v>
      </c>
      <c r="AJ10" s="1">
        <v>20</v>
      </c>
      <c r="AK10" s="3">
        <f t="shared" si="2"/>
        <v>10000</v>
      </c>
      <c r="AL10" s="1"/>
      <c r="AM10" s="240"/>
      <c r="AN10" s="1">
        <v>42</v>
      </c>
      <c r="AO10" s="3">
        <f t="shared" si="3"/>
        <v>21000</v>
      </c>
      <c r="AP10" s="1">
        <v>44</v>
      </c>
      <c r="AQ10" s="3">
        <f t="shared" si="4"/>
        <v>22000</v>
      </c>
      <c r="AR10" s="1"/>
      <c r="AS10" s="240"/>
      <c r="AT10" s="1">
        <v>46</v>
      </c>
      <c r="AU10" s="3">
        <f t="shared" si="5"/>
        <v>23000</v>
      </c>
      <c r="AV10" s="1">
        <v>50</v>
      </c>
      <c r="AW10" s="3">
        <f t="shared" si="6"/>
        <v>25000</v>
      </c>
      <c r="AX10" s="1">
        <v>49</v>
      </c>
      <c r="AY10" s="3">
        <f t="shared" si="7"/>
        <v>24500</v>
      </c>
      <c r="AZ10" s="1">
        <v>49</v>
      </c>
      <c r="BA10" s="3">
        <f t="shared" si="8"/>
        <v>24500</v>
      </c>
      <c r="BB10" s="1">
        <v>48</v>
      </c>
      <c r="BC10" s="3">
        <f t="shared" si="9"/>
        <v>24000</v>
      </c>
      <c r="BD10" s="1">
        <v>0</v>
      </c>
      <c r="BE10" s="238"/>
      <c r="BF10" s="1">
        <v>0</v>
      </c>
      <c r="BG10" s="238"/>
      <c r="BH10" s="1">
        <v>49</v>
      </c>
      <c r="BI10" s="3">
        <f t="shared" si="10"/>
        <v>24500</v>
      </c>
      <c r="BJ10" s="1">
        <v>0</v>
      </c>
      <c r="BK10" s="240"/>
      <c r="BL10" s="1">
        <v>0</v>
      </c>
      <c r="BM10" s="240"/>
      <c r="BN10" s="1">
        <v>0</v>
      </c>
      <c r="BO10" s="3">
        <f t="shared" si="11"/>
        <v>0</v>
      </c>
      <c r="BP10" s="1">
        <v>49</v>
      </c>
      <c r="BQ10" s="3">
        <f t="shared" si="12"/>
        <v>24500</v>
      </c>
      <c r="BR10" s="1">
        <v>49</v>
      </c>
      <c r="BS10" s="3">
        <f t="shared" si="13"/>
        <v>24500</v>
      </c>
      <c r="BT10" s="1">
        <v>50</v>
      </c>
      <c r="BU10" s="3">
        <f t="shared" si="14"/>
        <v>25000</v>
      </c>
    </row>
    <row r="11" spans="1:73" ht="15" customHeight="1" outlineLevel="1" x14ac:dyDescent="0.25">
      <c r="A11" s="20">
        <v>200</v>
      </c>
      <c r="B11" s="19">
        <v>54</v>
      </c>
      <c r="C11" s="3">
        <f t="shared" si="15"/>
        <v>10800</v>
      </c>
      <c r="D11" s="19">
        <v>56</v>
      </c>
      <c r="E11" s="6">
        <f t="shared" si="16"/>
        <v>11200</v>
      </c>
      <c r="F11" s="19">
        <v>56</v>
      </c>
      <c r="G11" s="240"/>
      <c r="H11" s="19">
        <v>62</v>
      </c>
      <c r="I11" s="23">
        <f t="shared" si="24"/>
        <v>12400</v>
      </c>
      <c r="J11" s="19">
        <v>62</v>
      </c>
      <c r="K11" s="23">
        <f t="shared" si="25"/>
        <v>12400</v>
      </c>
      <c r="L11" s="19">
        <v>68</v>
      </c>
      <c r="M11" s="3">
        <f t="shared" si="26"/>
        <v>13600</v>
      </c>
      <c r="N11" s="19">
        <v>0</v>
      </c>
      <c r="O11" s="238"/>
      <c r="P11" s="19">
        <v>81</v>
      </c>
      <c r="Q11" s="3">
        <f t="shared" si="27"/>
        <v>16200</v>
      </c>
      <c r="R11" s="19">
        <v>81</v>
      </c>
      <c r="S11" s="240"/>
      <c r="T11" s="19">
        <v>3</v>
      </c>
      <c r="U11" s="3">
        <f t="shared" si="28"/>
        <v>600</v>
      </c>
      <c r="V11" s="1">
        <v>5</v>
      </c>
      <c r="W11" s="3">
        <f t="shared" si="29"/>
        <v>1000</v>
      </c>
      <c r="X11" s="19">
        <v>0</v>
      </c>
      <c r="Y11" s="238"/>
      <c r="Z11" s="1">
        <v>4</v>
      </c>
      <c r="AA11" s="3">
        <f t="shared" si="30"/>
        <v>800</v>
      </c>
      <c r="AB11" s="1">
        <v>4</v>
      </c>
      <c r="AC11" s="3">
        <f t="shared" si="31"/>
        <v>800</v>
      </c>
      <c r="AD11" s="1">
        <v>7</v>
      </c>
      <c r="AE11" s="6">
        <f t="shared" si="31"/>
        <v>1400</v>
      </c>
      <c r="AF11" s="1">
        <v>13</v>
      </c>
      <c r="AG11" s="3">
        <f t="shared" si="1"/>
        <v>2600</v>
      </c>
      <c r="AH11" s="1">
        <v>9</v>
      </c>
      <c r="AI11" s="3">
        <f t="shared" si="1"/>
        <v>1800</v>
      </c>
      <c r="AJ11" s="1">
        <v>6</v>
      </c>
      <c r="AK11" s="3">
        <f t="shared" si="2"/>
        <v>1200</v>
      </c>
      <c r="AL11" s="1"/>
      <c r="AM11" s="240"/>
      <c r="AN11" s="1">
        <v>10</v>
      </c>
      <c r="AO11" s="3">
        <f t="shared" si="3"/>
        <v>2000</v>
      </c>
      <c r="AP11" s="1">
        <v>13</v>
      </c>
      <c r="AQ11" s="3">
        <f t="shared" si="4"/>
        <v>2600</v>
      </c>
      <c r="AR11" s="1"/>
      <c r="AS11" s="240"/>
      <c r="AT11" s="1">
        <v>25</v>
      </c>
      <c r="AU11" s="3">
        <f t="shared" si="5"/>
        <v>5000</v>
      </c>
      <c r="AV11" s="1">
        <v>10</v>
      </c>
      <c r="AW11" s="3">
        <f t="shared" si="6"/>
        <v>2000</v>
      </c>
      <c r="AX11" s="1">
        <v>10</v>
      </c>
      <c r="AY11" s="3">
        <f t="shared" si="7"/>
        <v>2000</v>
      </c>
      <c r="AZ11" s="1">
        <v>14</v>
      </c>
      <c r="BA11" s="3">
        <f t="shared" si="8"/>
        <v>2800</v>
      </c>
      <c r="BB11" s="1">
        <v>9</v>
      </c>
      <c r="BC11" s="3">
        <f t="shared" si="9"/>
        <v>1800</v>
      </c>
      <c r="BD11" s="1">
        <v>0</v>
      </c>
      <c r="BE11" s="238"/>
      <c r="BF11" s="1">
        <v>0</v>
      </c>
      <c r="BG11" s="238"/>
      <c r="BH11" s="1">
        <v>9</v>
      </c>
      <c r="BI11" s="3">
        <f t="shared" si="10"/>
        <v>1800</v>
      </c>
      <c r="BJ11" s="1">
        <v>0</v>
      </c>
      <c r="BK11" s="240"/>
      <c r="BL11" s="1">
        <v>0</v>
      </c>
      <c r="BM11" s="240"/>
      <c r="BN11" s="1">
        <v>0</v>
      </c>
      <c r="BO11" s="3">
        <f t="shared" si="11"/>
        <v>0</v>
      </c>
      <c r="BP11" s="1">
        <v>14</v>
      </c>
      <c r="BQ11" s="3">
        <f t="shared" si="12"/>
        <v>2800</v>
      </c>
      <c r="BR11" s="1">
        <v>14</v>
      </c>
      <c r="BS11" s="3">
        <f t="shared" si="13"/>
        <v>2800</v>
      </c>
      <c r="BT11" s="1">
        <v>14</v>
      </c>
      <c r="BU11" s="3">
        <f t="shared" si="14"/>
        <v>2800</v>
      </c>
    </row>
    <row r="12" spans="1:73" ht="15" customHeight="1" outlineLevel="1" x14ac:dyDescent="0.25">
      <c r="A12" s="20">
        <v>100</v>
      </c>
      <c r="B12" s="19">
        <v>38</v>
      </c>
      <c r="C12" s="3">
        <f t="shared" si="15"/>
        <v>3800</v>
      </c>
      <c r="D12" s="19">
        <v>39</v>
      </c>
      <c r="E12" s="6">
        <f t="shared" si="16"/>
        <v>3900</v>
      </c>
      <c r="F12" s="19">
        <v>39</v>
      </c>
      <c r="G12" s="240"/>
      <c r="H12" s="19">
        <v>51</v>
      </c>
      <c r="I12" s="23">
        <f t="shared" si="24"/>
        <v>5100</v>
      </c>
      <c r="J12" s="19">
        <v>48</v>
      </c>
      <c r="K12" s="23">
        <f t="shared" si="25"/>
        <v>4800</v>
      </c>
      <c r="L12" s="19">
        <v>63</v>
      </c>
      <c r="M12" s="3">
        <f t="shared" si="26"/>
        <v>6300</v>
      </c>
      <c r="N12" s="19">
        <v>0</v>
      </c>
      <c r="O12" s="238"/>
      <c r="P12" s="19">
        <v>77</v>
      </c>
      <c r="Q12" s="3">
        <f t="shared" si="27"/>
        <v>7700</v>
      </c>
      <c r="R12" s="19">
        <v>77</v>
      </c>
      <c r="S12" s="240"/>
      <c r="T12" s="19">
        <v>9</v>
      </c>
      <c r="U12" s="3">
        <f t="shared" si="28"/>
        <v>900</v>
      </c>
      <c r="V12" s="1">
        <v>11</v>
      </c>
      <c r="W12" s="3">
        <f t="shared" si="29"/>
        <v>1100</v>
      </c>
      <c r="X12" s="19">
        <v>0</v>
      </c>
      <c r="Y12" s="238"/>
      <c r="Z12" s="1">
        <v>13</v>
      </c>
      <c r="AA12" s="3">
        <f t="shared" si="30"/>
        <v>1300</v>
      </c>
      <c r="AB12" s="1">
        <v>13</v>
      </c>
      <c r="AC12" s="3">
        <f t="shared" si="31"/>
        <v>1300</v>
      </c>
      <c r="AD12" s="1">
        <v>14</v>
      </c>
      <c r="AE12" s="6">
        <f t="shared" si="31"/>
        <v>1400</v>
      </c>
      <c r="AF12" s="1">
        <v>15</v>
      </c>
      <c r="AG12" s="3">
        <f t="shared" si="1"/>
        <v>1500</v>
      </c>
      <c r="AH12" s="1">
        <v>15</v>
      </c>
      <c r="AI12" s="3">
        <f t="shared" si="1"/>
        <v>1500</v>
      </c>
      <c r="AJ12" s="1">
        <v>17</v>
      </c>
      <c r="AK12" s="3">
        <f t="shared" si="2"/>
        <v>1700</v>
      </c>
      <c r="AL12" s="1"/>
      <c r="AM12" s="240"/>
      <c r="AN12" s="1">
        <v>29</v>
      </c>
      <c r="AO12" s="3">
        <f t="shared" si="3"/>
        <v>2900</v>
      </c>
      <c r="AP12" s="1">
        <v>29</v>
      </c>
      <c r="AQ12" s="3">
        <f t="shared" si="4"/>
        <v>2900</v>
      </c>
      <c r="AR12" s="1"/>
      <c r="AS12" s="240"/>
      <c r="AT12" s="1">
        <v>30</v>
      </c>
      <c r="AU12" s="3">
        <f t="shared" si="5"/>
        <v>3000</v>
      </c>
      <c r="AV12" s="1">
        <v>12</v>
      </c>
      <c r="AW12" s="3">
        <f t="shared" si="6"/>
        <v>1200</v>
      </c>
      <c r="AX12" s="1">
        <v>11</v>
      </c>
      <c r="AY12" s="3">
        <f t="shared" si="7"/>
        <v>1100</v>
      </c>
      <c r="AZ12" s="1">
        <v>13</v>
      </c>
      <c r="BA12" s="3">
        <f t="shared" si="8"/>
        <v>1300</v>
      </c>
      <c r="BB12" s="1">
        <v>13</v>
      </c>
      <c r="BC12" s="3">
        <f t="shared" si="9"/>
        <v>1300</v>
      </c>
      <c r="BD12" s="1">
        <v>0</v>
      </c>
      <c r="BE12" s="238"/>
      <c r="BF12" s="1">
        <v>0</v>
      </c>
      <c r="BG12" s="238"/>
      <c r="BH12" s="1">
        <v>13</v>
      </c>
      <c r="BI12" s="3">
        <f t="shared" si="10"/>
        <v>1300</v>
      </c>
      <c r="BJ12" s="1">
        <v>0</v>
      </c>
      <c r="BK12" s="240"/>
      <c r="BL12" s="1">
        <v>0</v>
      </c>
      <c r="BM12" s="240"/>
      <c r="BN12" s="1">
        <v>0</v>
      </c>
      <c r="BO12" s="3">
        <f t="shared" si="11"/>
        <v>0</v>
      </c>
      <c r="BP12" s="1">
        <v>15</v>
      </c>
      <c r="BQ12" s="3">
        <f t="shared" si="12"/>
        <v>1500</v>
      </c>
      <c r="BR12" s="1">
        <v>15</v>
      </c>
      <c r="BS12" s="3">
        <f t="shared" si="13"/>
        <v>1500</v>
      </c>
      <c r="BT12" s="1">
        <v>20</v>
      </c>
      <c r="BU12" s="3">
        <f t="shared" si="14"/>
        <v>2000</v>
      </c>
    </row>
    <row r="13" spans="1:73" ht="15.75" customHeight="1" outlineLevel="1" thickBot="1" x14ac:dyDescent="0.3">
      <c r="A13" s="20">
        <v>50</v>
      </c>
      <c r="B13" s="19">
        <v>10</v>
      </c>
      <c r="C13" s="21">
        <f t="shared" si="15"/>
        <v>500</v>
      </c>
      <c r="D13" s="19">
        <v>10</v>
      </c>
      <c r="E13" s="199">
        <f t="shared" si="16"/>
        <v>500</v>
      </c>
      <c r="F13" s="19">
        <v>10</v>
      </c>
      <c r="G13" s="241"/>
      <c r="H13" s="19">
        <v>10</v>
      </c>
      <c r="I13" s="200">
        <f t="shared" si="24"/>
        <v>500</v>
      </c>
      <c r="J13" s="19">
        <v>10</v>
      </c>
      <c r="K13" s="200">
        <f t="shared" si="25"/>
        <v>500</v>
      </c>
      <c r="L13" s="19">
        <v>10</v>
      </c>
      <c r="M13" s="21">
        <f t="shared" si="26"/>
        <v>500</v>
      </c>
      <c r="N13" s="19">
        <v>0</v>
      </c>
      <c r="O13" s="239"/>
      <c r="P13" s="19">
        <v>14</v>
      </c>
      <c r="Q13" s="21">
        <f t="shared" si="27"/>
        <v>700</v>
      </c>
      <c r="R13" s="19">
        <v>14</v>
      </c>
      <c r="S13" s="241"/>
      <c r="T13" s="19">
        <v>9</v>
      </c>
      <c r="U13" s="21">
        <f t="shared" si="28"/>
        <v>450</v>
      </c>
      <c r="V13" s="1">
        <v>9</v>
      </c>
      <c r="W13" s="21">
        <f t="shared" si="29"/>
        <v>450</v>
      </c>
      <c r="X13" s="19">
        <v>0</v>
      </c>
      <c r="Y13" s="239"/>
      <c r="Z13" s="1">
        <v>8</v>
      </c>
      <c r="AA13" s="21">
        <f t="shared" si="30"/>
        <v>400</v>
      </c>
      <c r="AB13" s="1">
        <v>11</v>
      </c>
      <c r="AC13" s="21">
        <f t="shared" si="31"/>
        <v>550</v>
      </c>
      <c r="AD13" s="1">
        <v>9</v>
      </c>
      <c r="AE13" s="199">
        <f t="shared" si="31"/>
        <v>450</v>
      </c>
      <c r="AF13" s="1">
        <v>8</v>
      </c>
      <c r="AG13" s="21">
        <f t="shared" si="1"/>
        <v>400</v>
      </c>
      <c r="AH13" s="1">
        <v>8</v>
      </c>
      <c r="AI13" s="21">
        <f t="shared" si="1"/>
        <v>400</v>
      </c>
      <c r="AJ13" s="1">
        <v>7</v>
      </c>
      <c r="AK13" s="21">
        <f t="shared" si="2"/>
        <v>350</v>
      </c>
      <c r="AL13" s="1"/>
      <c r="AM13" s="241"/>
      <c r="AN13" s="1">
        <v>9</v>
      </c>
      <c r="AO13" s="21">
        <f t="shared" si="3"/>
        <v>450</v>
      </c>
      <c r="AP13" s="1">
        <v>10</v>
      </c>
      <c r="AQ13" s="21">
        <f t="shared" si="4"/>
        <v>500</v>
      </c>
      <c r="AR13" s="1"/>
      <c r="AS13" s="241"/>
      <c r="AT13" s="1">
        <v>10</v>
      </c>
      <c r="AU13" s="21">
        <f t="shared" si="5"/>
        <v>500</v>
      </c>
      <c r="AV13" s="1">
        <v>11</v>
      </c>
      <c r="AW13" s="21">
        <f t="shared" si="6"/>
        <v>550</v>
      </c>
      <c r="AX13" s="1">
        <v>12</v>
      </c>
      <c r="AY13" s="21">
        <f t="shared" si="7"/>
        <v>600</v>
      </c>
      <c r="AZ13" s="1">
        <v>12</v>
      </c>
      <c r="BA13" s="21">
        <f t="shared" si="8"/>
        <v>600</v>
      </c>
      <c r="BB13" s="1">
        <v>12</v>
      </c>
      <c r="BC13" s="21">
        <f t="shared" si="9"/>
        <v>600</v>
      </c>
      <c r="BD13" s="1">
        <v>0</v>
      </c>
      <c r="BE13" s="239"/>
      <c r="BF13" s="1">
        <v>0</v>
      </c>
      <c r="BG13" s="239"/>
      <c r="BH13" s="1">
        <v>12</v>
      </c>
      <c r="BI13" s="21">
        <f t="shared" si="10"/>
        <v>600</v>
      </c>
      <c r="BJ13" s="1">
        <v>0</v>
      </c>
      <c r="BK13" s="241"/>
      <c r="BL13" s="1">
        <v>0</v>
      </c>
      <c r="BM13" s="241"/>
      <c r="BN13" s="1">
        <v>0</v>
      </c>
      <c r="BO13" s="21">
        <f t="shared" si="11"/>
        <v>0</v>
      </c>
      <c r="BP13" s="1">
        <v>29</v>
      </c>
      <c r="BQ13" s="21">
        <f t="shared" si="12"/>
        <v>1450</v>
      </c>
      <c r="BR13" s="1">
        <v>29</v>
      </c>
      <c r="BS13" s="21">
        <f t="shared" si="13"/>
        <v>1450</v>
      </c>
      <c r="BT13" s="1">
        <v>29</v>
      </c>
      <c r="BU13" s="21">
        <f t="shared" si="14"/>
        <v>1450</v>
      </c>
    </row>
    <row r="14" spans="1:7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f>+G23</f>
        <v>412900</v>
      </c>
      <c r="I14" s="13">
        <f>100000+(315000-10000)</f>
        <v>405000</v>
      </c>
      <c r="K14" s="46">
        <f>+K23</f>
        <v>43100</v>
      </c>
      <c r="M14" s="13">
        <f>SUM(M3:M13)</f>
        <v>141400</v>
      </c>
      <c r="O14" s="12">
        <v>0</v>
      </c>
      <c r="Q14" s="6">
        <f>SUM(Q3:Q13)</f>
        <v>187600</v>
      </c>
      <c r="S14" s="59">
        <f>+S23</f>
        <v>247700</v>
      </c>
      <c r="U14" s="6">
        <f>SUM(U3:U13)</f>
        <v>120950</v>
      </c>
      <c r="W14" s="6">
        <f>SUM(W3:W13)</f>
        <v>175050</v>
      </c>
      <c r="Y14" s="12">
        <v>0</v>
      </c>
      <c r="AA14" s="23">
        <f>SUM(AA3:AA13)</f>
        <v>86000</v>
      </c>
      <c r="AC14" s="12">
        <f>SUM(AC3:AC13)</f>
        <v>141650</v>
      </c>
      <c r="AE14" s="12">
        <f>+AE23</f>
        <v>100000</v>
      </c>
      <c r="AG14" s="12">
        <f>SUM(AG3:AG13)</f>
        <v>151000</v>
      </c>
      <c r="AI14" s="12">
        <f>SUM(AI3:AI13)</f>
        <v>106200</v>
      </c>
      <c r="AK14" s="12">
        <f>SUM(AK3:AK13)</f>
        <v>84250</v>
      </c>
      <c r="AM14" s="46">
        <f>+AM23</f>
        <v>206450</v>
      </c>
      <c r="AO14" s="12">
        <f>SUM(AO3:AO13)</f>
        <v>203350</v>
      </c>
      <c r="AQ14" s="12">
        <f>SUM(AQ3:AQ13)</f>
        <v>88000</v>
      </c>
      <c r="AS14" s="46">
        <f>+AS23</f>
        <v>172000</v>
      </c>
      <c r="AU14" s="12">
        <f>SUM(AU3:AU13)</f>
        <v>95500</v>
      </c>
      <c r="AW14" s="12">
        <f>SUM(AW3:AW13)</f>
        <v>172750</v>
      </c>
      <c r="AY14" s="12">
        <f>SUM(AY3:AY13)</f>
        <v>331200</v>
      </c>
      <c r="BA14" s="12">
        <f>SUM(BA3:BA13)</f>
        <v>108200</v>
      </c>
      <c r="BC14" s="12">
        <f>SUM(BC3:BC13)</f>
        <v>144700</v>
      </c>
      <c r="BE14" s="46">
        <f>+BE23</f>
        <v>144700</v>
      </c>
      <c r="BG14" s="46">
        <f>+BG23</f>
        <v>144700</v>
      </c>
      <c r="BI14" s="12">
        <f>SUM(BI3:BI13)</f>
        <v>215200</v>
      </c>
      <c r="BK14" s="46">
        <f>+BK23</f>
        <v>250850</v>
      </c>
      <c r="BM14" s="46">
        <f>+BM23</f>
        <v>334850</v>
      </c>
      <c r="BO14" s="46">
        <f>+BO23</f>
        <v>314850</v>
      </c>
      <c r="BQ14" s="13">
        <f>SUM(BQ3:BQ13)</f>
        <v>436250</v>
      </c>
      <c r="BS14" s="13">
        <f>SUM(BS3:BS13)</f>
        <v>436250</v>
      </c>
      <c r="BU14" s="13">
        <f>SUM(BU3:BU13)</f>
        <v>72250</v>
      </c>
    </row>
    <row r="15" spans="1:73" x14ac:dyDescent="0.25">
      <c r="U15">
        <v>324300</v>
      </c>
      <c r="AG15" s="12"/>
      <c r="AI15" s="12"/>
      <c r="AK15" s="12"/>
      <c r="AM15" s="12"/>
      <c r="AO15" s="12"/>
      <c r="AQ15" s="12"/>
      <c r="AS15" s="12"/>
      <c r="BE15" s="9">
        <f>+BC14-BI18</f>
        <v>0</v>
      </c>
    </row>
    <row r="16" spans="1:73" x14ac:dyDescent="0.25">
      <c r="M16" s="9"/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AS16" s="9"/>
      <c r="AU16" s="9">
        <f>+AU18-AS23</f>
        <v>0</v>
      </c>
      <c r="BC16" s="9">
        <f>+BC18+BE15</f>
        <v>108200</v>
      </c>
    </row>
    <row r="17" spans="1:71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vie</v>
      </c>
      <c r="Z17" s="39"/>
      <c r="AA17" s="40" t="str">
        <f>+AA1</f>
        <v>sáb</v>
      </c>
      <c r="AB17" s="39"/>
      <c r="AC17" s="40" t="str">
        <f>+AC1</f>
        <v>dom</v>
      </c>
      <c r="AD17" s="39"/>
      <c r="AE17" s="40" t="str">
        <f>+AE1</f>
        <v>lun</v>
      </c>
      <c r="AF17" s="39"/>
      <c r="AG17" s="40" t="str">
        <f>+AG1</f>
        <v>mar</v>
      </c>
      <c r="AH17" s="39"/>
      <c r="AI17" s="40" t="str">
        <f>+AI1</f>
        <v>mié</v>
      </c>
      <c r="AJ17" s="39"/>
      <c r="AK17" s="40" t="str">
        <f>+AK1</f>
        <v>jue</v>
      </c>
      <c r="AL17" s="39"/>
      <c r="AM17" s="40" t="str">
        <f>+AM1</f>
        <v>vie</v>
      </c>
      <c r="AN17" s="39"/>
      <c r="AO17" s="40" t="str">
        <f>+AO1</f>
        <v>sáb</v>
      </c>
      <c r="AP17" s="39"/>
      <c r="AQ17" s="40" t="str">
        <f>+AQ1</f>
        <v>dom</v>
      </c>
      <c r="AR17" s="39"/>
      <c r="AS17" s="40" t="str">
        <f>+AS1</f>
        <v>lun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jue</v>
      </c>
      <c r="AZ17" s="39"/>
      <c r="BA17" s="40">
        <f>+BB1</f>
        <v>0</v>
      </c>
      <c r="BB17" s="39"/>
      <c r="BC17" s="40" t="str">
        <f>+BC1</f>
        <v>sáb</v>
      </c>
      <c r="BD17" s="39"/>
      <c r="BE17" s="40" t="str">
        <f>+BE1</f>
        <v>dom</v>
      </c>
      <c r="BF17" s="39"/>
      <c r="BG17" s="40" t="str">
        <f>+BG1</f>
        <v>lun</v>
      </c>
      <c r="BH17" s="39"/>
      <c r="BI17" s="40" t="str">
        <f>+BI1</f>
        <v>mar</v>
      </c>
      <c r="BJ17" s="39"/>
      <c r="BK17" s="40" t="str">
        <f>+BK1</f>
        <v>mié</v>
      </c>
      <c r="BL17" s="39"/>
      <c r="BM17" s="40" t="str">
        <f>+BM1</f>
        <v>jue</v>
      </c>
      <c r="BN17" s="39"/>
      <c r="BO17" s="40" t="str">
        <f>+BO1</f>
        <v>vie</v>
      </c>
      <c r="BP17" s="39"/>
      <c r="BQ17" s="40" t="str">
        <f>+BQ1</f>
        <v>sáb</v>
      </c>
      <c r="BR17" s="39"/>
      <c r="BS17" s="40" t="str">
        <f>+BS1</f>
        <v>dom</v>
      </c>
    </row>
    <row r="18" spans="1:71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f>+K23</f>
        <v>43100</v>
      </c>
      <c r="O18" s="57">
        <v>0</v>
      </c>
      <c r="Q18" s="24">
        <f>+M23</f>
        <v>141400</v>
      </c>
      <c r="S18" s="24">
        <f>+Q23</f>
        <v>201400</v>
      </c>
      <c r="U18" s="58">
        <f>+S23</f>
        <v>247700</v>
      </c>
      <c r="W18" s="14">
        <f>+U23</f>
        <v>99250</v>
      </c>
      <c r="Y18" s="57">
        <v>0</v>
      </c>
      <c r="AA18" s="14">
        <f>+W23</f>
        <v>157350</v>
      </c>
      <c r="AC18" s="14">
        <f>+AA23</f>
        <v>153550</v>
      </c>
      <c r="AE18" s="14">
        <f>+AC23</f>
        <v>120200</v>
      </c>
      <c r="AG18" s="14">
        <f>+AE23</f>
        <v>100000</v>
      </c>
      <c r="AI18" s="14">
        <f>+AG23</f>
        <v>151000</v>
      </c>
      <c r="AK18" s="14">
        <f>+AI23</f>
        <v>88400</v>
      </c>
      <c r="AM18" s="14">
        <f>+AK23</f>
        <v>73950</v>
      </c>
      <c r="AO18" s="14">
        <f>+AM23</f>
        <v>206450</v>
      </c>
      <c r="AQ18" s="14">
        <f>+AO23</f>
        <v>125950</v>
      </c>
      <c r="AS18" s="14">
        <f>+AQ23</f>
        <v>88000</v>
      </c>
      <c r="AU18" s="14">
        <f>+AS23</f>
        <v>172000</v>
      </c>
      <c r="AW18" s="14">
        <f>+AU23</f>
        <v>95500</v>
      </c>
      <c r="AY18" s="14">
        <f>+AW23</f>
        <v>172750</v>
      </c>
      <c r="BA18" s="14">
        <f>+AY23</f>
        <v>331200</v>
      </c>
      <c r="BC18" s="14">
        <f>+BA23</f>
        <v>108200</v>
      </c>
      <c r="BE18" s="14">
        <f>+BC23</f>
        <v>144700</v>
      </c>
      <c r="BG18" s="14">
        <f>+BE18</f>
        <v>144700</v>
      </c>
      <c r="BI18" s="14">
        <f>+BG23</f>
        <v>144700</v>
      </c>
      <c r="BK18" s="14">
        <f>+BI23</f>
        <v>215200</v>
      </c>
      <c r="BM18" s="14">
        <f>+BK23</f>
        <v>250850</v>
      </c>
      <c r="BO18" s="14">
        <f>+BM23</f>
        <v>334850</v>
      </c>
      <c r="BQ18" s="14">
        <f>+BO23</f>
        <v>314850</v>
      </c>
      <c r="BS18" s="14">
        <f>+BQ23</f>
        <v>436250</v>
      </c>
    </row>
    <row r="19" spans="1:71" x14ac:dyDescent="0.25">
      <c r="A19" s="14" t="s">
        <v>198</v>
      </c>
      <c r="C19" s="14">
        <v>0</v>
      </c>
      <c r="E19" s="202">
        <v>-3000</v>
      </c>
      <c r="G19" s="41">
        <v>0</v>
      </c>
      <c r="I19" s="202">
        <v>-7900</v>
      </c>
      <c r="K19" s="202">
        <v>-7900</v>
      </c>
      <c r="M19" s="201">
        <v>88200</v>
      </c>
      <c r="O19" s="57">
        <v>0</v>
      </c>
      <c r="Q19" s="57">
        <v>0</v>
      </c>
      <c r="S19" s="57">
        <v>0</v>
      </c>
      <c r="U19" s="201"/>
      <c r="W19" s="57">
        <v>0</v>
      </c>
      <c r="Y19" s="57">
        <v>0</v>
      </c>
      <c r="AA19" s="57"/>
      <c r="AC19" s="57"/>
      <c r="AE19" s="202">
        <f>+SUM(Q25,U25,W25,AA25,AC25)-42200</f>
        <v>-62700</v>
      </c>
      <c r="AG19" s="57">
        <v>0</v>
      </c>
      <c r="AI19" s="55">
        <v>0</v>
      </c>
      <c r="AK19" s="57">
        <v>0</v>
      </c>
      <c r="AM19" s="57">
        <v>0</v>
      </c>
      <c r="AO19" s="57"/>
      <c r="AQ19" s="201">
        <f>+SUM(AI25,AK25,AO25)-21100</f>
        <v>84400</v>
      </c>
      <c r="AS19" s="57">
        <v>0</v>
      </c>
      <c r="AU19" s="202">
        <v>-3000</v>
      </c>
      <c r="AW19" s="57">
        <v>0</v>
      </c>
      <c r="AY19" s="57">
        <v>0</v>
      </c>
      <c r="BA19" s="57">
        <v>0</v>
      </c>
      <c r="BC19" s="57"/>
      <c r="BE19" s="57"/>
      <c r="BG19" s="41">
        <v>0</v>
      </c>
      <c r="BI19" s="201">
        <f>1800</f>
        <v>1800</v>
      </c>
      <c r="BK19" s="57">
        <v>0</v>
      </c>
      <c r="BM19" s="57">
        <v>0</v>
      </c>
      <c r="BO19" s="57">
        <v>0</v>
      </c>
      <c r="BQ19" s="202">
        <v>-2600</v>
      </c>
      <c r="BS19" s="202">
        <v>-2600</v>
      </c>
    </row>
    <row r="20" spans="1:71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41">
        <v>60000</v>
      </c>
      <c r="S20" s="57">
        <v>105000</v>
      </c>
      <c r="U20" s="57">
        <v>260000</v>
      </c>
      <c r="W20" s="57">
        <v>143500</v>
      </c>
      <c r="Y20" s="41">
        <v>0</v>
      </c>
      <c r="AA20" s="57">
        <v>211000</v>
      </c>
      <c r="AC20" s="24">
        <v>123500</v>
      </c>
      <c r="AE20" s="57">
        <v>172500</v>
      </c>
      <c r="AG20" s="57">
        <v>51000</v>
      </c>
      <c r="AI20" s="57">
        <v>338500</v>
      </c>
      <c r="AK20" s="57">
        <v>67000</v>
      </c>
      <c r="AM20" s="57">
        <f>Registros!$C$13</f>
        <v>132500</v>
      </c>
      <c r="AO20" s="57">
        <v>271000</v>
      </c>
      <c r="AQ20" s="57">
        <v>99000</v>
      </c>
      <c r="AS20" s="57">
        <v>99000</v>
      </c>
      <c r="AU20" s="57">
        <v>176500</v>
      </c>
      <c r="AW20" s="57">
        <v>77250</v>
      </c>
      <c r="AY20" s="57">
        <v>207700</v>
      </c>
      <c r="BA20" s="57">
        <v>107000</v>
      </c>
      <c r="BC20" s="57">
        <v>126500</v>
      </c>
      <c r="BE20" s="57"/>
      <c r="BG20" s="41">
        <v>0</v>
      </c>
      <c r="BI20" s="57">
        <f>130700+8000</f>
        <v>138700</v>
      </c>
      <c r="BK20" s="57">
        <v>58500</v>
      </c>
      <c r="BM20" s="57">
        <v>104000</v>
      </c>
      <c r="BO20" s="57">
        <v>0</v>
      </c>
      <c r="BQ20" s="57">
        <v>139000</v>
      </c>
      <c r="BS20" s="57">
        <v>139000</v>
      </c>
    </row>
    <row r="21" spans="1:71" x14ac:dyDescent="0.25">
      <c r="A21" s="14" t="s">
        <v>134</v>
      </c>
      <c r="C21" s="41">
        <f>60000+100</f>
        <v>60100</v>
      </c>
      <c r="E21" s="41">
        <v>100000</v>
      </c>
      <c r="G21" s="41">
        <f>70000+36700+120000+20000</f>
        <v>246700</v>
      </c>
      <c r="I21" s="41">
        <f>$I$20</f>
        <v>84000</v>
      </c>
      <c r="K21" s="41">
        <f>10000+70000+20000+20000+(120000)</f>
        <v>240000</v>
      </c>
      <c r="M21" s="41">
        <f>20000+70000+6400</f>
        <v>96400</v>
      </c>
      <c r="O21" s="41">
        <v>0</v>
      </c>
      <c r="Q21" s="41">
        <v>0</v>
      </c>
      <c r="S21" s="41">
        <f>30000+28700</f>
        <v>58700</v>
      </c>
      <c r="U21" s="41">
        <f>20000+124400+3500+11000+16500+46350+50000+14000</f>
        <v>285750</v>
      </c>
      <c r="W21" s="41">
        <f>38050+17000+7450+22400+500</f>
        <v>85400</v>
      </c>
      <c r="Y21" s="41">
        <v>0</v>
      </c>
      <c r="AA21" s="41">
        <v>214800</v>
      </c>
      <c r="AC21" s="41">
        <f>10000+20000+26850</f>
        <v>56850</v>
      </c>
      <c r="AE21" s="41">
        <v>30000</v>
      </c>
      <c r="AG21" s="41">
        <v>0</v>
      </c>
      <c r="AI21" s="41">
        <f>140000+1000+20500+55800+43800+40000</f>
        <v>301100</v>
      </c>
      <c r="AK21" s="57">
        <f>4500+21600</f>
        <v>26100</v>
      </c>
      <c r="AM21" s="57"/>
      <c r="AO21" s="57">
        <f>30000+120000+50000+51500</f>
        <v>251500</v>
      </c>
      <c r="AQ21" s="57">
        <f>Gas!$C$15</f>
        <v>221350</v>
      </c>
      <c r="AS21" s="57">
        <v>15000</v>
      </c>
      <c r="AU21" s="57"/>
      <c r="AW21" s="57"/>
      <c r="AY21" s="57">
        <f>13500+7800+27950</f>
        <v>49250</v>
      </c>
      <c r="BA21" s="57">
        <f>30000+70000</f>
        <v>100000</v>
      </c>
      <c r="BC21" s="57">
        <f>70000+20000</f>
        <v>90000</v>
      </c>
      <c r="BE21" s="57"/>
      <c r="BG21" s="41">
        <v>0</v>
      </c>
      <c r="BI21" s="57">
        <v>70000</v>
      </c>
      <c r="BK21" s="41">
        <v>22850</v>
      </c>
      <c r="BM21" s="57">
        <v>20000</v>
      </c>
      <c r="BO21" s="57">
        <v>20000</v>
      </c>
      <c r="BQ21" s="57">
        <v>15000</v>
      </c>
      <c r="BS21" s="57">
        <v>15000</v>
      </c>
    </row>
    <row r="22" spans="1:71" ht="15.75" thickBot="1" x14ac:dyDescent="0.3">
      <c r="A22" s="14" t="s">
        <v>298</v>
      </c>
      <c r="C22" s="42"/>
      <c r="E22" s="42"/>
      <c r="G22" s="42"/>
      <c r="I22" s="42"/>
      <c r="K22" s="42">
        <v>300000</v>
      </c>
      <c r="M22" s="42">
        <f>350000</f>
        <v>350000</v>
      </c>
      <c r="O22" s="42">
        <v>0</v>
      </c>
      <c r="Q22" s="42">
        <v>0</v>
      </c>
      <c r="S22" s="42">
        <v>0</v>
      </c>
      <c r="U22" s="42">
        <v>122700</v>
      </c>
      <c r="W22" s="42"/>
      <c r="Y22" s="42">
        <v>0</v>
      </c>
      <c r="AA22" s="42"/>
      <c r="AC22" s="42">
        <v>100000</v>
      </c>
      <c r="AE22" s="42">
        <v>100000</v>
      </c>
      <c r="AG22" s="42">
        <v>0</v>
      </c>
      <c r="AI22" s="42">
        <v>100000</v>
      </c>
      <c r="AK22" s="42">
        <f>4000+51350</f>
        <v>55350</v>
      </c>
      <c r="AM22" s="42"/>
      <c r="AO22" s="42">
        <v>100000</v>
      </c>
      <c r="AQ22" s="42"/>
      <c r="AS22" s="42"/>
      <c r="AU22" s="42">
        <v>250000</v>
      </c>
      <c r="AW22" s="42">
        <v>0</v>
      </c>
      <c r="AY22" s="42">
        <v>0</v>
      </c>
      <c r="BA22" s="42">
        <v>230000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  <c r="BM22" s="42">
        <v>0</v>
      </c>
      <c r="BO22" s="42">
        <v>0</v>
      </c>
      <c r="BQ22" s="42">
        <v>0</v>
      </c>
      <c r="BS22" s="42">
        <v>0</v>
      </c>
    </row>
    <row r="23" spans="1:71" ht="15.75" thickTop="1" x14ac:dyDescent="0.25">
      <c r="C23" s="13">
        <f>+C18+C20-C21</f>
        <v>205600</v>
      </c>
      <c r="E23" s="13">
        <f>+SUM(E18:E20)-SUM(E21:E22)</f>
        <v>315600</v>
      </c>
      <c r="G23" s="9">
        <f>+G18+G20-G21</f>
        <v>412900</v>
      </c>
      <c r="I23" s="13">
        <f>+SUM(I18:I20)-I21</f>
        <v>405000</v>
      </c>
      <c r="K23" s="13">
        <f>+SUM(K18:K20)-SUM(K21:K22)</f>
        <v>43100</v>
      </c>
      <c r="M23" s="13">
        <f>+SUM(M18:M20)-SUM(M21:M22)</f>
        <v>141400</v>
      </c>
      <c r="O23" s="9">
        <v>0</v>
      </c>
      <c r="Q23" s="13">
        <f>+SUM(Q18:Q20)-SUM(Q21:Q22)</f>
        <v>201400</v>
      </c>
      <c r="S23" s="13">
        <f>+SUM(S18:S20)-SUM(S21:S22)</f>
        <v>247700</v>
      </c>
      <c r="U23" s="13">
        <f>+SUM(U18:U20)-SUM(U21:U22)</f>
        <v>99250</v>
      </c>
      <c r="W23" s="13">
        <f>+SUM(W18:W20)-W21</f>
        <v>157350</v>
      </c>
      <c r="Y23" s="9">
        <v>0</v>
      </c>
      <c r="AA23" s="13">
        <f>+SUM(AA18:AA20)-AA21</f>
        <v>153550</v>
      </c>
      <c r="AC23" s="13">
        <f>+SUM(AC18:AC20)-SUM(AC21:AC22)</f>
        <v>120200</v>
      </c>
      <c r="AE23" s="13">
        <f>+SUM(AE18:AE20)-SUM(AE21:AE22)</f>
        <v>100000</v>
      </c>
      <c r="AG23" s="13">
        <f>+SUM(AG18:AG20)-SUM(AG21:AG22)</f>
        <v>151000</v>
      </c>
      <c r="AI23" s="13">
        <f>+SUM(AI18:AI20)-SUM(AI21:AI22)</f>
        <v>88400</v>
      </c>
      <c r="AK23" s="13">
        <f>+SUM(AK18:AK20)-SUM(AK21:AK22)</f>
        <v>73950</v>
      </c>
      <c r="AM23" s="13">
        <f>+SUM(AM18:AM20)-SUM(AM21:AM22)</f>
        <v>206450</v>
      </c>
      <c r="AO23" s="13">
        <f>+SUM(AO18:AO20)-SUM(AO21:AO22)</f>
        <v>125950</v>
      </c>
      <c r="AQ23" s="9">
        <f>+SUM(AQ18:AQ20)-SUM(AQ21:AQ22)</f>
        <v>88000</v>
      </c>
      <c r="AS23" s="9">
        <f>+SUM(AS18:AS20)-SUM(AS21:AS22)</f>
        <v>172000</v>
      </c>
      <c r="AU23" s="9">
        <f>+SUM(AU18:AU20)-SUM(AU21:AU22)</f>
        <v>95500</v>
      </c>
      <c r="AW23" s="9">
        <f>+SUM(AW18:AW20)-SUM(AW21:AW22)</f>
        <v>172750</v>
      </c>
      <c r="AY23" s="9">
        <f>+SUM(AY18:AY20)-SUM(AY21:AY22)</f>
        <v>331200</v>
      </c>
      <c r="BA23" s="9">
        <f>+SUM(BA18:BA20)-SUM(BA21:BA22)</f>
        <v>108200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144700</v>
      </c>
      <c r="BI23" s="9">
        <f>+SUM(BI18:BI20)-SUM(BI21:BI22)</f>
        <v>215200</v>
      </c>
      <c r="BK23" s="9">
        <f>+SUM(BK18:BK20)-SUM(BK21:BK22)</f>
        <v>250850</v>
      </c>
      <c r="BM23" s="9">
        <f>+SUM(BM18:BM20)-SUM(BM21:BM22)</f>
        <v>334850</v>
      </c>
      <c r="BO23" s="9">
        <f>+SUM(BO18:BO20)-SUM(BO21:BO22)</f>
        <v>314850</v>
      </c>
      <c r="BQ23" s="13">
        <f>+SUM(BQ18:BQ20)-SUM(BQ21:BQ22)</f>
        <v>436250</v>
      </c>
      <c r="BS23" s="13">
        <f>+SUM(BS18:BS20)-SUM(BS21:BS22)</f>
        <v>557650</v>
      </c>
    </row>
    <row r="25" spans="1:71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0</v>
      </c>
      <c r="H25" s="49"/>
      <c r="I25" s="49">
        <f>I14-I23</f>
        <v>0</v>
      </c>
      <c r="J25" s="49"/>
      <c r="K25" s="49">
        <f>K14-K23</f>
        <v>0</v>
      </c>
      <c r="L25" s="49"/>
      <c r="M25" s="49">
        <f>M14-M23</f>
        <v>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0</v>
      </c>
      <c r="T25" s="49"/>
      <c r="U25" s="49">
        <f>U14-U23</f>
        <v>21700</v>
      </c>
      <c r="V25" s="49"/>
      <c r="W25" s="49">
        <f>W14-W23</f>
        <v>17700</v>
      </c>
      <c r="X25" s="49"/>
      <c r="Y25" s="49">
        <f>Y14-Y23</f>
        <v>0</v>
      </c>
      <c r="Z25" s="49"/>
      <c r="AA25" s="49">
        <f>AA14-AA23</f>
        <v>-67550</v>
      </c>
      <c r="AB25" s="49"/>
      <c r="AC25" s="49">
        <f>AC14-AC23</f>
        <v>21450</v>
      </c>
      <c r="AD25" s="49"/>
      <c r="AE25" s="49">
        <f>AE14-AE23</f>
        <v>0</v>
      </c>
      <c r="AF25" s="49"/>
      <c r="AG25" s="74">
        <f>AG14-AG23</f>
        <v>0</v>
      </c>
      <c r="AH25" s="49"/>
      <c r="AI25" s="49">
        <f>AI14-AI23</f>
        <v>17800</v>
      </c>
      <c r="AJ25" s="49"/>
      <c r="AK25" s="49">
        <f>AK14-AK23</f>
        <v>10300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49">
        <f>BE14-BE23</f>
        <v>0</v>
      </c>
      <c r="BF25" s="49"/>
      <c r="BG25" s="49">
        <f>BG14-BG23</f>
        <v>0</v>
      </c>
      <c r="BH25" s="49"/>
      <c r="BI25" s="74">
        <f>BI14-BI23</f>
        <v>0</v>
      </c>
      <c r="BJ25" s="49"/>
      <c r="BK25" s="49">
        <f>BK14-BK23</f>
        <v>0</v>
      </c>
      <c r="BL25" s="49"/>
      <c r="BM25" s="49">
        <f>BM14-BM23</f>
        <v>0</v>
      </c>
      <c r="BN25" s="49"/>
      <c r="BO25" s="49">
        <f>BO14-BO23</f>
        <v>0</v>
      </c>
      <c r="BP25" s="49"/>
      <c r="BQ25" s="74">
        <f>BQ14-BQ23</f>
        <v>0</v>
      </c>
      <c r="BR25" s="49"/>
      <c r="BS25" s="74">
        <f>BS14-BS23</f>
        <v>-121400</v>
      </c>
    </row>
    <row r="26" spans="1:71" x14ac:dyDescent="0.25">
      <c r="A26"/>
    </row>
    <row r="27" spans="1:71" x14ac:dyDescent="0.25">
      <c r="A27" s="14" t="s">
        <v>318</v>
      </c>
      <c r="C27" s="14">
        <v>0</v>
      </c>
      <c r="E27" s="14">
        <v>0</v>
      </c>
      <c r="G27" s="14">
        <v>0</v>
      </c>
      <c r="I27" s="14">
        <v>0</v>
      </c>
      <c r="K27" s="14">
        <v>0</v>
      </c>
      <c r="M27" s="14">
        <v>0</v>
      </c>
      <c r="O27" s="14">
        <v>0</v>
      </c>
      <c r="Q27" s="14">
        <v>0</v>
      </c>
      <c r="S27" s="14">
        <v>0</v>
      </c>
      <c r="U27" s="14">
        <v>0</v>
      </c>
      <c r="W27" s="14">
        <v>0</v>
      </c>
      <c r="Y27" s="14">
        <v>0</v>
      </c>
      <c r="AA27" s="14">
        <v>0</v>
      </c>
      <c r="AC27" s="14">
        <v>0</v>
      </c>
      <c r="AE27" s="14">
        <f>+AE22</f>
        <v>100000</v>
      </c>
      <c r="AG27" s="57">
        <f>100000-12050</f>
        <v>87950</v>
      </c>
      <c r="AI27" s="57">
        <f>100000-12050</f>
        <v>87950</v>
      </c>
      <c r="AK27" s="57">
        <f>+AI27-43000</f>
        <v>44950</v>
      </c>
      <c r="AM27" s="57">
        <f>+AK27</f>
        <v>44950</v>
      </c>
      <c r="AO27" s="57">
        <f>+AM27+AO22</f>
        <v>144950</v>
      </c>
      <c r="AQ27" s="57">
        <f>+AO27-50000</f>
        <v>94950</v>
      </c>
      <c r="AS27" s="57">
        <f>+AQ27</f>
        <v>94950</v>
      </c>
      <c r="AU27" s="57">
        <f>+AS27+AU22</f>
        <v>344950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  <c r="BM27" s="57">
        <v>0</v>
      </c>
      <c r="BO27" s="57">
        <v>0</v>
      </c>
      <c r="BQ27" s="57">
        <v>0</v>
      </c>
      <c r="BS27" s="57">
        <v>0</v>
      </c>
    </row>
    <row r="28" spans="1:71" x14ac:dyDescent="0.25">
      <c r="A28" s="14" t="s">
        <v>317</v>
      </c>
      <c r="C28" s="14">
        <v>0</v>
      </c>
      <c r="E28" s="14">
        <v>0</v>
      </c>
      <c r="G28" s="14">
        <v>0</v>
      </c>
      <c r="I28" s="14">
        <v>0</v>
      </c>
      <c r="K28" s="14">
        <f>+K22</f>
        <v>300000</v>
      </c>
      <c r="M28" s="14">
        <f>+M22+K28-M31</f>
        <v>370000</v>
      </c>
      <c r="O28" s="14">
        <f>+O22+M28</f>
        <v>370000</v>
      </c>
      <c r="Q28" s="14">
        <f>+Q22+O28</f>
        <v>370000</v>
      </c>
      <c r="S28" s="14">
        <f>+S22+Q28</f>
        <v>370000</v>
      </c>
      <c r="U28" s="14">
        <f>+S28-370000</f>
        <v>0</v>
      </c>
      <c r="W28" s="14">
        <v>0</v>
      </c>
      <c r="Y28" s="14">
        <f>+Y22+W28-Y31</f>
        <v>0</v>
      </c>
      <c r="AA28" s="14">
        <f>+AA22+Y28-AA31</f>
        <v>0</v>
      </c>
      <c r="AC28" s="14">
        <v>0</v>
      </c>
      <c r="AE28" s="14">
        <v>0</v>
      </c>
      <c r="AG28" s="14">
        <v>0</v>
      </c>
      <c r="AI28" s="57">
        <f>+AI22</f>
        <v>100000</v>
      </c>
      <c r="AK28" s="57">
        <f>+AI28-100000</f>
        <v>0</v>
      </c>
      <c r="AM28" s="57">
        <f>+AK28</f>
        <v>0</v>
      </c>
      <c r="AO28" s="57">
        <f>+AM28</f>
        <v>0</v>
      </c>
      <c r="AQ28" s="57">
        <f>+AO28</f>
        <v>0</v>
      </c>
      <c r="AS28" s="57">
        <f>+AQ28</f>
        <v>0</v>
      </c>
      <c r="AU28" s="57">
        <f>+AS28</f>
        <v>0</v>
      </c>
      <c r="AW28" s="57">
        <f>+AU28</f>
        <v>0</v>
      </c>
      <c r="AY28" s="57">
        <f>+AW28</f>
        <v>0</v>
      </c>
      <c r="BA28" s="57">
        <f>+AY28</f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  <c r="BM28" s="57">
        <v>0</v>
      </c>
      <c r="BO28" s="57">
        <v>0</v>
      </c>
      <c r="BQ28" s="57">
        <v>0</v>
      </c>
      <c r="BS28" s="57">
        <v>0</v>
      </c>
    </row>
    <row r="30" spans="1:71" x14ac:dyDescent="0.25">
      <c r="A30" s="79" t="s">
        <v>538</v>
      </c>
      <c r="B30" s="3"/>
      <c r="C30" s="79">
        <f>24000+6500</f>
        <v>30500</v>
      </c>
      <c r="E30" s="79">
        <f>8000+3000</f>
        <v>11000</v>
      </c>
      <c r="F30" s="3"/>
      <c r="G30" s="79">
        <v>46500</v>
      </c>
      <c r="H30" s="3"/>
      <c r="I30" s="79">
        <v>125000</v>
      </c>
      <c r="J30" s="3"/>
      <c r="K30" s="79">
        <v>45000</v>
      </c>
      <c r="L30" s="3"/>
      <c r="M30" s="79">
        <v>47000</v>
      </c>
      <c r="N30" s="3"/>
      <c r="O30" s="79">
        <v>0</v>
      </c>
      <c r="P30" s="3"/>
      <c r="Q30" s="79">
        <v>0</v>
      </c>
      <c r="R30" s="3"/>
      <c r="S30" s="79">
        <f>33000+27000+20000</f>
        <v>80000</v>
      </c>
      <c r="T30" s="3"/>
      <c r="U30" s="79">
        <v>83000</v>
      </c>
      <c r="V30" s="3"/>
      <c r="W30" s="79">
        <v>115500</v>
      </c>
      <c r="X30" s="3"/>
      <c r="Y30" s="79">
        <v>0</v>
      </c>
      <c r="Z30" s="3"/>
      <c r="AA30" s="79">
        <v>87500</v>
      </c>
      <c r="AB30" s="3"/>
      <c r="AC30" s="79">
        <v>92000</v>
      </c>
      <c r="AD30" s="3"/>
      <c r="AE30" s="79">
        <v>76000</v>
      </c>
      <c r="AF30" s="3"/>
      <c r="AG30" s="79">
        <f>43000-2000</f>
        <v>41000</v>
      </c>
      <c r="AH30" s="3"/>
      <c r="AI30" s="79">
        <v>113000</v>
      </c>
      <c r="AJ30" s="3"/>
      <c r="AK30" s="79">
        <v>94000</v>
      </c>
      <c r="AL30" s="3"/>
      <c r="AM30" s="79">
        <v>0</v>
      </c>
      <c r="AN30" s="3"/>
      <c r="AO30" s="79">
        <f>+(98000-5000)</f>
        <v>93000</v>
      </c>
      <c r="AP30" s="3"/>
      <c r="AQ30" s="79">
        <f>19000+(45000-9000)</f>
        <v>55000</v>
      </c>
      <c r="AR30" s="3"/>
      <c r="AS30" s="79">
        <f>11000+10000</f>
        <v>21000</v>
      </c>
      <c r="AT30" s="3"/>
      <c r="AU30" s="79">
        <f>78000+32000</f>
        <v>110000</v>
      </c>
      <c r="AV30" s="3"/>
      <c r="AW30" s="79">
        <f>71000</f>
        <v>71000</v>
      </c>
      <c r="AX30" s="3"/>
      <c r="AY30" s="79">
        <v>169800</v>
      </c>
      <c r="AZ30" s="3"/>
      <c r="BA30" s="79">
        <v>65700</v>
      </c>
      <c r="BB30" s="3"/>
      <c r="BC30" s="79">
        <v>11000</v>
      </c>
      <c r="BD30" s="3"/>
      <c r="BE30" s="79">
        <v>0</v>
      </c>
      <c r="BF30" s="3"/>
      <c r="BG30" s="79">
        <v>0</v>
      </c>
      <c r="BH30" s="3"/>
      <c r="BI30" s="79">
        <v>127000</v>
      </c>
      <c r="BJ30" s="3"/>
      <c r="BK30" s="79">
        <v>48000</v>
      </c>
      <c r="BL30" s="3"/>
      <c r="BM30" s="79">
        <v>24000</v>
      </c>
      <c r="BN30" s="3"/>
      <c r="BO30" s="79">
        <v>0</v>
      </c>
      <c r="BP30" s="3"/>
      <c r="BQ30" s="79">
        <v>86000</v>
      </c>
      <c r="BR30" s="3"/>
      <c r="BS30" s="79">
        <v>0</v>
      </c>
    </row>
    <row r="31" spans="1:71" ht="17.25" x14ac:dyDescent="0.4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280000</v>
      </c>
      <c r="N31" s="3"/>
      <c r="O31" s="79">
        <v>0</v>
      </c>
      <c r="P31" s="3"/>
      <c r="Q31" s="79">
        <v>0</v>
      </c>
      <c r="R31" s="3"/>
      <c r="S31" s="205">
        <v>-619850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v>0</v>
      </c>
      <c r="AD31" s="3"/>
      <c r="AE31" s="79">
        <v>0</v>
      </c>
      <c r="AF31" s="3"/>
      <c r="AG31" s="79">
        <f>90000-412000</f>
        <v>-322000</v>
      </c>
      <c r="AH31" s="3"/>
      <c r="AI31" s="79">
        <v>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-60000</f>
        <v>-60000</v>
      </c>
      <c r="AV31" s="3"/>
      <c r="AW31" s="79">
        <f>+AU27-260500</f>
        <v>84450</v>
      </c>
      <c r="AX31" s="3"/>
      <c r="AY31" s="79">
        <f>-404000-50000</f>
        <v>-454000</v>
      </c>
      <c r="AZ31" s="3"/>
      <c r="BA31" s="79">
        <f>BA22-21000</f>
        <v>209000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79">
        <f>-114000-40000</f>
        <v>-154000</v>
      </c>
      <c r="BL31" s="3"/>
      <c r="BM31" s="79">
        <v>0</v>
      </c>
      <c r="BN31" s="3"/>
      <c r="BO31" s="79">
        <v>0</v>
      </c>
      <c r="BP31" s="3"/>
      <c r="BQ31" s="79">
        <v>0</v>
      </c>
      <c r="BR31" s="3"/>
      <c r="BS31" s="79">
        <v>-363853</v>
      </c>
    </row>
    <row r="32" spans="1:71" x14ac:dyDescent="0.25">
      <c r="A32" s="79" t="s">
        <v>394</v>
      </c>
      <c r="B32" s="3"/>
      <c r="C32" s="79">
        <f>SUM(C30:C31)</f>
        <v>30500</v>
      </c>
      <c r="E32" s="79">
        <f>+C32+SUM(E30:E31)</f>
        <v>41500</v>
      </c>
      <c r="F32" s="3"/>
      <c r="G32" s="79">
        <f>+E32+SUM(G30:G31)</f>
        <v>88000</v>
      </c>
      <c r="H32" s="3"/>
      <c r="I32" s="79">
        <f>+G32+SUM(I30:I31)</f>
        <v>213000</v>
      </c>
      <c r="J32" s="3"/>
      <c r="K32" s="79">
        <f>+I32+SUM(K30:K31)</f>
        <v>258000</v>
      </c>
      <c r="L32" s="3"/>
      <c r="M32" s="79">
        <f>+K32+SUM(M30:M31)</f>
        <v>585000</v>
      </c>
      <c r="N32" s="3"/>
      <c r="O32" s="79">
        <f>+M32+SUM(O30:O31)</f>
        <v>585000</v>
      </c>
      <c r="P32" s="3"/>
      <c r="Q32" s="79">
        <f>+O32+SUM(Q30:Q31)</f>
        <v>585000</v>
      </c>
      <c r="R32" s="3"/>
      <c r="S32" s="79">
        <f>+Q32+SUM(S30:S31)</f>
        <v>45150</v>
      </c>
      <c r="T32" s="3"/>
      <c r="U32" s="79">
        <f>+S32+SUM(U30:U31)</f>
        <v>128150</v>
      </c>
      <c r="V32" s="3"/>
      <c r="W32" s="79">
        <f>+U32+SUM(W30:W31)</f>
        <v>243650</v>
      </c>
      <c r="X32" s="3"/>
      <c r="Y32" s="79">
        <f>+W32+SUM(Y30:Y31)</f>
        <v>243650</v>
      </c>
      <c r="Z32" s="3"/>
      <c r="AA32" s="79">
        <f>+Y32+SUM(AA30:AA31)</f>
        <v>331150</v>
      </c>
      <c r="AB32" s="3"/>
      <c r="AC32" s="79">
        <f>+AA32+SUM(AC30:AC31)</f>
        <v>423150</v>
      </c>
      <c r="AD32" s="3"/>
      <c r="AE32" s="79">
        <f>+AC32+SUM(AE30:AE31)</f>
        <v>499150</v>
      </c>
      <c r="AF32" s="3"/>
      <c r="AG32" s="79">
        <f>+AE32+SUM(AG30:AG31)</f>
        <v>218150</v>
      </c>
      <c r="AH32" s="3"/>
      <c r="AI32" s="79">
        <f>+AG32+SUM(AI30:AI31)</f>
        <v>331150</v>
      </c>
      <c r="AJ32" s="3"/>
      <c r="AK32" s="79">
        <f>+AI32+SUM(AK30:AK31)</f>
        <v>425150</v>
      </c>
      <c r="AL32" s="3"/>
      <c r="AM32" s="79">
        <f>+AK32+SUM(AM30:AM31)</f>
        <v>425150</v>
      </c>
      <c r="AN32" s="3"/>
      <c r="AO32" s="79">
        <f>+AM32+SUM(AO30:AO31)</f>
        <v>518150</v>
      </c>
      <c r="AP32" s="3"/>
      <c r="AQ32" s="79">
        <f>+AO32+SUM(AQ30:AQ31)</f>
        <v>573150</v>
      </c>
      <c r="AR32" s="3"/>
      <c r="AS32" s="79">
        <f>+AQ32+SUM(AS30:AS31)</f>
        <v>594150</v>
      </c>
      <c r="AT32" s="3"/>
      <c r="AU32" s="79">
        <f>+AS32+SUM(AU30:AU31)</f>
        <v>644150</v>
      </c>
      <c r="AV32" s="3"/>
      <c r="AW32" s="79">
        <f>+AU32+SUM(AW30:AW31)</f>
        <v>799600</v>
      </c>
      <c r="AX32" s="3"/>
      <c r="AY32" s="79">
        <f>+AW32+SUM(AY30:AY31)</f>
        <v>515400</v>
      </c>
      <c r="AZ32" s="3"/>
      <c r="BA32" s="79">
        <f>+AY32+SUM(BA30:BA31)</f>
        <v>790100</v>
      </c>
      <c r="BB32" s="3"/>
      <c r="BC32" s="79">
        <f>+BA32+SUM(BC30:BC31)</f>
        <v>801100</v>
      </c>
      <c r="BD32" s="3"/>
      <c r="BE32" s="79">
        <f>+BC32+SUM(BE30:BE31)</f>
        <v>801100</v>
      </c>
      <c r="BF32" s="3"/>
      <c r="BG32" s="79">
        <f>+BC32+SUM(BG30:BG31)</f>
        <v>801100</v>
      </c>
      <c r="BH32" s="3"/>
      <c r="BI32" s="79">
        <f>+BG32+SUM(BI30:BI31)</f>
        <v>928100</v>
      </c>
      <c r="BJ32" s="3"/>
      <c r="BK32" s="79">
        <f>+BI32+SUM(BK30:BK31)</f>
        <v>822100</v>
      </c>
      <c r="BL32" s="3"/>
      <c r="BM32" s="79">
        <f>+BK32+SUM(BM30:BM31)</f>
        <v>846100</v>
      </c>
      <c r="BN32" s="3"/>
      <c r="BO32" s="79">
        <f>+BM32+SUM(BO30:BO31)</f>
        <v>846100</v>
      </c>
      <c r="BP32" s="3"/>
      <c r="BQ32" s="79">
        <f>+BO32+SUM(BQ30:BQ31)</f>
        <v>932100</v>
      </c>
      <c r="BR32" s="3"/>
      <c r="BS32" s="79">
        <f>+BQ32+SUM(BS30:BS31)</f>
        <v>568247</v>
      </c>
    </row>
    <row r="33" spans="1:71" x14ac:dyDescent="0.25">
      <c r="A33" s="80" t="s">
        <v>383</v>
      </c>
      <c r="B33" s="3"/>
      <c r="C33" s="80">
        <v>0</v>
      </c>
      <c r="E33" s="80">
        <v>0</v>
      </c>
      <c r="F33" s="3"/>
      <c r="G33" s="80">
        <v>16000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f>3000</f>
        <v>3000</v>
      </c>
      <c r="AD33" s="3"/>
      <c r="AE33" s="80">
        <v>0</v>
      </c>
      <c r="AF33" s="3"/>
      <c r="AG33" s="80">
        <v>0</v>
      </c>
      <c r="AH33" s="3"/>
      <c r="AI33" s="80">
        <f>22000+1000</f>
        <v>23000</v>
      </c>
      <c r="AJ33" s="3"/>
      <c r="AK33" s="80">
        <v>82000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0</v>
      </c>
      <c r="AT33" s="3"/>
      <c r="AU33" s="80">
        <f>15000+8000</f>
        <v>23000</v>
      </c>
      <c r="AV33" s="3"/>
      <c r="AW33" s="80">
        <v>0</v>
      </c>
      <c r="AX33" s="3"/>
      <c r="AY33" s="80">
        <v>11000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27000</v>
      </c>
      <c r="BJ33" s="3"/>
      <c r="BK33" s="80">
        <v>11000</v>
      </c>
      <c r="BL33" s="3"/>
      <c r="BM33" s="80">
        <v>0</v>
      </c>
      <c r="BN33" s="3"/>
      <c r="BO33" s="80">
        <v>0</v>
      </c>
      <c r="BP33" s="3"/>
      <c r="BQ33" s="80">
        <v>0</v>
      </c>
      <c r="BR33" s="3"/>
      <c r="BS33" s="80">
        <v>0</v>
      </c>
    </row>
    <row r="34" spans="1:71" x14ac:dyDescent="0.25">
      <c r="A34" s="80" t="s">
        <v>544</v>
      </c>
      <c r="B34" s="3"/>
      <c r="C34" s="80">
        <v>0</v>
      </c>
      <c r="E34" s="80">
        <v>0</v>
      </c>
      <c r="F34" s="3"/>
      <c r="G34" s="80">
        <v>0</v>
      </c>
      <c r="H34" s="3"/>
      <c r="I34" s="80">
        <v>0</v>
      </c>
      <c r="J34" s="3"/>
      <c r="K34" s="80">
        <v>0</v>
      </c>
      <c r="L34" s="3"/>
      <c r="M34" s="80">
        <v>0</v>
      </c>
      <c r="N34" s="3"/>
      <c r="O34" s="80">
        <v>0</v>
      </c>
      <c r="P34" s="3"/>
      <c r="Q34" s="80">
        <v>0</v>
      </c>
      <c r="R34" s="3"/>
      <c r="S34" s="80">
        <v>-27000</v>
      </c>
      <c r="T34" s="3"/>
      <c r="U34" s="80">
        <v>0</v>
      </c>
      <c r="V34" s="3"/>
      <c r="W34" s="80"/>
      <c r="X34" s="3"/>
      <c r="Y34" s="80"/>
      <c r="Z34" s="3"/>
      <c r="AA34" s="80"/>
      <c r="AB34" s="3"/>
      <c r="AC34" s="80">
        <v>0</v>
      </c>
      <c r="AD34" s="3"/>
      <c r="AE34" s="80">
        <v>76000</v>
      </c>
      <c r="AF34" s="3"/>
      <c r="AG34" s="80">
        <v>90000</v>
      </c>
      <c r="AH34" s="3"/>
      <c r="AI34" s="80">
        <v>0</v>
      </c>
      <c r="AK34" s="80"/>
      <c r="AL34" s="3"/>
      <c r="AM34" s="80"/>
      <c r="AN34" s="3"/>
      <c r="AO34" s="80"/>
      <c r="AP34" s="3"/>
      <c r="AQ34" s="80"/>
      <c r="AR34" s="3"/>
      <c r="AS34" s="80">
        <v>0</v>
      </c>
      <c r="AT34" s="3"/>
      <c r="AU34" s="80">
        <v>0</v>
      </c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/>
      <c r="BJ34" s="3"/>
      <c r="BK34" s="80"/>
      <c r="BL34" s="3"/>
      <c r="BM34" s="80"/>
      <c r="BN34" s="3"/>
      <c r="BO34" s="80"/>
      <c r="BP34" s="3"/>
      <c r="BQ34" s="80"/>
      <c r="BR34" s="3"/>
      <c r="BS34" s="80"/>
    </row>
    <row r="35" spans="1:71" x14ac:dyDescent="0.25">
      <c r="A35" s="80" t="s">
        <v>393</v>
      </c>
      <c r="B35" s="3"/>
      <c r="C35" s="80">
        <f>+C33</f>
        <v>0</v>
      </c>
      <c r="E35" s="80">
        <f>+E33+C35</f>
        <v>0</v>
      </c>
      <c r="F35" s="3"/>
      <c r="G35" s="80">
        <f>+G33+E35</f>
        <v>16000</v>
      </c>
      <c r="H35" s="3"/>
      <c r="I35" s="80">
        <f>+I33+G35</f>
        <v>16000</v>
      </c>
      <c r="J35" s="3"/>
      <c r="K35" s="80">
        <f>+K33+I35</f>
        <v>27000</v>
      </c>
      <c r="L35" s="3"/>
      <c r="M35" s="80">
        <f>+M33+K35</f>
        <v>27000</v>
      </c>
      <c r="N35" s="3"/>
      <c r="O35" s="80">
        <f>+O33+M35</f>
        <v>27000</v>
      </c>
      <c r="P35" s="3"/>
      <c r="Q35" s="80">
        <f>+Q33+O35</f>
        <v>27000</v>
      </c>
      <c r="R35" s="3"/>
      <c r="S35" s="80">
        <f>+Q35+SUM(S33:S34)</f>
        <v>11000</v>
      </c>
      <c r="T35" s="3"/>
      <c r="U35" s="80">
        <f>+S35+SUM(U33:U34)</f>
        <v>11000</v>
      </c>
      <c r="V35" s="3"/>
      <c r="W35" s="80">
        <f>+U35+SUM(W33:W34)</f>
        <v>11000</v>
      </c>
      <c r="X35" s="3"/>
      <c r="Y35" s="80">
        <f>+W35+SUM(Y33:Y34)</f>
        <v>11000</v>
      </c>
      <c r="Z35" s="3"/>
      <c r="AA35" s="80">
        <f>+Y35+SUM(AA33:AA34)</f>
        <v>11000</v>
      </c>
      <c r="AB35" s="3"/>
      <c r="AC35" s="80">
        <f>+AA35+SUM(AC33:AC34)</f>
        <v>14000</v>
      </c>
      <c r="AD35" s="3"/>
      <c r="AE35" s="80">
        <f>+AC35+SUM(AE33:AE34)</f>
        <v>90000</v>
      </c>
      <c r="AF35" s="3"/>
      <c r="AG35" s="80">
        <f>+AE35+AG33-AG34</f>
        <v>0</v>
      </c>
      <c r="AH35" s="3"/>
      <c r="AI35" s="80">
        <f>+AI33</f>
        <v>23000</v>
      </c>
      <c r="AJ35" s="3"/>
      <c r="AK35" s="80">
        <f>+AK33+AI35</f>
        <v>105000</v>
      </c>
      <c r="AL35" s="3"/>
      <c r="AM35" s="80">
        <f>+AM33+AK35</f>
        <v>105000</v>
      </c>
      <c r="AN35" s="3"/>
      <c r="AO35" s="80">
        <f>+AO33+AM35</f>
        <v>128000</v>
      </c>
      <c r="AP35" s="3"/>
      <c r="AQ35" s="80">
        <f>+AQ33+AO35</f>
        <v>128000</v>
      </c>
      <c r="AR35" s="3"/>
      <c r="AS35" s="80">
        <f>+AS33+AQ35</f>
        <v>128000</v>
      </c>
      <c r="AT35" s="3"/>
      <c r="AU35" s="80">
        <f>+AU33+AS35</f>
        <v>151000</v>
      </c>
      <c r="AV35" s="3"/>
      <c r="AW35" s="80">
        <f>+AW33+AU35</f>
        <v>151000</v>
      </c>
      <c r="AX35" s="3"/>
      <c r="AY35" s="80">
        <f>+AY33+AW35</f>
        <v>162000</v>
      </c>
      <c r="AZ35" s="3"/>
      <c r="BA35" s="80">
        <f>+BA33+AY35</f>
        <v>162000</v>
      </c>
      <c r="BB35" s="3"/>
      <c r="BC35" s="80">
        <f>+BC33+BA35</f>
        <v>162000</v>
      </c>
      <c r="BD35" s="3"/>
      <c r="BE35" s="80">
        <f>+BE33+BC35</f>
        <v>162000</v>
      </c>
      <c r="BF35" s="3"/>
      <c r="BG35" s="80">
        <f>+BG33+BC35</f>
        <v>162000</v>
      </c>
      <c r="BH35" s="3"/>
      <c r="BI35" s="80">
        <f>+BI33+BG35</f>
        <v>189000</v>
      </c>
      <c r="BJ35" s="3"/>
      <c r="BK35" s="80">
        <f>+BK33+BI35</f>
        <v>200000</v>
      </c>
      <c r="BL35" s="3"/>
      <c r="BM35" s="80">
        <f>+BM33+BK35</f>
        <v>200000</v>
      </c>
      <c r="BN35" s="3"/>
      <c r="BO35" s="80">
        <f>+BO33+BM35</f>
        <v>200000</v>
      </c>
      <c r="BP35" s="3"/>
      <c r="BQ35" s="80">
        <f>+BQ33+BO35</f>
        <v>200000</v>
      </c>
      <c r="BR35" s="3"/>
      <c r="BS35" s="80">
        <f>+BS33+BQ35</f>
        <v>200000</v>
      </c>
    </row>
    <row r="36" spans="1:71" x14ac:dyDescent="0.25">
      <c r="A36" s="11" t="s">
        <v>395</v>
      </c>
      <c r="B36" s="3"/>
      <c r="C36" s="69"/>
      <c r="E36" s="69"/>
      <c r="F36" s="3"/>
      <c r="G36" s="69"/>
      <c r="H36" s="3"/>
      <c r="I36" s="69"/>
      <c r="J36" s="3"/>
      <c r="K36" s="69"/>
      <c r="L36" s="3"/>
      <c r="M36" s="69"/>
      <c r="N36" s="3"/>
      <c r="O36" s="69"/>
      <c r="P36" s="3"/>
      <c r="Q36" s="69"/>
      <c r="R36" s="3"/>
      <c r="S36" s="69"/>
      <c r="T36" s="3"/>
      <c r="U36" s="69"/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69"/>
      <c r="AL36" s="3"/>
      <c r="AM36" s="69"/>
      <c r="AN36" s="3"/>
      <c r="AO36" s="69"/>
      <c r="AP36" s="3"/>
      <c r="AQ36" s="69"/>
      <c r="AR36" s="3"/>
      <c r="AS36" s="70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>
        <f>+TICO!F19</f>
        <v>34000</v>
      </c>
      <c r="BR36" s="3"/>
      <c r="BS36" s="69">
        <f>+TICO!H19</f>
        <v>0</v>
      </c>
    </row>
    <row r="37" spans="1:71" x14ac:dyDescent="0.25">
      <c r="C37"/>
    </row>
    <row r="38" spans="1:71" x14ac:dyDescent="0.25">
      <c r="A38" s="67" t="s">
        <v>132</v>
      </c>
      <c r="C38" s="106">
        <f>+C20+C30+C33</f>
        <v>222500</v>
      </c>
      <c r="E38" s="106">
        <f>+E20+E30+E33</f>
        <v>224000</v>
      </c>
      <c r="G38" s="106">
        <f>+G20+G30+G33</f>
        <v>406500</v>
      </c>
      <c r="I38" s="106">
        <f>+I20+I30+I33</f>
        <v>209000</v>
      </c>
      <c r="K38" s="106">
        <f>+K20+K30+K33</f>
        <v>242000</v>
      </c>
      <c r="M38" s="106">
        <f>+M20+M30+M33</f>
        <v>503500</v>
      </c>
      <c r="O38" s="106">
        <f>+O20+O30+O33</f>
        <v>0</v>
      </c>
      <c r="Q38" s="106">
        <f>+Q20+Q30+Q33</f>
        <v>60000</v>
      </c>
      <c r="S38" s="106">
        <f>+S20+S30+S33</f>
        <v>196000</v>
      </c>
      <c r="U38" s="106">
        <f>+U20+U30+U33</f>
        <v>343000</v>
      </c>
      <c r="W38" s="106">
        <f>+W20+W30+W33</f>
        <v>259000</v>
      </c>
      <c r="Y38" s="106">
        <f>+Y20+Y30+Y33</f>
        <v>0</v>
      </c>
      <c r="AA38" s="106">
        <f>+AA20+AA30+AA33</f>
        <v>298500</v>
      </c>
      <c r="AC38" s="106">
        <f>+AC20+AC30+AC33</f>
        <v>218500</v>
      </c>
      <c r="AE38" s="106">
        <f>+AE20+AE30+AE33</f>
        <v>248500</v>
      </c>
      <c r="AG38" s="106">
        <f>+AG20+AG30+AG33</f>
        <v>92000</v>
      </c>
      <c r="AI38" s="106">
        <f>+AI20+AI30+AI33</f>
        <v>474500</v>
      </c>
      <c r="AK38" s="106">
        <f>+AK20+AK30+AK33</f>
        <v>243000</v>
      </c>
      <c r="AM38" s="106">
        <f>+AM20+AM30+AM33</f>
        <v>132500</v>
      </c>
      <c r="AO38" s="106">
        <f>+AO20+AO30+AO33</f>
        <v>387000</v>
      </c>
      <c r="AQ38" s="106">
        <f>+AQ20+AQ30+AQ33</f>
        <v>154000</v>
      </c>
      <c r="AS38" s="106">
        <f>+AS20+AS30+AS33</f>
        <v>120000</v>
      </c>
      <c r="AU38" s="106">
        <f>+AU20+AU30+AU33</f>
        <v>309500</v>
      </c>
      <c r="AW38" s="106">
        <f>+AW20+AW30+AW33</f>
        <v>148250</v>
      </c>
      <c r="AY38" s="106">
        <f>+AY20+AY30+AY33</f>
        <v>388500</v>
      </c>
      <c r="BA38" s="106">
        <f>+BA20+BA30+BA33</f>
        <v>172700</v>
      </c>
      <c r="BC38" s="106">
        <f>+BC20+BC30+BC33</f>
        <v>137500</v>
      </c>
      <c r="BE38" s="106">
        <f>+BE20+BE30+BE33</f>
        <v>0</v>
      </c>
      <c r="BG38" s="106">
        <f>+BG20+BG30+BG33</f>
        <v>0</v>
      </c>
      <c r="BI38" s="106">
        <f>+BI20+BI30+BI33</f>
        <v>292700</v>
      </c>
      <c r="BK38" s="106">
        <f>+BK20+BK30+BK33</f>
        <v>117500</v>
      </c>
      <c r="BM38" s="106">
        <f>+BM20+BM30+BM33</f>
        <v>128000</v>
      </c>
      <c r="BO38" s="106">
        <f>+BO20+BO30+BO33</f>
        <v>0</v>
      </c>
      <c r="BQ38" s="106">
        <f>+BQ20+BQ30+BQ33+BQ36</f>
        <v>259000</v>
      </c>
      <c r="BS38" s="106">
        <f>+BS20+BS30+BS33+BS36</f>
        <v>139000</v>
      </c>
    </row>
    <row r="39" spans="1:71" x14ac:dyDescent="0.25">
      <c r="A39" s="197" t="s">
        <v>651</v>
      </c>
      <c r="C39" s="198">
        <f>+C23+C32+C35</f>
        <v>236100</v>
      </c>
      <c r="E39" s="198">
        <f>+E23+E32+E35</f>
        <v>357100</v>
      </c>
      <c r="G39" s="198">
        <f>+G23+G32+G35</f>
        <v>516900</v>
      </c>
      <c r="I39" s="198">
        <f>+I23+I32+I35</f>
        <v>634000</v>
      </c>
      <c r="K39" s="198">
        <f>+K23+K32+K35</f>
        <v>328100</v>
      </c>
      <c r="M39" s="198">
        <f>+M23+M32+M35</f>
        <v>753400</v>
      </c>
      <c r="O39" s="198">
        <f>+M39</f>
        <v>753400</v>
      </c>
      <c r="Q39" s="198">
        <f>+Q23+Q32+Q35</f>
        <v>813400</v>
      </c>
      <c r="S39" s="198">
        <f>+S23+S32+S35</f>
        <v>303850</v>
      </c>
      <c r="U39" s="198">
        <f>+U23+U32+U35</f>
        <v>238400</v>
      </c>
      <c r="W39" s="198">
        <f>+W23+W32+W35</f>
        <v>412000</v>
      </c>
      <c r="Y39" s="198">
        <f>+W39</f>
        <v>412000</v>
      </c>
      <c r="AA39" s="198">
        <f>+AA23+AA32+AA35</f>
        <v>495700</v>
      </c>
      <c r="AC39" s="198">
        <f>+AC23+AC32+AC35</f>
        <v>557350</v>
      </c>
      <c r="AE39" s="198">
        <f>+AE23+AE32+AE35</f>
        <v>689150</v>
      </c>
      <c r="AG39" s="198">
        <f>+AG23+AG32+AG35</f>
        <v>369150</v>
      </c>
      <c r="AI39" s="198">
        <f>+AI23+AI32+AI35</f>
        <v>442550</v>
      </c>
      <c r="AK39" s="198">
        <f>+AK23+AK32+AK35</f>
        <v>604100</v>
      </c>
      <c r="AM39" s="198">
        <f>+AM23+AM32+AM35</f>
        <v>736600</v>
      </c>
      <c r="AO39" s="198">
        <f>+AO23+AO32+AO35</f>
        <v>772100</v>
      </c>
      <c r="AQ39" s="198">
        <f>+AQ23+AQ32+AQ35</f>
        <v>789150</v>
      </c>
      <c r="AS39" s="198">
        <f>+AS23+AS32+AS35</f>
        <v>894150</v>
      </c>
      <c r="AU39" s="198">
        <f>+AU23+AU32+AU35</f>
        <v>890650</v>
      </c>
      <c r="AW39" s="198">
        <f>+AW23+AW32+AW35</f>
        <v>1123350</v>
      </c>
      <c r="AY39" s="198">
        <f>+AY23+AY32+AY35</f>
        <v>1008600</v>
      </c>
      <c r="BA39" s="198">
        <f>+BA23+BA32+BA35</f>
        <v>1060300</v>
      </c>
      <c r="BC39" s="198">
        <f>+BC23+BC32+BC35</f>
        <v>1107800</v>
      </c>
      <c r="BE39" s="198">
        <f>+BE23+BE32+BE35</f>
        <v>1107800</v>
      </c>
      <c r="BG39" s="198">
        <f>+BG23+BG32+BG35</f>
        <v>1107800</v>
      </c>
      <c r="BI39" s="198">
        <f>+BI23+BI32+BI35</f>
        <v>1332300</v>
      </c>
      <c r="BK39" s="198">
        <f>+BK23+BK32+BK35</f>
        <v>1272950</v>
      </c>
      <c r="BM39" s="198">
        <f>+BM23+BM32+BM35</f>
        <v>1380950</v>
      </c>
      <c r="BO39" s="198">
        <f>+BO23+BO32+BO35</f>
        <v>1360950</v>
      </c>
      <c r="BQ39" s="198">
        <f>+BQ23+BQ32+BQ35</f>
        <v>1568350</v>
      </c>
      <c r="BS39" s="198">
        <f>+BS23+BS32+BS35</f>
        <v>1325897</v>
      </c>
    </row>
    <row r="40" spans="1:71" x14ac:dyDescent="0.25">
      <c r="C40"/>
    </row>
    <row r="41" spans="1:71" x14ac:dyDescent="0.25">
      <c r="A41" s="11" t="s">
        <v>391</v>
      </c>
      <c r="BA41" s="3">
        <v>423300</v>
      </c>
      <c r="BC41" s="9">
        <f>+BA41</f>
        <v>423300</v>
      </c>
      <c r="BE41" s="9">
        <f>+BC41</f>
        <v>423300</v>
      </c>
      <c r="BG41" s="9">
        <f>+BC41</f>
        <v>423300</v>
      </c>
      <c r="BI41" s="9">
        <f>+BE41</f>
        <v>423300</v>
      </c>
      <c r="BK41" s="9">
        <f>+BI41</f>
        <v>423300</v>
      </c>
      <c r="BM41" s="9">
        <f>+BK41</f>
        <v>423300</v>
      </c>
      <c r="BO41" s="9">
        <f>+BM41</f>
        <v>423300</v>
      </c>
      <c r="BQ41" s="24">
        <f>+BO41</f>
        <v>423300</v>
      </c>
      <c r="BS41" s="24">
        <f>+BQ41</f>
        <v>423300</v>
      </c>
    </row>
    <row r="43" spans="1:71" x14ac:dyDescent="0.25">
      <c r="AO43" s="9"/>
    </row>
    <row r="45" spans="1:71" x14ac:dyDescent="0.25">
      <c r="AO45" s="9"/>
    </row>
  </sheetData>
  <mergeCells count="10">
    <mergeCell ref="BG3:BG13"/>
    <mergeCell ref="AS3:AS13"/>
    <mergeCell ref="BK3:BK13"/>
    <mergeCell ref="BM3:BM13"/>
    <mergeCell ref="G3:G13"/>
    <mergeCell ref="S3:S13"/>
    <mergeCell ref="O3:O13"/>
    <mergeCell ref="Y3:Y13"/>
    <mergeCell ref="AM3:AM13"/>
    <mergeCell ref="BE3:BE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"/>
  <sheetViews>
    <sheetView workbookViewId="0">
      <selection activeCell="A2" sqref="A2"/>
    </sheetView>
  </sheetViews>
  <sheetFormatPr baseColWidth="10" defaultRowHeight="15" x14ac:dyDescent="0.25"/>
  <sheetData>
    <row r="2" spans="1:1" x14ac:dyDescent="0.25">
      <c r="A2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1"/>
  <sheetViews>
    <sheetView showGridLines="0" workbookViewId="0">
      <selection activeCell="H10" sqref="H10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43" t="s">
        <v>680</v>
      </c>
      <c r="D2" s="243"/>
      <c r="E2" s="243"/>
      <c r="F2" s="229" t="s">
        <v>212</v>
      </c>
    </row>
    <row r="3" spans="2:7" x14ac:dyDescent="0.25">
      <c r="C3" s="248" t="s">
        <v>302</v>
      </c>
      <c r="D3" s="248"/>
      <c r="E3" s="248"/>
      <c r="F3" s="228">
        <v>10000</v>
      </c>
    </row>
    <row r="4" spans="2:7" x14ac:dyDescent="0.25">
      <c r="C4" s="248" t="s">
        <v>185</v>
      </c>
      <c r="D4" s="248"/>
      <c r="E4" s="248"/>
      <c r="F4" s="228">
        <v>14000</v>
      </c>
    </row>
    <row r="5" spans="2:7" x14ac:dyDescent="0.25">
      <c r="B5" s="244" t="s">
        <v>673</v>
      </c>
      <c r="C5" s="222" t="s">
        <v>681</v>
      </c>
      <c r="D5" s="72">
        <v>1</v>
      </c>
      <c r="E5" s="141">
        <v>4500</v>
      </c>
      <c r="F5" s="225">
        <v>3500</v>
      </c>
      <c r="G5" s="9">
        <f>+E5-F5</f>
        <v>1000</v>
      </c>
    </row>
    <row r="6" spans="2:7" x14ac:dyDescent="0.25">
      <c r="B6" s="245"/>
      <c r="C6" s="222" t="s">
        <v>681</v>
      </c>
      <c r="D6" s="72">
        <v>1</v>
      </c>
      <c r="E6" s="141">
        <v>4500</v>
      </c>
      <c r="F6" s="225">
        <v>3500</v>
      </c>
      <c r="G6" s="9">
        <f t="shared" ref="G6:G14" si="0">+E6-F6</f>
        <v>1000</v>
      </c>
    </row>
    <row r="7" spans="2:7" x14ac:dyDescent="0.25">
      <c r="B7" s="246" t="s">
        <v>674</v>
      </c>
      <c r="C7" s="233" t="s">
        <v>677</v>
      </c>
      <c r="D7" s="185">
        <v>1</v>
      </c>
      <c r="E7" s="186">
        <v>6000</v>
      </c>
      <c r="F7" s="234">
        <v>4000</v>
      </c>
      <c r="G7" s="9">
        <f t="shared" si="0"/>
        <v>2000</v>
      </c>
    </row>
    <row r="8" spans="2:7" x14ac:dyDescent="0.25">
      <c r="B8" s="246"/>
      <c r="C8" s="233" t="s">
        <v>675</v>
      </c>
      <c r="D8" s="185">
        <v>1</v>
      </c>
      <c r="E8" s="186">
        <v>3000</v>
      </c>
      <c r="F8" s="234">
        <v>2500</v>
      </c>
      <c r="G8" s="9">
        <f t="shared" si="0"/>
        <v>500</v>
      </c>
    </row>
    <row r="9" spans="2:7" x14ac:dyDescent="0.25">
      <c r="B9" s="247" t="s">
        <v>676</v>
      </c>
      <c r="C9" s="235" t="s">
        <v>675</v>
      </c>
      <c r="D9" s="236">
        <v>1</v>
      </c>
      <c r="E9" s="237">
        <v>3000</v>
      </c>
      <c r="F9" s="225">
        <v>2500</v>
      </c>
      <c r="G9" s="9">
        <f t="shared" si="0"/>
        <v>500</v>
      </c>
    </row>
    <row r="10" spans="2:7" x14ac:dyDescent="0.25">
      <c r="B10" s="247"/>
      <c r="C10" s="235" t="s">
        <v>675</v>
      </c>
      <c r="D10" s="236">
        <v>1</v>
      </c>
      <c r="E10" s="237">
        <v>3000</v>
      </c>
      <c r="F10" s="225">
        <v>2500</v>
      </c>
      <c r="G10" s="9">
        <f t="shared" si="0"/>
        <v>500</v>
      </c>
    </row>
    <row r="11" spans="2:7" x14ac:dyDescent="0.25">
      <c r="B11" s="246" t="s">
        <v>678</v>
      </c>
      <c r="C11" s="226" t="s">
        <v>675</v>
      </c>
      <c r="D11" s="227">
        <v>1</v>
      </c>
      <c r="E11" s="221">
        <v>3000</v>
      </c>
      <c r="F11" s="228">
        <v>2500</v>
      </c>
      <c r="G11" s="9">
        <f t="shared" si="0"/>
        <v>500</v>
      </c>
    </row>
    <row r="12" spans="2:7" x14ac:dyDescent="0.25">
      <c r="B12" s="246"/>
      <c r="C12" s="226" t="s">
        <v>675</v>
      </c>
      <c r="D12" s="227">
        <v>1</v>
      </c>
      <c r="E12" s="221">
        <v>3000</v>
      </c>
      <c r="F12" s="228">
        <v>2500</v>
      </c>
      <c r="G12" s="9">
        <f t="shared" si="0"/>
        <v>500</v>
      </c>
    </row>
    <row r="13" spans="2:7" x14ac:dyDescent="0.25">
      <c r="B13" s="247" t="s">
        <v>679</v>
      </c>
      <c r="C13" s="249" t="s">
        <v>675</v>
      </c>
      <c r="D13" s="244">
        <v>1</v>
      </c>
      <c r="E13" s="251">
        <v>3000</v>
      </c>
      <c r="F13" s="242">
        <f>+F12</f>
        <v>2500</v>
      </c>
      <c r="G13" s="9">
        <f t="shared" si="0"/>
        <v>500</v>
      </c>
    </row>
    <row r="14" spans="2:7" x14ac:dyDescent="0.25">
      <c r="B14" s="247"/>
      <c r="C14" s="250"/>
      <c r="D14" s="245"/>
      <c r="E14" s="252"/>
      <c r="F14" s="242"/>
      <c r="G14" s="9">
        <f t="shared" si="0"/>
        <v>0</v>
      </c>
    </row>
    <row r="15" spans="2:7" x14ac:dyDescent="0.25">
      <c r="E15" s="230" t="s">
        <v>121</v>
      </c>
      <c r="F15" s="231">
        <f>+SUM(F3:F14)</f>
        <v>50000</v>
      </c>
    </row>
    <row r="18" spans="5:8" x14ac:dyDescent="0.25">
      <c r="E18" s="223" t="s">
        <v>136</v>
      </c>
      <c r="F18" s="13">
        <v>16000</v>
      </c>
    </row>
    <row r="19" spans="5:8" x14ac:dyDescent="0.25">
      <c r="E19" s="224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7">
    <tabColor rgb="FF9966FF"/>
  </sheetPr>
  <dimension ref="A1:M134"/>
  <sheetViews>
    <sheetView zoomScale="115" zoomScaleNormal="115" workbookViewId="0">
      <pane ySplit="6" topLeftCell="A7" activePane="bottomLeft" state="frozen"/>
      <selection activeCell="C1" sqref="C1"/>
      <selection pane="bottomLeft" activeCell="F132" sqref="F132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911600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1111600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1111600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682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659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659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660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661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49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49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49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49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49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49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49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49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49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49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49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49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49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49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04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654</v>
      </c>
      <c r="H62" s="26" t="s">
        <v>141</v>
      </c>
      <c r="I62" t="s">
        <v>662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658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657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656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655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621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620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622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623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650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649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667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670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669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668</v>
      </c>
    </row>
  </sheetData>
  <autoFilter ref="A6:J134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654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658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657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656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655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621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620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622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623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650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649</v>
      </c>
    </row>
  </sheetData>
  <autoFilter ref="A5:K128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E30"/>
  <sheetViews>
    <sheetView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683</v>
      </c>
    </row>
    <row r="4" spans="1:5" x14ac:dyDescent="0.25">
      <c r="A4" s="232">
        <v>46076</v>
      </c>
      <c r="B4" s="32">
        <v>30500</v>
      </c>
    </row>
    <row r="5" spans="1:5" x14ac:dyDescent="0.25">
      <c r="A5" s="232">
        <v>46077</v>
      </c>
      <c r="B5" s="32">
        <v>11000</v>
      </c>
      <c r="C5" s="32">
        <f>+B4+B5</f>
        <v>41500</v>
      </c>
      <c r="D5" s="32" t="e">
        <f ca="1">+_xlfn.XLOOKUP(A5,'[1]inf_Libro Auxiliar'!$A:$A,'[1]inf_Libro Auxiliar'!$G:$G)</f>
        <v>#NAME?</v>
      </c>
      <c r="E5" s="32" t="e">
        <f ca="1">+C5-D5</f>
        <v>#NAME?</v>
      </c>
    </row>
    <row r="6" spans="1:5" x14ac:dyDescent="0.25">
      <c r="A6" s="232">
        <v>46078</v>
      </c>
      <c r="B6" s="32">
        <v>46500</v>
      </c>
      <c r="C6" s="32">
        <f>+C5+B6</f>
        <v>88000</v>
      </c>
      <c r="D6" s="32" t="e">
        <f ca="1">+_xlfn.XLOOKUP(A6,'[1]inf_Libro Auxiliar'!$A:$A,'[1]inf_Libro Auxiliar'!$G:$G)</f>
        <v>#NAME?</v>
      </c>
      <c r="E6" s="32" t="e">
        <f t="shared" ref="E6:E30" ca="1" si="0">+C6-D6</f>
        <v>#NAME?</v>
      </c>
    </row>
    <row r="7" spans="1:5" x14ac:dyDescent="0.25">
      <c r="A7" s="232">
        <v>46079</v>
      </c>
      <c r="B7" s="32">
        <v>125000</v>
      </c>
      <c r="C7" s="32">
        <f t="shared" ref="C7:C29" si="1">+C6+B7</f>
        <v>213000</v>
      </c>
      <c r="D7" s="32" t="e">
        <f ca="1">+_xlfn.XLOOKUP(A7,'[1]inf_Libro Auxiliar'!$A:$A,'[1]inf_Libro Auxiliar'!$G:$G)</f>
        <v>#NAME?</v>
      </c>
      <c r="E7" s="32" t="e">
        <f t="shared" ca="1" si="0"/>
        <v>#NAME?</v>
      </c>
    </row>
    <row r="8" spans="1:5" x14ac:dyDescent="0.25">
      <c r="A8" s="232">
        <v>46080</v>
      </c>
      <c r="B8" s="32">
        <v>45000</v>
      </c>
      <c r="C8" s="32">
        <f t="shared" si="1"/>
        <v>258000</v>
      </c>
      <c r="D8" s="32" t="e">
        <f ca="1">+_xlfn.XLOOKUP(A8,'[1]inf_Libro Auxiliar'!$A:$A,'[1]inf_Libro Auxiliar'!$G:$G)</f>
        <v>#NAME?</v>
      </c>
      <c r="E8" s="32" t="e">
        <f t="shared" ca="1" si="0"/>
        <v>#NAME?</v>
      </c>
    </row>
    <row r="9" spans="1:5" x14ac:dyDescent="0.25">
      <c r="A9" s="232">
        <v>46081</v>
      </c>
      <c r="B9" s="32">
        <v>327000</v>
      </c>
      <c r="C9" s="32">
        <f t="shared" si="1"/>
        <v>585000</v>
      </c>
      <c r="D9" s="32" t="e">
        <f ca="1">+_xlfn.XLOOKUP(A9,'[1]inf_Libro Auxiliar'!$A:$A,'[1]inf_Libro Auxiliar'!$G:$G)</f>
        <v>#NAME?</v>
      </c>
      <c r="E9" s="32" t="e">
        <f t="shared" ca="1" si="0"/>
        <v>#NAME?</v>
      </c>
    </row>
    <row r="10" spans="1:5" x14ac:dyDescent="0.25">
      <c r="A10" s="232">
        <v>46084</v>
      </c>
      <c r="B10" s="32">
        <v>-539850</v>
      </c>
      <c r="C10" s="32">
        <f t="shared" si="1"/>
        <v>45150</v>
      </c>
      <c r="D10" s="32" t="e">
        <f ca="1">+_xlfn.XLOOKUP(A10,'[1]inf_Libro Auxiliar'!$A:$A,'[1]inf_Libro Auxiliar'!$G:$G)</f>
        <v>#NAME?</v>
      </c>
      <c r="E10" s="32" t="e">
        <f t="shared" ca="1" si="0"/>
        <v>#NAME?</v>
      </c>
    </row>
    <row r="11" spans="1:5" x14ac:dyDescent="0.25">
      <c r="A11" s="232">
        <v>46085</v>
      </c>
      <c r="B11" s="32">
        <v>117000</v>
      </c>
      <c r="C11" s="32">
        <f t="shared" si="1"/>
        <v>162150</v>
      </c>
      <c r="D11" s="32" t="e">
        <f ca="1">+_xlfn.XLOOKUP(A11,'[1]inf_Libro Auxiliar'!$A:$A,'[1]inf_Libro Auxiliar'!$G:$G)</f>
        <v>#NAME?</v>
      </c>
      <c r="E11" s="32" t="e">
        <f t="shared" ca="1" si="0"/>
        <v>#NAME?</v>
      </c>
    </row>
    <row r="12" spans="1:5" x14ac:dyDescent="0.25">
      <c r="A12" s="232">
        <v>46086</v>
      </c>
      <c r="B12" s="32">
        <v>131500</v>
      </c>
      <c r="C12" s="32">
        <f t="shared" si="1"/>
        <v>293650</v>
      </c>
      <c r="D12" s="32" t="e">
        <f ca="1">+_xlfn.XLOOKUP(A12,'[1]inf_Libro Auxiliar'!$A:$A,'[1]inf_Libro Auxiliar'!$G:$G)</f>
        <v>#NAME?</v>
      </c>
      <c r="E12" s="32" t="e">
        <f t="shared" ca="1" si="0"/>
        <v>#NAME?</v>
      </c>
    </row>
    <row r="13" spans="1:5" x14ac:dyDescent="0.25">
      <c r="A13" s="232">
        <v>46088</v>
      </c>
      <c r="B13" s="32">
        <v>71000</v>
      </c>
      <c r="C13" s="32">
        <f t="shared" si="1"/>
        <v>364650</v>
      </c>
      <c r="D13" s="32" t="e">
        <f ca="1">+_xlfn.XLOOKUP(A13,'[1]inf_Libro Auxiliar'!$A:$A,'[1]inf_Libro Auxiliar'!$G:$G)</f>
        <v>#NAME?</v>
      </c>
      <c r="E13" s="32" t="e">
        <f t="shared" ca="1" si="0"/>
        <v>#NAME?</v>
      </c>
    </row>
    <row r="14" spans="1:5" x14ac:dyDescent="0.25">
      <c r="A14" s="232">
        <v>46089</v>
      </c>
      <c r="B14" s="32">
        <v>138000</v>
      </c>
      <c r="C14" s="32">
        <f t="shared" si="1"/>
        <v>502650</v>
      </c>
      <c r="D14" s="32" t="e">
        <f ca="1">+_xlfn.XLOOKUP(A14,'[1]inf_Libro Auxiliar'!$A:$A,'[1]inf_Libro Auxiliar'!$G:$G)</f>
        <v>#NAME?</v>
      </c>
      <c r="E14" s="32" t="e">
        <f t="shared" ca="1" si="0"/>
        <v>#NAME?</v>
      </c>
    </row>
    <row r="15" spans="1:5" x14ac:dyDescent="0.25">
      <c r="A15" s="232">
        <v>46091</v>
      </c>
      <c r="B15" s="32">
        <v>-281000</v>
      </c>
      <c r="C15" s="32">
        <f t="shared" si="1"/>
        <v>221650</v>
      </c>
      <c r="D15" s="32" t="e">
        <f ca="1">+_xlfn.XLOOKUP(A15,'[1]inf_Libro Auxiliar'!$A:$A,'[1]inf_Libro Auxiliar'!$G:$G)</f>
        <v>#NAME?</v>
      </c>
      <c r="E15" s="32" t="e">
        <f t="shared" ca="1" si="0"/>
        <v>#NAME?</v>
      </c>
    </row>
    <row r="16" spans="1:5" x14ac:dyDescent="0.25">
      <c r="A16" s="232">
        <v>46092</v>
      </c>
      <c r="B16" s="32">
        <v>113000</v>
      </c>
      <c r="C16" s="32">
        <f t="shared" si="1"/>
        <v>334650</v>
      </c>
      <c r="D16" s="32" t="e">
        <f ca="1">+_xlfn.XLOOKUP(A16,'[1]inf_Libro Auxiliar'!$A:$A,'[1]inf_Libro Auxiliar'!$G:$G)</f>
        <v>#NAME?</v>
      </c>
      <c r="E16" s="32" t="e">
        <f t="shared" ca="1" si="0"/>
        <v>#NAME?</v>
      </c>
    </row>
    <row r="17" spans="1:5" x14ac:dyDescent="0.25">
      <c r="A17" s="232">
        <v>46093</v>
      </c>
      <c r="B17" s="32">
        <v>70000</v>
      </c>
      <c r="C17" s="32">
        <f t="shared" si="1"/>
        <v>404650</v>
      </c>
      <c r="D17" s="32" t="e">
        <f ca="1">+_xlfn.XLOOKUP(A17,'[1]inf_Libro Auxiliar'!$A:$A,'[1]inf_Libro Auxiliar'!$G:$G)</f>
        <v>#NAME?</v>
      </c>
      <c r="E17" s="32" t="e">
        <f t="shared" ca="1" si="0"/>
        <v>#NAME?</v>
      </c>
    </row>
    <row r="18" spans="1:5" x14ac:dyDescent="0.25">
      <c r="A18" s="232">
        <v>46095</v>
      </c>
      <c r="B18" s="32">
        <v>93000</v>
      </c>
      <c r="C18" s="32">
        <f t="shared" si="1"/>
        <v>497650</v>
      </c>
      <c r="D18" s="32" t="e">
        <f ca="1">+_xlfn.XLOOKUP(A18,'[1]inf_Libro Auxiliar'!$A:$A,'[1]inf_Libro Auxiliar'!$G:$G)</f>
        <v>#NAME?</v>
      </c>
      <c r="E18" s="32" t="e">
        <f t="shared" ca="1" si="0"/>
        <v>#NAME?</v>
      </c>
    </row>
    <row r="19" spans="1:5" x14ac:dyDescent="0.25">
      <c r="A19" s="232">
        <v>46096</v>
      </c>
      <c r="B19" s="32">
        <v>55000</v>
      </c>
      <c r="C19" s="32">
        <f t="shared" si="1"/>
        <v>552650</v>
      </c>
      <c r="D19" s="32" t="e">
        <f ca="1">+_xlfn.XLOOKUP(A19,'[1]inf_Libro Auxiliar'!$A:$A,'[1]inf_Libro Auxiliar'!$G:$G)</f>
        <v>#NAME?</v>
      </c>
      <c r="E19" s="32" t="e">
        <f t="shared" ca="1" si="0"/>
        <v>#NAME?</v>
      </c>
    </row>
    <row r="20" spans="1:5" x14ac:dyDescent="0.25">
      <c r="A20" s="232">
        <v>46097</v>
      </c>
      <c r="B20" s="32">
        <v>21000</v>
      </c>
      <c r="C20" s="32">
        <f t="shared" si="1"/>
        <v>573650</v>
      </c>
      <c r="D20" s="32" t="e">
        <f ca="1">+_xlfn.XLOOKUP(A20,'[1]inf_Libro Auxiliar'!$A:$A,'[1]inf_Libro Auxiliar'!$G:$G)</f>
        <v>#NAME?</v>
      </c>
      <c r="E20" s="32" t="e">
        <f t="shared" ca="1" si="0"/>
        <v>#NAME?</v>
      </c>
    </row>
    <row r="21" spans="1:5" x14ac:dyDescent="0.25">
      <c r="A21" s="232">
        <v>46098</v>
      </c>
      <c r="B21" s="32">
        <v>50000</v>
      </c>
      <c r="C21" s="32">
        <f t="shared" si="1"/>
        <v>623650</v>
      </c>
      <c r="D21" s="32" t="e">
        <f ca="1">+_xlfn.XLOOKUP(A21,'[1]inf_Libro Auxiliar'!$A:$A,'[1]inf_Libro Auxiliar'!$G:$G)</f>
        <v>#NAME?</v>
      </c>
      <c r="E21" s="32" t="e">
        <f t="shared" ca="1" si="0"/>
        <v>#NAME?</v>
      </c>
    </row>
    <row r="22" spans="1:5" x14ac:dyDescent="0.25">
      <c r="A22" s="232">
        <v>46099</v>
      </c>
      <c r="B22" s="32">
        <v>155450</v>
      </c>
      <c r="C22" s="32">
        <f t="shared" si="1"/>
        <v>779100</v>
      </c>
      <c r="D22" s="32" t="e">
        <f ca="1">+_xlfn.XLOOKUP(A22,'[1]inf_Libro Auxiliar'!$A:$A,'[1]inf_Libro Auxiliar'!$G:$G)</f>
        <v>#NAME?</v>
      </c>
      <c r="E22" s="32" t="e">
        <f t="shared" ca="1" si="0"/>
        <v>#NAME?</v>
      </c>
    </row>
    <row r="23" spans="1:5" x14ac:dyDescent="0.25">
      <c r="A23" s="232">
        <v>46100</v>
      </c>
      <c r="B23" s="32">
        <v>-284200</v>
      </c>
      <c r="C23" s="32">
        <f t="shared" si="1"/>
        <v>494900</v>
      </c>
      <c r="D23" s="32" t="e">
        <f ca="1">+_xlfn.XLOOKUP(A23,'[1]inf_Libro Auxiliar'!$A:$A,'[1]inf_Libro Auxiliar'!$G:$G)</f>
        <v>#NAME?</v>
      </c>
      <c r="E23" s="32" t="e">
        <f t="shared" ca="1" si="0"/>
        <v>#NAME?</v>
      </c>
    </row>
    <row r="24" spans="1:5" x14ac:dyDescent="0.25">
      <c r="A24" s="232">
        <v>46101</v>
      </c>
      <c r="B24" s="32">
        <v>274700</v>
      </c>
      <c r="C24" s="32">
        <f t="shared" si="1"/>
        <v>769600</v>
      </c>
      <c r="D24" s="32" t="e">
        <f ca="1">+_xlfn.XLOOKUP(A24,'[1]inf_Libro Auxiliar'!$A:$A,'[1]inf_Libro Auxiliar'!$G:$G)</f>
        <v>#NAME?</v>
      </c>
      <c r="E24" s="32" t="e">
        <f t="shared" ca="1" si="0"/>
        <v>#NAME?</v>
      </c>
    </row>
    <row r="25" spans="1:5" x14ac:dyDescent="0.25">
      <c r="A25" s="232">
        <v>46102</v>
      </c>
      <c r="B25" s="32">
        <v>11000</v>
      </c>
      <c r="C25" s="32">
        <f t="shared" si="1"/>
        <v>780600</v>
      </c>
      <c r="D25" s="32" t="e">
        <f ca="1">+_xlfn.XLOOKUP(A25,'[1]inf_Libro Auxiliar'!$A:$A,'[1]inf_Libro Auxiliar'!$G:$G)</f>
        <v>#NAME?</v>
      </c>
      <c r="E25" s="32" t="e">
        <f t="shared" ca="1" si="0"/>
        <v>#NAME?</v>
      </c>
    </row>
    <row r="26" spans="1:5" x14ac:dyDescent="0.25">
      <c r="A26" s="232">
        <v>46105</v>
      </c>
      <c r="B26" s="32">
        <v>127000</v>
      </c>
      <c r="C26" s="32">
        <f t="shared" si="1"/>
        <v>907600</v>
      </c>
      <c r="D26" s="32" t="e">
        <f ca="1">+_xlfn.XLOOKUP(A26,'[1]inf_Libro Auxiliar'!$A:$A,'[1]inf_Libro Auxiliar'!$G:$G)</f>
        <v>#NAME?</v>
      </c>
      <c r="E26" s="32" t="e">
        <f t="shared" ca="1" si="0"/>
        <v>#NAME?</v>
      </c>
    </row>
    <row r="27" spans="1:5" x14ac:dyDescent="0.25">
      <c r="A27" s="232">
        <v>46106</v>
      </c>
      <c r="B27" s="32">
        <v>-106000</v>
      </c>
      <c r="C27" s="32">
        <f t="shared" si="1"/>
        <v>801600</v>
      </c>
      <c r="D27" s="32" t="e">
        <f ca="1">+_xlfn.XLOOKUP(A27,'[1]inf_Libro Auxiliar'!$A:$A,'[1]inf_Libro Auxiliar'!$G:$G)</f>
        <v>#NAME?</v>
      </c>
      <c r="E27" s="32" t="e">
        <f t="shared" ca="1" si="0"/>
        <v>#NAME?</v>
      </c>
    </row>
    <row r="28" spans="1:5" x14ac:dyDescent="0.25">
      <c r="A28" s="232">
        <v>46107</v>
      </c>
      <c r="B28" s="32">
        <v>24000</v>
      </c>
      <c r="C28" s="32">
        <f t="shared" si="1"/>
        <v>825600</v>
      </c>
      <c r="D28" s="32" t="e">
        <f ca="1">+_xlfn.XLOOKUP(A28,'[1]inf_Libro Auxiliar'!$A:$A,'[1]inf_Libro Auxiliar'!$G:$G)</f>
        <v>#NAME?</v>
      </c>
      <c r="E28" s="32" t="e">
        <f t="shared" ca="1" si="0"/>
        <v>#NAME?</v>
      </c>
    </row>
    <row r="29" spans="1:5" x14ac:dyDescent="0.25">
      <c r="A29" s="232">
        <v>46109</v>
      </c>
      <c r="B29" s="32">
        <v>86000</v>
      </c>
      <c r="C29" s="32">
        <f t="shared" si="1"/>
        <v>911600</v>
      </c>
      <c r="D29" s="32" t="e">
        <f ca="1">+_xlfn.XLOOKUP(A29,'[1]inf_Libro Auxiliar'!$A:$A,'[1]inf_Libro Auxiliar'!$G:$G)</f>
        <v>#NAME?</v>
      </c>
      <c r="E29" s="32" t="e">
        <f t="shared" ca="1" si="0"/>
        <v>#NAME?</v>
      </c>
    </row>
    <row r="30" spans="1:5" x14ac:dyDescent="0.25">
      <c r="A30" s="232" t="s">
        <v>33</v>
      </c>
      <c r="B30" s="32">
        <v>911600</v>
      </c>
      <c r="D30" s="32" t="e">
        <f ca="1">+_xlfn.XLOOKUP(A30,'[1]inf_Libro Auxiliar'!$A:$A,'[1]inf_Libro Auxiliar'!$G:$G)</f>
        <v>#NAME?</v>
      </c>
      <c r="E30" s="32" t="e">
        <f t="shared" ca="1" si="0"/>
        <v>#NAME?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F0"/>
  </sheetPr>
  <dimension ref="A1:D29"/>
  <sheetViews>
    <sheetView zoomScale="145" zoomScaleNormal="145" workbookViewId="0">
      <pane ySplit="2" topLeftCell="A21" activePane="bottomLeft" state="frozen"/>
      <selection pane="bottomLeft" activeCell="B31" sqref="B31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114040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  <row r="29" spans="1:4" x14ac:dyDescent="0.25">
      <c r="A29" s="2">
        <v>46106</v>
      </c>
      <c r="B29" s="61" t="s">
        <v>619</v>
      </c>
      <c r="C29" s="49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651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</sheetPr>
  <dimension ref="B1:F45"/>
  <sheetViews>
    <sheetView showGridLines="0" zoomScale="115" zoomScaleNormal="115" workbookViewId="0">
      <pane ySplit="2" topLeftCell="A36" activePane="bottomLeft" state="frozen"/>
      <selection pane="bottomLeft" activeCell="C37" sqref="C37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53" t="s">
        <v>338</v>
      </c>
      <c r="C1" s="253"/>
      <c r="D1" s="253"/>
      <c r="E1" s="253"/>
      <c r="F1" s="253"/>
    </row>
    <row r="2" spans="2:6" x14ac:dyDescent="0.25">
      <c r="B2" s="86" t="s">
        <v>5</v>
      </c>
      <c r="C2" s="87" t="s">
        <v>291</v>
      </c>
      <c r="D2" s="107" t="s">
        <v>294</v>
      </c>
      <c r="E2" s="86" t="s">
        <v>337</v>
      </c>
      <c r="F2" s="86" t="s">
        <v>321</v>
      </c>
    </row>
    <row r="3" spans="2:6" ht="30" x14ac:dyDescent="0.25">
      <c r="B3" s="111">
        <v>46090</v>
      </c>
      <c r="C3" s="89" t="s">
        <v>293</v>
      </c>
      <c r="D3" s="108" t="s">
        <v>295</v>
      </c>
      <c r="E3" s="88" t="s">
        <v>292</v>
      </c>
      <c r="F3" s="88" t="s">
        <v>439</v>
      </c>
    </row>
    <row r="4" spans="2:6" ht="45" x14ac:dyDescent="0.25">
      <c r="B4" s="111">
        <v>46090</v>
      </c>
      <c r="C4" s="89" t="s">
        <v>297</v>
      </c>
      <c r="D4" s="108" t="s">
        <v>295</v>
      </c>
      <c r="E4" s="88" t="s">
        <v>296</v>
      </c>
      <c r="F4" s="88" t="s">
        <v>438</v>
      </c>
    </row>
    <row r="5" spans="2:6" ht="45" x14ac:dyDescent="0.25">
      <c r="B5" s="111">
        <v>46093</v>
      </c>
      <c r="C5" s="89" t="s">
        <v>323</v>
      </c>
      <c r="D5" s="108" t="s">
        <v>295</v>
      </c>
      <c r="E5" s="88" t="s">
        <v>322</v>
      </c>
      <c r="F5" s="88" t="s">
        <v>324</v>
      </c>
    </row>
    <row r="6" spans="2:6" ht="60" x14ac:dyDescent="0.25">
      <c r="B6" s="111">
        <v>46093</v>
      </c>
      <c r="C6" s="89" t="s">
        <v>326</v>
      </c>
      <c r="D6" s="108" t="s">
        <v>295</v>
      </c>
      <c r="E6" s="88" t="s">
        <v>325</v>
      </c>
      <c r="F6" s="88" t="s">
        <v>327</v>
      </c>
    </row>
    <row r="7" spans="2:6" ht="45" x14ac:dyDescent="0.25">
      <c r="B7" s="111">
        <v>46093</v>
      </c>
      <c r="C7" s="89" t="s">
        <v>329</v>
      </c>
      <c r="D7" s="108" t="s">
        <v>295</v>
      </c>
      <c r="E7" s="88" t="s">
        <v>330</v>
      </c>
      <c r="F7" s="88" t="s">
        <v>328</v>
      </c>
    </row>
    <row r="8" spans="2:6" ht="30" x14ac:dyDescent="0.25">
      <c r="B8" s="111">
        <v>46093</v>
      </c>
      <c r="C8" s="89" t="s">
        <v>332</v>
      </c>
      <c r="D8" s="108" t="s">
        <v>295</v>
      </c>
      <c r="E8" s="88" t="s">
        <v>331</v>
      </c>
      <c r="F8" s="88" t="s">
        <v>334</v>
      </c>
    </row>
    <row r="9" spans="2:6" ht="45" x14ac:dyDescent="0.25">
      <c r="B9" s="111">
        <v>46093</v>
      </c>
      <c r="C9" s="89" t="s">
        <v>336</v>
      </c>
      <c r="D9" s="108" t="s">
        <v>295</v>
      </c>
      <c r="E9" s="88" t="s">
        <v>333</v>
      </c>
      <c r="F9" s="88" t="s">
        <v>335</v>
      </c>
    </row>
    <row r="10" spans="2:6" x14ac:dyDescent="0.25">
      <c r="B10" s="111">
        <v>46093</v>
      </c>
      <c r="C10" s="89" t="s">
        <v>353</v>
      </c>
      <c r="D10" s="108" t="s">
        <v>295</v>
      </c>
      <c r="E10" s="88" t="s">
        <v>361</v>
      </c>
      <c r="F10" s="88" t="s">
        <v>360</v>
      </c>
    </row>
    <row r="11" spans="2:6" ht="45" x14ac:dyDescent="0.25">
      <c r="B11" s="111">
        <v>46093</v>
      </c>
      <c r="C11" s="89" t="s">
        <v>417</v>
      </c>
      <c r="D11" s="108" t="s">
        <v>295</v>
      </c>
      <c r="E11" s="88" t="s">
        <v>369</v>
      </c>
      <c r="F11" s="88" t="s">
        <v>370</v>
      </c>
    </row>
    <row r="12" spans="2:6" ht="45" x14ac:dyDescent="0.25">
      <c r="B12" s="111">
        <v>46099</v>
      </c>
      <c r="C12" s="89" t="s">
        <v>419</v>
      </c>
      <c r="D12" s="108" t="s">
        <v>295</v>
      </c>
      <c r="E12" s="88" t="s">
        <v>416</v>
      </c>
      <c r="F12" s="88" t="s">
        <v>418</v>
      </c>
    </row>
    <row r="13" spans="2:6" ht="45" x14ac:dyDescent="0.25">
      <c r="B13" s="111">
        <v>46099</v>
      </c>
      <c r="C13" s="89" t="s">
        <v>355</v>
      </c>
      <c r="D13" s="108" t="s">
        <v>295</v>
      </c>
      <c r="E13" s="88" t="s">
        <v>427</v>
      </c>
      <c r="F13" s="88" t="s">
        <v>428</v>
      </c>
    </row>
    <row r="14" spans="2:6" ht="30" x14ac:dyDescent="0.25">
      <c r="B14" s="111">
        <v>46100</v>
      </c>
      <c r="C14" s="89" t="s">
        <v>442</v>
      </c>
      <c r="D14" s="108" t="s">
        <v>295</v>
      </c>
      <c r="E14" s="88" t="s">
        <v>429</v>
      </c>
      <c r="F14" s="88" t="s">
        <v>441</v>
      </c>
    </row>
    <row r="15" spans="2:6" ht="30" x14ac:dyDescent="0.25">
      <c r="B15" s="111">
        <v>46100</v>
      </c>
      <c r="C15" s="89" t="s">
        <v>355</v>
      </c>
      <c r="D15" s="108" t="s">
        <v>295</v>
      </c>
      <c r="E15" s="88" t="s">
        <v>427</v>
      </c>
      <c r="F15" s="88" t="s">
        <v>443</v>
      </c>
    </row>
    <row r="16" spans="2:6" ht="45" x14ac:dyDescent="0.25">
      <c r="B16" s="111">
        <v>46100</v>
      </c>
      <c r="C16" s="90" t="s">
        <v>444</v>
      </c>
      <c r="D16" s="108" t="s">
        <v>295</v>
      </c>
      <c r="E16" s="88" t="s">
        <v>445</v>
      </c>
      <c r="F16" s="88" t="s">
        <v>446</v>
      </c>
    </row>
    <row r="17" spans="2:6" ht="30" x14ac:dyDescent="0.25">
      <c r="B17" s="111">
        <v>46100</v>
      </c>
      <c r="C17" s="89" t="s">
        <v>448</v>
      </c>
      <c r="D17" s="108" t="s">
        <v>295</v>
      </c>
      <c r="E17" s="88" t="s">
        <v>535</v>
      </c>
      <c r="F17" s="88" t="s">
        <v>449</v>
      </c>
    </row>
    <row r="18" spans="2:6" ht="45" x14ac:dyDescent="0.25">
      <c r="B18" s="111">
        <v>46100</v>
      </c>
      <c r="C18" s="89" t="s">
        <v>511</v>
      </c>
      <c r="D18" s="108" t="s">
        <v>295</v>
      </c>
      <c r="E18" s="88" t="s">
        <v>510</v>
      </c>
      <c r="F18" s="88" t="s">
        <v>512</v>
      </c>
    </row>
    <row r="19" spans="2:6" ht="45" x14ac:dyDescent="0.25">
      <c r="B19" s="111">
        <v>46100</v>
      </c>
      <c r="C19" s="89" t="s">
        <v>525</v>
      </c>
      <c r="D19" s="108" t="s">
        <v>295</v>
      </c>
      <c r="E19" s="88" t="s">
        <v>523</v>
      </c>
      <c r="F19" s="88" t="s">
        <v>524</v>
      </c>
    </row>
    <row r="20" spans="2:6" ht="30" x14ac:dyDescent="0.25">
      <c r="B20" s="111">
        <v>46101</v>
      </c>
      <c r="C20" s="89" t="s">
        <v>527</v>
      </c>
      <c r="D20" s="108" t="s">
        <v>295</v>
      </c>
      <c r="E20" s="88" t="s">
        <v>526</v>
      </c>
      <c r="F20" s="88" t="s">
        <v>528</v>
      </c>
    </row>
    <row r="21" spans="2:6" ht="60" x14ac:dyDescent="0.25">
      <c r="B21" s="111">
        <v>46101</v>
      </c>
      <c r="C21" s="89" t="s">
        <v>532</v>
      </c>
      <c r="D21" s="108" t="s">
        <v>295</v>
      </c>
      <c r="E21" s="88" t="s">
        <v>530</v>
      </c>
      <c r="F21" s="88" t="s">
        <v>531</v>
      </c>
    </row>
    <row r="22" spans="2:6" ht="60" x14ac:dyDescent="0.25">
      <c r="B22" s="111">
        <v>46101</v>
      </c>
      <c r="C22" s="89" t="s">
        <v>532</v>
      </c>
      <c r="D22" s="108" t="s">
        <v>295</v>
      </c>
      <c r="E22" s="88" t="s">
        <v>533</v>
      </c>
      <c r="F22" s="88" t="s">
        <v>534</v>
      </c>
    </row>
    <row r="23" spans="2:6" ht="30" x14ac:dyDescent="0.25">
      <c r="B23" s="111">
        <v>46101</v>
      </c>
      <c r="C23" s="89" t="s">
        <v>537</v>
      </c>
      <c r="D23" s="108" t="s">
        <v>295</v>
      </c>
      <c r="E23" s="88" t="s">
        <v>447</v>
      </c>
      <c r="F23" s="88" t="s">
        <v>536</v>
      </c>
    </row>
    <row r="24" spans="2:6" ht="45" x14ac:dyDescent="0.25">
      <c r="B24" s="111">
        <v>46102</v>
      </c>
      <c r="C24" s="89" t="s">
        <v>557</v>
      </c>
      <c r="D24" s="108" t="s">
        <v>295</v>
      </c>
      <c r="E24" s="88" t="s">
        <v>556</v>
      </c>
      <c r="F24" s="88" t="s">
        <v>558</v>
      </c>
    </row>
    <row r="25" spans="2:6" ht="30" x14ac:dyDescent="0.25">
      <c r="B25" s="111">
        <v>46102</v>
      </c>
      <c r="C25" s="89" t="s">
        <v>565</v>
      </c>
      <c r="D25" s="108" t="s">
        <v>295</v>
      </c>
      <c r="E25" s="88" t="s">
        <v>559</v>
      </c>
      <c r="F25" s="88" t="s">
        <v>560</v>
      </c>
    </row>
    <row r="26" spans="2:6" x14ac:dyDescent="0.25">
      <c r="B26" s="111">
        <v>46102</v>
      </c>
      <c r="C26" s="88" t="s">
        <v>562</v>
      </c>
      <c r="D26" s="108" t="s">
        <v>295</v>
      </c>
      <c r="E26" s="88" t="s">
        <v>561</v>
      </c>
      <c r="F26" s="88" t="s">
        <v>563</v>
      </c>
    </row>
    <row r="27" spans="2:6" x14ac:dyDescent="0.25">
      <c r="B27" s="111">
        <v>46102</v>
      </c>
      <c r="C27" s="88" t="s">
        <v>567</v>
      </c>
      <c r="D27" s="108" t="s">
        <v>295</v>
      </c>
      <c r="E27" s="88" t="s">
        <v>564</v>
      </c>
      <c r="F27" s="88" t="s">
        <v>569</v>
      </c>
    </row>
    <row r="28" spans="2:6" x14ac:dyDescent="0.25">
      <c r="B28" s="111">
        <v>46102</v>
      </c>
      <c r="C28" s="88" t="s">
        <v>568</v>
      </c>
      <c r="D28" s="108" t="s">
        <v>295</v>
      </c>
      <c r="E28" s="88" t="s">
        <v>566</v>
      </c>
      <c r="F28" s="88" t="s">
        <v>570</v>
      </c>
    </row>
    <row r="29" spans="2:6" x14ac:dyDescent="0.25">
      <c r="B29" s="111">
        <v>46102</v>
      </c>
      <c r="C29" s="88" t="s">
        <v>580</v>
      </c>
      <c r="D29" s="108" t="s">
        <v>295</v>
      </c>
      <c r="E29" s="88" t="s">
        <v>578</v>
      </c>
      <c r="F29" s="88" t="s">
        <v>579</v>
      </c>
    </row>
    <row r="30" spans="2:6" ht="45" x14ac:dyDescent="0.25">
      <c r="B30" s="111">
        <v>46104</v>
      </c>
      <c r="C30" s="89" t="s">
        <v>586</v>
      </c>
      <c r="D30" s="108" t="s">
        <v>295</v>
      </c>
      <c r="E30" s="88" t="s">
        <v>582</v>
      </c>
      <c r="F30" s="88" t="s">
        <v>583</v>
      </c>
    </row>
    <row r="31" spans="2:6" x14ac:dyDescent="0.25">
      <c r="B31" s="111">
        <v>46104</v>
      </c>
      <c r="C31" s="88" t="s">
        <v>587</v>
      </c>
      <c r="D31" s="108" t="s">
        <v>295</v>
      </c>
      <c r="E31" s="88" t="s">
        <v>585</v>
      </c>
      <c r="F31" s="88" t="s">
        <v>584</v>
      </c>
    </row>
    <row r="32" spans="2:6" ht="45" x14ac:dyDescent="0.25">
      <c r="B32" s="111">
        <v>46106</v>
      </c>
      <c r="C32" s="89" t="s">
        <v>625</v>
      </c>
      <c r="D32" s="108" t="s">
        <v>295</v>
      </c>
      <c r="E32" s="88" t="s">
        <v>624</v>
      </c>
      <c r="F32" s="88" t="s">
        <v>626</v>
      </c>
    </row>
    <row r="33" spans="2:6" ht="30" x14ac:dyDescent="0.25">
      <c r="B33" s="111">
        <v>46107</v>
      </c>
      <c r="C33" s="89" t="s">
        <v>628</v>
      </c>
      <c r="D33" s="108" t="s">
        <v>295</v>
      </c>
      <c r="E33" s="88" t="s">
        <v>629</v>
      </c>
      <c r="F33" s="88" t="s">
        <v>627</v>
      </c>
    </row>
    <row r="34" spans="2:6" ht="45" x14ac:dyDescent="0.25">
      <c r="B34" s="111">
        <v>46109</v>
      </c>
      <c r="C34" s="89" t="s">
        <v>665</v>
      </c>
      <c r="D34" s="108" t="s">
        <v>295</v>
      </c>
      <c r="E34" s="88" t="s">
        <v>664</v>
      </c>
      <c r="F34" s="88" t="s">
        <v>663</v>
      </c>
    </row>
    <row r="35" spans="2:6" ht="30" x14ac:dyDescent="0.25">
      <c r="B35" s="111"/>
      <c r="C35" s="90" t="s">
        <v>684</v>
      </c>
      <c r="D35" s="108"/>
      <c r="E35" s="88"/>
      <c r="F35" s="88"/>
    </row>
    <row r="36" spans="2:6" x14ac:dyDescent="0.25">
      <c r="B36" s="111"/>
      <c r="C36" s="90" t="s">
        <v>630</v>
      </c>
      <c r="D36" s="109" t="s">
        <v>294</v>
      </c>
      <c r="E36" s="88"/>
      <c r="F36" s="90"/>
    </row>
    <row r="37" spans="2:6" x14ac:dyDescent="0.25">
      <c r="B37" s="111"/>
      <c r="C37" s="90"/>
      <c r="D37" s="109"/>
      <c r="E37" s="88"/>
      <c r="F37" s="90"/>
    </row>
    <row r="38" spans="2:6" x14ac:dyDescent="0.25">
      <c r="B38" s="111"/>
      <c r="C38" s="90" t="s">
        <v>545</v>
      </c>
      <c r="D38" s="109"/>
      <c r="E38" s="88"/>
      <c r="F38" s="90"/>
    </row>
    <row r="39" spans="2:6" x14ac:dyDescent="0.25">
      <c r="B39" s="112"/>
      <c r="C39" s="88" t="s">
        <v>239</v>
      </c>
      <c r="D39" s="109" t="s">
        <v>294</v>
      </c>
      <c r="E39" s="88"/>
      <c r="F39" s="88" t="s">
        <v>239</v>
      </c>
    </row>
    <row r="40" spans="2:6" x14ac:dyDescent="0.25">
      <c r="B40" s="112"/>
      <c r="C40" s="88" t="s">
        <v>238</v>
      </c>
      <c r="D40" s="109" t="s">
        <v>294</v>
      </c>
      <c r="E40" s="88"/>
      <c r="F40" s="88" t="s">
        <v>238</v>
      </c>
    </row>
    <row r="41" spans="2:6" x14ac:dyDescent="0.25">
      <c r="B41" s="112"/>
      <c r="C41" s="88"/>
      <c r="D41" s="109" t="s">
        <v>294</v>
      </c>
      <c r="E41" s="88"/>
      <c r="F41" s="88" t="s">
        <v>529</v>
      </c>
    </row>
    <row r="42" spans="2:6" x14ac:dyDescent="0.25">
      <c r="B42" s="112"/>
      <c r="C42" s="88" t="s">
        <v>240</v>
      </c>
      <c r="D42" s="109" t="s">
        <v>294</v>
      </c>
      <c r="E42" s="88"/>
      <c r="F42" s="88" t="s">
        <v>240</v>
      </c>
    </row>
    <row r="43" spans="2:6" x14ac:dyDescent="0.25">
      <c r="B43" s="112"/>
      <c r="C43" s="88" t="s">
        <v>241</v>
      </c>
      <c r="D43" s="109" t="s">
        <v>294</v>
      </c>
      <c r="E43" s="88"/>
      <c r="F43" s="88" t="s">
        <v>241</v>
      </c>
    </row>
    <row r="44" spans="2:6" x14ac:dyDescent="0.25">
      <c r="B44" s="112"/>
      <c r="C44" s="88" t="s">
        <v>246</v>
      </c>
      <c r="D44" s="109" t="s">
        <v>294</v>
      </c>
      <c r="E44" s="88"/>
      <c r="F44" s="88" t="s">
        <v>246</v>
      </c>
    </row>
    <row r="45" spans="2:6" x14ac:dyDescent="0.25">
      <c r="B45" s="112"/>
      <c r="C45" s="88" t="s">
        <v>247</v>
      </c>
      <c r="D45" s="109" t="s">
        <v>294</v>
      </c>
      <c r="E45" s="88"/>
      <c r="F45" s="88" t="s">
        <v>247</v>
      </c>
    </row>
  </sheetData>
  <autoFilter ref="B2:F45"/>
  <mergeCells count="1">
    <mergeCell ref="B1:F1"/>
  </mergeCells>
  <conditionalFormatting sqref="E3:E45">
    <cfRule type="containsText" dxfId="23" priority="1" operator="containsText" text="HU">
      <formula>NOT(ISERROR(SEARCH("HU",E3)))</formula>
    </cfRule>
    <cfRule type="containsText" dxfId="22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3"/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 t="shared" si="0"/>
        <v>2800</v>
      </c>
      <c r="E9" s="3">
        <f t="shared" ref="E9:E50" si="3">+C9-D9</f>
        <v>1700</v>
      </c>
      <c r="F9" s="135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si="3"/>
        <v>2083.33</v>
      </c>
      <c r="F11" s="135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3"/>
        <v>1800</v>
      </c>
      <c r="F12" s="135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3"/>
        <v>1950</v>
      </c>
      <c r="F14" s="135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3"/>
        <v>2083.33</v>
      </c>
      <c r="F15" s="135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3"/>
        <v>1866.67</v>
      </c>
      <c r="F16" s="135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3"/>
        <v>1866.67</v>
      </c>
      <c r="F17" s="135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3"/>
        <v>4400</v>
      </c>
      <c r="F18" s="135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3"/>
        <v>18400</v>
      </c>
      <c r="F19" s="135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3"/>
        <v>7400</v>
      </c>
      <c r="F20" s="135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3"/>
        <v>7400</v>
      </c>
      <c r="F21" s="135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3"/>
        <v>21400</v>
      </c>
      <c r="F22" s="135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3"/>
        <v>9400</v>
      </c>
      <c r="F23" s="135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3"/>
        <v>5400</v>
      </c>
      <c r="F24" s="135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3"/>
        <v>1000</v>
      </c>
      <c r="F25" s="135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3"/>
        <v>14400</v>
      </c>
      <c r="F26" s="135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3"/>
        <v>12400</v>
      </c>
      <c r="F27" s="135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3"/>
        <v>22400</v>
      </c>
      <c r="F28" s="135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3"/>
        <v>6100</v>
      </c>
      <c r="F29" s="135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3"/>
        <v>11500</v>
      </c>
      <c r="F30" s="135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3"/>
        <v>14500</v>
      </c>
      <c r="F31" s="135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3"/>
        <v>16500</v>
      </c>
      <c r="F32" s="135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3"/>
        <v>11500</v>
      </c>
      <c r="F33" s="135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3"/>
        <v>8500</v>
      </c>
      <c r="F34" s="135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3"/>
        <v>998000</v>
      </c>
      <c r="F35" s="135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3"/>
        <v>2000</v>
      </c>
      <c r="F36" s="135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3"/>
        <v>15000</v>
      </c>
      <c r="F37" s="135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3"/>
        <v>12060</v>
      </c>
      <c r="F38" s="135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3"/>
        <v>17060</v>
      </c>
      <c r="F39" s="135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3"/>
        <v>22060</v>
      </c>
      <c r="F40" s="135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3"/>
        <v>30060</v>
      </c>
      <c r="F41" s="135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3"/>
        <v>32060</v>
      </c>
      <c r="F42" s="135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3"/>
        <v>23060</v>
      </c>
      <c r="F43" s="135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3"/>
        <v>33060</v>
      </c>
      <c r="F44" s="135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3"/>
        <v>5000</v>
      </c>
      <c r="F45" s="135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3"/>
        <v>1200</v>
      </c>
      <c r="F46" s="135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3"/>
        <v>0</v>
      </c>
      <c r="F47" s="135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3"/>
        <v>1000</v>
      </c>
      <c r="F48" s="135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3"/>
        <v>5000</v>
      </c>
      <c r="F49" s="135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3"/>
        <v>70000</v>
      </c>
      <c r="F50" s="135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/>
  <conditionalFormatting sqref="G4:Z51">
    <cfRule type="cellIs" dxfId="21" priority="3" operator="equal">
      <formula>1</formula>
    </cfRule>
  </conditionalFormatting>
  <conditionalFormatting sqref="I52">
    <cfRule type="cellIs" dxfId="20" priority="1" operator="equal">
      <formula>1</formula>
    </cfRule>
  </conditionalFormatting>
  <conditionalFormatting sqref="O52">
    <cfRule type="cellIs" dxfId="19" priority="2" operator="equal">
      <formula>1</formula>
    </cfRule>
  </conditionalFormatting>
  <conditionalFormatting sqref="AA4:AK52">
    <cfRule type="cellIs" dxfId="18" priority="4" operator="equal">
      <formula>1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648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chorizo</vt:lpstr>
      <vt:lpstr>choriboni</vt:lpstr>
      <vt:lpstr>costeo</vt:lpstr>
      <vt:lpstr>maquina</vt:lpstr>
      <vt:lpstr>Arqueo de Caja</vt:lpstr>
      <vt:lpstr>CxP</vt:lpstr>
      <vt:lpstr>TICO</vt:lpstr>
      <vt:lpstr>16mar</vt:lpstr>
      <vt:lpstr>Extracto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Forecast_dia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2026-04-01T22:22:51Z</dcterms:modified>
</cp:coreProperties>
</file>