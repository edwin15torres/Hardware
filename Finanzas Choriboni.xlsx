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7DC3346F-A379-4D26-9832-40F6D43FD76E}" xr6:coauthVersionLast="47" xr6:coauthVersionMax="47" xr10:uidLastSave="{00000000-0000-0000-0000-000000000000}"/>
  <bookViews>
    <workbookView xWindow="20370" yWindow="-2070" windowWidth="21840" windowHeight="13140" tabRatio="738" firstSheet="3" activeTab="7" xr2:uid="{00000000-000D-0000-FFFF-FFFF00000000}"/>
  </bookViews>
  <sheets>
    <sheet name="chorizo" sheetId="3" state="hidden" r:id="rId1"/>
    <sheet name="choriboni" sheetId="4" state="hidden" r:id="rId2"/>
    <sheet name="16mar" sheetId="34" state="hidden" r:id="rId3"/>
    <sheet name="Arqueo de Caja" sheetId="9" r:id="rId4"/>
    <sheet name="Extracto" sheetId="10" r:id="rId5"/>
    <sheet name="Gas" sheetId="32" state="hidden" r:id="rId6"/>
    <sheet name="Registros" sheetId="31" state="hidden" r:id="rId7"/>
    <sheet name="DevOps" sheetId="21" r:id="rId8"/>
    <sheet name="Hoja2" sheetId="36" state="hidden" r:id="rId9"/>
    <sheet name="Clientes" sheetId="24" state="hidden" r:id="rId10"/>
    <sheet name="Empaques" sheetId="25" r:id="rId11"/>
    <sheet name="proveedores" sheetId="7" state="hidden" r:id="rId12"/>
    <sheet name="informe" sheetId="6" state="hidden" r:id="rId13"/>
    <sheet name="Costos" sheetId="8" state="hidden" r:id="rId14"/>
    <sheet name="Inventario" sheetId="27" state="hidden" r:id="rId15"/>
    <sheet name="Reporte" sheetId="11" r:id="rId16"/>
    <sheet name="Rappi" sheetId="26" r:id="rId17"/>
    <sheet name="7-MARZO" sheetId="22" state="hidden" r:id="rId18"/>
    <sheet name="Prestamos" sheetId="12" r:id="rId19"/>
    <sheet name="maquina" sheetId="23" r:id="rId20"/>
    <sheet name="Informe ventas" sheetId="13" state="hidden" r:id="rId21"/>
    <sheet name="historial de venta" sheetId="14" state="hidden" r:id="rId22"/>
  </sheets>
  <definedNames>
    <definedName name="_xlnm._FilterDatabase" localSheetId="1" hidden="1">choriboni!$B$17:$I$69</definedName>
    <definedName name="_xlnm._FilterDatabase" localSheetId="4" hidden="1">Extracto!$A$5:$M$86</definedName>
  </definedNames>
  <calcPr calcId="191029"/>
  <pivotCaches>
    <pivotCache cacheId="0" r:id="rId23"/>
    <pivotCache cacheId="1" r:id="rId24"/>
    <pivotCache cacheId="2" r:id="rId25"/>
    <pivotCache cacheId="3" r:id="rId26"/>
    <pivotCache cacheId="4" r:id="rId27"/>
    <pivotCache cacheId="5" r:id="rId2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7" i="9" l="1"/>
  <c r="BB18" i="9"/>
  <c r="BB16" i="9"/>
  <c r="AU31" i="9"/>
  <c r="AU30" i="9"/>
  <c r="D95" i="10"/>
  <c r="B93" i="10" l="1"/>
  <c r="B92" i="10"/>
  <c r="B91" i="10"/>
  <c r="B90" i="10"/>
  <c r="B89" i="10"/>
  <c r="D88" i="10"/>
  <c r="B88" i="10"/>
  <c r="B87" i="10"/>
  <c r="G6" i="36" l="1"/>
  <c r="J6" i="36" s="1"/>
  <c r="F6" i="36"/>
  <c r="D6" i="36"/>
  <c r="I6" i="36" s="1"/>
  <c r="C6" i="36"/>
  <c r="H6" i="36" s="1"/>
  <c r="B83" i="10"/>
  <c r="D86" i="10"/>
  <c r="I13" i="34"/>
  <c r="B85" i="10"/>
  <c r="B84" i="10"/>
  <c r="B81" i="10"/>
  <c r="AU13" i="9"/>
  <c r="AU12" i="9"/>
  <c r="AU11" i="9"/>
  <c r="AU10" i="9"/>
  <c r="AU9" i="9"/>
  <c r="AU8" i="9"/>
  <c r="AU7" i="9"/>
  <c r="AU6" i="9"/>
  <c r="AU5" i="9"/>
  <c r="AU4" i="9"/>
  <c r="AU3" i="9"/>
  <c r="J9" i="36" l="1"/>
  <c r="J7" i="36"/>
  <c r="AU14" i="9"/>
  <c r="D80" i="10" l="1"/>
  <c r="D1" i="10" s="1"/>
  <c r="K7" i="34"/>
  <c r="B80" i="10"/>
  <c r="AS32" i="9"/>
  <c r="B75" i="10"/>
  <c r="B74" i="10"/>
  <c r="B79" i="10"/>
  <c r="B78" i="10"/>
  <c r="B77" i="10"/>
  <c r="B76" i="10"/>
  <c r="B73" i="10"/>
  <c r="B72" i="10"/>
  <c r="AQ30" i="9"/>
  <c r="B71" i="10"/>
  <c r="B70" i="10"/>
  <c r="AO30" i="9"/>
  <c r="AS13" i="9" l="1"/>
  <c r="AS12" i="9"/>
  <c r="AS11" i="9"/>
  <c r="AS10" i="9"/>
  <c r="AS9" i="9"/>
  <c r="AS8" i="9"/>
  <c r="AS7" i="9"/>
  <c r="AS6" i="9"/>
  <c r="AS5" i="9"/>
  <c r="AS4" i="9"/>
  <c r="AS3" i="9"/>
  <c r="AS2" i="9"/>
  <c r="AU2" i="9" s="1"/>
  <c r="AU1" i="9" s="1"/>
  <c r="AU17" i="9" s="1"/>
  <c r="AQ2" i="9"/>
  <c r="AQ1" i="9" s="1"/>
  <c r="AQ17" i="9" s="1"/>
  <c r="AQ13" i="9"/>
  <c r="AQ12" i="9"/>
  <c r="AQ11" i="9"/>
  <c r="AQ10" i="9"/>
  <c r="AQ9" i="9"/>
  <c r="AQ8" i="9"/>
  <c r="AQ7" i="9"/>
  <c r="AQ6" i="9"/>
  <c r="AQ5" i="9"/>
  <c r="AQ4" i="9"/>
  <c r="AQ3" i="9"/>
  <c r="G18" i="34"/>
  <c r="I7" i="34"/>
  <c r="I5" i="34"/>
  <c r="AS14" i="9" l="1"/>
  <c r="AS1" i="9"/>
  <c r="AS17" i="9" s="1"/>
  <c r="AQ14" i="9"/>
  <c r="F11" i="34"/>
  <c r="AQ19" i="9" s="1"/>
  <c r="D4" i="34" l="1"/>
  <c r="D2" i="34" s="1"/>
  <c r="F2" i="34" s="1"/>
  <c r="C15" i="32" l="1"/>
  <c r="AO21" i="9" s="1"/>
  <c r="D13" i="32"/>
  <c r="AM21" i="9"/>
  <c r="D18" i="25"/>
  <c r="D17" i="25"/>
  <c r="E6" i="32"/>
  <c r="E7" i="32" s="1"/>
  <c r="B4" i="32"/>
  <c r="B5" i="32" s="1"/>
  <c r="A3" i="32"/>
  <c r="AM35" i="9" l="1"/>
  <c r="AQ35" i="9" s="1"/>
  <c r="AM32" i="9"/>
  <c r="AE30" i="9"/>
  <c r="AE31" i="9" s="1"/>
  <c r="AG31" i="9" s="1"/>
  <c r="AK35" i="9"/>
  <c r="AM30" i="9"/>
  <c r="B69" i="10"/>
  <c r="B68" i="10"/>
  <c r="B67" i="10"/>
  <c r="B66" i="10"/>
  <c r="AG32" i="9"/>
  <c r="AG33" i="9" s="1"/>
  <c r="AI33" i="9" s="1"/>
  <c r="AK33" i="9" s="1"/>
  <c r="B65" i="10"/>
  <c r="AI31" i="9" l="1"/>
  <c r="AK31" i="9" s="1"/>
  <c r="AM31" i="9" s="1"/>
  <c r="AO31" i="9" s="1"/>
  <c r="AQ31" i="9" s="1"/>
  <c r="AS31" i="9" s="1"/>
  <c r="AM33" i="9"/>
  <c r="AO33" i="9" s="1"/>
  <c r="AQ33" i="9" s="1"/>
  <c r="AS33" i="9" s="1"/>
  <c r="AU33" i="9" s="1"/>
  <c r="AO13" i="9" l="1"/>
  <c r="AO12" i="9"/>
  <c r="AO11" i="9"/>
  <c r="AO10" i="9"/>
  <c r="AO9" i="9"/>
  <c r="AO8" i="9"/>
  <c r="AO7" i="9"/>
  <c r="AO6" i="9"/>
  <c r="AO5" i="9"/>
  <c r="AO4" i="9"/>
  <c r="AO3" i="9"/>
  <c r="AO1" i="9"/>
  <c r="AO17" i="9" s="1"/>
  <c r="AM13" i="9"/>
  <c r="AM12" i="9"/>
  <c r="AM11" i="9"/>
  <c r="AM10" i="9"/>
  <c r="AM9" i="9"/>
  <c r="AM8" i="9"/>
  <c r="AM7" i="9"/>
  <c r="AM6" i="9"/>
  <c r="AM5" i="9"/>
  <c r="AM4" i="9"/>
  <c r="AM3" i="9"/>
  <c r="AM1" i="9"/>
  <c r="AM17" i="9" s="1"/>
  <c r="AK14" i="9"/>
  <c r="AK1" i="9"/>
  <c r="AK17" i="9" s="1"/>
  <c r="E2" i="31"/>
  <c r="C9" i="31"/>
  <c r="C10" i="31"/>
  <c r="C7" i="31"/>
  <c r="E27" i="31"/>
  <c r="C13" i="31" l="1"/>
  <c r="AK20" i="9" s="1"/>
  <c r="AO14" i="9"/>
  <c r="AQ18" i="9" s="1"/>
  <c r="AQ23" i="9" s="1"/>
  <c r="AS18" i="9" s="1"/>
  <c r="AS23" i="9" s="1"/>
  <c r="AM14" i="9"/>
  <c r="B86" i="10"/>
  <c r="B64" i="10"/>
  <c r="B63" i="10"/>
  <c r="B62" i="10"/>
  <c r="B61" i="10"/>
  <c r="B82" i="10"/>
  <c r="AI21" i="9"/>
  <c r="AI22" i="9"/>
  <c r="C1" i="27"/>
  <c r="AS25" i="9" l="1"/>
  <c r="AU18" i="9"/>
  <c r="AU23" i="9" s="1"/>
  <c r="AU25" i="9" s="1"/>
  <c r="AQ25" i="9"/>
  <c r="AO18" i="9"/>
  <c r="G6" i="32"/>
  <c r="H6" i="32" s="1"/>
  <c r="B60" i="10"/>
  <c r="B59" i="10"/>
  <c r="B58" i="10"/>
  <c r="B57" i="10"/>
  <c r="B56" i="10"/>
  <c r="B55" i="10"/>
  <c r="B54" i="10"/>
  <c r="B53" i="10"/>
  <c r="B52" i="10"/>
  <c r="B51" i="10"/>
  <c r="B50" i="10"/>
  <c r="B49" i="10"/>
  <c r="AG21" i="9" l="1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AI27" i="9" s="1"/>
  <c r="AK27" i="9" s="1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M27" i="9" l="1"/>
  <c r="AO27" i="9" s="1"/>
  <c r="AQ27" i="9" s="1"/>
  <c r="AS27" i="9" s="1"/>
  <c r="AI14" i="9"/>
  <c r="AK18" i="9" s="1"/>
  <c r="AG14" i="9"/>
  <c r="AI18" i="9" s="1"/>
  <c r="AE14" i="9"/>
  <c r="AK23" i="9" l="1"/>
  <c r="AM18" i="9" s="1"/>
  <c r="AM23" i="9" s="1"/>
  <c r="AI23" i="9"/>
  <c r="AI25" i="9" s="1"/>
  <c r="AE23" i="9"/>
  <c r="AM25" i="9" l="1"/>
  <c r="AM38" i="9"/>
  <c r="AK25" i="9"/>
  <c r="AG18" i="9"/>
  <c r="AG23" i="9" s="1"/>
  <c r="AG25" i="9" s="1"/>
  <c r="B48" i="10"/>
  <c r="B45" i="10"/>
  <c r="B44" i="10"/>
  <c r="B43" i="10"/>
  <c r="B42" i="10"/>
  <c r="B47" i="10"/>
  <c r="B46" i="10"/>
  <c r="B41" i="10"/>
  <c r="B40" i="10"/>
  <c r="AO23" i="9" l="1"/>
  <c r="AO25" i="9" s="1"/>
  <c r="AE1" i="9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F11" i="23"/>
  <c r="F10" i="23"/>
  <c r="F7" i="23"/>
  <c r="F8" i="23" s="1"/>
  <c r="F4" i="23"/>
  <c r="E6" i="25"/>
  <c r="C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6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M39" i="10"/>
  <c r="B39" i="10"/>
  <c r="B38" i="10"/>
  <c r="B37" i="10"/>
  <c r="B36" i="10"/>
  <c r="B35" i="10"/>
  <c r="B34" i="10"/>
  <c r="B33" i="10"/>
  <c r="B32" i="10"/>
  <c r="B31" i="10"/>
  <c r="B30" i="10"/>
  <c r="M34" i="10"/>
  <c r="W21" i="9"/>
  <c r="AC18" i="9" l="1"/>
  <c r="AC23" i="9" s="1"/>
  <c r="AC25" i="9" s="1"/>
  <c r="AA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M38" i="10" s="1"/>
  <c r="U21" i="9"/>
  <c r="U5" i="9"/>
  <c r="U4" i="9"/>
  <c r="S21" i="9"/>
  <c r="U1" i="9"/>
  <c r="U17" i="9" s="1"/>
  <c r="S1" i="9"/>
  <c r="S17" i="9" s="1"/>
  <c r="Q1" i="9"/>
  <c r="Q17" i="9" s="1"/>
  <c r="O1" i="9"/>
  <c r="O17" i="9" s="1"/>
  <c r="U13" i="9" l="1"/>
  <c r="U12" i="9"/>
  <c r="U11" i="9"/>
  <c r="U10" i="9"/>
  <c r="U9" i="9"/>
  <c r="U8" i="9"/>
  <c r="U7" i="9"/>
  <c r="U6" i="9"/>
  <c r="U14" i="9" l="1"/>
  <c r="B29" i="10"/>
  <c r="B28" i="10"/>
  <c r="B27" i="10"/>
  <c r="B26" i="10"/>
  <c r="D26" i="10"/>
  <c r="D2" i="10" s="1"/>
  <c r="C9" i="12"/>
  <c r="C1" i="12" s="1"/>
  <c r="D3" i="10" l="1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M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/>
  <c r="C14" i="4" l="1"/>
  <c r="I1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C1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00000000-0006-0000-0300-000001000000}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 xr:uid="{00000000-0006-0000-0300-000002000000}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0300-000005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 xr:uid="{00000000-0006-0000-0300-00000B000000}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 xr:uid="{00000000-0006-0000-0300-00000C000000}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A22" authorId="0" shapeId="0" xr:uid="{00000000-0006-0000-0300-00000D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 xr:uid="{00000000-0006-0000-0300-00000E000000}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I25" authorId="0" shapeId="0" xr:uid="{00000000-0006-0000-0300-00000F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  <comment ref="AO27" authorId="1" shapeId="0" xr:uid="{00000000-0006-0000-0300-000010000000}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 xr:uid="{00000000-0006-0000-0300-000011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 xr:uid="{00000000-0006-0000-0300-000012000000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AE31" authorId="0" shapeId="0" xr:uid="{00000000-0006-0000-0300-000013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1" authorId="0" shapeId="0" xr:uid="{00000000-0006-0000-0300-000014000000}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H82" authorId="0" shapeId="0" xr:uid="{00000000-0006-0000-0400-000001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3" authorId="0" shapeId="0" xr:uid="{00000000-0006-0000-0400-000002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6" authorId="0" shapeId="0" xr:uid="{00000000-0006-0000-0400-000003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7" authorId="0" shapeId="0" xr:uid="{00000000-0006-0000-0400-000004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6" authorId="0" shapeId="0" xr:uid="{00000000-0006-0000-0500-000001000000}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B13" authorId="0" shapeId="0" xr:uid="{00000000-0006-0000-0B00-000001000000}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<sst xmlns="http://schemas.openxmlformats.org/spreadsheetml/2006/main" count="1149" uniqueCount="462">
  <si>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</si>
  <si>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</si>
  <si>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</si>
  <si>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</si>
  <si>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</si>
  <si>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</si>
  <si>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</si>
  <si>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</si>
  <si>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</si>
  <si>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</si>
  <si>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</si>
  <si>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</si>
  <si>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</si>
  <si>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</si>
  <si>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</si>
  <si>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</si>
  <si>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</si>
  <si>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</si>
  <si>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</si>
  <si>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</si>
  <si>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</si>
  <si>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</si>
  <si>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</si>
  <si>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</si>
  <si>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</si>
  <si>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</si>
  <si>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</si>
  <si>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</si>
  <si>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</si>
  <si>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</si>
  <si>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</si>
  <si>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</si>
  <si>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</si>
  <si>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</si>
  <si>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</si>
  <si>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</si>
  <si>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</si>
  <si>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</si>
  <si>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</si>
  <si>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</si>
  <si>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</si>
  <si>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</si>
  <si>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</si>
  <si>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</si>
  <si>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</si>
  <si>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</si>
  <si>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</si>
  <si>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</si>
  <si>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</si>
  <si>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</si>
  <si>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</si>
  <si>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</si>
  <si>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</si>
  <si>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</si>
  <si>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</si>
  <si>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</si>
  <si>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</si>
  <si>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</si>
  <si>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</si>
  <si>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</si>
  <si>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</si>
  <si>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</si>
  <si>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</si>
  <si>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</si>
  <si>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</si>
  <si>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</si>
  <si>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</si>
  <si>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</si>
  <si>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</si>
  <si>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</si>
  <si>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</si>
  <si>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</si>
  <si>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</si>
  <si>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</si>
  <si>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</si>
  <si>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</si>
  <si>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</si>
  <si>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</si>
  <si>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</si>
  <si>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</si>
  <si>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</si>
  <si>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</si>
  <si>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</si>
  <si>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</si>
  <si>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</si>
  <si>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</si>
  <si>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</si>
  <si>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</si>
  <si>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</si>
  <si>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</si>
  <si>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</si>
  <si>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</si>
  <si>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</si>
  <si>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</si>
  <si>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</si>
  <si>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</si>
  <si>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</si>
  <si>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</si>
  <si>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</si>
  <si>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</si>
  <si>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</si>
  <si>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</si>
  <si>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</si>
  <si>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</si>
  <si>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</si>
  <si>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</si>
  <si>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</si>
  <si>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</si>
  <si>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</si>
  <si>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</si>
  <si>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</si>
  <si>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</si>
  <si>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</si>
  <si>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</si>
  <si>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</si>
  <si>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</si>
  <si>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</si>
  <si>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</si>
  <si>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</si>
  <si>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</si>
  <si>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</si>
  <si>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</si>
  <si>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</si>
  <si>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</si>
  <si>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</si>
  <si>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</si>
  <si>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</si>
  <si>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</si>
  <si>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</si>
  <si>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</si>
  <si>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</si>
  <si>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</si>
  <si>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</si>
  <si>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</si>
  <si>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</si>
  <si>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</si>
  <si>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</si>
  <si>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</si>
  <si>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</si>
  <si>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</si>
  <si>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</si>
  <si>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</si>
  <si>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</si>
  <si>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</si>
  <si>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</si>
  <si>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</si>
  <si>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</si>
  <si>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</si>
  <si>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</si>
  <si>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</si>
  <si>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</si>
  <si>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</si>
  <si>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</si>
  <si>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</si>
  <si>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</si>
  <si>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</si>
  <si>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</si>
  <si>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</si>
  <si>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</si>
  <si>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</si>
  <si>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</si>
  <si>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</si>
  <si>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</si>
  <si>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</si>
  <si>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</si>
  <si>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</si>
  <si>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</si>
  <si>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</si>
  <si>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</si>
  <si>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</si>
  <si>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</si>
  <si>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</si>
  <si>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</si>
  <si>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</si>
  <si>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</si>
  <si>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</si>
  <si>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</si>
  <si>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</si>
  <si>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</si>
  <si>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</si>
  <si>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</si>
  <si>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</si>
  <si>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</si>
  <si>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</si>
  <si>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</si>
  <si>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</si>
  <si>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</si>
  <si>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</si>
  <si>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</si>
  <si>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</si>
  <si>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</si>
  <si>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</si>
  <si>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</si>
  <si>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</si>
  <si>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</si>
  <si>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</si>
  <si>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</si>
  <si>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</si>
  <si>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</si>
  <si>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</si>
  <si>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</si>
  <si>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</si>
  <si>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</si>
  <si>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</si>
  <si>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</si>
  <si>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</si>
  <si>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</si>
  <si>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</si>
  <si>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</si>
  <si>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</si>
  <si>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</si>
  <si>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</si>
  <si>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</si>
  <si>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</si>
  <si>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</si>
  <si>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</si>
  <si>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</si>
  <si>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</si>
  <si>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</si>
  <si>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</si>
  <si>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</si>
  <si>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</si>
  <si>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</si>
  <si>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</si>
  <si>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</si>
  <si>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</si>
  <si>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</si>
  <si>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</si>
  <si>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</si>
  <si>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</si>
  <si>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</si>
  <si>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</si>
  <si>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</si>
  <si>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</si>
  <si>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</si>
  <si>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</si>
  <si>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</si>
  <si>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</si>
  <si>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</si>
  <si>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</si>
  <si>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</si>
  <si>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</si>
  <si>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</si>
  <si>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</si>
  <si>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</si>
  <si>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</si>
  <si>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</si>
  <si>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</si>
  <si>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</si>
  <si>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</si>
  <si>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</si>
  <si>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</si>
  <si>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</si>
  <si>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</si>
  <si>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</si>
  <si>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</si>
  <si>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</si>
  <si>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</si>
  <si>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</si>
  <si>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</si>
  <si>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</si>
  <si>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</si>
  <si>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</si>
  <si>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</si>
  <si>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</si>
  <si>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</si>
  <si>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</si>
  <si>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</si>
  <si>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</si>
  <si>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</si>
  <si>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</si>
  <si>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</si>
  <si>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</si>
  <si>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</si>
  <si>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</si>
  <si>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</si>
  <si>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</si>
  <si>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</si>
  <si>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</si>
  <si>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</si>
  <si>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</si>
  <si>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</si>
  <si>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</si>
  <si>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</si>
  <si>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</si>
  <si>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</si>
  <si>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</si>
  <si>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</si>
  <si>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</si>
  <si>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</si>
  <si>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</si>
  <si>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</si>
  <si>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</si>
  <si>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</si>
  <si>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</si>
  <si>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</si>
  <si>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</si>
  <si>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</si>
  <si>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</si>
  <si>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</si>
  <si>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</si>
  <si>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</si>
  <si>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</si>
  <si>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</si>
  <si>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</si>
  <si>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</si>
  <si>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</si>
  <si>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</si>
  <si>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</si>
  <si>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</si>
  <si>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</si>
  <si>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</si>
  <si>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</si>
  <si>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</si>
  <si>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</si>
  <si>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3 dias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</si>
  <si>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</si>
  <si>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</si>
  <si>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</si>
  <si>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</si>
  <si>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</si>
  <si>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</si>
  <si>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</si>
  <si>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</si>
  <si>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</si>
  <si>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</si>
  <si>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</si>
  <si>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</si>
  <si>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</si>
  <si>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</si>
  <si>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</si>
  <si>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</si>
  <si>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</si>
  <si>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</si>
  <si>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</si>
  <si>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</si>
  <si>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</si>
  <si>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</si>
  <si>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</si>
  <si>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</si>
  <si>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</si>
  <si>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</si>
  <si>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</si>
  <si>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</si>
  <si>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</si>
  <si>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</si>
  <si>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</si>
  <si>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</si>
  <si>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</si>
  <si>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</si>
  <si>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</si>
  <si>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</si>
  <si>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</si>
  <si>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</si>
  <si>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</si>
  <si>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</si>
  <si>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</si>
  <si>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</si>
  <si>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</si>
  <si>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</si>
  <si>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</si>
  <si>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</si>
  <si>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</si>
  <si>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</si>
  <si>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</si>
  <si>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</si>
  <si>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</si>
  <si>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Contar chorizos para la venta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</si>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</sst>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109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12" fillId="0" borderId="0" xfId="1" applyNumberFormat="1" applyFont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0" fillId="14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1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16" fontId="0" fillId="0" borderId="3" xfId="0" applyNumberFormat="1" applyBorder="1" applyAlignment="1">
      <alignment vertical="center"/>
    </xf>
    <xf numFmtId="0" fontId="0" fillId="0" borderId="3" xfId="0" applyBorder="1" applyAlignment="1">
      <alignment vertical="center"/>
    </xf>
    <xf numFmtId="0" fontId="6" fillId="5" borderId="3" xfId="3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9" borderId="3" xfId="0" applyFill="1" applyBorder="1" applyAlignment="1">
      <alignment vertical="center"/>
    </xf>
    <xf numFmtId="0" fontId="0" fillId="2" borderId="3" xfId="0" applyFill="1" applyBorder="1" applyAlignment="1">
      <alignment vertical="center" wrapText="1"/>
    </xf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41" Type="http://schemas.openxmlformats.org/officeDocument/2006/relationships/customXml" Target="../customXml/item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2.xml"/><Relationship Id="rId40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pivotCacheDefinition" Target="pivotCache/pivotCacheDefinition6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openxmlformats.org/officeDocument/2006/relationships/connections" Target="connections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openxmlformats.org/officeDocument/2006/relationships/sheetMetadata" Target="metadata.xml"/><Relationship Id="rId38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R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1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0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  <format dxfId="18">
      <pivotArea outline="0" fieldPosition="0">
        <references count="1">
          <reference field="4294967294" count="1">
            <x v="1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F00-000002000000}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F00-000003000000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400-000004000000}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400-000006000000}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400-000005000000}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7000000}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92D050"/>
  </sheetPr>
  <dimension ref="A1:I83"/>
  <sheetViews>
    <sheetView showGridLines="0" zoomScale="90" zoomScaleNormal="90" workbookViewId="0">
      <pane ySplit="17" topLeftCell="A32" activePane="bottomLeft" state="frozen"/>
      <selection pane="bottomLeft" activeCell="C42" sqref="C42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15.140625" style="3" customWidth="1"/>
    <col min="4" max="4" width="18.140625" style="3" bestFit="1" customWidth="1"/>
    <col min="5" max="5" width="22.85546875" style="3" bestFit="1" customWidth="1"/>
    <col min="6" max="6" width="10.5703125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248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hidden="1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hidden="1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229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220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228</v>
      </c>
    </row>
  </sheetData>
  <autoFilter ref="B17:I69" xr:uid="{00000000-0009-0000-0000-000001000000}">
    <filterColumn colId="4">
      <filters>
        <filter val="Edwin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18"/>
  <sheetViews>
    <sheetView workbookViewId="0">
      <selection activeCell="H12" sqref="H11:H12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417</v>
      </c>
      <c r="D1" t="s">
        <v>416</v>
      </c>
      <c r="E1" t="s">
        <v>418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296</v>
      </c>
      <c r="D4">
        <f>8000*3</f>
        <v>24000</v>
      </c>
    </row>
    <row r="5" spans="2:11" x14ac:dyDescent="0.25">
      <c r="B5">
        <v>1</v>
      </c>
      <c r="C5" t="s">
        <v>296</v>
      </c>
      <c r="D5">
        <v>-4000</v>
      </c>
      <c r="I5">
        <f>190+20</f>
        <v>210</v>
      </c>
    </row>
    <row r="6" spans="2:11" x14ac:dyDescent="0.25">
      <c r="B6" s="96">
        <v>1</v>
      </c>
      <c r="C6" s="96" t="s">
        <v>296</v>
      </c>
      <c r="D6" s="96">
        <v>8000</v>
      </c>
    </row>
    <row r="7" spans="2:11" x14ac:dyDescent="0.25">
      <c r="B7" s="96">
        <v>1</v>
      </c>
      <c r="C7" s="96" t="s">
        <v>386</v>
      </c>
      <c r="D7" s="96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296</v>
      </c>
      <c r="D8">
        <v>8000</v>
      </c>
    </row>
    <row r="9" spans="2:11" x14ac:dyDescent="0.25">
      <c r="B9">
        <v>1</v>
      </c>
      <c r="C9" t="s">
        <v>386</v>
      </c>
      <c r="D9">
        <v>3000</v>
      </c>
    </row>
    <row r="10" spans="2:11" x14ac:dyDescent="0.25">
      <c r="B10" s="1">
        <v>6</v>
      </c>
      <c r="C10" s="1" t="s">
        <v>296</v>
      </c>
      <c r="D10" s="1">
        <v>48000</v>
      </c>
      <c r="H10">
        <v>197</v>
      </c>
    </row>
    <row r="11" spans="2:11" x14ac:dyDescent="0.25">
      <c r="B11" s="1">
        <v>3</v>
      </c>
      <c r="C11" s="1" t="s">
        <v>386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415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82" t="s">
        <v>278</v>
      </c>
      <c r="C15" s="82">
        <v>11000</v>
      </c>
    </row>
    <row r="16" spans="2:11" x14ac:dyDescent="0.25">
      <c r="B16" s="82" t="s">
        <v>278</v>
      </c>
      <c r="C16" s="82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-0.249977111117893"/>
  </sheetPr>
  <dimension ref="A1:BB40"/>
  <sheetViews>
    <sheetView showGridLines="0" zoomScaleNormal="100" workbookViewId="0">
      <pane xSplit="1" ySplit="2" topLeftCell="B14" activePane="bottomRight" state="frozen"/>
      <selection pane="topRight" activeCell="B1" sqref="B1"/>
      <selection pane="bottomLeft" activeCell="A3" sqref="A3"/>
      <selection pane="bottomRight" activeCell="BB16" sqref="BB16"/>
    </sheetView>
  </sheetViews>
  <sheetFormatPr baseColWidth="10" defaultRowHeight="15" outlineLevelRow="1" outlineLevelCol="1" x14ac:dyDescent="0.25"/>
  <cols>
    <col min="1" max="1" width="18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11.42578125" hidden="1" customWidth="1"/>
    <col min="28" max="28" width="3.140625" hidden="1" customWidth="1" collapsed="1"/>
    <col min="29" max="29" width="11.42578125" hidden="1" customWidth="1"/>
    <col min="30" max="30" width="3.140625" hidden="1" customWidth="1" collapsed="1"/>
    <col min="31" max="31" width="11.42578125" hidden="1" customWidth="1"/>
    <col min="32" max="32" width="3.140625" hidden="1" customWidth="1" collapsed="1"/>
    <col min="33" max="33" width="11.42578125" hidden="1" customWidth="1"/>
    <col min="34" max="34" width="3.140625" hidden="1" customWidth="1" collapsed="1"/>
    <col min="35" max="35" width="11.42578125" hidden="1" customWidth="1"/>
    <col min="36" max="36" width="3.140625" hidden="1" customWidth="1" collapsed="1"/>
    <col min="37" max="37" width="11.42578125" hidden="1" customWidth="1"/>
    <col min="38" max="38" width="3.140625" hidden="1" customWidth="1" collapsed="1"/>
    <col min="39" max="39" width="11.42578125" hidden="1" customWidth="1"/>
    <col min="40" max="40" width="3.140625" hidden="1" customWidth="1" collapsed="1"/>
    <col min="41" max="41" width="11.42578125" hidden="1" customWidth="1"/>
    <col min="42" max="42" width="3.140625" hidden="1" customWidth="1" collapsed="1"/>
    <col min="43" max="43" width="0" hidden="1" customWidth="1"/>
    <col min="44" max="44" width="3.140625" bestFit="1" customWidth="1" collapsed="1"/>
    <col min="46" max="46" width="3.140625" bestFit="1" customWidth="1" collapsed="1"/>
    <col min="52" max="52" width="14.5703125" bestFit="1" customWidth="1"/>
  </cols>
  <sheetData>
    <row r="1" spans="1:54" x14ac:dyDescent="0.25">
      <c r="A1" s="40"/>
      <c r="C1" s="42">
        <f>+C14-A1</f>
        <v>205600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jue</v>
      </c>
      <c r="AJ1" s="41"/>
      <c r="AK1" s="41" t="str">
        <f>+TEXT(AK2,"ddd")</f>
        <v>vie</v>
      </c>
      <c r="AL1" s="41"/>
      <c r="AM1" s="41" t="str">
        <f>+TEXT(AM2,"ddd")</f>
        <v>sáb</v>
      </c>
      <c r="AN1" s="41"/>
      <c r="AO1" s="41" t="str">
        <f>+TEXT(AO2,"ddd")</f>
        <v>dom</v>
      </c>
      <c r="AP1" s="41"/>
      <c r="AQ1" s="41" t="str">
        <f>+TEXT(AQ2,"ddd")</f>
        <v>lun</v>
      </c>
      <c r="AR1" s="41"/>
      <c r="AS1" s="41" t="str">
        <f>+TEXT(AS2,"ddd")</f>
        <v>mar</v>
      </c>
      <c r="AT1" s="41"/>
      <c r="AU1" s="41" t="str">
        <f>+TEXT(AU2,"ddd")</f>
        <v>mié</v>
      </c>
    </row>
    <row r="2" spans="1:54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46093</v>
      </c>
      <c r="AJ2" s="44" t="s">
        <v>137</v>
      </c>
      <c r="AK2" s="45">
        <v>46094</v>
      </c>
      <c r="AL2" s="44" t="s">
        <v>137</v>
      </c>
      <c r="AM2" s="45">
        <v>46095</v>
      </c>
      <c r="AN2" s="44" t="s">
        <v>137</v>
      </c>
      <c r="AO2" s="45">
        <v>46096</v>
      </c>
      <c r="AP2" s="44" t="s">
        <v>137</v>
      </c>
      <c r="AQ2" s="45">
        <f>+AO2+1</f>
        <v>46097</v>
      </c>
      <c r="AR2" s="44" t="s">
        <v>137</v>
      </c>
      <c r="AS2" s="45">
        <f>+AQ2+1</f>
        <v>46098</v>
      </c>
      <c r="AT2" s="44" t="s">
        <v>137</v>
      </c>
      <c r="AU2" s="45">
        <f>+AS2+1</f>
        <v>46099</v>
      </c>
    </row>
    <row r="3" spans="1:54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</row>
    <row r="4" spans="1:54" outlineLevel="1" x14ac:dyDescent="0.25">
      <c r="A4" s="27">
        <v>50000</v>
      </c>
      <c r="B4" s="26">
        <v>1</v>
      </c>
      <c r="C4" s="3">
        <f t="shared" ref="C4:C13" si="8">+A4*B4</f>
        <v>50000</v>
      </c>
      <c r="D4" s="26">
        <v>1</v>
      </c>
      <c r="E4" s="3">
        <f t="shared" ref="E4:E13" si="9">+$A4*D4</f>
        <v>50000</v>
      </c>
      <c r="F4" s="26">
        <v>1</v>
      </c>
      <c r="G4" s="3"/>
      <c r="H4" s="26">
        <v>0</v>
      </c>
      <c r="I4" s="3">
        <f t="shared" ref="I4" si="10">+$A4*H4</f>
        <v>0</v>
      </c>
      <c r="J4" s="26">
        <v>2</v>
      </c>
      <c r="K4" s="3">
        <f t="shared" ref="K4" si="11">+$A4*J4</f>
        <v>100000</v>
      </c>
      <c r="L4" s="26">
        <v>0</v>
      </c>
      <c r="M4" s="3">
        <f t="shared" ref="M4" si="12">+$A4*L4</f>
        <v>0</v>
      </c>
      <c r="N4" s="26">
        <v>0</v>
      </c>
      <c r="O4" s="3">
        <f t="shared" ref="O4" si="13">+$A4*N4</f>
        <v>0</v>
      </c>
      <c r="P4" s="26">
        <v>1</v>
      </c>
      <c r="Q4" s="3">
        <f t="shared" ref="Q4" si="14">+$A4*P4</f>
        <v>50000</v>
      </c>
      <c r="R4" s="26">
        <v>1</v>
      </c>
      <c r="S4" s="3"/>
      <c r="T4" s="26">
        <v>0</v>
      </c>
      <c r="U4" s="3">
        <f t="shared" ref="U4:U5" si="15">+$A4*T4</f>
        <v>0</v>
      </c>
      <c r="V4" s="1">
        <v>1</v>
      </c>
      <c r="W4" s="3">
        <f t="shared" ref="W4:W5" si="16">+$A4*V4</f>
        <v>50000</v>
      </c>
      <c r="X4" s="1">
        <v>0</v>
      </c>
      <c r="Y4" s="3">
        <f t="shared" ref="Y4:Y5" si="17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</row>
    <row r="5" spans="1:54" outlineLevel="1" x14ac:dyDescent="0.25">
      <c r="A5" s="27">
        <v>20000</v>
      </c>
      <c r="B5" s="26">
        <v>4</v>
      </c>
      <c r="C5" s="3">
        <f t="shared" si="8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15"/>
        <v>0</v>
      </c>
      <c r="V5" s="1">
        <v>0</v>
      </c>
      <c r="W5" s="3">
        <f t="shared" si="16"/>
        <v>0</v>
      </c>
      <c r="X5" s="1">
        <v>0</v>
      </c>
      <c r="Y5" s="3">
        <f t="shared" si="17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</row>
    <row r="6" spans="1:54" outlineLevel="1" x14ac:dyDescent="0.25">
      <c r="A6" s="27">
        <v>10000</v>
      </c>
      <c r="B6" s="26">
        <v>2</v>
      </c>
      <c r="C6" s="3">
        <f t="shared" si="8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</row>
    <row r="7" spans="1:54" outlineLevel="1" x14ac:dyDescent="0.25">
      <c r="A7" s="27">
        <v>5000</v>
      </c>
      <c r="B7" s="26">
        <v>2</v>
      </c>
      <c r="C7" s="3">
        <f t="shared" si="8"/>
        <v>10000</v>
      </c>
      <c r="D7" s="26">
        <v>4</v>
      </c>
      <c r="E7" s="3">
        <f t="shared" si="9"/>
        <v>20000</v>
      </c>
      <c r="F7" s="26">
        <v>4</v>
      </c>
      <c r="G7" s="3"/>
      <c r="H7" s="26">
        <v>6</v>
      </c>
      <c r="I7" s="3">
        <f t="shared" ref="I7:I13" si="18">+$A7*H7</f>
        <v>30000</v>
      </c>
      <c r="J7" s="26">
        <v>5</v>
      </c>
      <c r="K7" s="3">
        <f t="shared" ref="K7:K13" si="19">+$A7*J7</f>
        <v>25000</v>
      </c>
      <c r="L7" s="26">
        <v>5</v>
      </c>
      <c r="M7" s="3">
        <f t="shared" ref="M7:M13" si="20">+$A7*L7</f>
        <v>25000</v>
      </c>
      <c r="N7" s="26">
        <v>5</v>
      </c>
      <c r="O7" s="3">
        <f t="shared" ref="O7:O13" si="21">+$A7*N7</f>
        <v>25000</v>
      </c>
      <c r="P7" s="26">
        <v>3</v>
      </c>
      <c r="Q7" s="3">
        <f t="shared" ref="Q7:Q13" si="22">+$A7*P7</f>
        <v>15000</v>
      </c>
      <c r="R7" s="26">
        <v>3</v>
      </c>
      <c r="S7" s="3"/>
      <c r="T7" s="26">
        <v>3</v>
      </c>
      <c r="U7" s="3">
        <f t="shared" ref="U7:U13" si="23">+$A7*T7</f>
        <v>15000</v>
      </c>
      <c r="V7" s="1">
        <v>4</v>
      </c>
      <c r="W7" s="3">
        <f t="shared" ref="W7:W13" si="24">+$A7*V7</f>
        <v>20000</v>
      </c>
      <c r="X7" s="1">
        <v>0</v>
      </c>
      <c r="Y7" s="3">
        <f t="shared" ref="Y7:Y13" si="25">+$A7*X7</f>
        <v>0</v>
      </c>
      <c r="Z7" s="1">
        <v>0</v>
      </c>
      <c r="AA7" s="3">
        <f t="shared" ref="AA7:AC13" si="26">+$A7*Z7</f>
        <v>0</v>
      </c>
      <c r="AB7" s="1">
        <v>3</v>
      </c>
      <c r="AC7" s="3">
        <f t="shared" si="26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</row>
    <row r="8" spans="1:54" outlineLevel="1" x14ac:dyDescent="0.25">
      <c r="A8" s="27">
        <v>2000</v>
      </c>
      <c r="B8" s="26">
        <v>4</v>
      </c>
      <c r="C8" s="3">
        <f t="shared" si="8"/>
        <v>8000</v>
      </c>
      <c r="D8" s="26">
        <v>5</v>
      </c>
      <c r="E8" s="3">
        <f t="shared" si="9"/>
        <v>10000</v>
      </c>
      <c r="F8" s="26">
        <v>5</v>
      </c>
      <c r="G8" s="3"/>
      <c r="H8" s="26">
        <v>12</v>
      </c>
      <c r="I8" s="3">
        <f t="shared" si="18"/>
        <v>24000</v>
      </c>
      <c r="J8" s="26">
        <v>17</v>
      </c>
      <c r="K8" s="3">
        <f t="shared" si="19"/>
        <v>34000</v>
      </c>
      <c r="L8" s="26">
        <v>14</v>
      </c>
      <c r="M8" s="3">
        <f t="shared" si="20"/>
        <v>28000</v>
      </c>
      <c r="N8" s="26">
        <v>14</v>
      </c>
      <c r="O8" s="3">
        <f t="shared" si="21"/>
        <v>28000</v>
      </c>
      <c r="P8" s="26">
        <v>10</v>
      </c>
      <c r="Q8" s="3">
        <f t="shared" si="22"/>
        <v>20000</v>
      </c>
      <c r="R8" s="26">
        <v>10</v>
      </c>
      <c r="S8" s="3"/>
      <c r="T8" s="26">
        <v>12</v>
      </c>
      <c r="U8" s="3">
        <f t="shared" si="23"/>
        <v>24000</v>
      </c>
      <c r="V8" s="1">
        <v>22</v>
      </c>
      <c r="W8" s="3">
        <f t="shared" si="24"/>
        <v>44000</v>
      </c>
      <c r="X8" s="1">
        <v>23</v>
      </c>
      <c r="Y8" s="3">
        <f t="shared" si="25"/>
        <v>46000</v>
      </c>
      <c r="Z8" s="1">
        <v>20</v>
      </c>
      <c r="AA8" s="3">
        <f t="shared" si="26"/>
        <v>40000</v>
      </c>
      <c r="AB8" s="1">
        <v>25</v>
      </c>
      <c r="AC8" s="3">
        <f t="shared" si="26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</row>
    <row r="9" spans="1:54" outlineLevel="1" x14ac:dyDescent="0.25">
      <c r="A9" s="27">
        <v>1000</v>
      </c>
      <c r="B9" s="26">
        <v>7</v>
      </c>
      <c r="C9" s="3">
        <f t="shared" si="8"/>
        <v>7000</v>
      </c>
      <c r="D9" s="26">
        <v>8</v>
      </c>
      <c r="E9" s="3">
        <f t="shared" si="9"/>
        <v>8000</v>
      </c>
      <c r="F9" s="26">
        <v>8</v>
      </c>
      <c r="G9" s="3"/>
      <c r="H9" s="26">
        <v>3</v>
      </c>
      <c r="I9" s="3">
        <f t="shared" si="18"/>
        <v>3000</v>
      </c>
      <c r="J9" s="26">
        <v>2</v>
      </c>
      <c r="K9" s="3">
        <f t="shared" si="19"/>
        <v>2000</v>
      </c>
      <c r="L9" s="26">
        <v>0</v>
      </c>
      <c r="M9" s="3">
        <f t="shared" si="20"/>
        <v>0</v>
      </c>
      <c r="N9" s="26">
        <v>0</v>
      </c>
      <c r="O9" s="3">
        <f t="shared" si="21"/>
        <v>0</v>
      </c>
      <c r="P9" s="26">
        <v>0</v>
      </c>
      <c r="Q9" s="3">
        <f t="shared" si="22"/>
        <v>0</v>
      </c>
      <c r="R9" s="26">
        <v>0</v>
      </c>
      <c r="S9" s="3"/>
      <c r="T9" s="26">
        <v>20</v>
      </c>
      <c r="U9" s="3">
        <f t="shared" si="23"/>
        <v>20000</v>
      </c>
      <c r="V9" s="1">
        <v>16</v>
      </c>
      <c r="W9" s="3">
        <f t="shared" si="24"/>
        <v>16000</v>
      </c>
      <c r="X9" s="1">
        <v>12</v>
      </c>
      <c r="Y9" s="3">
        <f t="shared" si="25"/>
        <v>12000</v>
      </c>
      <c r="Z9" s="1">
        <v>9</v>
      </c>
      <c r="AA9" s="3">
        <f t="shared" si="26"/>
        <v>9000</v>
      </c>
      <c r="AB9" s="1">
        <v>6</v>
      </c>
      <c r="AC9" s="3">
        <f t="shared" si="26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</row>
    <row r="10" spans="1:54" outlineLevel="1" x14ac:dyDescent="0.25">
      <c r="A10" s="27">
        <v>500</v>
      </c>
      <c r="B10" s="26">
        <v>31</v>
      </c>
      <c r="C10" s="3">
        <f t="shared" si="8"/>
        <v>15500</v>
      </c>
      <c r="D10" s="26">
        <v>32</v>
      </c>
      <c r="E10" s="3">
        <f t="shared" si="9"/>
        <v>16000</v>
      </c>
      <c r="F10" s="26">
        <v>32</v>
      </c>
      <c r="G10" s="3"/>
      <c r="H10" s="26">
        <v>38</v>
      </c>
      <c r="I10" s="3">
        <f t="shared" si="18"/>
        <v>19000</v>
      </c>
      <c r="J10" s="26">
        <v>37</v>
      </c>
      <c r="K10" s="3">
        <f t="shared" si="19"/>
        <v>18500</v>
      </c>
      <c r="L10" s="26">
        <v>36</v>
      </c>
      <c r="M10" s="3">
        <f t="shared" si="20"/>
        <v>18000</v>
      </c>
      <c r="N10" s="26">
        <v>36</v>
      </c>
      <c r="O10" s="3">
        <f t="shared" si="21"/>
        <v>18000</v>
      </c>
      <c r="P10" s="26">
        <v>36</v>
      </c>
      <c r="Q10" s="3">
        <f t="shared" si="22"/>
        <v>18000</v>
      </c>
      <c r="R10" s="26">
        <v>36</v>
      </c>
      <c r="S10" s="3"/>
      <c r="T10" s="26">
        <v>40</v>
      </c>
      <c r="U10" s="3">
        <f t="shared" si="23"/>
        <v>20000</v>
      </c>
      <c r="V10" s="1">
        <v>45</v>
      </c>
      <c r="W10" s="3">
        <f t="shared" si="24"/>
        <v>22500</v>
      </c>
      <c r="X10" s="1">
        <v>31</v>
      </c>
      <c r="Y10" s="3">
        <f t="shared" si="25"/>
        <v>15500</v>
      </c>
      <c r="Z10" s="1">
        <v>20</v>
      </c>
      <c r="AA10" s="3">
        <f t="shared" si="26"/>
        <v>10000</v>
      </c>
      <c r="AB10" s="1">
        <v>21</v>
      </c>
      <c r="AC10" s="3">
        <f t="shared" si="26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</row>
    <row r="11" spans="1:54" outlineLevel="1" x14ac:dyDescent="0.25">
      <c r="A11" s="27">
        <v>200</v>
      </c>
      <c r="B11" s="26">
        <v>54</v>
      </c>
      <c r="C11" s="3">
        <f t="shared" si="8"/>
        <v>10800</v>
      </c>
      <c r="D11" s="26">
        <v>56</v>
      </c>
      <c r="E11" s="3">
        <f t="shared" si="9"/>
        <v>11200</v>
      </c>
      <c r="F11" s="26">
        <v>56</v>
      </c>
      <c r="G11" s="3"/>
      <c r="H11" s="26">
        <v>62</v>
      </c>
      <c r="I11" s="3">
        <f t="shared" si="18"/>
        <v>12400</v>
      </c>
      <c r="J11" s="26">
        <v>62</v>
      </c>
      <c r="K11" s="3">
        <f t="shared" si="19"/>
        <v>12400</v>
      </c>
      <c r="L11" s="26">
        <v>68</v>
      </c>
      <c r="M11" s="3">
        <f t="shared" si="20"/>
        <v>13600</v>
      </c>
      <c r="N11" s="26">
        <v>68</v>
      </c>
      <c r="O11" s="3">
        <f t="shared" si="21"/>
        <v>13600</v>
      </c>
      <c r="P11" s="26">
        <v>81</v>
      </c>
      <c r="Q11" s="3">
        <f t="shared" si="22"/>
        <v>16200</v>
      </c>
      <c r="R11" s="26">
        <v>81</v>
      </c>
      <c r="S11" s="3"/>
      <c r="T11" s="26">
        <v>3</v>
      </c>
      <c r="U11" s="3">
        <f t="shared" si="23"/>
        <v>600</v>
      </c>
      <c r="V11" s="1">
        <v>5</v>
      </c>
      <c r="W11" s="3">
        <f t="shared" si="24"/>
        <v>1000</v>
      </c>
      <c r="X11" s="1">
        <v>4</v>
      </c>
      <c r="Y11" s="3">
        <f t="shared" si="25"/>
        <v>800</v>
      </c>
      <c r="Z11" s="1">
        <v>4</v>
      </c>
      <c r="AA11" s="3">
        <f t="shared" si="26"/>
        <v>800</v>
      </c>
      <c r="AB11" s="1">
        <v>7</v>
      </c>
      <c r="AC11" s="3">
        <f t="shared" si="26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9</v>
      </c>
      <c r="AU11" s="3">
        <f t="shared" si="7"/>
        <v>1800</v>
      </c>
    </row>
    <row r="12" spans="1:54" outlineLevel="1" x14ac:dyDescent="0.25">
      <c r="A12" s="27">
        <v>100</v>
      </c>
      <c r="B12" s="26">
        <v>38</v>
      </c>
      <c r="C12" s="3">
        <f t="shared" si="8"/>
        <v>3800</v>
      </c>
      <c r="D12" s="26">
        <v>39</v>
      </c>
      <c r="E12" s="3">
        <f t="shared" si="9"/>
        <v>3900</v>
      </c>
      <c r="F12" s="26">
        <v>39</v>
      </c>
      <c r="G12" s="3"/>
      <c r="H12" s="26">
        <v>51</v>
      </c>
      <c r="I12" s="3">
        <f t="shared" si="18"/>
        <v>5100</v>
      </c>
      <c r="J12" s="26">
        <v>48</v>
      </c>
      <c r="K12" s="3">
        <f t="shared" si="19"/>
        <v>4800</v>
      </c>
      <c r="L12" s="26">
        <v>63</v>
      </c>
      <c r="M12" s="3">
        <f t="shared" si="20"/>
        <v>6300</v>
      </c>
      <c r="N12" s="26">
        <v>63</v>
      </c>
      <c r="O12" s="3">
        <f t="shared" si="21"/>
        <v>6300</v>
      </c>
      <c r="P12" s="26">
        <v>77</v>
      </c>
      <c r="Q12" s="3">
        <f t="shared" si="22"/>
        <v>7700</v>
      </c>
      <c r="R12" s="26">
        <v>77</v>
      </c>
      <c r="S12" s="3"/>
      <c r="T12" s="26">
        <v>9</v>
      </c>
      <c r="U12" s="3">
        <f t="shared" si="23"/>
        <v>900</v>
      </c>
      <c r="V12" s="1">
        <v>11</v>
      </c>
      <c r="W12" s="3">
        <f t="shared" si="24"/>
        <v>1100</v>
      </c>
      <c r="X12" s="1">
        <v>13</v>
      </c>
      <c r="Y12" s="3">
        <f t="shared" si="25"/>
        <v>1300</v>
      </c>
      <c r="Z12" s="1">
        <v>13</v>
      </c>
      <c r="AA12" s="3">
        <f t="shared" si="26"/>
        <v>1300</v>
      </c>
      <c r="AB12" s="1">
        <v>14</v>
      </c>
      <c r="AC12" s="3">
        <f t="shared" si="26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</row>
    <row r="13" spans="1:54" ht="15.75" outlineLevel="1" thickBot="1" x14ac:dyDescent="0.3">
      <c r="A13" s="27">
        <v>50</v>
      </c>
      <c r="B13" s="26">
        <v>10</v>
      </c>
      <c r="C13" s="28">
        <f t="shared" si="8"/>
        <v>500</v>
      </c>
      <c r="D13" s="26">
        <v>10</v>
      </c>
      <c r="E13" s="28">
        <f t="shared" si="9"/>
        <v>500</v>
      </c>
      <c r="F13" s="26">
        <v>10</v>
      </c>
      <c r="G13" s="28"/>
      <c r="H13" s="26">
        <v>10</v>
      </c>
      <c r="I13" s="28">
        <f t="shared" si="18"/>
        <v>500</v>
      </c>
      <c r="J13" s="26">
        <v>10</v>
      </c>
      <c r="K13" s="28">
        <f t="shared" si="19"/>
        <v>500</v>
      </c>
      <c r="L13" s="26">
        <v>10</v>
      </c>
      <c r="M13" s="28">
        <f t="shared" si="20"/>
        <v>500</v>
      </c>
      <c r="N13" s="26">
        <v>10</v>
      </c>
      <c r="O13" s="28">
        <f t="shared" si="21"/>
        <v>500</v>
      </c>
      <c r="P13" s="26">
        <v>14</v>
      </c>
      <c r="Q13" s="28">
        <f t="shared" si="22"/>
        <v>700</v>
      </c>
      <c r="R13" s="26">
        <v>14</v>
      </c>
      <c r="S13" s="28"/>
      <c r="T13" s="26">
        <v>9</v>
      </c>
      <c r="U13" s="28">
        <f t="shared" si="23"/>
        <v>450</v>
      </c>
      <c r="V13" s="1">
        <v>9</v>
      </c>
      <c r="W13" s="28">
        <f t="shared" si="24"/>
        <v>450</v>
      </c>
      <c r="X13" s="1">
        <v>8</v>
      </c>
      <c r="Y13" s="28">
        <f t="shared" si="25"/>
        <v>400</v>
      </c>
      <c r="Z13" s="1">
        <v>11</v>
      </c>
      <c r="AA13" s="28">
        <f t="shared" si="26"/>
        <v>550</v>
      </c>
      <c r="AB13" s="1">
        <v>9</v>
      </c>
      <c r="AC13" s="28">
        <f t="shared" si="26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>
        <v>7</v>
      </c>
      <c r="AI13" s="28">
        <f t="shared" si="2"/>
        <v>350</v>
      </c>
      <c r="AJ13" s="1"/>
      <c r="AK13" s="28"/>
      <c r="AL13" s="1">
        <v>9</v>
      </c>
      <c r="AM13" s="28">
        <f t="shared" si="3"/>
        <v>450</v>
      </c>
      <c r="AN13" s="1">
        <v>10</v>
      </c>
      <c r="AO13" s="28">
        <f t="shared" si="4"/>
        <v>500</v>
      </c>
      <c r="AP13" s="1"/>
      <c r="AQ13" s="28">
        <f t="shared" si="5"/>
        <v>0</v>
      </c>
      <c r="AR13" s="1">
        <v>10</v>
      </c>
      <c r="AS13" s="28">
        <f t="shared" si="6"/>
        <v>500</v>
      </c>
      <c r="AT13" s="1">
        <v>11</v>
      </c>
      <c r="AU13" s="28">
        <f t="shared" si="7"/>
        <v>550</v>
      </c>
    </row>
    <row r="14" spans="1:54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106200</v>
      </c>
      <c r="AI14" s="17">
        <f>SUM(AI3:AI13)</f>
        <v>84250</v>
      </c>
      <c r="AK14" s="17">
        <f>SUM(AK3:AK13)</f>
        <v>0</v>
      </c>
      <c r="AM14" s="17">
        <f>SUM(AM3:AM13)</f>
        <v>203350</v>
      </c>
      <c r="AO14" s="17">
        <f>SUM(AO3:AO13)</f>
        <v>88000</v>
      </c>
      <c r="AQ14" s="17">
        <f>SUM(AQ3:AQ13)</f>
        <v>0</v>
      </c>
      <c r="AS14" s="17">
        <f>SUM(AS3:AS13)</f>
        <v>95500</v>
      </c>
      <c r="AU14" s="17">
        <f>SUM(AU3:AU13)</f>
        <v>172550</v>
      </c>
    </row>
    <row r="15" spans="1:54" x14ac:dyDescent="0.25">
      <c r="E15" s="18">
        <f>+SUM('historial de venta'!G32:G37)</f>
        <v>76000</v>
      </c>
      <c r="U15">
        <v>324300</v>
      </c>
      <c r="AE15" s="17"/>
      <c r="AG15" s="17"/>
      <c r="AI15" s="17"/>
      <c r="AK15" s="17"/>
      <c r="AM15" s="17"/>
      <c r="AO15" s="17"/>
      <c r="AQ15" s="17"/>
    </row>
    <row r="16" spans="1:54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  <c r="AK16" s="13"/>
      <c r="AM16" s="13"/>
      <c r="AO16" s="13"/>
      <c r="AQ16" s="13"/>
      <c r="AZ16" s="3">
        <v>2961800</v>
      </c>
      <c r="BA16" s="81">
        <v>72250</v>
      </c>
      <c r="BB16" s="29">
        <f>+BA16-AZ16</f>
        <v>-2889550</v>
      </c>
    </row>
    <row r="17" spans="1:54" x14ac:dyDescent="0.25">
      <c r="A17" s="48" t="s">
        <v>3</v>
      </c>
      <c r="C17" s="48" t="s">
        <v>164</v>
      </c>
      <c r="D17" s="46"/>
      <c r="E17" s="48" t="s">
        <v>165</v>
      </c>
      <c r="F17" s="47"/>
      <c r="G17" s="48" t="s">
        <v>166</v>
      </c>
      <c r="H17" s="47"/>
      <c r="I17" s="48" t="s">
        <v>167</v>
      </c>
      <c r="J17" s="47"/>
      <c r="K17" s="48" t="s">
        <v>195</v>
      </c>
      <c r="L17" s="47"/>
      <c r="M17" s="48" t="s">
        <v>203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jue</v>
      </c>
      <c r="AJ17" s="47"/>
      <c r="AK17" s="48" t="str">
        <f>+AK1</f>
        <v>vie</v>
      </c>
      <c r="AL17" s="47"/>
      <c r="AM17" s="48" t="str">
        <f>+AM1</f>
        <v>sáb</v>
      </c>
      <c r="AN17" s="47"/>
      <c r="AO17" s="48" t="str">
        <f>+AO1</f>
        <v>dom</v>
      </c>
      <c r="AP17" s="47"/>
      <c r="AQ17" s="48" t="str">
        <f>+AQ1</f>
        <v>lun</v>
      </c>
      <c r="AR17" s="47"/>
      <c r="AS17" s="48" t="str">
        <f>+AS1</f>
        <v>mar</v>
      </c>
      <c r="AT17" s="47"/>
      <c r="AU17" s="48" t="str">
        <f>+AU1</f>
        <v>mié</v>
      </c>
      <c r="AZ17" s="3">
        <v>2619900</v>
      </c>
      <c r="BA17" s="81">
        <v>716100</v>
      </c>
      <c r="BB17" s="29">
        <f>+BA17-AZ17</f>
        <v>-1903800</v>
      </c>
    </row>
    <row r="18" spans="1:54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8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f>+AG14</f>
        <v>106200</v>
      </c>
      <c r="AK18" s="19">
        <f>+AI14</f>
        <v>84250</v>
      </c>
      <c r="AM18" s="19">
        <f>+AK23</f>
        <v>216750</v>
      </c>
      <c r="AO18" s="19">
        <f>+AM14</f>
        <v>203350</v>
      </c>
      <c r="AQ18" s="19">
        <f>+AO14</f>
        <v>88000</v>
      </c>
      <c r="AS18" s="19">
        <f>+AQ23</f>
        <v>172000</v>
      </c>
      <c r="AU18" s="19">
        <f>+AS23</f>
        <v>95500</v>
      </c>
      <c r="AZ18" s="3">
        <v>453000</v>
      </c>
      <c r="BA18" s="81">
        <v>151000</v>
      </c>
      <c r="BB18" s="29">
        <f>+BA18-AZ18</f>
        <v>-302000</v>
      </c>
    </row>
    <row r="19" spans="1:54" x14ac:dyDescent="0.25">
      <c r="A19" s="19" t="s">
        <v>204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+U25</f>
        <v>17400</v>
      </c>
      <c r="Y19" s="67"/>
      <c r="AA19" s="67">
        <v>75050</v>
      </c>
      <c r="AC19" s="67"/>
      <c r="AE19" s="67">
        <v>0</v>
      </c>
      <c r="AG19" s="65">
        <v>-100000</v>
      </c>
      <c r="AI19" s="67">
        <v>0</v>
      </c>
      <c r="AK19" s="67">
        <v>0</v>
      </c>
      <c r="AM19" s="67">
        <v>-100000</v>
      </c>
      <c r="AO19" s="67"/>
      <c r="AQ19" s="67">
        <f>'16mar'!$F$11</f>
        <v>99000</v>
      </c>
      <c r="AS19" s="67">
        <v>-250000</v>
      </c>
      <c r="AU19" s="67">
        <v>0</v>
      </c>
    </row>
    <row r="20" spans="1:54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67">
        <v>172500</v>
      </c>
      <c r="AE20" s="67">
        <v>51000</v>
      </c>
      <c r="AG20" s="67">
        <v>335500</v>
      </c>
      <c r="AI20" s="67">
        <v>67000</v>
      </c>
      <c r="AK20" s="67">
        <f>Registros!$C$13</f>
        <v>132500</v>
      </c>
      <c r="AM20" s="67">
        <v>271000</v>
      </c>
      <c r="AO20" s="94">
        <v>99000</v>
      </c>
      <c r="AQ20" s="94"/>
      <c r="AS20" s="94">
        <v>176500</v>
      </c>
      <c r="AU20" s="94">
        <v>77250</v>
      </c>
    </row>
    <row r="21" spans="1:54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140000+1000+20500+55800+43800+40000</f>
        <v>301100</v>
      </c>
      <c r="AI21" s="67">
        <f>4500+21600</f>
        <v>26100</v>
      </c>
      <c r="AK21" s="67"/>
      <c r="AM21" s="67">
        <f>30000+120000+50000+51500</f>
        <v>251500</v>
      </c>
      <c r="AO21" s="67">
        <f>Gas!$C$15</f>
        <v>221350</v>
      </c>
      <c r="AQ21" s="67">
        <v>15000</v>
      </c>
      <c r="AS21" s="67"/>
      <c r="AU21" s="67"/>
    </row>
    <row r="22" spans="1:54" ht="16.5" thickTop="1" thickBot="1" x14ac:dyDescent="0.3">
      <c r="A22" s="19" t="s">
        <v>308</v>
      </c>
      <c r="C22" s="83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f>4000+51350</f>
        <v>55350</v>
      </c>
      <c r="AK22" s="50"/>
      <c r="AM22" s="50"/>
      <c r="AO22" s="50"/>
      <c r="AQ22" s="50"/>
      <c r="AS22" s="50">
        <v>3000</v>
      </c>
      <c r="AU22" s="50">
        <v>0</v>
      </c>
    </row>
    <row r="23" spans="1:54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85400</v>
      </c>
      <c r="AI23" s="13">
        <f>+SUM(AI18:AI20)-SUM(AI21:AI22)</f>
        <v>91750</v>
      </c>
      <c r="AK23" s="13">
        <f>+SUM(AK18:AK20)-SUM(AK21:AK22)</f>
        <v>216750</v>
      </c>
      <c r="AM23" s="13">
        <f>+SUM(AM18:AM20)-SUM(AM21:AM22)</f>
        <v>136250</v>
      </c>
      <c r="AO23" s="13">
        <f>+SUM(AO18:AO20)-SUM(AO21:AO22)</f>
        <v>81000</v>
      </c>
      <c r="AQ23" s="13">
        <f>+SUM(AQ18:AQ20)-SUM(AQ21:AQ22)</f>
        <v>172000</v>
      </c>
      <c r="AS23" s="13">
        <f>+SUM(AS18:AS20)-SUM(AS21:AS22)</f>
        <v>95500</v>
      </c>
      <c r="AU23" s="13">
        <f>+SUM(AU18:AU20)-SUM(AU21:AU22)</f>
        <v>172750</v>
      </c>
    </row>
    <row r="25" spans="1:54" x14ac:dyDescent="0.25">
      <c r="A25" s="57" t="s">
        <v>197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5">
        <f>AE14-AE23</f>
        <v>0</v>
      </c>
      <c r="AF25" s="58"/>
      <c r="AG25" s="58">
        <f>AG14-AG23</f>
        <v>20800</v>
      </c>
      <c r="AH25" s="58"/>
      <c r="AI25" s="58">
        <f>AI14-AI23</f>
        <v>-7500</v>
      </c>
      <c r="AJ25" s="58"/>
      <c r="AK25" s="58">
        <f>AK14-AK23</f>
        <v>-216750</v>
      </c>
      <c r="AL25" s="58"/>
      <c r="AM25" s="58">
        <f>AM14-AM23</f>
        <v>67100</v>
      </c>
      <c r="AN25" s="58"/>
      <c r="AO25" s="58">
        <f>AO14-AO23</f>
        <v>7000</v>
      </c>
      <c r="AP25" s="58"/>
      <c r="AQ25" s="58">
        <f>AQ14-AQ23</f>
        <v>-172000</v>
      </c>
      <c r="AR25" s="58"/>
      <c r="AS25" s="58">
        <f>AS14-AS23</f>
        <v>0</v>
      </c>
      <c r="AT25" s="58"/>
      <c r="AU25" s="58">
        <f>AU14-AU23</f>
        <v>-200</v>
      </c>
    </row>
    <row r="26" spans="1:54" x14ac:dyDescent="0.25">
      <c r="A26"/>
    </row>
    <row r="27" spans="1:54" x14ac:dyDescent="0.25">
      <c r="A27" s="19" t="s">
        <v>329</v>
      </c>
      <c r="AE27" s="67">
        <f>100000-12050</f>
        <v>87950</v>
      </c>
      <c r="AG27" s="67">
        <f>100000-12050</f>
        <v>87950</v>
      </c>
      <c r="AI27" s="67">
        <f>+AG27-43000</f>
        <v>44950</v>
      </c>
      <c r="AK27" s="67">
        <f>+AI27</f>
        <v>44950</v>
      </c>
      <c r="AM27" s="67">
        <f>+AK27+100000</f>
        <v>144950</v>
      </c>
      <c r="AO27" s="67">
        <f>+AM27-50000</f>
        <v>94950</v>
      </c>
      <c r="AQ27" s="67">
        <f>+AO27</f>
        <v>94950</v>
      </c>
      <c r="AS27" s="67">
        <f>+AQ27-AS19</f>
        <v>344950</v>
      </c>
      <c r="AU27" s="67">
        <v>0</v>
      </c>
    </row>
    <row r="28" spans="1:54" x14ac:dyDescent="0.25">
      <c r="A28" s="19" t="s">
        <v>328</v>
      </c>
      <c r="W28">
        <v>75050</v>
      </c>
      <c r="Y28">
        <v>75050</v>
      </c>
      <c r="AG28" s="67">
        <v>100000</v>
      </c>
      <c r="AI28" s="67">
        <v>0</v>
      </c>
      <c r="AK28" s="67">
        <v>0</v>
      </c>
      <c r="AM28" s="67">
        <v>0</v>
      </c>
      <c r="AO28" s="67">
        <v>0</v>
      </c>
      <c r="AQ28" s="67">
        <v>0</v>
      </c>
      <c r="AS28" s="67">
        <v>0</v>
      </c>
      <c r="AU28" s="67">
        <v>0</v>
      </c>
    </row>
    <row r="30" spans="1:54" x14ac:dyDescent="0.25">
      <c r="A30" s="91" t="s">
        <v>173</v>
      </c>
      <c r="B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91">
        <f>+(32000-2000)+11000+90000+3650</f>
        <v>134650</v>
      </c>
      <c r="AF30" s="3"/>
      <c r="AG30" s="91">
        <v>113000</v>
      </c>
      <c r="AH30" s="3"/>
      <c r="AI30" s="91">
        <v>94000</v>
      </c>
      <c r="AJ30" s="3"/>
      <c r="AK30" s="91">
        <v>0</v>
      </c>
      <c r="AL30" s="3"/>
      <c r="AM30" s="91">
        <f>+(98000-5000)</f>
        <v>93000</v>
      </c>
      <c r="AN30" s="3"/>
      <c r="AO30" s="91">
        <f>19000+(45000-9000)</f>
        <v>55000</v>
      </c>
      <c r="AP30" s="3"/>
      <c r="AQ30" s="91">
        <f>11000+10000</f>
        <v>21000</v>
      </c>
      <c r="AR30" s="3"/>
      <c r="AS30" s="91">
        <v>78000</v>
      </c>
      <c r="AT30" s="3"/>
      <c r="AU30" s="91">
        <f>8000*4-109500</f>
        <v>-77500</v>
      </c>
    </row>
    <row r="31" spans="1:54" x14ac:dyDescent="0.25">
      <c r="A31" s="91" t="s">
        <v>406</v>
      </c>
      <c r="B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91">
        <f>+AE30</f>
        <v>134650</v>
      </c>
      <c r="AF31" s="3"/>
      <c r="AG31" s="91">
        <f>+AG30+AE31</f>
        <v>247650</v>
      </c>
      <c r="AH31" s="3"/>
      <c r="AI31" s="91">
        <f>+AI30+AG31</f>
        <v>341650</v>
      </c>
      <c r="AJ31" s="3"/>
      <c r="AK31" s="91">
        <f>+AK30+AI31</f>
        <v>341650</v>
      </c>
      <c r="AL31" s="3"/>
      <c r="AM31" s="91">
        <f>+AM30+AK31</f>
        <v>434650</v>
      </c>
      <c r="AN31" s="3"/>
      <c r="AO31" s="91">
        <f>+AO30+AM31</f>
        <v>489650</v>
      </c>
      <c r="AP31" s="3"/>
      <c r="AQ31" s="91">
        <f>+AQ30+AO31</f>
        <v>510650</v>
      </c>
      <c r="AR31" s="3"/>
      <c r="AS31" s="91">
        <f>+AS30+AQ31-(40000+20000)</f>
        <v>528650</v>
      </c>
      <c r="AT31" s="3"/>
      <c r="AU31" s="91">
        <f>+AS31+AS27-40000-40000+AU30</f>
        <v>716100</v>
      </c>
    </row>
    <row r="32" spans="1:54" x14ac:dyDescent="0.25">
      <c r="A32" s="92" t="s">
        <v>395</v>
      </c>
      <c r="B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92">
        <v>0</v>
      </c>
      <c r="AF32" s="3"/>
      <c r="AG32" s="92">
        <f>22000+1000</f>
        <v>23000</v>
      </c>
      <c r="AH32" s="3"/>
      <c r="AI32" s="92">
        <v>82000</v>
      </c>
      <c r="AJ32" s="3"/>
      <c r="AK32" s="92">
        <v>0</v>
      </c>
      <c r="AL32" s="3"/>
      <c r="AM32" s="92">
        <f>23000</f>
        <v>23000</v>
      </c>
      <c r="AN32" s="3"/>
      <c r="AO32" s="92">
        <v>0</v>
      </c>
      <c r="AP32" s="3"/>
      <c r="AQ32" s="92">
        <v>0</v>
      </c>
      <c r="AR32" s="3"/>
      <c r="AS32" s="92">
        <f>15000+8000</f>
        <v>23000</v>
      </c>
      <c r="AT32" s="3"/>
      <c r="AU32" s="92">
        <v>0</v>
      </c>
    </row>
    <row r="33" spans="1:47" x14ac:dyDescent="0.25">
      <c r="A33" s="92" t="s">
        <v>405</v>
      </c>
      <c r="B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92">
        <v>0</v>
      </c>
      <c r="AF33" s="3"/>
      <c r="AG33" s="92">
        <f>+AG32</f>
        <v>23000</v>
      </c>
      <c r="AH33" s="3"/>
      <c r="AI33" s="92">
        <f>+AI32+AG33</f>
        <v>105000</v>
      </c>
      <c r="AJ33" s="3"/>
      <c r="AK33" s="92">
        <f>+AK32+AI33</f>
        <v>105000</v>
      </c>
      <c r="AL33" s="3"/>
      <c r="AM33" s="92">
        <f>+AM32+AK33</f>
        <v>128000</v>
      </c>
      <c r="AN33" s="3"/>
      <c r="AO33" s="92">
        <f>+AO32+AM33</f>
        <v>128000</v>
      </c>
      <c r="AP33" s="3"/>
      <c r="AQ33" s="92">
        <f>+AQ32+AO33</f>
        <v>128000</v>
      </c>
      <c r="AR33" s="3"/>
      <c r="AS33" s="92">
        <f>+AS32+AQ33</f>
        <v>151000</v>
      </c>
      <c r="AT33" s="3"/>
      <c r="AU33" s="92">
        <f>+AU32+AS33</f>
        <v>151000</v>
      </c>
    </row>
    <row r="35" spans="1:47" x14ac:dyDescent="0.25">
      <c r="A35" s="16" t="s">
        <v>407</v>
      </c>
      <c r="B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91"/>
      <c r="AH35" s="3"/>
      <c r="AI35" s="91">
        <v>24000</v>
      </c>
      <c r="AJ35" s="3"/>
      <c r="AK35" s="91">
        <f>16000+AI35</f>
        <v>40000</v>
      </c>
      <c r="AL35" s="3"/>
      <c r="AM35" s="16">
        <f>8000*5</f>
        <v>40000</v>
      </c>
      <c r="AN35" s="3"/>
      <c r="AO35" s="91"/>
      <c r="AP35" s="3"/>
      <c r="AQ35" s="16">
        <f>16000+AM35</f>
        <v>56000</v>
      </c>
      <c r="AR35" s="3"/>
      <c r="AS35" s="91"/>
      <c r="AT35" s="3"/>
      <c r="AU35" s="91"/>
    </row>
    <row r="36" spans="1:47" x14ac:dyDescent="0.25">
      <c r="A36" s="16" t="s">
        <v>403</v>
      </c>
    </row>
    <row r="38" spans="1:47" x14ac:dyDescent="0.25">
      <c r="AM38" s="13">
        <f>+SUM(AM23,AM27,AM31,AM33)</f>
        <v>843850</v>
      </c>
    </row>
    <row r="40" spans="1:47" x14ac:dyDescent="0.25">
      <c r="AM40" s="13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966FF"/>
  </sheetPr>
  <dimension ref="A1:M96"/>
  <sheetViews>
    <sheetView zoomScale="115" zoomScaleNormal="115" workbookViewId="0">
      <pane ySplit="5" topLeftCell="A82" activePane="bottomLeft" state="frozen"/>
      <selection activeCell="C1" sqref="C1"/>
      <selection pane="bottomLeft" activeCell="D84" sqref="D84:D93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3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13"/>
      <c r="C1" s="32" t="s">
        <v>142</v>
      </c>
      <c r="D1" s="3">
        <f>+SUMIF($H$6:$H$1048576,C1,$D$6:$D$1048576)</f>
        <v>716100</v>
      </c>
    </row>
    <row r="2" spans="1:10" ht="15.75" thickBot="1" x14ac:dyDescent="0.3">
      <c r="C2" s="33" t="s">
        <v>147</v>
      </c>
      <c r="D2" s="28">
        <f>+SUMIF($H$6:$H$1048576,C2,$D$6:$D$1048576)</f>
        <v>151000</v>
      </c>
    </row>
    <row r="3" spans="1:10" ht="15.75" thickTop="1" x14ac:dyDescent="0.25">
      <c r="D3" s="3">
        <f>+SUM(D6:D1048576)</f>
        <v>691100</v>
      </c>
      <c r="H3" s="22" t="s">
        <v>127</v>
      </c>
    </row>
    <row r="5" spans="1:10" x14ac:dyDescent="0.25">
      <c r="A5" s="36" t="s">
        <v>5</v>
      </c>
      <c r="B5" s="36" t="s">
        <v>378</v>
      </c>
      <c r="C5" s="36" t="s">
        <v>157</v>
      </c>
      <c r="D5" s="37" t="s">
        <v>6</v>
      </c>
      <c r="E5" s="37" t="s">
        <v>223</v>
      </c>
      <c r="F5" s="37" t="s">
        <v>222</v>
      </c>
      <c r="G5" s="37"/>
      <c r="H5" s="36" t="s">
        <v>156</v>
      </c>
      <c r="I5" s="36" t="s">
        <v>155</v>
      </c>
      <c r="J5" s="36" t="s">
        <v>154</v>
      </c>
    </row>
    <row r="6" spans="1:10" x14ac:dyDescent="0.25">
      <c r="A6" s="2">
        <v>46076</v>
      </c>
      <c r="B6" s="2" t="str">
        <f t="shared" ref="B6:B17" si="0">+TEXT(A6,"ddd")</f>
        <v>lun</v>
      </c>
      <c r="C6" s="34">
        <v>0.72986111111111107</v>
      </c>
      <c r="D6" s="3">
        <v>6500</v>
      </c>
      <c r="E6" s="3" t="s">
        <v>222</v>
      </c>
      <c r="H6" s="32" t="s">
        <v>142</v>
      </c>
      <c r="I6" s="1" t="s">
        <v>143</v>
      </c>
      <c r="J6" t="s">
        <v>215</v>
      </c>
    </row>
    <row r="7" spans="1:10" x14ac:dyDescent="0.25">
      <c r="A7" s="2">
        <v>46076</v>
      </c>
      <c r="B7" s="2" t="str">
        <f t="shared" si="0"/>
        <v>lun</v>
      </c>
      <c r="C7" s="35"/>
      <c r="D7" s="3">
        <v>24000</v>
      </c>
      <c r="E7" s="3" t="s">
        <v>222</v>
      </c>
      <c r="H7" s="32" t="s">
        <v>142</v>
      </c>
      <c r="I7" s="1" t="s">
        <v>153</v>
      </c>
    </row>
    <row r="8" spans="1:10" x14ac:dyDescent="0.25">
      <c r="A8" s="2">
        <v>46077</v>
      </c>
      <c r="B8" s="2" t="str">
        <f t="shared" si="0"/>
        <v>mar</v>
      </c>
      <c r="C8" s="34">
        <v>0.79374999999999996</v>
      </c>
      <c r="D8" s="3">
        <v>3000</v>
      </c>
      <c r="E8" s="3" t="s">
        <v>222</v>
      </c>
      <c r="H8" s="32" t="s">
        <v>142</v>
      </c>
      <c r="I8" t="s">
        <v>152</v>
      </c>
    </row>
    <row r="9" spans="1:10" x14ac:dyDescent="0.25">
      <c r="A9" s="2">
        <v>46077</v>
      </c>
      <c r="B9" s="2" t="str">
        <f t="shared" si="0"/>
        <v>mar</v>
      </c>
      <c r="C9" s="34">
        <v>0.82777777777777772</v>
      </c>
      <c r="D9" s="3">
        <v>8000</v>
      </c>
      <c r="E9" s="3" t="s">
        <v>222</v>
      </c>
      <c r="H9" s="32" t="s">
        <v>142</v>
      </c>
      <c r="I9" t="s">
        <v>151</v>
      </c>
    </row>
    <row r="10" spans="1:10" x14ac:dyDescent="0.25">
      <c r="A10" s="2">
        <v>46078</v>
      </c>
      <c r="B10" s="2" t="str">
        <f t="shared" si="0"/>
        <v>mié</v>
      </c>
      <c r="C10" s="34">
        <v>0.69444444444444442</v>
      </c>
      <c r="D10" s="3">
        <v>8000</v>
      </c>
      <c r="E10" s="3" t="s">
        <v>222</v>
      </c>
      <c r="H10" s="32" t="s">
        <v>142</v>
      </c>
      <c r="I10" t="s">
        <v>150</v>
      </c>
    </row>
    <row r="11" spans="1:10" x14ac:dyDescent="0.25">
      <c r="A11" s="2">
        <v>46078</v>
      </c>
      <c r="B11" s="2" t="str">
        <f t="shared" si="0"/>
        <v>mié</v>
      </c>
      <c r="C11" s="34">
        <v>0.7944444444444444</v>
      </c>
      <c r="D11" s="3">
        <v>8000</v>
      </c>
      <c r="E11" s="3" t="s">
        <v>222</v>
      </c>
      <c r="H11" s="32" t="s">
        <v>142</v>
      </c>
      <c r="I11" t="s">
        <v>149</v>
      </c>
      <c r="J11" t="s">
        <v>214</v>
      </c>
    </row>
    <row r="12" spans="1:10" x14ac:dyDescent="0.25">
      <c r="A12" s="2">
        <v>46078</v>
      </c>
      <c r="B12" s="2" t="str">
        <f t="shared" si="0"/>
        <v>mié</v>
      </c>
      <c r="C12" s="34">
        <v>0.80694444444444446</v>
      </c>
      <c r="D12" s="3">
        <v>22500</v>
      </c>
      <c r="E12" s="3" t="s">
        <v>222</v>
      </c>
      <c r="H12" s="32" t="s">
        <v>142</v>
      </c>
      <c r="I12" s="1" t="s">
        <v>143</v>
      </c>
      <c r="J12" t="s">
        <v>215</v>
      </c>
    </row>
    <row r="13" spans="1:10" x14ac:dyDescent="0.25">
      <c r="A13" s="2">
        <v>46078</v>
      </c>
      <c r="B13" s="2" t="str">
        <f t="shared" si="0"/>
        <v>mié</v>
      </c>
      <c r="C13" s="34">
        <v>0.83958333333333335</v>
      </c>
      <c r="D13" s="3">
        <v>8000</v>
      </c>
      <c r="E13" s="3" t="s">
        <v>222</v>
      </c>
      <c r="H13" s="32" t="s">
        <v>142</v>
      </c>
      <c r="I13" t="s">
        <v>148</v>
      </c>
    </row>
    <row r="14" spans="1:10" x14ac:dyDescent="0.25">
      <c r="A14" s="2">
        <v>46078</v>
      </c>
      <c r="B14" s="2" t="str">
        <f t="shared" si="0"/>
        <v>mié</v>
      </c>
      <c r="C14" s="34">
        <v>0.79374999999999996</v>
      </c>
      <c r="D14" s="3">
        <v>16000</v>
      </c>
      <c r="E14" s="3" t="s">
        <v>222</v>
      </c>
      <c r="H14" s="33" t="s">
        <v>147</v>
      </c>
      <c r="I14" t="s">
        <v>146</v>
      </c>
      <c r="J14" t="s">
        <v>147</v>
      </c>
    </row>
    <row r="15" spans="1:10" x14ac:dyDescent="0.25">
      <c r="A15" s="2">
        <v>46079</v>
      </c>
      <c r="B15" s="2" t="str">
        <f t="shared" si="0"/>
        <v>jue</v>
      </c>
      <c r="C15" s="34">
        <v>0.56458333333333333</v>
      </c>
      <c r="D15" s="3">
        <v>25000</v>
      </c>
      <c r="E15" s="3" t="s">
        <v>222</v>
      </c>
      <c r="H15" s="32" t="s">
        <v>142</v>
      </c>
      <c r="I15" t="s">
        <v>145</v>
      </c>
      <c r="J15" t="s">
        <v>144</v>
      </c>
    </row>
    <row r="16" spans="1:10" x14ac:dyDescent="0.25">
      <c r="A16" s="2">
        <v>46079</v>
      </c>
      <c r="B16" s="2" t="str">
        <f t="shared" si="0"/>
        <v>jue</v>
      </c>
      <c r="C16" s="34">
        <v>0.84513888888888888</v>
      </c>
      <c r="D16" s="3">
        <v>51000</v>
      </c>
      <c r="E16" s="3" t="s">
        <v>222</v>
      </c>
      <c r="H16" s="32" t="s">
        <v>142</v>
      </c>
      <c r="I16" s="1" t="s">
        <v>143</v>
      </c>
      <c r="J16" t="s">
        <v>215</v>
      </c>
    </row>
    <row r="17" spans="1:10" x14ac:dyDescent="0.25">
      <c r="A17" s="2">
        <v>46079</v>
      </c>
      <c r="B17" s="2" t="str">
        <f t="shared" si="0"/>
        <v>jue</v>
      </c>
      <c r="C17" s="34">
        <v>0.72777777777777775</v>
      </c>
      <c r="D17" s="59">
        <v>49000</v>
      </c>
      <c r="E17" s="3" t="s">
        <v>222</v>
      </c>
      <c r="H17" s="32" t="s">
        <v>142</v>
      </c>
      <c r="I17" t="s">
        <v>141</v>
      </c>
    </row>
    <row r="18" spans="1:10" x14ac:dyDescent="0.25">
      <c r="A18" s="2">
        <v>46080</v>
      </c>
      <c r="B18" s="2" t="str">
        <f t="shared" ref="B18:B22" si="1">+TEXT(A18,"ddd")</f>
        <v>vie</v>
      </c>
      <c r="C18" s="34">
        <v>0.82291666666666663</v>
      </c>
      <c r="D18" s="59">
        <v>11000</v>
      </c>
      <c r="E18" s="3" t="s">
        <v>222</v>
      </c>
      <c r="H18" s="33" t="s">
        <v>147</v>
      </c>
      <c r="I18" t="s">
        <v>146</v>
      </c>
      <c r="J18" t="s">
        <v>147</v>
      </c>
    </row>
    <row r="19" spans="1:10" x14ac:dyDescent="0.25">
      <c r="A19" s="2">
        <v>46080</v>
      </c>
      <c r="B19" s="2" t="str">
        <f t="shared" si="1"/>
        <v>vie</v>
      </c>
      <c r="C19" s="34">
        <v>0.84236111111111112</v>
      </c>
      <c r="D19" s="59">
        <v>10000</v>
      </c>
      <c r="E19" s="3" t="s">
        <v>222</v>
      </c>
      <c r="H19" s="32" t="s">
        <v>142</v>
      </c>
      <c r="I19" t="s">
        <v>198</v>
      </c>
    </row>
    <row r="20" spans="1:10" x14ac:dyDescent="0.25">
      <c r="A20" s="2">
        <v>46080</v>
      </c>
      <c r="B20" s="2" t="str">
        <f t="shared" si="1"/>
        <v>vie</v>
      </c>
      <c r="C20" s="34">
        <v>0.7631944444444444</v>
      </c>
      <c r="D20" s="59">
        <v>24000</v>
      </c>
      <c r="E20" s="3" t="s">
        <v>222</v>
      </c>
      <c r="H20" s="32" t="s">
        <v>142</v>
      </c>
      <c r="I20" t="s">
        <v>199</v>
      </c>
    </row>
    <row r="21" spans="1:10" x14ac:dyDescent="0.25">
      <c r="A21" s="2">
        <v>46080</v>
      </c>
      <c r="B21" s="2" t="str">
        <f t="shared" si="1"/>
        <v>vie</v>
      </c>
      <c r="C21" s="34">
        <v>0.75972222222222219</v>
      </c>
      <c r="D21" s="59">
        <v>11000</v>
      </c>
      <c r="E21" s="3" t="s">
        <v>222</v>
      </c>
      <c r="H21" s="32" t="s">
        <v>142</v>
      </c>
      <c r="I21" t="s">
        <v>200</v>
      </c>
    </row>
    <row r="22" spans="1:10" x14ac:dyDescent="0.25">
      <c r="A22" s="2">
        <v>46081</v>
      </c>
      <c r="B22" s="2" t="str">
        <f t="shared" si="1"/>
        <v>sáb</v>
      </c>
      <c r="C22" s="34"/>
      <c r="D22" s="59">
        <v>280000</v>
      </c>
      <c r="E22" s="3" t="s">
        <v>222</v>
      </c>
      <c r="H22" s="32" t="s">
        <v>142</v>
      </c>
      <c r="I22" t="s">
        <v>208</v>
      </c>
      <c r="J22" t="s">
        <v>216</v>
      </c>
    </row>
    <row r="23" spans="1:10" x14ac:dyDescent="0.25">
      <c r="A23" s="2">
        <v>46081</v>
      </c>
      <c r="B23" s="2" t="str">
        <f t="shared" ref="B23:B29" si="2">+TEXT(A23,"ddd")</f>
        <v>sáb</v>
      </c>
      <c r="C23" s="34">
        <v>0.79305555555555562</v>
      </c>
      <c r="D23" s="3">
        <v>18000</v>
      </c>
      <c r="E23" s="3" t="s">
        <v>222</v>
      </c>
      <c r="H23" s="32" t="s">
        <v>142</v>
      </c>
      <c r="I23" t="s">
        <v>209</v>
      </c>
      <c r="J23" t="s">
        <v>214</v>
      </c>
    </row>
    <row r="24" spans="1:10" x14ac:dyDescent="0.25">
      <c r="A24" s="2">
        <v>46081</v>
      </c>
      <c r="B24" s="2" t="str">
        <f t="shared" si="2"/>
        <v>sáb</v>
      </c>
      <c r="C24" s="34">
        <v>0.65208333333333335</v>
      </c>
      <c r="D24" s="3">
        <v>16000</v>
      </c>
      <c r="E24" s="3" t="s">
        <v>222</v>
      </c>
      <c r="H24" s="32" t="s">
        <v>142</v>
      </c>
      <c r="I24" t="s">
        <v>210</v>
      </c>
      <c r="J24" t="s">
        <v>212</v>
      </c>
    </row>
    <row r="25" spans="1:10" x14ac:dyDescent="0.25">
      <c r="A25" s="2">
        <v>46081</v>
      </c>
      <c r="B25" s="2" t="str">
        <f t="shared" si="2"/>
        <v>sáb</v>
      </c>
      <c r="C25" s="34">
        <v>0.65138888888888891</v>
      </c>
      <c r="D25" s="3">
        <v>13000</v>
      </c>
      <c r="E25" s="3" t="s">
        <v>222</v>
      </c>
      <c r="H25" s="32" t="s">
        <v>142</v>
      </c>
      <c r="I25" t="s">
        <v>198</v>
      </c>
      <c r="J25" t="s">
        <v>213</v>
      </c>
    </row>
    <row r="26" spans="1:10" x14ac:dyDescent="0.25">
      <c r="A26" s="2">
        <v>46084</v>
      </c>
      <c r="B26" s="2" t="str">
        <f t="shared" si="2"/>
        <v>mar</v>
      </c>
      <c r="C26" s="35"/>
      <c r="D26" s="88">
        <f>-(D18+D14)</f>
        <v>-27000</v>
      </c>
      <c r="E26" s="3" t="s">
        <v>224</v>
      </c>
      <c r="H26" s="33" t="s">
        <v>147</v>
      </c>
      <c r="I26" t="s">
        <v>225</v>
      </c>
    </row>
    <row r="27" spans="1:10" x14ac:dyDescent="0.25">
      <c r="A27" s="2">
        <v>46084</v>
      </c>
      <c r="B27" s="2" t="str">
        <f t="shared" si="2"/>
        <v>mar</v>
      </c>
      <c r="C27" s="35"/>
      <c r="D27" s="3">
        <v>27000</v>
      </c>
      <c r="E27" s="3" t="s">
        <v>224</v>
      </c>
      <c r="H27" s="32" t="s">
        <v>142</v>
      </c>
      <c r="I27" t="s">
        <v>225</v>
      </c>
    </row>
    <row r="28" spans="1:10" x14ac:dyDescent="0.25">
      <c r="A28" s="2">
        <v>46084</v>
      </c>
      <c r="B28" s="2" t="str">
        <f t="shared" si="2"/>
        <v>mar</v>
      </c>
      <c r="C28" s="1"/>
      <c r="D28" s="58">
        <v>-619850</v>
      </c>
      <c r="E28" s="3" t="s">
        <v>224</v>
      </c>
      <c r="H28" s="32" t="s">
        <v>142</v>
      </c>
      <c r="I28" t="s">
        <v>221</v>
      </c>
    </row>
    <row r="29" spans="1:10" x14ac:dyDescent="0.25">
      <c r="A29" s="2">
        <v>46084</v>
      </c>
      <c r="B29" s="2" t="str">
        <f t="shared" si="2"/>
        <v>mar</v>
      </c>
      <c r="C29" s="1"/>
      <c r="D29" s="3">
        <v>33000</v>
      </c>
      <c r="E29" s="3" t="s">
        <v>222</v>
      </c>
      <c r="H29" s="32" t="s">
        <v>142</v>
      </c>
      <c r="I29" t="s">
        <v>226</v>
      </c>
    </row>
    <row r="30" spans="1:10" x14ac:dyDescent="0.25">
      <c r="A30" s="2">
        <v>46085</v>
      </c>
      <c r="B30" s="2" t="str">
        <f t="shared" ref="B30:B40" si="3">+TEXT(A30,"ddd")</f>
        <v>mié</v>
      </c>
      <c r="D30" s="3">
        <v>19000</v>
      </c>
      <c r="E30" s="3" t="s">
        <v>222</v>
      </c>
      <c r="H30" s="32" t="s">
        <v>142</v>
      </c>
      <c r="I30" t="s">
        <v>261</v>
      </c>
    </row>
    <row r="31" spans="1:10" x14ac:dyDescent="0.25">
      <c r="A31" s="2">
        <v>46085</v>
      </c>
      <c r="B31" s="2" t="str">
        <f t="shared" si="3"/>
        <v>mié</v>
      </c>
      <c r="D31" s="3">
        <v>8000</v>
      </c>
      <c r="E31" s="3" t="s">
        <v>222</v>
      </c>
      <c r="H31" s="32" t="s">
        <v>142</v>
      </c>
      <c r="I31" t="s">
        <v>260</v>
      </c>
    </row>
    <row r="32" spans="1:10" x14ac:dyDescent="0.25">
      <c r="A32" s="2">
        <v>46085</v>
      </c>
      <c r="B32" s="2" t="str">
        <f t="shared" si="3"/>
        <v>mié</v>
      </c>
      <c r="D32" s="3">
        <v>18000</v>
      </c>
      <c r="E32" s="3" t="s">
        <v>222</v>
      </c>
      <c r="H32" s="32" t="s">
        <v>142</v>
      </c>
      <c r="I32" t="s">
        <v>259</v>
      </c>
    </row>
    <row r="33" spans="1:13" x14ac:dyDescent="0.25">
      <c r="A33" s="2">
        <v>46085</v>
      </c>
      <c r="B33" s="2" t="str">
        <f t="shared" si="3"/>
        <v>mié</v>
      </c>
      <c r="D33" s="3">
        <v>8000</v>
      </c>
      <c r="E33" s="3" t="s">
        <v>222</v>
      </c>
      <c r="H33" s="32" t="s">
        <v>142</v>
      </c>
      <c r="I33" t="s">
        <v>258</v>
      </c>
    </row>
    <row r="34" spans="1:13" x14ac:dyDescent="0.25">
      <c r="A34" s="2">
        <v>46085</v>
      </c>
      <c r="B34" s="2" t="str">
        <f t="shared" si="3"/>
        <v>mié</v>
      </c>
      <c r="D34" s="3">
        <v>64000</v>
      </c>
      <c r="E34" s="3" t="s">
        <v>222</v>
      </c>
      <c r="H34" s="32" t="s">
        <v>142</v>
      </c>
      <c r="I34" t="s">
        <v>257</v>
      </c>
      <c r="M34" s="3">
        <f>+SUM(D30:D34)</f>
        <v>117000</v>
      </c>
    </row>
    <row r="35" spans="1:13" x14ac:dyDescent="0.25">
      <c r="A35" s="2">
        <v>46086</v>
      </c>
      <c r="B35" s="2" t="str">
        <f t="shared" si="3"/>
        <v>jue</v>
      </c>
      <c r="D35" s="3">
        <v>30000</v>
      </c>
      <c r="E35" s="3" t="s">
        <v>222</v>
      </c>
      <c r="H35" s="32" t="s">
        <v>142</v>
      </c>
      <c r="I35" t="s">
        <v>266</v>
      </c>
      <c r="M35" s="3">
        <f>'Arqueo de Caja'!$U$18+8000</f>
        <v>260000</v>
      </c>
    </row>
    <row r="36" spans="1:13" x14ac:dyDescent="0.25">
      <c r="A36" s="2">
        <v>46086</v>
      </c>
      <c r="B36" s="2" t="str">
        <f t="shared" si="3"/>
        <v>jue</v>
      </c>
      <c r="D36" s="3">
        <v>11000</v>
      </c>
      <c r="E36" s="3" t="s">
        <v>222</v>
      </c>
      <c r="H36" s="32" t="s">
        <v>142</v>
      </c>
      <c r="I36" t="s">
        <v>265</v>
      </c>
    </row>
    <row r="37" spans="1:13" x14ac:dyDescent="0.25">
      <c r="A37" s="2">
        <v>46086</v>
      </c>
      <c r="B37" s="2" t="str">
        <f t="shared" si="3"/>
        <v>jue</v>
      </c>
      <c r="D37" s="3">
        <v>16000</v>
      </c>
      <c r="E37" s="3" t="s">
        <v>222</v>
      </c>
      <c r="H37" s="32" t="s">
        <v>142</v>
      </c>
      <c r="I37" t="s">
        <v>264</v>
      </c>
    </row>
    <row r="38" spans="1:13" x14ac:dyDescent="0.25">
      <c r="A38" s="2">
        <v>46086</v>
      </c>
      <c r="B38" s="2" t="str">
        <f t="shared" si="3"/>
        <v>jue</v>
      </c>
      <c r="D38" s="3">
        <v>39500</v>
      </c>
      <c r="E38" s="3" t="s">
        <v>222</v>
      </c>
      <c r="H38" s="32" t="s">
        <v>142</v>
      </c>
      <c r="I38" t="s">
        <v>263</v>
      </c>
      <c r="M38">
        <f>+'Arqueo de Caja'!W14</f>
        <v>175050</v>
      </c>
    </row>
    <row r="39" spans="1:13" x14ac:dyDescent="0.25">
      <c r="A39" s="2">
        <v>46086</v>
      </c>
      <c r="B39" s="2" t="str">
        <f t="shared" si="3"/>
        <v>jue</v>
      </c>
      <c r="D39" s="3">
        <v>35000</v>
      </c>
      <c r="E39" s="3" t="s">
        <v>222</v>
      </c>
      <c r="H39" s="32" t="s">
        <v>142</v>
      </c>
      <c r="I39" t="s">
        <v>262</v>
      </c>
      <c r="M39" s="13">
        <f>+SUM(D35:D39)</f>
        <v>131500</v>
      </c>
    </row>
    <row r="40" spans="1:13" x14ac:dyDescent="0.25">
      <c r="A40" s="2">
        <v>46088</v>
      </c>
      <c r="B40" s="2" t="str">
        <f t="shared" si="3"/>
        <v>sáb</v>
      </c>
      <c r="D40" s="3">
        <v>28000</v>
      </c>
      <c r="E40" s="3" t="s">
        <v>222</v>
      </c>
      <c r="H40" s="32" t="s">
        <v>142</v>
      </c>
      <c r="I40" t="s">
        <v>316</v>
      </c>
      <c r="M40" s="13"/>
    </row>
    <row r="41" spans="1:13" x14ac:dyDescent="0.25">
      <c r="A41" s="2">
        <v>46088</v>
      </c>
      <c r="B41" s="2" t="str">
        <f t="shared" ref="B41" si="4">+TEXT(A41,"ddd")</f>
        <v>sáb</v>
      </c>
      <c r="D41" s="3">
        <v>43000</v>
      </c>
      <c r="E41" s="3" t="s">
        <v>222</v>
      </c>
      <c r="H41" s="32"/>
      <c r="I41" t="s">
        <v>267</v>
      </c>
      <c r="M41" s="13"/>
    </row>
    <row r="42" spans="1:13" x14ac:dyDescent="0.25">
      <c r="A42" s="2">
        <v>46089</v>
      </c>
      <c r="B42" s="2" t="str">
        <f t="shared" ref="B42:B45" si="5">+TEXT(A42,"ddd")</f>
        <v>dom</v>
      </c>
      <c r="D42" s="3">
        <v>30000</v>
      </c>
      <c r="E42" s="3" t="s">
        <v>222</v>
      </c>
      <c r="H42" s="32" t="s">
        <v>142</v>
      </c>
      <c r="I42" t="s">
        <v>360</v>
      </c>
    </row>
    <row r="43" spans="1:13" x14ac:dyDescent="0.25">
      <c r="A43" s="2">
        <v>46089</v>
      </c>
      <c r="B43" s="2" t="str">
        <f t="shared" si="5"/>
        <v>dom</v>
      </c>
      <c r="D43" s="3">
        <v>54000</v>
      </c>
      <c r="E43" s="3" t="s">
        <v>222</v>
      </c>
      <c r="H43" s="32" t="s">
        <v>142</v>
      </c>
      <c r="I43" t="s">
        <v>362</v>
      </c>
    </row>
    <row r="44" spans="1:13" x14ac:dyDescent="0.25">
      <c r="A44" s="2">
        <v>46089</v>
      </c>
      <c r="B44" s="2" t="str">
        <f t="shared" si="5"/>
        <v>dom</v>
      </c>
      <c r="D44" s="3">
        <v>8000</v>
      </c>
      <c r="E44" s="3" t="s">
        <v>222</v>
      </c>
      <c r="H44" s="32" t="s">
        <v>142</v>
      </c>
      <c r="I44" t="s">
        <v>361</v>
      </c>
    </row>
    <row r="45" spans="1:13" x14ac:dyDescent="0.25">
      <c r="A45" s="2">
        <v>46089</v>
      </c>
      <c r="B45" s="2" t="str">
        <f t="shared" si="5"/>
        <v>dom</v>
      </c>
      <c r="D45" s="3">
        <v>30000</v>
      </c>
      <c r="E45" s="3" t="s">
        <v>222</v>
      </c>
      <c r="H45" s="32" t="s">
        <v>142</v>
      </c>
      <c r="I45" t="s">
        <v>363</v>
      </c>
    </row>
    <row r="46" spans="1:13" x14ac:dyDescent="0.25">
      <c r="A46" s="2" t="s">
        <v>0</v>
      </c>
      <c r="B46" s="2" t="str">
        <f>+TEXT(A46,"ddd")</f>
        <v xml:space="preserve"> </v>
      </c>
      <c r="C46" t="s">
        <v>268</v>
      </c>
      <c r="D46" s="16">
        <v>16000</v>
      </c>
      <c r="E46" s="3" t="s">
        <v>222</v>
      </c>
      <c r="H46" s="32" t="s">
        <v>142</v>
      </c>
      <c r="I46" s="1" t="s">
        <v>317</v>
      </c>
    </row>
    <row r="47" spans="1:13" x14ac:dyDescent="0.25">
      <c r="A47" s="2">
        <v>46091</v>
      </c>
      <c r="B47" s="2" t="str">
        <f>+TEXT(A47,"ddd")</f>
        <v>mar</v>
      </c>
      <c r="D47" s="3">
        <v>90000</v>
      </c>
      <c r="E47" s="3" t="s">
        <v>222</v>
      </c>
      <c r="H47" s="32" t="s">
        <v>142</v>
      </c>
      <c r="I47" s="33" t="s">
        <v>351</v>
      </c>
    </row>
    <row r="48" spans="1:13" x14ac:dyDescent="0.25">
      <c r="A48" s="2">
        <v>46091</v>
      </c>
      <c r="B48" s="2" t="str">
        <f>+TEXT(A48,"ddd")</f>
        <v>mar</v>
      </c>
      <c r="D48" s="58">
        <v>-412000</v>
      </c>
      <c r="H48" s="32" t="s">
        <v>142</v>
      </c>
      <c r="I48" t="s">
        <v>352</v>
      </c>
    </row>
    <row r="49" spans="1:9" x14ac:dyDescent="0.25">
      <c r="A49" s="2">
        <v>46091</v>
      </c>
      <c r="B49" s="2" t="str">
        <f>+TEXT(A49,"ddd")</f>
        <v>mar</v>
      </c>
      <c r="D49" s="3">
        <v>30000</v>
      </c>
      <c r="E49" s="3" t="s">
        <v>222</v>
      </c>
      <c r="H49" s="32" t="s">
        <v>142</v>
      </c>
      <c r="I49" t="s">
        <v>353</v>
      </c>
    </row>
    <row r="50" spans="1:9" x14ac:dyDescent="0.25">
      <c r="A50" s="2">
        <v>46091</v>
      </c>
      <c r="B50" s="2" t="str">
        <f>+TEXT(A50,"ddd")</f>
        <v>mar</v>
      </c>
      <c r="D50" s="3">
        <v>11000</v>
      </c>
      <c r="E50" s="3" t="s">
        <v>222</v>
      </c>
      <c r="H50" s="32" t="s">
        <v>142</v>
      </c>
      <c r="I50" t="s">
        <v>350</v>
      </c>
    </row>
    <row r="51" spans="1:9" x14ac:dyDescent="0.25">
      <c r="A51" s="2">
        <v>46092</v>
      </c>
      <c r="B51" s="2" t="str">
        <f t="shared" ref="B51:B60" si="6">+TEXT(A51,"ddd")</f>
        <v>mié</v>
      </c>
      <c r="D51" s="3">
        <v>8000</v>
      </c>
      <c r="E51" s="3" t="s">
        <v>222</v>
      </c>
      <c r="H51" s="32" t="s">
        <v>142</v>
      </c>
      <c r="I51" t="s">
        <v>354</v>
      </c>
    </row>
    <row r="52" spans="1:9" x14ac:dyDescent="0.25">
      <c r="A52" s="2">
        <v>46092</v>
      </c>
      <c r="B52" s="2" t="str">
        <f t="shared" si="6"/>
        <v>mié</v>
      </c>
      <c r="D52" s="93">
        <v>24000</v>
      </c>
      <c r="E52" s="3" t="s">
        <v>222</v>
      </c>
      <c r="H52" s="32" t="s">
        <v>142</v>
      </c>
      <c r="I52" t="s">
        <v>355</v>
      </c>
    </row>
    <row r="53" spans="1:9" x14ac:dyDescent="0.25">
      <c r="A53" s="2">
        <v>46092</v>
      </c>
      <c r="B53" s="2" t="str">
        <f t="shared" si="6"/>
        <v>mié</v>
      </c>
      <c r="D53" s="3">
        <v>22000</v>
      </c>
      <c r="E53" s="3" t="s">
        <v>222</v>
      </c>
      <c r="H53" s="32" t="s">
        <v>142</v>
      </c>
      <c r="I53" t="s">
        <v>350</v>
      </c>
    </row>
    <row r="54" spans="1:9" x14ac:dyDescent="0.25">
      <c r="A54" s="2">
        <v>46092</v>
      </c>
      <c r="B54" s="2" t="str">
        <f t="shared" si="6"/>
        <v>mié</v>
      </c>
      <c r="D54" s="3">
        <v>8000</v>
      </c>
      <c r="E54" s="3" t="s">
        <v>222</v>
      </c>
      <c r="H54" s="32" t="s">
        <v>142</v>
      </c>
      <c r="I54" t="s">
        <v>356</v>
      </c>
    </row>
    <row r="55" spans="1:9" x14ac:dyDescent="0.25">
      <c r="A55" s="2">
        <v>46092</v>
      </c>
      <c r="B55" s="2" t="str">
        <f t="shared" si="6"/>
        <v>mié</v>
      </c>
      <c r="D55" s="3">
        <v>32000</v>
      </c>
      <c r="E55" s="3" t="s">
        <v>222</v>
      </c>
      <c r="H55" s="32" t="s">
        <v>142</v>
      </c>
      <c r="I55" t="s">
        <v>359</v>
      </c>
    </row>
    <row r="56" spans="1:9" x14ac:dyDescent="0.25">
      <c r="A56" s="2">
        <v>46092</v>
      </c>
      <c r="B56" s="2" t="str">
        <f t="shared" si="6"/>
        <v>mié</v>
      </c>
      <c r="D56" s="3">
        <v>8000</v>
      </c>
      <c r="E56" s="3" t="s">
        <v>222</v>
      </c>
      <c r="H56" s="32" t="s">
        <v>142</v>
      </c>
      <c r="I56" t="s">
        <v>357</v>
      </c>
    </row>
    <row r="57" spans="1:9" x14ac:dyDescent="0.25">
      <c r="A57" s="2">
        <v>46092</v>
      </c>
      <c r="B57" s="2" t="str">
        <f t="shared" si="6"/>
        <v>mié</v>
      </c>
      <c r="D57" s="3">
        <v>11000</v>
      </c>
      <c r="E57" s="3" t="s">
        <v>222</v>
      </c>
      <c r="H57" s="32" t="s">
        <v>142</v>
      </c>
      <c r="I57" t="s">
        <v>358</v>
      </c>
    </row>
    <row r="58" spans="1:9" x14ac:dyDescent="0.25">
      <c r="A58" s="2">
        <v>46092</v>
      </c>
      <c r="B58" s="2" t="str">
        <f t="shared" si="6"/>
        <v>mié</v>
      </c>
      <c r="D58" s="3">
        <v>1000</v>
      </c>
      <c r="E58" s="3" t="s">
        <v>222</v>
      </c>
      <c r="H58" s="33" t="s">
        <v>147</v>
      </c>
    </row>
    <row r="59" spans="1:9" x14ac:dyDescent="0.25">
      <c r="A59" s="2">
        <v>46092</v>
      </c>
      <c r="B59" s="2" t="str">
        <f t="shared" si="6"/>
        <v>mié</v>
      </c>
      <c r="D59" s="3">
        <v>22000</v>
      </c>
      <c r="E59" s="3" t="s">
        <v>222</v>
      </c>
      <c r="H59" s="33" t="s">
        <v>147</v>
      </c>
    </row>
    <row r="60" spans="1:9" x14ac:dyDescent="0.25">
      <c r="A60" s="2">
        <v>46093</v>
      </c>
      <c r="B60" s="2" t="str">
        <f t="shared" si="6"/>
        <v>jue</v>
      </c>
      <c r="D60" s="3">
        <v>82000</v>
      </c>
      <c r="E60" s="3" t="s">
        <v>222</v>
      </c>
      <c r="F60" s="89" t="s">
        <v>365</v>
      </c>
      <c r="H60" s="33" t="s">
        <v>147</v>
      </c>
    </row>
    <row r="61" spans="1:9" x14ac:dyDescent="0.25">
      <c r="A61" s="2">
        <v>46093</v>
      </c>
      <c r="B61" s="2" t="str">
        <f t="shared" ref="B61:B62" si="7">+TEXT(A61,"ddd")</f>
        <v>jue</v>
      </c>
      <c r="C61" s="34">
        <v>0.73124999999999996</v>
      </c>
      <c r="D61" s="3">
        <v>11000</v>
      </c>
      <c r="E61" s="3" t="s">
        <v>222</v>
      </c>
      <c r="F61" s="89" t="s">
        <v>379</v>
      </c>
      <c r="H61" s="32" t="s">
        <v>142</v>
      </c>
      <c r="I61" t="s">
        <v>350</v>
      </c>
    </row>
    <row r="62" spans="1:9" x14ac:dyDescent="0.25">
      <c r="A62" s="2">
        <v>46093</v>
      </c>
      <c r="B62" s="2" t="str">
        <f t="shared" si="7"/>
        <v>jue</v>
      </c>
      <c r="C62" s="34">
        <v>0.78611111111111109</v>
      </c>
      <c r="D62" s="3">
        <v>24000</v>
      </c>
      <c r="E62" s="3" t="s">
        <v>222</v>
      </c>
      <c r="F62" s="89" t="s">
        <v>380</v>
      </c>
      <c r="H62" s="32" t="s">
        <v>142</v>
      </c>
      <c r="I62" t="s">
        <v>374</v>
      </c>
    </row>
    <row r="63" spans="1:9" x14ac:dyDescent="0.25">
      <c r="A63" s="2">
        <v>46093</v>
      </c>
      <c r="B63" s="2" t="str">
        <f t="shared" ref="B63:B72" si="8">+TEXT(A63,"ddd")</f>
        <v>jue</v>
      </c>
      <c r="D63" s="3">
        <v>24000</v>
      </c>
      <c r="E63" s="3" t="s">
        <v>222</v>
      </c>
      <c r="F63" s="89" t="s">
        <v>404</v>
      </c>
      <c r="H63" s="32" t="s">
        <v>142</v>
      </c>
      <c r="I63" t="s">
        <v>375</v>
      </c>
    </row>
    <row r="64" spans="1:9" x14ac:dyDescent="0.25">
      <c r="A64" s="2">
        <v>46093</v>
      </c>
      <c r="B64" s="2" t="str">
        <f t="shared" si="8"/>
        <v>jue</v>
      </c>
      <c r="D64" s="3">
        <v>11000</v>
      </c>
      <c r="E64" s="3" t="s">
        <v>222</v>
      </c>
      <c r="H64" s="32" t="s">
        <v>142</v>
      </c>
      <c r="I64" t="s">
        <v>376</v>
      </c>
    </row>
    <row r="65" spans="1:9" x14ac:dyDescent="0.25">
      <c r="A65" s="2">
        <v>46095</v>
      </c>
      <c r="B65" s="2" t="str">
        <f t="shared" si="8"/>
        <v>sáb</v>
      </c>
      <c r="D65" s="3">
        <v>23000</v>
      </c>
      <c r="E65" s="3" t="s">
        <v>222</v>
      </c>
      <c r="F65" s="89" t="s">
        <v>365</v>
      </c>
      <c r="H65" s="33" t="s">
        <v>147</v>
      </c>
    </row>
    <row r="66" spans="1:9" x14ac:dyDescent="0.25">
      <c r="A66" s="2">
        <v>46095</v>
      </c>
      <c r="B66" s="2" t="str">
        <f t="shared" si="8"/>
        <v>sáb</v>
      </c>
      <c r="D66" s="3">
        <v>11000</v>
      </c>
      <c r="E66" s="3" t="s">
        <v>222</v>
      </c>
      <c r="F66" s="89" t="s">
        <v>402</v>
      </c>
      <c r="H66" s="32" t="s">
        <v>142</v>
      </c>
      <c r="I66" t="s">
        <v>396</v>
      </c>
    </row>
    <row r="67" spans="1:9" x14ac:dyDescent="0.25">
      <c r="A67" s="2">
        <v>46095</v>
      </c>
      <c r="B67" s="2" t="str">
        <f t="shared" si="8"/>
        <v>sáb</v>
      </c>
      <c r="D67" s="3">
        <v>11000</v>
      </c>
      <c r="E67" s="3" t="s">
        <v>222</v>
      </c>
      <c r="F67" s="89" t="s">
        <v>401</v>
      </c>
      <c r="H67" s="32" t="s">
        <v>142</v>
      </c>
      <c r="I67" t="s">
        <v>397</v>
      </c>
    </row>
    <row r="68" spans="1:9" x14ac:dyDescent="0.25">
      <c r="A68" s="2">
        <v>46095</v>
      </c>
      <c r="B68" s="2" t="str">
        <f t="shared" si="8"/>
        <v>sáb</v>
      </c>
      <c r="D68" s="3">
        <v>57500</v>
      </c>
      <c r="E68" s="3" t="s">
        <v>222</v>
      </c>
      <c r="F68" s="89"/>
      <c r="H68" s="32" t="s">
        <v>142</v>
      </c>
      <c r="I68" t="s">
        <v>398</v>
      </c>
    </row>
    <row r="69" spans="1:9" x14ac:dyDescent="0.25">
      <c r="A69" s="2">
        <v>46095</v>
      </c>
      <c r="B69" s="2" t="str">
        <f t="shared" si="8"/>
        <v>sáb</v>
      </c>
      <c r="D69" s="3">
        <v>13500</v>
      </c>
      <c r="E69" s="3" t="s">
        <v>222</v>
      </c>
      <c r="F69" s="89" t="s">
        <v>400</v>
      </c>
      <c r="H69" s="32" t="s">
        <v>142</v>
      </c>
      <c r="I69" t="s">
        <v>399</v>
      </c>
    </row>
    <row r="70" spans="1:9" x14ac:dyDescent="0.25">
      <c r="A70" s="2">
        <v>46096</v>
      </c>
      <c r="B70" s="2" t="str">
        <f t="shared" si="8"/>
        <v>dom</v>
      </c>
      <c r="D70" s="3">
        <v>19000</v>
      </c>
      <c r="E70" s="3" t="s">
        <v>222</v>
      </c>
      <c r="H70" s="32" t="s">
        <v>142</v>
      </c>
      <c r="I70" t="s">
        <v>399</v>
      </c>
    </row>
    <row r="71" spans="1:9" x14ac:dyDescent="0.25">
      <c r="A71" s="2">
        <v>46096</v>
      </c>
      <c r="B71" s="2" t="str">
        <f t="shared" si="8"/>
        <v>dom</v>
      </c>
      <c r="D71" s="3">
        <v>36000</v>
      </c>
      <c r="E71" s="3" t="s">
        <v>222</v>
      </c>
      <c r="H71" s="32" t="s">
        <v>142</v>
      </c>
      <c r="I71" t="s">
        <v>419</v>
      </c>
    </row>
    <row r="72" spans="1:9" x14ac:dyDescent="0.25">
      <c r="A72" s="2">
        <v>46097</v>
      </c>
      <c r="B72" s="2" t="str">
        <f t="shared" si="8"/>
        <v>lun</v>
      </c>
      <c r="D72" s="3">
        <v>10000</v>
      </c>
      <c r="E72" s="3" t="s">
        <v>222</v>
      </c>
      <c r="H72" s="32" t="s">
        <v>142</v>
      </c>
      <c r="I72" t="s">
        <v>420</v>
      </c>
    </row>
    <row r="73" spans="1:9" x14ac:dyDescent="0.25">
      <c r="A73" s="2">
        <v>46097</v>
      </c>
      <c r="B73" s="2" t="str">
        <f t="shared" ref="B73:B75" si="9">+TEXT(A73,"ddd")</f>
        <v>lun</v>
      </c>
      <c r="D73" s="3">
        <v>11000</v>
      </c>
      <c r="E73" s="3" t="s">
        <v>222</v>
      </c>
      <c r="H73" s="32" t="s">
        <v>142</v>
      </c>
      <c r="I73" t="s">
        <v>421</v>
      </c>
    </row>
    <row r="74" spans="1:9" x14ac:dyDescent="0.25">
      <c r="A74" s="2">
        <v>46098</v>
      </c>
      <c r="B74" s="2" t="str">
        <f t="shared" si="9"/>
        <v>mar</v>
      </c>
      <c r="D74" s="3">
        <v>8000</v>
      </c>
      <c r="E74" s="3" t="s">
        <v>222</v>
      </c>
      <c r="H74" s="33" t="s">
        <v>147</v>
      </c>
    </row>
    <row r="75" spans="1:9" x14ac:dyDescent="0.25">
      <c r="A75" s="2">
        <v>46098</v>
      </c>
      <c r="B75" s="2" t="str">
        <f t="shared" si="9"/>
        <v>mar</v>
      </c>
      <c r="D75" s="3">
        <v>15000</v>
      </c>
      <c r="E75" s="3" t="s">
        <v>222</v>
      </c>
      <c r="H75" s="33" t="s">
        <v>147</v>
      </c>
    </row>
    <row r="76" spans="1:9" x14ac:dyDescent="0.25">
      <c r="A76" s="2">
        <v>46098</v>
      </c>
      <c r="B76" s="2" t="str">
        <f t="shared" ref="B76" si="10">+TEXT(A76,"ddd")</f>
        <v>mar</v>
      </c>
      <c r="D76" s="3">
        <v>50000</v>
      </c>
      <c r="E76" s="3" t="s">
        <v>222</v>
      </c>
      <c r="H76" s="32" t="s">
        <v>142</v>
      </c>
      <c r="I76" t="s">
        <v>422</v>
      </c>
    </row>
    <row r="77" spans="1:9" x14ac:dyDescent="0.25">
      <c r="A77" s="2">
        <v>46098</v>
      </c>
      <c r="B77" s="2" t="str">
        <f t="shared" ref="B77:B80" si="11">+TEXT(A77,"ddd")</f>
        <v>mar</v>
      </c>
      <c r="D77" s="3">
        <v>11000</v>
      </c>
      <c r="E77" s="3" t="s">
        <v>222</v>
      </c>
      <c r="H77" s="32" t="s">
        <v>142</v>
      </c>
      <c r="I77" t="s">
        <v>423</v>
      </c>
    </row>
    <row r="78" spans="1:9" x14ac:dyDescent="0.25">
      <c r="A78" s="2">
        <v>46098</v>
      </c>
      <c r="B78" s="2" t="str">
        <f t="shared" si="11"/>
        <v>mar</v>
      </c>
      <c r="D78" s="3">
        <v>8000</v>
      </c>
      <c r="E78" s="3" t="s">
        <v>222</v>
      </c>
      <c r="H78" s="32" t="s">
        <v>142</v>
      </c>
      <c r="I78" t="s">
        <v>424</v>
      </c>
    </row>
    <row r="79" spans="1:9" x14ac:dyDescent="0.25">
      <c r="A79" s="2">
        <v>46098</v>
      </c>
      <c r="B79" s="2" t="str">
        <f t="shared" si="11"/>
        <v>mar</v>
      </c>
      <c r="D79" s="3">
        <v>9000</v>
      </c>
      <c r="E79" s="3" t="s">
        <v>222</v>
      </c>
      <c r="H79" s="32" t="s">
        <v>142</v>
      </c>
      <c r="I79" t="s">
        <v>425</v>
      </c>
    </row>
    <row r="80" spans="1:9" x14ac:dyDescent="0.25">
      <c r="A80" s="2">
        <v>46098</v>
      </c>
      <c r="B80" s="2" t="str">
        <f t="shared" si="11"/>
        <v>mar</v>
      </c>
      <c r="D80" s="58">
        <f>-(40000+20000)</f>
        <v>-60000</v>
      </c>
      <c r="E80" s="3" t="s">
        <v>426</v>
      </c>
      <c r="H80" s="32" t="s">
        <v>142</v>
      </c>
      <c r="I80" t="s">
        <v>427</v>
      </c>
    </row>
    <row r="81" spans="1:9" x14ac:dyDescent="0.25">
      <c r="A81" s="2">
        <v>46099</v>
      </c>
      <c r="B81" s="2" t="str">
        <f t="shared" ref="B81" si="12">+TEXT(A81,"ddd")</f>
        <v>mié</v>
      </c>
      <c r="D81" s="3">
        <v>344950</v>
      </c>
      <c r="E81" s="3" t="s">
        <v>139</v>
      </c>
      <c r="H81" s="32" t="s">
        <v>142</v>
      </c>
      <c r="I81" t="s">
        <v>433</v>
      </c>
    </row>
    <row r="82" spans="1:9" x14ac:dyDescent="0.25">
      <c r="A82" s="15">
        <v>46093</v>
      </c>
      <c r="B82" s="15" t="str">
        <f>+TEXT(A82,"ddd")</f>
        <v>jue</v>
      </c>
      <c r="C82" s="1"/>
      <c r="D82" s="16">
        <v>24000</v>
      </c>
      <c r="E82" s="16" t="s">
        <v>222</v>
      </c>
      <c r="F82" s="16" t="s">
        <v>438</v>
      </c>
      <c r="G82" s="16" t="s">
        <v>377</v>
      </c>
      <c r="H82" s="32" t="s">
        <v>142</v>
      </c>
      <c r="I82" s="16" t="s">
        <v>435</v>
      </c>
    </row>
    <row r="83" spans="1:9" x14ac:dyDescent="0.25">
      <c r="A83" s="15">
        <v>46093</v>
      </c>
      <c r="B83" s="15" t="str">
        <f>+TEXT(A83,"ddd")</f>
        <v>jue</v>
      </c>
      <c r="C83" s="1"/>
      <c r="D83" s="16">
        <v>-24000</v>
      </c>
      <c r="E83" s="16" t="s">
        <v>222</v>
      </c>
      <c r="F83" s="16" t="s">
        <v>438</v>
      </c>
      <c r="G83" s="16" t="s">
        <v>377</v>
      </c>
      <c r="H83" s="32" t="s">
        <v>142</v>
      </c>
      <c r="I83" s="16" t="s">
        <v>436</v>
      </c>
    </row>
    <row r="84" spans="1:9" x14ac:dyDescent="0.25">
      <c r="A84" s="2">
        <v>46099</v>
      </c>
      <c r="B84" s="2" t="str">
        <f t="shared" ref="B84" si="13">+TEXT(A84,"ddd")</f>
        <v>mié</v>
      </c>
      <c r="D84" s="3">
        <v>-40000</v>
      </c>
      <c r="E84" s="3" t="s">
        <v>426</v>
      </c>
      <c r="H84" s="32" t="s">
        <v>142</v>
      </c>
      <c r="I84" t="s">
        <v>432</v>
      </c>
    </row>
    <row r="85" spans="1:9" x14ac:dyDescent="0.25">
      <c r="A85" s="2">
        <v>46099</v>
      </c>
      <c r="B85" s="2" t="str">
        <f t="shared" ref="B85" si="14">+TEXT(A85,"ddd")</f>
        <v>mié</v>
      </c>
      <c r="D85" s="3">
        <v>-40000</v>
      </c>
      <c r="E85" s="3" t="s">
        <v>426</v>
      </c>
      <c r="H85" s="32" t="s">
        <v>142</v>
      </c>
      <c r="I85" t="s">
        <v>434</v>
      </c>
    </row>
    <row r="86" spans="1:9" x14ac:dyDescent="0.25">
      <c r="A86" s="15">
        <v>46099</v>
      </c>
      <c r="B86" s="15" t="str">
        <f>+TEXT(A86,"ddd")</f>
        <v>mié</v>
      </c>
      <c r="C86" s="1"/>
      <c r="D86" s="16">
        <f>8000*4</f>
        <v>32000</v>
      </c>
      <c r="E86" s="16" t="s">
        <v>222</v>
      </c>
      <c r="F86" s="89" t="s">
        <v>437</v>
      </c>
      <c r="G86" s="16" t="s">
        <v>377</v>
      </c>
      <c r="H86" s="32" t="s">
        <v>142</v>
      </c>
      <c r="I86" s="16" t="s">
        <v>435</v>
      </c>
    </row>
    <row r="87" spans="1:9" x14ac:dyDescent="0.25">
      <c r="A87" s="2">
        <v>46100</v>
      </c>
      <c r="B87" s="2" t="str">
        <f t="shared" ref="B87" si="15">+TEXT(A87,"ddd")</f>
        <v>jue</v>
      </c>
      <c r="D87" s="58">
        <v>-116000</v>
      </c>
      <c r="E87" s="3" t="s">
        <v>426</v>
      </c>
      <c r="H87" s="32" t="s">
        <v>142</v>
      </c>
      <c r="I87" s="16" t="s">
        <v>448</v>
      </c>
    </row>
    <row r="88" spans="1:9" x14ac:dyDescent="0.25">
      <c r="A88" s="2">
        <v>46100</v>
      </c>
      <c r="B88" s="2" t="str">
        <f t="shared" ref="B88" si="16">+TEXT(A88,"ddd")</f>
        <v>jue</v>
      </c>
      <c r="D88" s="88">
        <f>+-8500-6000</f>
        <v>-14500</v>
      </c>
      <c r="E88" s="3" t="s">
        <v>426</v>
      </c>
      <c r="H88" s="32" t="s">
        <v>142</v>
      </c>
      <c r="I88" s="16" t="s">
        <v>449</v>
      </c>
    </row>
    <row r="89" spans="1:9" x14ac:dyDescent="0.25">
      <c r="A89" s="2">
        <v>46100</v>
      </c>
      <c r="B89" s="2" t="str">
        <f t="shared" ref="B89:B91" si="17">+TEXT(A89,"ddd")</f>
        <v>jue</v>
      </c>
      <c r="D89" s="3">
        <v>38000</v>
      </c>
      <c r="E89" s="3" t="s">
        <v>222</v>
      </c>
      <c r="H89" s="32" t="s">
        <v>142</v>
      </c>
    </row>
    <row r="90" spans="1:9" x14ac:dyDescent="0.25">
      <c r="A90" s="2">
        <v>46100</v>
      </c>
      <c r="B90" s="2" t="str">
        <f t="shared" si="17"/>
        <v>jue</v>
      </c>
      <c r="D90" s="3">
        <v>16000</v>
      </c>
      <c r="E90" s="3" t="s">
        <v>222</v>
      </c>
      <c r="H90" s="32" t="s">
        <v>142</v>
      </c>
    </row>
    <row r="91" spans="1:9" x14ac:dyDescent="0.25">
      <c r="A91" s="2">
        <v>46100</v>
      </c>
      <c r="B91" s="2" t="str">
        <f t="shared" si="17"/>
        <v>jue</v>
      </c>
      <c r="D91" s="3">
        <v>8000</v>
      </c>
      <c r="E91" s="3" t="s">
        <v>222</v>
      </c>
      <c r="H91" s="32" t="s">
        <v>142</v>
      </c>
    </row>
    <row r="92" spans="1:9" x14ac:dyDescent="0.25">
      <c r="A92" s="2">
        <v>46100</v>
      </c>
      <c r="B92" s="2" t="str">
        <f t="shared" ref="B92" si="18">+TEXT(A92,"ddd")</f>
        <v>jue</v>
      </c>
      <c r="D92" s="3">
        <v>9000</v>
      </c>
      <c r="E92" s="3" t="s">
        <v>222</v>
      </c>
      <c r="H92" s="32" t="s">
        <v>142</v>
      </c>
    </row>
    <row r="93" spans="1:9" x14ac:dyDescent="0.25">
      <c r="A93" s="2">
        <v>46100</v>
      </c>
      <c r="B93" s="2" t="str">
        <f t="shared" ref="B93" si="19">+TEXT(A93,"ddd")</f>
        <v>jue</v>
      </c>
      <c r="D93" s="88">
        <v>-50000</v>
      </c>
      <c r="E93" s="3" t="s">
        <v>426</v>
      </c>
      <c r="H93" s="32" t="s">
        <v>142</v>
      </c>
      <c r="I93" t="s">
        <v>452</v>
      </c>
    </row>
    <row r="95" spans="1:9" x14ac:dyDescent="0.25">
      <c r="D95" s="3">
        <f>+SUM(D87:D93)</f>
        <v>-109500</v>
      </c>
    </row>
    <row r="96" spans="1:9" x14ac:dyDescent="0.25">
      <c r="D96" s="3">
        <v>-109500</v>
      </c>
    </row>
  </sheetData>
  <autoFilter ref="A5:M86" xr:uid="{00000000-0009-0000-0000-000004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6">
        <v>84250</v>
      </c>
    </row>
    <row r="4" spans="1:8" x14ac:dyDescent="0.25">
      <c r="B4">
        <f>20-9</f>
        <v>11</v>
      </c>
      <c r="E4" s="16">
        <v>134500</v>
      </c>
    </row>
    <row r="5" spans="1:8" x14ac:dyDescent="0.25">
      <c r="B5">
        <f>+B4-4</f>
        <v>7</v>
      </c>
      <c r="E5" s="16">
        <v>271000</v>
      </c>
    </row>
    <row r="6" spans="1:8" ht="15.75" thickBot="1" x14ac:dyDescent="0.3">
      <c r="E6" s="95">
        <f>30000+120000+50000+51500</f>
        <v>251500</v>
      </c>
      <c r="G6" s="95">
        <f>'Arqueo de Caja'!$AM$14</f>
        <v>203350</v>
      </c>
      <c r="H6" s="13">
        <f>+E6-G6</f>
        <v>48150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412</v>
      </c>
      <c r="C10" s="16">
        <v>116300</v>
      </c>
      <c r="D10" t="s">
        <v>413</v>
      </c>
    </row>
    <row r="11" spans="1:8" x14ac:dyDescent="0.25">
      <c r="B11" t="s">
        <v>410</v>
      </c>
      <c r="C11" s="3">
        <v>17400</v>
      </c>
    </row>
    <row r="12" spans="1:8" x14ac:dyDescent="0.25">
      <c r="B12" t="s">
        <v>411</v>
      </c>
      <c r="C12" s="3">
        <v>8000</v>
      </c>
    </row>
    <row r="13" spans="1:8" x14ac:dyDescent="0.25">
      <c r="B13" t="s">
        <v>414</v>
      </c>
      <c r="C13" s="3">
        <v>72150</v>
      </c>
      <c r="D13" s="13">
        <f>+C13+C14</f>
        <v>79650</v>
      </c>
    </row>
    <row r="14" spans="1:8" x14ac:dyDescent="0.25">
      <c r="B14" t="s">
        <v>414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90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296</v>
      </c>
      <c r="C4" s="81">
        <v>8000</v>
      </c>
      <c r="D4" t="s">
        <v>394</v>
      </c>
      <c r="F4" t="s">
        <v>392</v>
      </c>
    </row>
    <row r="5" spans="1:7" x14ac:dyDescent="0.25">
      <c r="A5" s="1">
        <v>2</v>
      </c>
      <c r="B5" s="1" t="s">
        <v>384</v>
      </c>
      <c r="C5" s="87">
        <v>16000</v>
      </c>
      <c r="D5" t="s">
        <v>394</v>
      </c>
      <c r="F5" t="s">
        <v>393</v>
      </c>
    </row>
    <row r="6" spans="1:7" x14ac:dyDescent="0.25">
      <c r="A6" s="1">
        <v>2</v>
      </c>
      <c r="B6" s="1" t="s">
        <v>387</v>
      </c>
      <c r="C6" s="87">
        <v>6000</v>
      </c>
      <c r="D6">
        <v>3</v>
      </c>
    </row>
    <row r="7" spans="1:7" x14ac:dyDescent="0.25">
      <c r="A7">
        <v>3</v>
      </c>
      <c r="B7" t="s">
        <v>391</v>
      </c>
      <c r="C7" s="81">
        <f>4500*3</f>
        <v>13500</v>
      </c>
      <c r="D7">
        <v>3</v>
      </c>
    </row>
    <row r="8" spans="1:7" x14ac:dyDescent="0.25">
      <c r="A8" s="1">
        <v>3</v>
      </c>
      <c r="B8" s="1" t="s">
        <v>384</v>
      </c>
      <c r="C8" s="87">
        <v>24000</v>
      </c>
    </row>
    <row r="9" spans="1:7" x14ac:dyDescent="0.25">
      <c r="A9" s="1">
        <v>3</v>
      </c>
      <c r="B9" s="1" t="s">
        <v>387</v>
      </c>
      <c r="C9" s="87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391</v>
      </c>
      <c r="C10" s="8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296</v>
      </c>
      <c r="C11" s="81">
        <v>8000</v>
      </c>
      <c r="F11" s="1">
        <v>6</v>
      </c>
    </row>
    <row r="12" spans="1:7" ht="15.75" thickBot="1" x14ac:dyDescent="0.3">
      <c r="B12" t="s">
        <v>284</v>
      </c>
      <c r="C12" s="86">
        <v>30000</v>
      </c>
      <c r="F12" s="1">
        <v>4.5</v>
      </c>
    </row>
    <row r="13" spans="1:7" ht="15.75" thickTop="1" x14ac:dyDescent="0.25">
      <c r="C13" s="81">
        <f>+SUM(C3:C12)</f>
        <v>132500</v>
      </c>
      <c r="F13" s="1">
        <v>57500</v>
      </c>
    </row>
    <row r="17" spans="1:5" x14ac:dyDescent="0.25">
      <c r="A17" s="90">
        <v>41699</v>
      </c>
    </row>
    <row r="19" spans="1:5" x14ac:dyDescent="0.25">
      <c r="A19">
        <v>2</v>
      </c>
      <c r="B19" t="s">
        <v>384</v>
      </c>
      <c r="C19">
        <v>16000</v>
      </c>
    </row>
    <row r="20" spans="1:5" x14ac:dyDescent="0.25">
      <c r="A20">
        <v>2</v>
      </c>
      <c r="B20" t="s">
        <v>387</v>
      </c>
      <c r="C20">
        <v>6000</v>
      </c>
    </row>
    <row r="21" spans="1:5" x14ac:dyDescent="0.25">
      <c r="A21" s="1">
        <v>1</v>
      </c>
      <c r="B21" s="1" t="s">
        <v>296</v>
      </c>
      <c r="C21" s="1">
        <v>8000</v>
      </c>
    </row>
    <row r="22" spans="1:5" x14ac:dyDescent="0.25">
      <c r="A22" s="1">
        <v>1</v>
      </c>
      <c r="B22" s="1" t="s">
        <v>386</v>
      </c>
      <c r="C22" s="1">
        <v>3000</v>
      </c>
    </row>
    <row r="23" spans="1:5" x14ac:dyDescent="0.25">
      <c r="A23">
        <v>2</v>
      </c>
      <c r="B23" t="s">
        <v>388</v>
      </c>
      <c r="C23">
        <v>9000</v>
      </c>
    </row>
    <row r="24" spans="1:5" x14ac:dyDescent="0.25">
      <c r="A24" s="1">
        <v>2</v>
      </c>
      <c r="B24" s="1" t="s">
        <v>384</v>
      </c>
      <c r="C24" s="1">
        <v>16000</v>
      </c>
    </row>
    <row r="25" spans="1:5" x14ac:dyDescent="0.25">
      <c r="A25" s="1">
        <v>2</v>
      </c>
      <c r="B25" s="1" t="s">
        <v>387</v>
      </c>
      <c r="C25" s="1">
        <v>6000</v>
      </c>
    </row>
    <row r="27" spans="1:5" x14ac:dyDescent="0.25">
      <c r="A27">
        <v>1</v>
      </c>
      <c r="B27" t="s">
        <v>385</v>
      </c>
      <c r="C27">
        <v>37000</v>
      </c>
      <c r="D27" t="s">
        <v>389</v>
      </c>
      <c r="E27">
        <f>30+7</f>
        <v>37</v>
      </c>
    </row>
    <row r="28" spans="1:5" x14ac:dyDescent="0.25">
      <c r="A28" s="1">
        <v>3</v>
      </c>
      <c r="B28" s="1" t="s">
        <v>384</v>
      </c>
      <c r="C28" s="1">
        <v>24000</v>
      </c>
    </row>
    <row r="29" spans="1:5" x14ac:dyDescent="0.25">
      <c r="A29" s="1">
        <v>1</v>
      </c>
      <c r="B29" s="1" t="s">
        <v>383</v>
      </c>
      <c r="C29" s="1">
        <v>15000</v>
      </c>
    </row>
    <row r="30" spans="1:5" x14ac:dyDescent="0.25">
      <c r="A30" s="1">
        <v>1</v>
      </c>
      <c r="B30" s="1" t="s">
        <v>386</v>
      </c>
      <c r="C30" s="1">
        <v>3000</v>
      </c>
    </row>
    <row r="31" spans="1:5" x14ac:dyDescent="0.25">
      <c r="B31" t="s">
        <v>385</v>
      </c>
      <c r="C31" s="1">
        <v>23000</v>
      </c>
      <c r="D31" t="s">
        <v>390</v>
      </c>
    </row>
    <row r="33" spans="1:4" x14ac:dyDescent="0.25">
      <c r="A33" s="1">
        <v>1</v>
      </c>
      <c r="B33" s="1" t="s">
        <v>296</v>
      </c>
      <c r="C33" s="1">
        <v>8000</v>
      </c>
      <c r="D33" t="s">
        <v>278</v>
      </c>
    </row>
    <row r="34" spans="1:4" x14ac:dyDescent="0.25">
      <c r="A34" s="1">
        <v>1</v>
      </c>
      <c r="B34" s="1" t="s">
        <v>386</v>
      </c>
      <c r="C34" s="1">
        <v>3000</v>
      </c>
      <c r="D34" t="s">
        <v>278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E24"/>
  <sheetViews>
    <sheetView tabSelected="1" zoomScaleNormal="100" workbookViewId="0">
      <pane ySplit="2" topLeftCell="A12" activePane="bottomLeft" state="frozen"/>
      <selection pane="bottomLeft" activeCell="B16" sqref="B16"/>
    </sheetView>
  </sheetViews>
  <sheetFormatPr baseColWidth="10" defaultRowHeight="15" x14ac:dyDescent="0.25"/>
  <cols>
    <col min="1" max="1" width="7.28515625" style="97" bestFit="1" customWidth="1"/>
    <col min="2" max="2" width="46.7109375" style="97" bestFit="1" customWidth="1"/>
    <col min="3" max="3" width="7.7109375" style="97" bestFit="1" customWidth="1"/>
    <col min="4" max="4" width="7.42578125" style="97" bestFit="1" customWidth="1"/>
    <col min="5" max="5" width="60.7109375" style="100" customWidth="1"/>
  </cols>
  <sheetData>
    <row r="1" spans="1:5" ht="21" x14ac:dyDescent="0.25">
      <c r="B1" s="98" t="s">
        <v>349</v>
      </c>
      <c r="C1" s="99"/>
    </row>
    <row r="2" spans="1:5" x14ac:dyDescent="0.25">
      <c r="A2" s="101" t="s">
        <v>5</v>
      </c>
      <c r="B2" s="101" t="s">
        <v>332</v>
      </c>
      <c r="C2" s="101" t="s">
        <v>304</v>
      </c>
      <c r="D2" s="101" t="s">
        <v>348</v>
      </c>
      <c r="E2" s="102" t="s">
        <v>301</v>
      </c>
    </row>
    <row r="3" spans="1:5" ht="30" x14ac:dyDescent="0.25">
      <c r="A3" s="103">
        <v>46090</v>
      </c>
      <c r="B3" s="104" t="s">
        <v>451</v>
      </c>
      <c r="C3" s="105" t="s">
        <v>305</v>
      </c>
      <c r="D3" s="104" t="s">
        <v>302</v>
      </c>
      <c r="E3" s="106" t="s">
        <v>303</v>
      </c>
    </row>
    <row r="4" spans="1:5" ht="30" x14ac:dyDescent="0.25">
      <c r="A4" s="103">
        <v>46090</v>
      </c>
      <c r="B4" s="104" t="s">
        <v>450</v>
      </c>
      <c r="C4" s="105" t="s">
        <v>305</v>
      </c>
      <c r="D4" s="104" t="s">
        <v>306</v>
      </c>
      <c r="E4" s="106" t="s">
        <v>307</v>
      </c>
    </row>
    <row r="5" spans="1:5" ht="30" x14ac:dyDescent="0.25">
      <c r="A5" s="103">
        <v>46093</v>
      </c>
      <c r="B5" s="104" t="s">
        <v>335</v>
      </c>
      <c r="C5" s="105" t="s">
        <v>305</v>
      </c>
      <c r="D5" s="104" t="s">
        <v>333</v>
      </c>
      <c r="E5" s="106" t="s">
        <v>334</v>
      </c>
    </row>
    <row r="6" spans="1:5" ht="45" x14ac:dyDescent="0.25">
      <c r="A6" s="103">
        <v>46093</v>
      </c>
      <c r="B6" s="104" t="s">
        <v>338</v>
      </c>
      <c r="C6" s="105" t="s">
        <v>305</v>
      </c>
      <c r="D6" s="104" t="s">
        <v>336</v>
      </c>
      <c r="E6" s="106" t="s">
        <v>337</v>
      </c>
    </row>
    <row r="7" spans="1:5" ht="30" x14ac:dyDescent="0.25">
      <c r="A7" s="103">
        <v>46093</v>
      </c>
      <c r="B7" s="104" t="s">
        <v>339</v>
      </c>
      <c r="C7" s="105" t="s">
        <v>305</v>
      </c>
      <c r="D7" s="104" t="s">
        <v>341</v>
      </c>
      <c r="E7" s="106" t="s">
        <v>340</v>
      </c>
    </row>
    <row r="8" spans="1:5" ht="30" x14ac:dyDescent="0.25">
      <c r="A8" s="103">
        <v>46093</v>
      </c>
      <c r="B8" s="104" t="s">
        <v>345</v>
      </c>
      <c r="C8" s="105" t="s">
        <v>305</v>
      </c>
      <c r="D8" s="104" t="s">
        <v>342</v>
      </c>
      <c r="E8" s="106" t="s">
        <v>343</v>
      </c>
    </row>
    <row r="9" spans="1:5" ht="45" x14ac:dyDescent="0.25">
      <c r="A9" s="103">
        <v>46093</v>
      </c>
      <c r="B9" s="104" t="s">
        <v>346</v>
      </c>
      <c r="C9" s="105" t="s">
        <v>305</v>
      </c>
      <c r="D9" s="104" t="s">
        <v>344</v>
      </c>
      <c r="E9" s="106" t="s">
        <v>347</v>
      </c>
    </row>
    <row r="10" spans="1:5" x14ac:dyDescent="0.25">
      <c r="A10" s="103">
        <v>46093</v>
      </c>
      <c r="B10" s="104" t="s">
        <v>372</v>
      </c>
      <c r="C10" s="105" t="s">
        <v>305</v>
      </c>
      <c r="D10" s="104" t="s">
        <v>373</v>
      </c>
      <c r="E10" s="106" t="s">
        <v>364</v>
      </c>
    </row>
    <row r="11" spans="1:5" ht="30" x14ac:dyDescent="0.25">
      <c r="A11" s="103">
        <v>46093</v>
      </c>
      <c r="B11" s="104" t="s">
        <v>382</v>
      </c>
      <c r="C11" s="105" t="s">
        <v>305</v>
      </c>
      <c r="D11" s="104" t="s">
        <v>381</v>
      </c>
      <c r="E11" s="106" t="s">
        <v>429</v>
      </c>
    </row>
    <row r="12" spans="1:5" ht="30" x14ac:dyDescent="0.25">
      <c r="A12" s="103">
        <v>46099</v>
      </c>
      <c r="B12" s="104" t="s">
        <v>430</v>
      </c>
      <c r="C12" s="105" t="s">
        <v>305</v>
      </c>
      <c r="D12" s="104" t="s">
        <v>428</v>
      </c>
      <c r="E12" s="106" t="s">
        <v>431</v>
      </c>
    </row>
    <row r="13" spans="1:5" ht="30" x14ac:dyDescent="0.25">
      <c r="A13" s="103">
        <v>46099</v>
      </c>
      <c r="B13" s="104" t="s">
        <v>440</v>
      </c>
      <c r="C13" s="105" t="s">
        <v>305</v>
      </c>
      <c r="D13" s="104" t="s">
        <v>439</v>
      </c>
      <c r="E13" s="106" t="s">
        <v>366</v>
      </c>
    </row>
    <row r="14" spans="1:5" ht="30" x14ac:dyDescent="0.25">
      <c r="A14" s="103">
        <v>46100</v>
      </c>
      <c r="B14" s="104" t="s">
        <v>453</v>
      </c>
      <c r="C14" s="105" t="s">
        <v>305</v>
      </c>
      <c r="D14" s="104" t="s">
        <v>441</v>
      </c>
      <c r="E14" s="106" t="s">
        <v>454</v>
      </c>
    </row>
    <row r="15" spans="1:5" ht="30" x14ac:dyDescent="0.25">
      <c r="A15" s="103">
        <v>46100</v>
      </c>
      <c r="B15" s="104" t="s">
        <v>455</v>
      </c>
      <c r="C15" s="105" t="s">
        <v>305</v>
      </c>
      <c r="D15" s="104" t="s">
        <v>439</v>
      </c>
      <c r="E15" s="106" t="s">
        <v>366</v>
      </c>
    </row>
    <row r="16" spans="1:5" ht="30" x14ac:dyDescent="0.25">
      <c r="A16" s="103">
        <v>46100</v>
      </c>
      <c r="B16" s="104" t="s">
        <v>458</v>
      </c>
      <c r="C16" s="105" t="s">
        <v>305</v>
      </c>
      <c r="D16" s="104" t="s">
        <v>457</v>
      </c>
      <c r="E16" s="108" t="s">
        <v>456</v>
      </c>
    </row>
    <row r="17" spans="1:5" ht="30" x14ac:dyDescent="0.25">
      <c r="A17" s="103">
        <v>46100</v>
      </c>
      <c r="B17" s="104" t="s">
        <v>461</v>
      </c>
      <c r="C17" s="105" t="s">
        <v>305</v>
      </c>
      <c r="D17" s="104" t="s">
        <v>459</v>
      </c>
      <c r="E17" s="106" t="s">
        <v>460</v>
      </c>
    </row>
    <row r="18" spans="1:5" x14ac:dyDescent="0.25">
      <c r="A18" s="103"/>
      <c r="B18" s="108" t="s">
        <v>367</v>
      </c>
      <c r="C18" s="107" t="s">
        <v>304</v>
      </c>
      <c r="D18" s="104"/>
      <c r="E18" s="108" t="s">
        <v>367</v>
      </c>
    </row>
    <row r="19" spans="1:5" x14ac:dyDescent="0.25">
      <c r="A19" s="104"/>
      <c r="B19" s="104" t="s">
        <v>245</v>
      </c>
      <c r="C19" s="107" t="s">
        <v>304</v>
      </c>
      <c r="D19" s="104"/>
      <c r="E19" s="104" t="s">
        <v>245</v>
      </c>
    </row>
    <row r="20" spans="1:5" x14ac:dyDescent="0.25">
      <c r="A20" s="104"/>
      <c r="B20" s="104" t="s">
        <v>244</v>
      </c>
      <c r="C20" s="107" t="s">
        <v>304</v>
      </c>
      <c r="D20" s="104"/>
      <c r="E20" s="104" t="s">
        <v>244</v>
      </c>
    </row>
    <row r="21" spans="1:5" x14ac:dyDescent="0.25">
      <c r="A21" s="104"/>
      <c r="B21" s="104" t="s">
        <v>246</v>
      </c>
      <c r="C21" s="107" t="s">
        <v>304</v>
      </c>
      <c r="D21" s="104"/>
      <c r="E21" s="104" t="s">
        <v>246</v>
      </c>
    </row>
    <row r="22" spans="1:5" x14ac:dyDescent="0.25">
      <c r="A22" s="104"/>
      <c r="B22" s="104" t="s">
        <v>247</v>
      </c>
      <c r="C22" s="107" t="s">
        <v>304</v>
      </c>
      <c r="D22" s="104"/>
      <c r="E22" s="104" t="s">
        <v>247</v>
      </c>
    </row>
    <row r="23" spans="1:5" x14ac:dyDescent="0.25">
      <c r="A23" s="104"/>
      <c r="B23" s="104" t="s">
        <v>253</v>
      </c>
      <c r="C23" s="107" t="s">
        <v>304</v>
      </c>
      <c r="D23" s="104"/>
      <c r="E23" s="104" t="s">
        <v>253</v>
      </c>
    </row>
    <row r="24" spans="1:5" x14ac:dyDescent="0.25">
      <c r="A24" s="104"/>
      <c r="B24" s="104" t="s">
        <v>254</v>
      </c>
      <c r="C24" s="107" t="s">
        <v>304</v>
      </c>
      <c r="D24" s="104"/>
      <c r="E24" s="104" t="s">
        <v>254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81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24">
        <v>0.1</v>
      </c>
      <c r="D5" s="24">
        <v>0.9</v>
      </c>
      <c r="E5" t="s">
        <v>442</v>
      </c>
      <c r="F5" t="s">
        <v>444</v>
      </c>
      <c r="G5" t="s">
        <v>445</v>
      </c>
      <c r="H5" t="s">
        <v>443</v>
      </c>
      <c r="I5" t="s">
        <v>446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87">
        <v>10</v>
      </c>
      <c r="F6" s="87">
        <f>3+1+1+1+1</f>
        <v>7</v>
      </c>
      <c r="G6" s="87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447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330</v>
      </c>
      <c r="B1" t="s">
        <v>331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C000"/>
  </sheetPr>
  <dimension ref="A1:E18"/>
  <sheetViews>
    <sheetView zoomScale="85" zoomScaleNormal="85" workbookViewId="0">
      <selection activeCell="B16" sqref="B16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26" t="s">
        <v>313</v>
      </c>
    </row>
    <row r="2" spans="1:5" x14ac:dyDescent="0.25">
      <c r="A2" t="s">
        <v>309</v>
      </c>
      <c r="B2">
        <v>10000</v>
      </c>
      <c r="C2">
        <f>+B2*4</f>
        <v>40000</v>
      </c>
    </row>
    <row r="3" spans="1:5" x14ac:dyDescent="0.25">
      <c r="A3" t="s">
        <v>310</v>
      </c>
    </row>
    <row r="4" spans="1:5" x14ac:dyDescent="0.25">
      <c r="A4" t="s">
        <v>311</v>
      </c>
    </row>
    <row r="5" spans="1:5" x14ac:dyDescent="0.25">
      <c r="A5" s="84" t="s">
        <v>312</v>
      </c>
      <c r="B5" s="84"/>
      <c r="C5" s="84"/>
    </row>
    <row r="6" spans="1:5" x14ac:dyDescent="0.25">
      <c r="E6">
        <f>100000-16000</f>
        <v>84000</v>
      </c>
    </row>
    <row r="9" spans="1:5" x14ac:dyDescent="0.25">
      <c r="A9" t="s">
        <v>231</v>
      </c>
      <c r="B9" t="s">
        <v>234</v>
      </c>
    </row>
    <row r="10" spans="1:5" x14ac:dyDescent="0.25">
      <c r="A10" t="s">
        <v>232</v>
      </c>
      <c r="B10" t="s">
        <v>233</v>
      </c>
    </row>
    <row r="13" spans="1:5" x14ac:dyDescent="0.25">
      <c r="A13" t="s">
        <v>313</v>
      </c>
    </row>
    <row r="16" spans="1:5" x14ac:dyDescent="0.25">
      <c r="C16" t="s">
        <v>275</v>
      </c>
      <c r="D16" t="s">
        <v>275</v>
      </c>
    </row>
    <row r="17" spans="1:5" x14ac:dyDescent="0.25">
      <c r="A17" t="s">
        <v>408</v>
      </c>
      <c r="B17">
        <v>9000</v>
      </c>
      <c r="C17">
        <v>20</v>
      </c>
      <c r="D17">
        <f>+B17/C17</f>
        <v>450</v>
      </c>
      <c r="E17" t="s">
        <v>409</v>
      </c>
    </row>
    <row r="18" spans="1:5" x14ac:dyDescent="0.25">
      <c r="A18" t="s">
        <v>408</v>
      </c>
      <c r="B18">
        <v>8400</v>
      </c>
      <c r="C18">
        <v>20</v>
      </c>
      <c r="D18">
        <f>+B18/C18</f>
        <v>420</v>
      </c>
      <c r="E18" t="s">
        <v>409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A1:D13"/>
  <sheetViews>
    <sheetView workbookViewId="0">
      <selection activeCell="B20" sqref="B20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251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249</v>
      </c>
      <c r="C10" s="72" t="s">
        <v>250</v>
      </c>
      <c r="D10" t="s">
        <v>252</v>
      </c>
    </row>
    <row r="11" spans="1:4" x14ac:dyDescent="0.25">
      <c r="A11" t="s">
        <v>256</v>
      </c>
      <c r="C11" t="s">
        <v>255</v>
      </c>
    </row>
    <row r="12" spans="1:4" x14ac:dyDescent="0.25">
      <c r="A12" s="1" t="s">
        <v>327</v>
      </c>
      <c r="B12" s="1"/>
      <c r="C12" s="1" t="s">
        <v>314</v>
      </c>
    </row>
    <row r="13" spans="1:4" x14ac:dyDescent="0.25">
      <c r="A13" t="s">
        <v>243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168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201</v>
      </c>
      <c r="E3" s="22" t="s">
        <v>163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162</v>
      </c>
      <c r="G4" t="s">
        <v>161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160</v>
      </c>
      <c r="G5" t="s">
        <v>159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158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158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158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170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318</v>
      </c>
      <c r="E2" t="s">
        <v>325</v>
      </c>
    </row>
    <row r="3" spans="2:7" x14ac:dyDescent="0.25">
      <c r="B3" t="s">
        <v>319</v>
      </c>
    </row>
    <row r="4" spans="2:7" x14ac:dyDescent="0.25">
      <c r="B4" t="s">
        <v>320</v>
      </c>
    </row>
    <row r="5" spans="2:7" x14ac:dyDescent="0.25">
      <c r="B5" t="s">
        <v>321</v>
      </c>
      <c r="D5">
        <v>7</v>
      </c>
      <c r="E5" t="s">
        <v>324</v>
      </c>
    </row>
    <row r="6" spans="2:7" x14ac:dyDescent="0.25">
      <c r="B6" s="24">
        <v>0</v>
      </c>
      <c r="C6" t="s">
        <v>323</v>
      </c>
      <c r="G6" t="s">
        <v>326</v>
      </c>
    </row>
    <row r="7" spans="2:7" x14ac:dyDescent="0.25">
      <c r="G7">
        <v>26</v>
      </c>
    </row>
    <row r="8" spans="2:7" x14ac:dyDescent="0.25">
      <c r="B8" t="s">
        <v>322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281</v>
      </c>
      <c r="B2" s="73" t="s">
        <v>275</v>
      </c>
      <c r="C2" s="73" t="s">
        <v>276</v>
      </c>
      <c r="D2" s="73" t="s">
        <v>3</v>
      </c>
      <c r="E2" s="73"/>
      <c r="F2" s="74" t="s">
        <v>279</v>
      </c>
      <c r="G2" s="74" t="s">
        <v>280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269</v>
      </c>
      <c r="B4" s="75"/>
      <c r="C4" s="75"/>
      <c r="D4" s="75" t="s">
        <v>269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270</v>
      </c>
      <c r="E5" s="75" t="s">
        <v>271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270</v>
      </c>
      <c r="E6" s="75" t="s">
        <v>272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273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274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288</v>
      </c>
      <c r="E9" s="75"/>
      <c r="F9" s="78">
        <v>-22000</v>
      </c>
      <c r="G9" s="75"/>
    </row>
    <row r="10" spans="1:10" x14ac:dyDescent="0.25">
      <c r="A10" s="75" t="s">
        <v>277</v>
      </c>
      <c r="B10" s="75">
        <v>2</v>
      </c>
      <c r="C10" s="75">
        <v>8000</v>
      </c>
      <c r="D10" s="75" t="s">
        <v>191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277</v>
      </c>
      <c r="B11" s="75">
        <v>2</v>
      </c>
      <c r="C11" s="75">
        <v>8000</v>
      </c>
      <c r="D11" s="75" t="s">
        <v>191</v>
      </c>
      <c r="E11" s="75"/>
      <c r="F11" s="78">
        <f t="shared" si="0"/>
        <v>16000</v>
      </c>
      <c r="G11" s="75"/>
    </row>
    <row r="12" spans="1:10" x14ac:dyDescent="0.25">
      <c r="A12" s="75" t="s">
        <v>277</v>
      </c>
      <c r="B12" s="75">
        <v>4</v>
      </c>
      <c r="C12" s="75">
        <v>8000</v>
      </c>
      <c r="D12" s="75" t="s">
        <v>191</v>
      </c>
      <c r="E12" s="75"/>
      <c r="F12" s="78">
        <f t="shared" si="0"/>
        <v>32000</v>
      </c>
      <c r="G12" s="75"/>
    </row>
    <row r="13" spans="1:10" x14ac:dyDescent="0.25">
      <c r="A13" s="75" t="s">
        <v>277</v>
      </c>
      <c r="B13" s="75">
        <v>1</v>
      </c>
      <c r="C13" s="75">
        <v>8000</v>
      </c>
      <c r="D13" s="75" t="s">
        <v>191</v>
      </c>
      <c r="E13" s="75"/>
      <c r="F13" s="78">
        <f t="shared" si="0"/>
        <v>8000</v>
      </c>
      <c r="G13" s="75"/>
    </row>
    <row r="14" spans="1:10" x14ac:dyDescent="0.25">
      <c r="A14" s="75" t="s">
        <v>277</v>
      </c>
      <c r="B14" s="75">
        <v>2</v>
      </c>
      <c r="C14" s="75">
        <v>8000</v>
      </c>
      <c r="D14" s="75" t="s">
        <v>191</v>
      </c>
      <c r="E14" s="75"/>
      <c r="F14" s="78">
        <f t="shared" si="0"/>
        <v>16000</v>
      </c>
      <c r="G14" s="75"/>
    </row>
    <row r="15" spans="1:10" x14ac:dyDescent="0.25">
      <c r="A15" s="75" t="s">
        <v>277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278</v>
      </c>
      <c r="B16" s="75">
        <v>2</v>
      </c>
      <c r="C16" s="75">
        <v>8000</v>
      </c>
      <c r="D16" s="75" t="s">
        <v>191</v>
      </c>
      <c r="E16" s="75"/>
      <c r="F16" s="76"/>
      <c r="G16" s="78">
        <f>+B16*C16</f>
        <v>16000</v>
      </c>
    </row>
    <row r="17" spans="1:7" x14ac:dyDescent="0.25">
      <c r="A17" s="75" t="s">
        <v>278</v>
      </c>
      <c r="B17" s="75"/>
      <c r="C17" s="75"/>
      <c r="D17" s="75" t="s">
        <v>283</v>
      </c>
      <c r="E17" s="75"/>
      <c r="F17" s="76"/>
      <c r="G17" s="79">
        <v>28000</v>
      </c>
    </row>
    <row r="18" spans="1:7" x14ac:dyDescent="0.25">
      <c r="A18" s="75" t="s">
        <v>277</v>
      </c>
      <c r="B18" s="75"/>
      <c r="C18" s="75"/>
      <c r="D18" s="75" t="s">
        <v>286</v>
      </c>
      <c r="E18" s="75"/>
      <c r="F18" s="78">
        <v>15000</v>
      </c>
      <c r="G18" s="77"/>
    </row>
    <row r="19" spans="1:7" x14ac:dyDescent="0.25">
      <c r="A19" s="75" t="s">
        <v>277</v>
      </c>
      <c r="B19" s="75"/>
      <c r="C19" s="75"/>
      <c r="D19" s="75" t="s">
        <v>284</v>
      </c>
      <c r="E19" s="75"/>
      <c r="F19" s="78">
        <v>60000</v>
      </c>
      <c r="G19" s="77"/>
    </row>
    <row r="20" spans="1:7" x14ac:dyDescent="0.25">
      <c r="A20" s="75" t="s">
        <v>277</v>
      </c>
      <c r="B20" s="75"/>
      <c r="C20" s="75"/>
      <c r="D20" s="75" t="s">
        <v>285</v>
      </c>
      <c r="E20" s="75"/>
      <c r="F20" s="78">
        <v>12000</v>
      </c>
      <c r="G20" s="77"/>
    </row>
    <row r="21" spans="1:7" x14ac:dyDescent="0.25">
      <c r="A21" s="75" t="s">
        <v>278</v>
      </c>
      <c r="B21" s="75"/>
      <c r="C21" s="75"/>
      <c r="D21" s="75" t="s">
        <v>282</v>
      </c>
      <c r="E21" s="75"/>
      <c r="F21" s="76"/>
      <c r="G21" s="79">
        <v>43000</v>
      </c>
    </row>
    <row r="22" spans="1:7" x14ac:dyDescent="0.25">
      <c r="A22" s="75" t="s">
        <v>277</v>
      </c>
      <c r="D22" s="75" t="s">
        <v>287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F0"/>
  </sheetPr>
  <dimension ref="A1:D27"/>
  <sheetViews>
    <sheetView zoomScale="145" zoomScaleNormal="145" workbookViewId="0">
      <pane ySplit="2" topLeftCell="A22" activePane="bottomLeft" state="frozen"/>
      <selection pane="bottomLeft" activeCell="B23" sqref="B23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207</v>
      </c>
      <c r="C1" s="61">
        <f>+SUM(C3:C1048576)</f>
        <v>40</v>
      </c>
    </row>
    <row r="2" spans="1:3" x14ac:dyDescent="0.25">
      <c r="A2" s="36" t="s">
        <v>5</v>
      </c>
      <c r="B2" s="36" t="s">
        <v>3</v>
      </c>
      <c r="C2" s="60" t="s">
        <v>218</v>
      </c>
    </row>
    <row r="3" spans="1:3" x14ac:dyDescent="0.25">
      <c r="A3" s="56">
        <v>46076</v>
      </c>
      <c r="B3" t="s">
        <v>202</v>
      </c>
      <c r="C3" s="58">
        <v>73700</v>
      </c>
    </row>
    <row r="4" spans="1:3" x14ac:dyDescent="0.25">
      <c r="A4" s="56">
        <v>46080</v>
      </c>
      <c r="B4" t="s">
        <v>196</v>
      </c>
      <c r="C4" s="58">
        <v>-300000</v>
      </c>
    </row>
    <row r="5" spans="1:3" x14ac:dyDescent="0.25">
      <c r="A5" s="56">
        <v>46081</v>
      </c>
      <c r="B5" t="s">
        <v>205</v>
      </c>
      <c r="C5" s="58">
        <v>280000</v>
      </c>
    </row>
    <row r="6" spans="1:3" x14ac:dyDescent="0.25">
      <c r="A6" s="56">
        <v>46080</v>
      </c>
      <c r="B6" s="71" t="s">
        <v>206</v>
      </c>
      <c r="C6" s="58">
        <v>-16000</v>
      </c>
    </row>
    <row r="7" spans="1:3" x14ac:dyDescent="0.25">
      <c r="A7" s="56">
        <v>46081</v>
      </c>
      <c r="B7" s="71" t="s">
        <v>211</v>
      </c>
      <c r="C7" s="58">
        <v>-350000</v>
      </c>
    </row>
    <row r="8" spans="1:3" x14ac:dyDescent="0.25">
      <c r="A8" s="56">
        <v>46081</v>
      </c>
      <c r="B8" t="s">
        <v>217</v>
      </c>
      <c r="C8" s="58">
        <v>30000</v>
      </c>
    </row>
    <row r="9" spans="1:3" x14ac:dyDescent="0.25">
      <c r="A9" s="66">
        <v>46076</v>
      </c>
      <c r="B9" t="s">
        <v>219</v>
      </c>
      <c r="C9" s="58">
        <f>195000+140000+20000</f>
        <v>355000</v>
      </c>
    </row>
    <row r="10" spans="1:3" x14ac:dyDescent="0.25">
      <c r="A10" s="2">
        <v>46084</v>
      </c>
      <c r="B10" t="s">
        <v>241</v>
      </c>
      <c r="C10" s="58">
        <v>619850</v>
      </c>
    </row>
    <row r="11" spans="1:3" x14ac:dyDescent="0.25">
      <c r="A11" s="2">
        <v>46084</v>
      </c>
      <c r="B11" t="s">
        <v>227</v>
      </c>
      <c r="C11" s="58">
        <v>-619850</v>
      </c>
    </row>
    <row r="12" spans="1:3" x14ac:dyDescent="0.25">
      <c r="A12" s="2">
        <v>46083</v>
      </c>
      <c r="B12" t="s">
        <v>230</v>
      </c>
      <c r="C12" s="58">
        <v>50000</v>
      </c>
    </row>
    <row r="13" spans="1:3" x14ac:dyDescent="0.25">
      <c r="A13" s="2">
        <v>46085</v>
      </c>
      <c r="B13" t="s">
        <v>237</v>
      </c>
      <c r="C13" s="70">
        <v>46350</v>
      </c>
    </row>
    <row r="14" spans="1:3" x14ac:dyDescent="0.25">
      <c r="A14" s="2">
        <v>46085</v>
      </c>
      <c r="B14" t="s">
        <v>235</v>
      </c>
      <c r="C14" s="70">
        <v>16500</v>
      </c>
    </row>
    <row r="15" spans="1:3" x14ac:dyDescent="0.25">
      <c r="A15" s="2">
        <v>46085</v>
      </c>
      <c r="B15" t="s">
        <v>236</v>
      </c>
      <c r="C15" s="70">
        <v>11000</v>
      </c>
    </row>
    <row r="16" spans="1:3" x14ac:dyDescent="0.25">
      <c r="A16" s="2">
        <v>46085</v>
      </c>
      <c r="B16" t="s">
        <v>240</v>
      </c>
      <c r="C16" s="70">
        <v>3500</v>
      </c>
    </row>
    <row r="17" spans="1:4" x14ac:dyDescent="0.25">
      <c r="A17" s="2">
        <v>46085</v>
      </c>
      <c r="B17" t="s">
        <v>238</v>
      </c>
      <c r="C17" s="70">
        <v>124400</v>
      </c>
    </row>
    <row r="18" spans="1:4" x14ac:dyDescent="0.25">
      <c r="A18" s="2">
        <v>46085</v>
      </c>
      <c r="B18" s="71" t="s">
        <v>239</v>
      </c>
      <c r="C18" s="58">
        <v>-201750</v>
      </c>
    </row>
    <row r="19" spans="1:4" x14ac:dyDescent="0.25">
      <c r="A19" s="2">
        <v>46085</v>
      </c>
      <c r="B19" s="71" t="s">
        <v>239</v>
      </c>
      <c r="C19" s="58">
        <v>-122700</v>
      </c>
    </row>
    <row r="20" spans="1:4" x14ac:dyDescent="0.25">
      <c r="A20" s="2">
        <v>46086</v>
      </c>
      <c r="B20" t="s">
        <v>242</v>
      </c>
      <c r="C20" s="58">
        <v>5000</v>
      </c>
    </row>
    <row r="21" spans="1:4" x14ac:dyDescent="0.25">
      <c r="A21" s="2">
        <v>46120</v>
      </c>
      <c r="B21" t="s">
        <v>290</v>
      </c>
      <c r="C21" s="58">
        <v>129000</v>
      </c>
    </row>
    <row r="22" spans="1:4" x14ac:dyDescent="0.25">
      <c r="A22" s="2">
        <v>46120</v>
      </c>
      <c r="B22" t="s">
        <v>289</v>
      </c>
      <c r="C22" s="58">
        <f>6*8000</f>
        <v>48000</v>
      </c>
    </row>
    <row r="23" spans="1:4" x14ac:dyDescent="0.25">
      <c r="A23" s="2">
        <v>46120</v>
      </c>
      <c r="B23" s="71" t="s">
        <v>239</v>
      </c>
      <c r="C23" s="58">
        <v>-100000</v>
      </c>
    </row>
    <row r="24" spans="1:4" x14ac:dyDescent="0.25">
      <c r="A24" s="2">
        <v>46123</v>
      </c>
      <c r="B24" s="71" t="s">
        <v>370</v>
      </c>
      <c r="C24" s="58">
        <v>-100000</v>
      </c>
    </row>
    <row r="25" spans="1:4" x14ac:dyDescent="0.25">
      <c r="A25" s="2">
        <v>46124</v>
      </c>
      <c r="B25" t="s">
        <v>369</v>
      </c>
      <c r="C25" s="58">
        <v>23990</v>
      </c>
      <c r="D25" t="s">
        <v>368</v>
      </c>
    </row>
    <row r="26" spans="1:4" x14ac:dyDescent="0.25">
      <c r="A26" s="2">
        <v>46124</v>
      </c>
      <c r="B26" t="s">
        <v>371</v>
      </c>
      <c r="C26" s="58">
        <v>45400</v>
      </c>
    </row>
    <row r="27" spans="1:4" x14ac:dyDescent="0.25">
      <c r="A27" s="2">
        <v>46124</v>
      </c>
      <c r="B27" s="71" t="s">
        <v>239</v>
      </c>
      <c r="C27" s="58">
        <v>-51350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FF00"/>
  </sheetPr>
  <dimension ref="A1:G16"/>
  <sheetViews>
    <sheetView topLeftCell="A4" workbookViewId="0">
      <selection activeCell="F14" sqref="F14:H14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70">
        <f>+SUM(B2:B1048576)</f>
        <v>-581250</v>
      </c>
      <c r="C1" t="s">
        <v>299</v>
      </c>
    </row>
    <row r="2" spans="1:7" x14ac:dyDescent="0.25">
      <c r="A2" t="s">
        <v>109</v>
      </c>
      <c r="B2" s="58">
        <v>1300000</v>
      </c>
      <c r="C2" t="s">
        <v>298</v>
      </c>
      <c r="F2">
        <v>1600</v>
      </c>
      <c r="G2" t="s">
        <v>315</v>
      </c>
    </row>
    <row r="3" spans="1:7" x14ac:dyDescent="0.25">
      <c r="A3" t="s">
        <v>291</v>
      </c>
      <c r="B3" s="58">
        <v>-1350000</v>
      </c>
      <c r="C3" t="s">
        <v>297</v>
      </c>
      <c r="F3" s="81">
        <v>3700000</v>
      </c>
    </row>
    <row r="4" spans="1:7" x14ac:dyDescent="0.25">
      <c r="A4" s="1" t="s">
        <v>292</v>
      </c>
      <c r="B4" s="58">
        <v>-400000</v>
      </c>
      <c r="C4" t="s">
        <v>297</v>
      </c>
      <c r="F4" s="81">
        <f>+F3/F2</f>
        <v>2312.5</v>
      </c>
    </row>
    <row r="5" spans="1:7" x14ac:dyDescent="0.25">
      <c r="A5" t="s">
        <v>293</v>
      </c>
      <c r="B5" s="58">
        <f>-500000/2</f>
        <v>-250000</v>
      </c>
      <c r="C5" t="s">
        <v>297</v>
      </c>
    </row>
    <row r="6" spans="1:7" x14ac:dyDescent="0.25">
      <c r="A6" t="s">
        <v>294</v>
      </c>
      <c r="B6" s="58">
        <f>-180000/2</f>
        <v>-90000</v>
      </c>
      <c r="C6" t="s">
        <v>297</v>
      </c>
      <c r="F6">
        <v>3500</v>
      </c>
    </row>
    <row r="7" spans="1:7" x14ac:dyDescent="0.25">
      <c r="A7" t="s">
        <v>295</v>
      </c>
      <c r="B7" s="58">
        <v>-30000</v>
      </c>
      <c r="C7" t="s">
        <v>297</v>
      </c>
      <c r="F7">
        <f>+F6*F2</f>
        <v>5600000</v>
      </c>
    </row>
    <row r="8" spans="1:7" x14ac:dyDescent="0.25">
      <c r="A8" t="s">
        <v>296</v>
      </c>
      <c r="B8" s="58">
        <f>((550-185)*3500)/2</f>
        <v>638750</v>
      </c>
      <c r="C8" t="s">
        <v>297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297</v>
      </c>
    </row>
    <row r="10" spans="1:7" x14ac:dyDescent="0.25">
      <c r="A10" t="s">
        <v>296</v>
      </c>
      <c r="D10" t="s">
        <v>300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6" spans="1:7" x14ac:dyDescent="0.25">
      <c r="C16" s="81">
        <f>715*3500</f>
        <v>2502500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169</v>
      </c>
      <c r="B3" s="11" t="s">
        <v>170</v>
      </c>
      <c r="F3" s="11" t="s">
        <v>171</v>
      </c>
      <c r="G3" s="11" t="s">
        <v>170</v>
      </c>
    </row>
    <row r="4" spans="1:14" x14ac:dyDescent="0.25">
      <c r="B4" t="s">
        <v>172</v>
      </c>
      <c r="D4" t="s">
        <v>35</v>
      </c>
      <c r="G4" t="s">
        <v>172</v>
      </c>
      <c r="K4" t="s">
        <v>173</v>
      </c>
      <c r="L4" t="s">
        <v>35</v>
      </c>
    </row>
    <row r="5" spans="1:14" x14ac:dyDescent="0.25">
      <c r="A5" s="11" t="s">
        <v>34</v>
      </c>
      <c r="B5" t="s">
        <v>174</v>
      </c>
      <c r="C5" t="s">
        <v>175</v>
      </c>
      <c r="F5" s="11" t="s">
        <v>34</v>
      </c>
      <c r="G5" t="s">
        <v>174</v>
      </c>
      <c r="H5" t="s">
        <v>176</v>
      </c>
      <c r="I5" t="s">
        <v>177</v>
      </c>
      <c r="J5" t="s">
        <v>175</v>
      </c>
      <c r="K5" t="s">
        <v>175</v>
      </c>
      <c r="N5" s="1" t="s">
        <v>172</v>
      </c>
    </row>
    <row r="6" spans="1:14" x14ac:dyDescent="0.25">
      <c r="A6" s="8" t="s">
        <v>178</v>
      </c>
      <c r="B6" s="13">
        <v>73700</v>
      </c>
      <c r="C6" s="13">
        <v>192000</v>
      </c>
      <c r="D6" s="13">
        <v>265700</v>
      </c>
      <c r="F6" s="8" t="s">
        <v>178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179</v>
      </c>
      <c r="B7" s="13">
        <v>205600</v>
      </c>
      <c r="C7" s="13">
        <v>213000</v>
      </c>
      <c r="D7" s="13">
        <v>418600</v>
      </c>
      <c r="F7" s="8" t="s">
        <v>179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180</v>
      </c>
      <c r="B8" s="13"/>
      <c r="C8" s="13">
        <v>344000</v>
      </c>
      <c r="D8" s="13">
        <v>344000</v>
      </c>
      <c r="F8" s="8" t="s">
        <v>180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181</v>
      </c>
      <c r="B9" s="13"/>
      <c r="C9" s="13">
        <v>84000</v>
      </c>
      <c r="D9" s="13">
        <v>84000</v>
      </c>
      <c r="F9" s="8" t="s">
        <v>181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182</v>
      </c>
      <c r="B14" t="s" vm="1">
        <v>175</v>
      </c>
    </row>
    <row r="16" spans="1:14" x14ac:dyDescent="0.25">
      <c r="A16" s="11" t="s">
        <v>169</v>
      </c>
      <c r="B16" s="11" t="s">
        <v>170</v>
      </c>
    </row>
    <row r="17" spans="1:4" x14ac:dyDescent="0.25">
      <c r="A17" s="11" t="s">
        <v>34</v>
      </c>
      <c r="B17" t="s">
        <v>172</v>
      </c>
      <c r="C17" t="s">
        <v>173</v>
      </c>
      <c r="D17" t="s">
        <v>35</v>
      </c>
    </row>
    <row r="18" spans="1:4" x14ac:dyDescent="0.25">
      <c r="A18" s="8" t="s">
        <v>178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179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180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181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182</v>
      </c>
      <c r="B1" t="s" vm="1">
        <v>175</v>
      </c>
    </row>
    <row r="2" spans="1:11" x14ac:dyDescent="0.25">
      <c r="A2" s="11" t="s">
        <v>183</v>
      </c>
      <c r="B2" t="s" vm="2">
        <v>172</v>
      </c>
      <c r="H2" s="13"/>
    </row>
    <row r="4" spans="1:11" x14ac:dyDescent="0.25">
      <c r="A4" s="11" t="s">
        <v>184</v>
      </c>
      <c r="B4" s="11" t="s">
        <v>5</v>
      </c>
      <c r="C4" s="11" t="s">
        <v>185</v>
      </c>
      <c r="D4" s="11" t="s">
        <v>186</v>
      </c>
      <c r="E4" s="11" t="s">
        <v>187</v>
      </c>
      <c r="F4" t="s">
        <v>188</v>
      </c>
      <c r="G4" s="23" t="s">
        <v>189</v>
      </c>
      <c r="J4" s="52" t="s">
        <v>184</v>
      </c>
      <c r="K4" s="52" t="s">
        <v>190</v>
      </c>
    </row>
    <row r="5" spans="1:11" x14ac:dyDescent="0.25">
      <c r="A5" t="s">
        <v>178</v>
      </c>
      <c r="B5" s="53">
        <v>46076.692083333335</v>
      </c>
      <c r="C5" t="s">
        <v>191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178</v>
      </c>
      <c r="B6" s="53">
        <v>46076.717372685183</v>
      </c>
      <c r="C6" t="s">
        <v>191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178</v>
      </c>
      <c r="C7" t="s">
        <v>192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178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178</v>
      </c>
      <c r="C9" t="s">
        <v>191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178</v>
      </c>
      <c r="B10" s="53">
        <v>46076.751967592594</v>
      </c>
      <c r="C10" t="s">
        <v>191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178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178</v>
      </c>
      <c r="B12" s="53">
        <v>46076.787222222221</v>
      </c>
      <c r="C12" t="s">
        <v>191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178</v>
      </c>
      <c r="B13" s="53">
        <v>46076.795474537037</v>
      </c>
      <c r="C13" t="s">
        <v>191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178</v>
      </c>
      <c r="C14" t="s">
        <v>192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178</v>
      </c>
      <c r="B15" s="53">
        <v>46076.818287037036</v>
      </c>
      <c r="C15" t="s">
        <v>191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178</v>
      </c>
      <c r="B16" s="53">
        <v>46076.841643518521</v>
      </c>
      <c r="C16" t="s">
        <v>191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178</v>
      </c>
      <c r="B17" s="53">
        <v>46076.843854166669</v>
      </c>
      <c r="C17" t="s">
        <v>191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178</v>
      </c>
      <c r="B18" s="53">
        <v>46076.845659722225</v>
      </c>
      <c r="C18" t="s">
        <v>191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178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178</v>
      </c>
      <c r="B20" s="53">
        <v>46076.850243055553</v>
      </c>
      <c r="C20" t="s">
        <v>191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178</v>
      </c>
      <c r="B21" s="53">
        <v>46076.852650462963</v>
      </c>
      <c r="C21" t="s">
        <v>191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179</v>
      </c>
      <c r="B22" s="53">
        <v>46077.648680555554</v>
      </c>
      <c r="C22" t="s">
        <v>191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179</v>
      </c>
      <c r="B23" s="53">
        <v>46077.649351851855</v>
      </c>
      <c r="C23" t="s">
        <v>191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179</v>
      </c>
      <c r="B24" s="53">
        <v>46077.740034722221</v>
      </c>
      <c r="C24" t="s">
        <v>191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179</v>
      </c>
      <c r="B25" s="53">
        <v>46077.759606481479</v>
      </c>
      <c r="C25" t="s">
        <v>191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179</v>
      </c>
      <c r="B26" s="53">
        <v>46077.774178240739</v>
      </c>
      <c r="C26" t="s">
        <v>191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179</v>
      </c>
      <c r="B27" s="53">
        <v>46077.775185185186</v>
      </c>
      <c r="C27" t="s">
        <v>191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179</v>
      </c>
      <c r="B28" s="53">
        <v>46077.77952546296</v>
      </c>
      <c r="C28" t="s">
        <v>193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179</v>
      </c>
      <c r="C29" t="s">
        <v>191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179</v>
      </c>
      <c r="B30" s="53">
        <v>46077.797152777777</v>
      </c>
      <c r="C30" t="s">
        <v>191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179</v>
      </c>
      <c r="B31" s="53">
        <v>46077.836875000001</v>
      </c>
      <c r="C31" t="s">
        <v>191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179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179</v>
      </c>
      <c r="C33" t="s">
        <v>191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179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179</v>
      </c>
      <c r="B35" s="53">
        <v>46077.849872685183</v>
      </c>
      <c r="C35" t="s">
        <v>191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179</v>
      </c>
      <c r="C36" t="s">
        <v>192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179</v>
      </c>
      <c r="B37" s="53">
        <v>46077.867604166669</v>
      </c>
      <c r="C37" t="s">
        <v>191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180</v>
      </c>
      <c r="B38" s="53">
        <v>46078.578043981484</v>
      </c>
      <c r="C38" t="s">
        <v>191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180</v>
      </c>
      <c r="B39" s="53">
        <v>46078.579907407409</v>
      </c>
      <c r="C39" t="s">
        <v>191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180</v>
      </c>
      <c r="B40" s="53">
        <v>46078.58693287037</v>
      </c>
      <c r="C40" t="s">
        <v>191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180</v>
      </c>
      <c r="B41" s="53">
        <v>46078.59138888889</v>
      </c>
      <c r="C41" t="s">
        <v>194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180</v>
      </c>
      <c r="B42" s="53">
        <v>46078.600636574076</v>
      </c>
      <c r="C42" t="s">
        <v>194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180</v>
      </c>
      <c r="B43" s="53">
        <v>46078.601261574076</v>
      </c>
      <c r="C43" t="s">
        <v>191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180</v>
      </c>
      <c r="B44" s="53">
        <v>46078.694513888891</v>
      </c>
      <c r="C44" t="s">
        <v>191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180</v>
      </c>
      <c r="B45" s="53">
        <v>46078.762141203704</v>
      </c>
      <c r="C45" t="s">
        <v>191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180</v>
      </c>
      <c r="B46" s="53">
        <v>46078.764027777775</v>
      </c>
      <c r="C46" t="s">
        <v>191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180</v>
      </c>
      <c r="B47" s="53">
        <v>46078.768379629626</v>
      </c>
      <c r="C47" t="s">
        <v>191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180</v>
      </c>
      <c r="B48" s="53">
        <v>46078.77375</v>
      </c>
      <c r="C48" t="s">
        <v>191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180</v>
      </c>
      <c r="B49" s="53">
        <v>46078.774247685185</v>
      </c>
      <c r="C49" t="s">
        <v>192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180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180</v>
      </c>
      <c r="B51" s="53">
        <v>46078.777766203704</v>
      </c>
      <c r="C51" t="s">
        <v>191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180</v>
      </c>
      <c r="B52" s="53">
        <v>46078.800497685188</v>
      </c>
      <c r="C52" t="s">
        <v>191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180</v>
      </c>
      <c r="C53" t="s">
        <v>192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180</v>
      </c>
      <c r="B54" s="53">
        <v>46078.81894675926</v>
      </c>
      <c r="C54" t="s">
        <v>194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180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180</v>
      </c>
      <c r="B56" s="53">
        <v>46078.819791666669</v>
      </c>
      <c r="C56" t="s">
        <v>191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180</v>
      </c>
      <c r="B57" s="53">
        <v>46078.83253472222</v>
      </c>
      <c r="C57" t="s">
        <v>191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180</v>
      </c>
      <c r="B58" s="53">
        <v>46078.838090277779</v>
      </c>
      <c r="C58" t="s">
        <v>191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180</v>
      </c>
      <c r="B59" s="53">
        <v>46078.848043981481</v>
      </c>
      <c r="C59" t="s">
        <v>191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181</v>
      </c>
      <c r="B60" s="53">
        <v>46079.557025462964</v>
      </c>
      <c r="C60" t="s">
        <v>193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181</v>
      </c>
      <c r="B61" s="53">
        <v>46079.560671296298</v>
      </c>
      <c r="C61" t="s">
        <v>191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181</v>
      </c>
      <c r="B62" s="53">
        <v>46079.752893518518</v>
      </c>
      <c r="C62" t="s">
        <v>191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181</v>
      </c>
      <c r="B63" s="53">
        <v>46079.764050925929</v>
      </c>
      <c r="C63" t="s">
        <v>191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181</v>
      </c>
      <c r="B64" s="53">
        <v>46079.794652777775</v>
      </c>
      <c r="C64" t="s">
        <v>191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181</v>
      </c>
      <c r="B65" s="53">
        <v>46079.81355324074</v>
      </c>
      <c r="C65" t="s">
        <v>191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181</v>
      </c>
      <c r="B66" s="53">
        <v>46079.814722222225</v>
      </c>
      <c r="C66" t="s">
        <v>191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181</v>
      </c>
      <c r="B67" s="53">
        <v>46079.84375</v>
      </c>
      <c r="C67" t="s">
        <v>191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181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3BFDF280-F210-4B3E-AFDE-1E932821F2B6}">
  <ds:schemaRefs/>
</ds:datastoreItem>
</file>

<file path=customXml/itemProps2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C6966FDC-54C0-4686-84FA-DB32BA161069}">
  <ds:schemaRefs/>
</ds:datastoreItem>
</file>

<file path=customXml/itemProps4.xml><?xml version="1.0" encoding="utf-8"?>
<ds:datastoreItem xmlns:ds="http://schemas.openxmlformats.org/officeDocument/2006/customXml" ds:itemID="{788789B1-0D01-44D2-92B3-AE3C27D29AF4}">
  <ds:schemaRefs/>
</ds:datastoreItem>
</file>

<file path=customXml/itemProps5.xml><?xml version="1.0" encoding="utf-8"?>
<ds:datastoreItem xmlns:ds="http://schemas.openxmlformats.org/officeDocument/2006/customXml" ds:itemID="{26BBDD3B-5549-4B7F-A242-39E079346B51}">
  <ds:schemaRefs/>
</ds:datastoreItem>
</file>

<file path=customXml/itemProps6.xml><?xml version="1.0" encoding="utf-8"?>
<ds:datastoreItem xmlns:ds="http://schemas.openxmlformats.org/officeDocument/2006/customXml" ds:itemID="{651B3BFD-4BC7-48D9-94DF-A7E0AC3AE58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chorizo</vt:lpstr>
      <vt:lpstr>choriboni</vt:lpstr>
      <vt:lpstr>16mar</vt:lpstr>
      <vt:lpstr>Arqueo de Caja</vt:lpstr>
      <vt:lpstr>Extracto</vt:lpstr>
      <vt:lpstr>Gas</vt:lpstr>
      <vt:lpstr>Registros</vt:lpstr>
      <vt:lpstr>DevOps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maquina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cp:lastPrinted>2026-03-18T14:33:01Z</cp:lastPrinted>
  <dcterms:created xsi:type="dcterms:W3CDTF">2015-06-05T18:19:34Z</dcterms:created>
  <dcterms:modified xsi:type="dcterms:W3CDTF">2026-03-19T15:24:53Z</dcterms:modified>
</cp:coreProperties>
</file>