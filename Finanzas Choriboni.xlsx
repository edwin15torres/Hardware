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806" firstSheet="6" activeTab="9"/>
  </bookViews>
  <sheets>
    <sheet name="chorizo" sheetId="3" state="hidden" r:id="rId1"/>
    <sheet name="choriboni" sheetId="4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Informe ventas" sheetId="13" state="hidden" r:id="rId11"/>
    <sheet name="historial de venta" sheetId="14" state="hidden" r:id="rId12"/>
  </sheets>
  <definedNames>
    <definedName name="_xlnm._FilterDatabase" localSheetId="1" hidden="1">choriboni!$B$16:$I$59</definedName>
  </definedNames>
  <calcPr calcId="162913"/>
  <pivotCaches>
    <pivotCache cacheId="14" r:id="rId13"/>
    <pivotCache cacheId="15" r:id="rId14"/>
    <pivotCache cacheId="16" r:id="rId15"/>
    <pivotCache cacheId="17" r:id="rId16"/>
    <pivotCache cacheId="18" r:id="rId17"/>
    <pivotCache cacheId="19" r:id="rId18"/>
    <pivotCache cacheId="20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0" l="1"/>
  <c r="B26" i="10"/>
  <c r="B25" i="10"/>
  <c r="B24" i="10"/>
  <c r="B23" i="10"/>
  <c r="D23" i="10"/>
  <c r="C1" i="12"/>
  <c r="C9" i="12"/>
  <c r="Q20" i="9" l="1"/>
  <c r="Q18" i="9" l="1"/>
  <c r="Q22" i="9"/>
  <c r="Q13" i="9"/>
  <c r="Q12" i="9"/>
  <c r="Q11" i="9"/>
  <c r="Q10" i="9"/>
  <c r="Q9" i="9"/>
  <c r="Q8" i="9"/>
  <c r="Q7" i="9"/>
  <c r="Q6" i="9"/>
  <c r="Q5" i="9"/>
  <c r="Q4" i="9"/>
  <c r="Q3" i="9"/>
  <c r="O18" i="9"/>
  <c r="O22" i="9"/>
  <c r="O13" i="9"/>
  <c r="O12" i="9"/>
  <c r="O11" i="9"/>
  <c r="O10" i="9"/>
  <c r="O9" i="9"/>
  <c r="O8" i="9"/>
  <c r="O7" i="9"/>
  <c r="O6" i="9"/>
  <c r="O5" i="9"/>
  <c r="O4" i="9"/>
  <c r="O3" i="9"/>
  <c r="Q14" i="9" l="1"/>
  <c r="Q24" i="9" s="1"/>
  <c r="O14" i="9"/>
  <c r="O24" i="9"/>
  <c r="D1" i="10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E7" i="11"/>
  <c r="E6" i="11"/>
  <c r="B18" i="10"/>
  <c r="B17" i="10"/>
  <c r="B16" i="10"/>
  <c r="B15" i="10"/>
  <c r="K18" i="9"/>
  <c r="K21" i="9"/>
  <c r="I21" i="9"/>
  <c r="M24" i="9" l="1"/>
  <c r="K22" i="9"/>
  <c r="K24" i="9" s="1"/>
  <c r="G21" i="9"/>
  <c r="H5" i="15"/>
  <c r="H6" i="15"/>
  <c r="H7" i="15"/>
  <c r="H8" i="15"/>
  <c r="H9" i="15"/>
  <c r="H10" i="15"/>
  <c r="H11" i="15"/>
  <c r="H12" i="15"/>
  <c r="H13" i="15"/>
  <c r="H14" i="15"/>
  <c r="H15" i="15"/>
  <c r="I15" i="15" s="1"/>
  <c r="H16" i="15"/>
  <c r="H17" i="15"/>
  <c r="H18" i="15"/>
  <c r="H19" i="15"/>
  <c r="H20" i="15"/>
  <c r="H21" i="15" l="1"/>
  <c r="N6" i="13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H37" i="14" l="1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" i="11" l="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E14" i="9" l="1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3" i="4"/>
  <c r="G24" i="9" l="1"/>
  <c r="I22" i="9"/>
  <c r="I24" i="9" s="1"/>
  <c r="D9" i="8"/>
  <c r="C14" i="9"/>
  <c r="C24" i="9" s="1"/>
  <c r="C4" i="4"/>
  <c r="C40" i="4"/>
  <c r="C39" i="4"/>
  <c r="C30" i="4"/>
  <c r="C38" i="4"/>
  <c r="C18" i="4"/>
  <c r="C57" i="4"/>
  <c r="C19" i="4"/>
  <c r="C53" i="4"/>
  <c r="C54" i="4"/>
  <c r="C42" i="4"/>
  <c r="C17" i="4"/>
  <c r="C1" i="9" l="1"/>
  <c r="C25" i="4"/>
  <c r="C3" i="4" l="1"/>
  <c r="C5" i="4" s="1"/>
  <c r="C7" i="4" s="1"/>
  <c r="C13" i="4" s="1"/>
  <c r="C15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7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8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9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9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6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8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<sst xmlns="http://schemas.openxmlformats.org/spreadsheetml/2006/main" count="708" uniqueCount="234">
  <si>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</si>
  <si>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</si>
  <si>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</si>
  <si>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</si>
  <si>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</si>
  <si>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</si>
  <si>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</si>
  <si>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</si>
  <si>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</si>
  <si>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</si>
  <si>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</si>
  <si>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</si>
  <si>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</si>
  <si>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</si>
  <si>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</si>
  <si>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</si>
  <si>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</si>
  <si>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</si>
  <si>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</si>
  <si>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</si>
  <si>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</si>
  <si>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</si>
  <si>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</si>
  <si>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</si>
  <si>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</si>
  <si>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</si>
  <si>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</si>
  <si>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</si>
  <si>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</si>
  <si>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</si>
  <si>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</si>
  <si>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</si>
  <si>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</si>
  <si>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</si>
  <si>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</si>
  <si>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</si>
  <si>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</si>
  <si>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</si>
  <si>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</si>
  <si>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</si>
  <si>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</si>
  <si>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</si>
  <si>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</si>
  <si>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</si>
  <si>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</si>
  <si>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</si>
  <si>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</si>
  <si>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</si>
  <si>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</si>
  <si>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</si>
  <si>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</si>
  <si>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</si>
  <si>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</si>
  <si>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</si>
  <si>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</si>
  <si>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</si>
  <si>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</si>
  <si>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</si>
  <si>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</si>
  <si>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</si>
  <si>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</si>
  <si>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</si>
  <si>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</si>
  <si>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</si>
  <si>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</si>
  <si>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</si>
  <si>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</si>
  <si>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</si>
  <si>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</si>
  <si>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</si>
  <si>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</si>
  <si>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</si>
  <si>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</si>
  <si>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</si>
  <si>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</si>
  <si>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</si>
  <si>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</si>
  <si>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</si>
  <si>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</si>
  <si>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</si>
  <si>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</si>
  <si>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</si>
  <si>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</si>
  <si>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</si>
  <si>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</si>
  <si>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</si>
  <si>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</si>
  <si>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</si>
  <si>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</si>
  <si>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</si>
  <si>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</si>
  <si>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</si>
  <si>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</si>
  <si>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</si>
  <si>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</si>
  <si>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</si>
  <si>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</si>
  <si>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</si>
  <si>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</si>
  <si>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</si>
  <si>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</si>
  <si>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</si>
  <si>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</si>
  <si>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</si>
  <si>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</si>
  <si>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</si>
  <si>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</si>
  <si>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</si>
  <si>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</si>
  <si>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</si>
  <si>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</si>
  <si>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</si>
  <si>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</si>
  <si>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</si>
  <si>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</si>
  <si>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</si>
  <si>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</si>
  <si>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</si>
  <si>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</si>
  <si>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</si>
  <si>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</si>
  <si>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</si>
  <si>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</si>
  <si>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</si>
  <si>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</si>
  <si>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</si>
  <si>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</si>
  <si>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</si>
  <si>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</si>
  <si>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</si>
  <si>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</si>
  <si>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</si>
  <si>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</si>
  <si>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</si>
  <si>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</si>
  <si>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</si>
  <si>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</si>
  <si>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</si>
  <si>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</si>
  <si>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</si>
  <si>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</si>
  <si>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</si>
  <si>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</si>
  <si>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</si>
  <si>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</si>
  <si>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</si>
  <si>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</si>
  <si>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</si>
  <si>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</si>
  <si>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</si>
  <si>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</si>
  <si>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</si>
  <si>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</si>
  <si>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</si>
  <si>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</si>
  <si>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</si>
  <si>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</si>
  <si>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</si>
  <si>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</si>
  <si>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</si>
  <si>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</si>
  <si>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</si>
  <si>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</si>
  <si>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</si>
  <si>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</si>
  <si>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</si>
  <si>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</si>
  <si>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</si>
  <si>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</si>
  <si>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</si>
  <si>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</si>
  <si>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</si>
  <si>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</si>
  <si>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</si>
  <si>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</si>
  <si>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</si>
  <si>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</si>
  <si>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</si>
  <si>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</si>
  <si>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</si>
  <si>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</si>
  <si>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</si>
  <si>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</si>
  <si>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</si>
  <si>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</si>
  <si>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</si>
  <si>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</si>
  <si>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</si>
  <si>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</si>
  <si>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</si>
  <si>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</si>
  <si>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</si>
  <si>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</si>
  <si>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</si>
  <si>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</si>
  <si>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</si>
  <si>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</si>
  <si>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</si>
  <si>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</si>
  <si>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</si>
  <si>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</si>
  <si>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</si>
  <si>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</si>
  <si>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</si>
  <si>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</si>
  <si>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</si>
  <si>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</si>
  <si>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</si>
  <si>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</si>
  <si>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</si>
  <si>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</si>
  <si>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</si>
  <si>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</si>
  <si>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</si>
  <si>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</si>
  <si>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</si>
  <si>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</si>
  <si>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</si>
  <si>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</si>
  <si>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</si>
  <si>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</si>
  <si>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</si>
  <si>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</si>
  <si>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</si>
  <si>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Cerdo para cervicios</t>
  </si>
  <si>
    <t>Publicidad</t>
  </si>
  <si>
    <t>utencilios, platos, chia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</si>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</sst>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64" fontId="0" fillId="0" borderId="0" xfId="0" applyNumberFormat="1" applyAlignment="1">
      <alignment horizontal="center" vertical="center"/>
    </xf>
    <xf numFmtId="14" fontId="0" fillId="2" borderId="0" xfId="0" applyNumberFormat="1" applyFill="1"/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31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6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906188773151" backgroundQuery="1" createdVersion="8" refreshedVersion="8" minRefreshableVersion="3" recordCount="0" supportSubquery="1" supportAdvancedDrill="1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2">
      <pivotArea outline="0" collapsedLevelsAreSubtotals="1" fieldPosition="0"/>
    </format>
    <format dxfId="31">
      <pivotArea outline="0" collapsedLevelsAreSubtotals="1" fieldPosition="0"/>
    </format>
    <format dxfId="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7">
      <pivotArea outline="0" collapsedLevelsAreSubtotals="1" fieldPosition="0"/>
    </format>
    <format dxfId="36">
      <pivotArea outline="0" collapsedLevelsAreSubtotals="1" fieldPosition="0"/>
    </format>
    <format dxfId="35">
      <pivotArea outline="0" collapsedLevelsAreSubtotals="1" fieldPosition="0"/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3" cacheId="1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29">
      <pivotArea outline="0" collapsedLevelsAreSubtotals="1" fieldPosition="0"/>
    </format>
    <format dxfId="28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27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26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25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24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23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22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21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20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5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8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9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2" cacheId="17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5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1" cacheId="15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6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4" cacheId="18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7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1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82"/>
  <sheetViews>
    <sheetView showGridLines="0" zoomScale="70" zoomScaleNormal="70" workbookViewId="0">
      <pane ySplit="16" topLeftCell="A81" activePane="bottomLeft" state="frozen"/>
      <selection pane="bottomLeft" activeCell="C81" sqref="C81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2867900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30676167</v>
      </c>
      <c r="G5" t="s">
        <v>112</v>
      </c>
    </row>
    <row r="6" spans="1:8" outlineLevel="1" x14ac:dyDescent="0.25"/>
    <row r="7" spans="1:8" outlineLevel="1" x14ac:dyDescent="0.25">
      <c r="C7" s="3">
        <f>+C5/2</f>
        <v>15338083.5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ht="16.5" customHeight="1" outlineLevel="1" x14ac:dyDescent="0.25">
      <c r="B12" s="2">
        <v>46084</v>
      </c>
      <c r="C12" s="3">
        <v>1500000</v>
      </c>
      <c r="D12"/>
    </row>
    <row r="13" spans="1:8" outlineLevel="1" x14ac:dyDescent="0.25">
      <c r="C13" s="16">
        <f>+C7-C4-SUM(C8:C12)</f>
        <v>5670183.5</v>
      </c>
    </row>
    <row r="14" spans="1:8" outlineLevel="1" x14ac:dyDescent="0.25"/>
    <row r="15" spans="1:8" ht="17.25" x14ac:dyDescent="0.4">
      <c r="C15" s="14">
        <f>+SUM(C17:C1048576)-C5</f>
        <v>0</v>
      </c>
      <c r="E15" s="3" t="s">
        <v>0</v>
      </c>
    </row>
    <row r="16" spans="1:8" x14ac:dyDescent="0.25">
      <c r="A16" s="4" t="s">
        <v>68</v>
      </c>
      <c r="B16" s="4" t="s">
        <v>5</v>
      </c>
      <c r="C16" s="5" t="s">
        <v>6</v>
      </c>
      <c r="D16" s="5" t="s">
        <v>7</v>
      </c>
      <c r="E16" s="5" t="s">
        <v>37</v>
      </c>
      <c r="F16" s="4" t="s">
        <v>1</v>
      </c>
      <c r="G16" s="4" t="s">
        <v>3</v>
      </c>
      <c r="H16" s="4" t="s">
        <v>15</v>
      </c>
    </row>
    <row r="17" spans="1:8" x14ac:dyDescent="0.25">
      <c r="A17">
        <v>1</v>
      </c>
      <c r="B17" s="2">
        <v>46049</v>
      </c>
      <c r="C17" s="3">
        <f>1350000+150000</f>
        <v>1500000</v>
      </c>
      <c r="D17" s="3" t="s">
        <v>9</v>
      </c>
      <c r="E17" s="3" t="s">
        <v>69</v>
      </c>
      <c r="F17" t="s">
        <v>10</v>
      </c>
      <c r="G17" t="s">
        <v>21</v>
      </c>
      <c r="H17" t="s">
        <v>22</v>
      </c>
    </row>
    <row r="18" spans="1:8" x14ac:dyDescent="0.25">
      <c r="A18">
        <v>2</v>
      </c>
      <c r="B18" s="2">
        <v>46049</v>
      </c>
      <c r="C18" s="3">
        <f>2500000+1400000+400000</f>
        <v>4300000</v>
      </c>
      <c r="D18" s="3" t="s">
        <v>9</v>
      </c>
      <c r="E18" s="3" t="s">
        <v>69</v>
      </c>
      <c r="F18" t="s">
        <v>10</v>
      </c>
      <c r="G18" s="8" t="s">
        <v>38</v>
      </c>
      <c r="H18" t="s">
        <v>61</v>
      </c>
    </row>
    <row r="19" spans="1:8" x14ac:dyDescent="0.25">
      <c r="A19">
        <v>3</v>
      </c>
      <c r="B19" s="2">
        <v>46056</v>
      </c>
      <c r="C19" s="3">
        <f>5400000+500000+(25000*2)</f>
        <v>5950000</v>
      </c>
      <c r="D19" s="3" t="s">
        <v>9</v>
      </c>
      <c r="E19" s="3" t="s">
        <v>69</v>
      </c>
      <c r="F19" t="s">
        <v>10</v>
      </c>
      <c r="G19" s="8" t="s">
        <v>41</v>
      </c>
      <c r="H19" s="3" t="s">
        <v>54</v>
      </c>
    </row>
    <row r="20" spans="1:8" x14ac:dyDescent="0.25">
      <c r="A20">
        <v>4</v>
      </c>
      <c r="B20" s="2">
        <v>46056</v>
      </c>
      <c r="C20" s="3">
        <v>80000</v>
      </c>
      <c r="D20" s="3" t="s">
        <v>9</v>
      </c>
      <c r="E20" s="3" t="s">
        <v>101</v>
      </c>
      <c r="F20" t="s">
        <v>10</v>
      </c>
      <c r="G20" s="8" t="s">
        <v>71</v>
      </c>
      <c r="H20" s="3" t="s">
        <v>72</v>
      </c>
    </row>
    <row r="21" spans="1:8" x14ac:dyDescent="0.25">
      <c r="A21">
        <v>5</v>
      </c>
      <c r="B21" s="2">
        <v>46056</v>
      </c>
      <c r="C21" s="3">
        <v>100000</v>
      </c>
      <c r="D21" s="3" t="s">
        <v>9</v>
      </c>
      <c r="E21" s="3" t="s">
        <v>101</v>
      </c>
      <c r="F21" t="s">
        <v>10</v>
      </c>
      <c r="G21" s="8" t="s">
        <v>47</v>
      </c>
      <c r="H21" t="s">
        <v>42</v>
      </c>
    </row>
    <row r="22" spans="1:8" x14ac:dyDescent="0.25">
      <c r="A22">
        <v>6</v>
      </c>
      <c r="B22" s="2">
        <v>46056</v>
      </c>
      <c r="C22" s="3">
        <v>30000</v>
      </c>
      <c r="D22" s="3" t="s">
        <v>9</v>
      </c>
      <c r="E22" s="3" t="s">
        <v>46</v>
      </c>
      <c r="F22" t="s">
        <v>10</v>
      </c>
      <c r="G22" s="8" t="s">
        <v>48</v>
      </c>
      <c r="H22" t="s">
        <v>42</v>
      </c>
    </row>
    <row r="23" spans="1:8" x14ac:dyDescent="0.25">
      <c r="A23">
        <v>7</v>
      </c>
      <c r="B23" s="2">
        <v>46060</v>
      </c>
      <c r="C23" s="3">
        <v>200000</v>
      </c>
      <c r="D23" s="3" t="s">
        <v>9</v>
      </c>
      <c r="E23" s="3" t="s">
        <v>101</v>
      </c>
      <c r="F23" t="s">
        <v>10</v>
      </c>
      <c r="G23" t="s">
        <v>57</v>
      </c>
      <c r="H23" t="s">
        <v>58</v>
      </c>
    </row>
    <row r="24" spans="1:8" x14ac:dyDescent="0.25">
      <c r="A24">
        <v>8</v>
      </c>
      <c r="B24" s="2">
        <v>46060</v>
      </c>
      <c r="C24" s="3">
        <v>110000</v>
      </c>
      <c r="D24" s="3" t="s">
        <v>9</v>
      </c>
      <c r="E24" s="3" t="s">
        <v>101</v>
      </c>
      <c r="F24" t="s">
        <v>10</v>
      </c>
      <c r="G24" s="8" t="s">
        <v>43</v>
      </c>
      <c r="H24" t="s">
        <v>66</v>
      </c>
    </row>
    <row r="25" spans="1:8" x14ac:dyDescent="0.25">
      <c r="A25">
        <v>9</v>
      </c>
      <c r="B25" s="2">
        <v>46060</v>
      </c>
      <c r="C25" s="3">
        <f>27000+35000</f>
        <v>62000</v>
      </c>
      <c r="D25" s="3" t="s">
        <v>9</v>
      </c>
      <c r="E25" s="3" t="s">
        <v>69</v>
      </c>
      <c r="F25" t="s">
        <v>10</v>
      </c>
      <c r="G25" t="s">
        <v>16</v>
      </c>
      <c r="H25" s="3" t="s">
        <v>80</v>
      </c>
    </row>
    <row r="26" spans="1:8" x14ac:dyDescent="0.25">
      <c r="A26">
        <v>10</v>
      </c>
      <c r="B26" s="2">
        <v>46056</v>
      </c>
      <c r="C26" s="3">
        <v>2400000</v>
      </c>
      <c r="D26" s="3" t="s">
        <v>9</v>
      </c>
      <c r="E26" s="3" t="s">
        <v>101</v>
      </c>
      <c r="F26" t="s">
        <v>10</v>
      </c>
      <c r="G26" t="s">
        <v>14</v>
      </c>
      <c r="H26" s="3" t="s">
        <v>40</v>
      </c>
    </row>
    <row r="27" spans="1:8" x14ac:dyDescent="0.25">
      <c r="A27">
        <v>11</v>
      </c>
      <c r="B27" s="2">
        <v>46056</v>
      </c>
      <c r="C27" s="3">
        <v>108150</v>
      </c>
      <c r="D27" s="3" t="s">
        <v>9</v>
      </c>
      <c r="E27" s="3" t="s">
        <v>101</v>
      </c>
      <c r="F27" t="s">
        <v>10</v>
      </c>
      <c r="G27" s="8" t="s">
        <v>44</v>
      </c>
      <c r="H27" s="3" t="s">
        <v>80</v>
      </c>
    </row>
    <row r="28" spans="1:8" x14ac:dyDescent="0.25">
      <c r="A28">
        <v>11</v>
      </c>
      <c r="B28" s="2">
        <v>46056</v>
      </c>
      <c r="C28" s="3">
        <v>180000</v>
      </c>
      <c r="D28" s="3" t="s">
        <v>9</v>
      </c>
      <c r="F28" t="s">
        <v>10</v>
      </c>
      <c r="G28" t="s">
        <v>25</v>
      </c>
      <c r="H28" t="s">
        <v>26</v>
      </c>
    </row>
    <row r="29" spans="1:8" x14ac:dyDescent="0.25">
      <c r="A29">
        <v>13</v>
      </c>
      <c r="B29" s="2">
        <v>46050</v>
      </c>
      <c r="C29" s="17">
        <v>135400</v>
      </c>
      <c r="D29" s="16" t="s">
        <v>9</v>
      </c>
      <c r="E29" s="3" t="s">
        <v>46</v>
      </c>
      <c r="F29" t="s">
        <v>10</v>
      </c>
      <c r="G29" t="s">
        <v>81</v>
      </c>
    </row>
    <row r="30" spans="1:8" x14ac:dyDescent="0.25">
      <c r="A30">
        <v>13</v>
      </c>
      <c r="B30" s="2">
        <v>46051</v>
      </c>
      <c r="C30" s="3">
        <f>50000+40000+10000+22000</f>
        <v>122000</v>
      </c>
      <c r="D30" s="3" t="s">
        <v>9</v>
      </c>
      <c r="E30" s="3" t="s">
        <v>46</v>
      </c>
      <c r="F30" t="s">
        <v>10</v>
      </c>
      <c r="G30" t="s">
        <v>64</v>
      </c>
    </row>
    <row r="31" spans="1:8" x14ac:dyDescent="0.25">
      <c r="A31">
        <v>14</v>
      </c>
      <c r="B31" s="2">
        <v>46051</v>
      </c>
      <c r="C31" s="3">
        <v>21900</v>
      </c>
      <c r="D31" s="18" t="s">
        <v>82</v>
      </c>
      <c r="E31" s="3" t="s">
        <v>95</v>
      </c>
      <c r="F31" t="s">
        <v>2</v>
      </c>
      <c r="G31" s="8" t="s">
        <v>4</v>
      </c>
    </row>
    <row r="32" spans="1:8" x14ac:dyDescent="0.25">
      <c r="A32">
        <v>15</v>
      </c>
      <c r="B32" s="2">
        <v>46051</v>
      </c>
      <c r="C32" s="3">
        <v>380000</v>
      </c>
      <c r="D32" s="18" t="s">
        <v>82</v>
      </c>
      <c r="E32" s="3" t="s">
        <v>95</v>
      </c>
      <c r="F32" t="s">
        <v>10</v>
      </c>
      <c r="G32" s="8" t="s">
        <v>83</v>
      </c>
    </row>
    <row r="33" spans="1:9" x14ac:dyDescent="0.25">
      <c r="A33">
        <v>16</v>
      </c>
      <c r="B33" s="2">
        <v>46051</v>
      </c>
      <c r="C33" s="3">
        <v>100000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17</v>
      </c>
      <c r="B34" s="2">
        <v>46051</v>
      </c>
      <c r="C34" s="3">
        <v>30000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18</v>
      </c>
      <c r="B35" s="2">
        <v>46060</v>
      </c>
      <c r="C35" s="3">
        <v>50000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19</v>
      </c>
      <c r="B36" s="2">
        <v>46066</v>
      </c>
      <c r="C36" s="3">
        <v>70000</v>
      </c>
      <c r="D36" s="18" t="s">
        <v>82</v>
      </c>
      <c r="E36" s="3" t="s">
        <v>95</v>
      </c>
      <c r="F36" t="s">
        <v>10</v>
      </c>
      <c r="G36" t="s">
        <v>83</v>
      </c>
    </row>
    <row r="37" spans="1:9" x14ac:dyDescent="0.25">
      <c r="A37">
        <v>20</v>
      </c>
      <c r="B37" s="2">
        <v>46057</v>
      </c>
      <c r="C37" s="3">
        <v>490000</v>
      </c>
      <c r="D37" s="18" t="s">
        <v>96</v>
      </c>
      <c r="F37" t="s">
        <v>2</v>
      </c>
      <c r="G37" s="8" t="s">
        <v>13</v>
      </c>
    </row>
    <row r="38" spans="1:9" x14ac:dyDescent="0.25">
      <c r="A38">
        <v>22</v>
      </c>
      <c r="B38" s="2">
        <v>46062</v>
      </c>
      <c r="C38" s="3">
        <f>1650000+50000</f>
        <v>1700000</v>
      </c>
      <c r="D38" s="18" t="s">
        <v>82</v>
      </c>
      <c r="F38" t="s">
        <v>10</v>
      </c>
      <c r="G38" s="8" t="s">
        <v>65</v>
      </c>
      <c r="H38" t="s">
        <v>19</v>
      </c>
      <c r="I38" t="s">
        <v>20</v>
      </c>
    </row>
    <row r="39" spans="1:9" x14ac:dyDescent="0.25">
      <c r="A39">
        <v>23</v>
      </c>
      <c r="B39" s="21">
        <v>46065</v>
      </c>
      <c r="C39" s="19">
        <f>15500+49000+14400+83115+4900+47200+44500</f>
        <v>258615</v>
      </c>
      <c r="D39" s="18" t="s">
        <v>82</v>
      </c>
      <c r="E39" s="19"/>
      <c r="F39" s="20" t="s">
        <v>10</v>
      </c>
      <c r="G39" s="20" t="s">
        <v>84</v>
      </c>
    </row>
    <row r="40" spans="1:9" x14ac:dyDescent="0.25">
      <c r="A40">
        <v>24</v>
      </c>
      <c r="B40" s="21">
        <v>46065</v>
      </c>
      <c r="C40" s="19">
        <f>38050+47400+30000</f>
        <v>115450</v>
      </c>
      <c r="D40" s="18" t="s">
        <v>82</v>
      </c>
      <c r="E40" s="19"/>
      <c r="F40" s="20" t="s">
        <v>10</v>
      </c>
      <c r="G40" s="20" t="s">
        <v>87</v>
      </c>
    </row>
    <row r="41" spans="1:9" x14ac:dyDescent="0.25">
      <c r="A41">
        <v>25</v>
      </c>
      <c r="B41" s="2">
        <v>46070</v>
      </c>
      <c r="C41" s="3">
        <v>60000</v>
      </c>
      <c r="D41" s="3" t="s">
        <v>8</v>
      </c>
      <c r="F41" t="s">
        <v>2</v>
      </c>
      <c r="G41" s="22" t="s">
        <v>97</v>
      </c>
    </row>
    <row r="42" spans="1:9" x14ac:dyDescent="0.25">
      <c r="A42">
        <v>26</v>
      </c>
      <c r="B42" s="2">
        <v>46071</v>
      </c>
      <c r="C42" s="3">
        <f>1345000+200000</f>
        <v>1545000</v>
      </c>
      <c r="D42" s="3" t="s">
        <v>9</v>
      </c>
      <c r="E42" s="3" t="s">
        <v>101</v>
      </c>
      <c r="F42" t="s">
        <v>10</v>
      </c>
      <c r="G42" t="s">
        <v>29</v>
      </c>
      <c r="H42" t="s">
        <v>28</v>
      </c>
    </row>
    <row r="43" spans="1:9" x14ac:dyDescent="0.25">
      <c r="A43">
        <v>27</v>
      </c>
      <c r="B43" s="2">
        <v>46071</v>
      </c>
      <c r="C43" s="3">
        <v>151300</v>
      </c>
      <c r="D43" s="18" t="s">
        <v>82</v>
      </c>
      <c r="E43" s="3" t="s">
        <v>46</v>
      </c>
      <c r="F43" t="s">
        <v>10</v>
      </c>
      <c r="G43" t="s">
        <v>94</v>
      </c>
      <c r="H43" t="s">
        <v>27</v>
      </c>
    </row>
    <row r="44" spans="1:9" x14ac:dyDescent="0.25">
      <c r="A44">
        <v>28</v>
      </c>
      <c r="B44" s="2">
        <v>46072</v>
      </c>
      <c r="C44" s="3">
        <v>300000</v>
      </c>
      <c r="D44" s="3" t="s">
        <v>9</v>
      </c>
      <c r="E44" s="3" t="s">
        <v>101</v>
      </c>
      <c r="F44" t="s">
        <v>10</v>
      </c>
      <c r="G44" t="s">
        <v>30</v>
      </c>
    </row>
    <row r="45" spans="1:9" x14ac:dyDescent="0.25">
      <c r="A45">
        <v>29</v>
      </c>
      <c r="B45" s="2">
        <v>46048</v>
      </c>
      <c r="C45" s="3">
        <v>150000</v>
      </c>
      <c r="D45" s="18" t="s">
        <v>82</v>
      </c>
      <c r="F45" t="s">
        <v>10</v>
      </c>
      <c r="G45" s="7" t="s">
        <v>86</v>
      </c>
    </row>
    <row r="46" spans="1:9" x14ac:dyDescent="0.25">
      <c r="A46">
        <v>30</v>
      </c>
      <c r="B46" s="2">
        <v>46048</v>
      </c>
      <c r="C46" s="6">
        <v>750000</v>
      </c>
      <c r="D46" s="3" t="s">
        <v>8</v>
      </c>
      <c r="F46" t="s">
        <v>10</v>
      </c>
      <c r="G46" s="7" t="s">
        <v>11</v>
      </c>
    </row>
    <row r="47" spans="1:9" x14ac:dyDescent="0.25">
      <c r="A47">
        <v>31</v>
      </c>
      <c r="B47" s="2">
        <v>46069</v>
      </c>
      <c r="C47" s="3">
        <v>900000</v>
      </c>
      <c r="D47" s="3" t="s">
        <v>8</v>
      </c>
      <c r="F47" t="s">
        <v>2</v>
      </c>
      <c r="G47" s="7" t="s">
        <v>11</v>
      </c>
    </row>
    <row r="48" spans="1:9" x14ac:dyDescent="0.25">
      <c r="A48">
        <v>32</v>
      </c>
      <c r="B48" s="2">
        <v>46070</v>
      </c>
      <c r="C48" s="3">
        <v>730000</v>
      </c>
      <c r="D48" s="18" t="s">
        <v>82</v>
      </c>
      <c r="E48" s="3" t="s">
        <v>89</v>
      </c>
      <c r="F48" t="s">
        <v>10</v>
      </c>
      <c r="G48" t="s">
        <v>90</v>
      </c>
      <c r="H48" t="s">
        <v>91</v>
      </c>
    </row>
    <row r="49" spans="1:8" x14ac:dyDescent="0.25">
      <c r="A49">
        <v>33</v>
      </c>
      <c r="B49" s="2">
        <v>46070</v>
      </c>
      <c r="C49" s="3">
        <v>420000</v>
      </c>
      <c r="D49" s="18" t="s">
        <v>82</v>
      </c>
      <c r="E49" s="3" t="s">
        <v>89</v>
      </c>
      <c r="F49" t="s">
        <v>10</v>
      </c>
      <c r="G49" t="s">
        <v>98</v>
      </c>
      <c r="H49" t="s">
        <v>23</v>
      </c>
    </row>
    <row r="50" spans="1:8" x14ac:dyDescent="0.25">
      <c r="A50">
        <v>34</v>
      </c>
      <c r="B50" s="2">
        <v>46070</v>
      </c>
      <c r="C50" s="3">
        <v>300000</v>
      </c>
      <c r="D50" s="18" t="s">
        <v>82</v>
      </c>
      <c r="F50" t="s">
        <v>10</v>
      </c>
      <c r="G50" s="8" t="s">
        <v>88</v>
      </c>
    </row>
    <row r="51" spans="1:8" x14ac:dyDescent="0.25">
      <c r="A51">
        <v>35</v>
      </c>
      <c r="B51" s="2">
        <v>46070</v>
      </c>
      <c r="C51" s="3">
        <v>140000</v>
      </c>
      <c r="D51" s="18" t="s">
        <v>82</v>
      </c>
      <c r="F51" t="s">
        <v>10</v>
      </c>
      <c r="G51" s="8" t="s">
        <v>92</v>
      </c>
    </row>
    <row r="52" spans="1:8" x14ac:dyDescent="0.25">
      <c r="A52">
        <v>36</v>
      </c>
      <c r="B52" s="2">
        <v>46070</v>
      </c>
      <c r="C52" s="3">
        <v>550000</v>
      </c>
      <c r="D52" s="18" t="s">
        <v>9</v>
      </c>
      <c r="E52" s="3" t="s">
        <v>101</v>
      </c>
      <c r="F52" t="s">
        <v>10</v>
      </c>
      <c r="G52" t="s">
        <v>31</v>
      </c>
    </row>
    <row r="53" spans="1:8" x14ac:dyDescent="0.25">
      <c r="A53">
        <v>37</v>
      </c>
      <c r="B53" s="2">
        <v>46070</v>
      </c>
      <c r="C53" s="3">
        <f>415000+49000</f>
        <v>464000</v>
      </c>
      <c r="D53" s="3" t="s">
        <v>9</v>
      </c>
      <c r="E53" s="3" t="s">
        <v>101</v>
      </c>
      <c r="F53" t="s">
        <v>10</v>
      </c>
      <c r="G53" t="s">
        <v>33</v>
      </c>
    </row>
    <row r="54" spans="1:8" x14ac:dyDescent="0.25">
      <c r="A54">
        <v>38</v>
      </c>
      <c r="B54" s="2">
        <v>46070</v>
      </c>
      <c r="C54" s="3">
        <f>30000+101000</f>
        <v>131000</v>
      </c>
      <c r="D54" s="3" t="s">
        <v>9</v>
      </c>
      <c r="E54" s="3" t="s">
        <v>101</v>
      </c>
      <c r="F54" t="s">
        <v>10</v>
      </c>
      <c r="G54" t="s">
        <v>32</v>
      </c>
    </row>
    <row r="55" spans="1:8" x14ac:dyDescent="0.25">
      <c r="A55">
        <v>40</v>
      </c>
      <c r="B55" s="2">
        <v>46072</v>
      </c>
      <c r="C55" s="3">
        <v>40000</v>
      </c>
      <c r="D55" s="10" t="s">
        <v>24</v>
      </c>
      <c r="E55" s="10"/>
      <c r="F55" t="s">
        <v>10</v>
      </c>
      <c r="G55" t="s">
        <v>93</v>
      </c>
    </row>
    <row r="56" spans="1:8" x14ac:dyDescent="0.25">
      <c r="A56">
        <v>41</v>
      </c>
      <c r="B56" s="2">
        <v>46072</v>
      </c>
      <c r="C56" s="3">
        <v>140000</v>
      </c>
      <c r="D56" s="10" t="s">
        <v>24</v>
      </c>
      <c r="E56" s="10"/>
      <c r="F56" t="s">
        <v>10</v>
      </c>
      <c r="G56" t="s">
        <v>108</v>
      </c>
    </row>
    <row r="57" spans="1:8" x14ac:dyDescent="0.25">
      <c r="A57">
        <v>42</v>
      </c>
      <c r="B57" s="2">
        <v>46072</v>
      </c>
      <c r="C57" s="3">
        <f>3500*580</f>
        <v>2030000</v>
      </c>
      <c r="D57" s="10" t="s">
        <v>24</v>
      </c>
      <c r="E57" s="10"/>
      <c r="F57" t="s">
        <v>10</v>
      </c>
      <c r="G57" t="s">
        <v>85</v>
      </c>
    </row>
    <row r="58" spans="1:8" x14ac:dyDescent="0.25">
      <c r="A58">
        <v>43</v>
      </c>
      <c r="B58" s="2">
        <v>46070</v>
      </c>
      <c r="C58" s="3">
        <v>40000</v>
      </c>
      <c r="D58" s="10" t="s">
        <v>24</v>
      </c>
      <c r="E58" s="10"/>
      <c r="F58" t="s">
        <v>10</v>
      </c>
      <c r="G58" t="s">
        <v>18</v>
      </c>
    </row>
    <row r="59" spans="1:8" x14ac:dyDescent="0.25">
      <c r="A59">
        <v>44</v>
      </c>
      <c r="B59" s="2">
        <v>46073</v>
      </c>
      <c r="C59" s="3">
        <v>15000</v>
      </c>
      <c r="D59" s="3" t="s">
        <v>9</v>
      </c>
      <c r="E59" s="3" t="s">
        <v>101</v>
      </c>
      <c r="F59" t="s">
        <v>2</v>
      </c>
      <c r="G59" s="3" t="s">
        <v>102</v>
      </c>
    </row>
    <row r="60" spans="1:8" x14ac:dyDescent="0.25">
      <c r="A60">
        <v>45</v>
      </c>
      <c r="B60" s="2">
        <v>46073</v>
      </c>
      <c r="C60" s="3">
        <v>619850</v>
      </c>
      <c r="D60" s="10" t="s">
        <v>24</v>
      </c>
      <c r="F60" t="s">
        <v>10</v>
      </c>
      <c r="G60" t="s">
        <v>103</v>
      </c>
    </row>
    <row r="61" spans="1:8" x14ac:dyDescent="0.25">
      <c r="A61">
        <v>46</v>
      </c>
      <c r="B61" s="2">
        <v>46073</v>
      </c>
      <c r="C61" s="3">
        <v>90000</v>
      </c>
      <c r="D61" s="10" t="s">
        <v>24</v>
      </c>
      <c r="F61" t="s">
        <v>10</v>
      </c>
      <c r="G61" t="s">
        <v>104</v>
      </c>
    </row>
    <row r="62" spans="1:8" x14ac:dyDescent="0.25">
      <c r="A62">
        <v>47</v>
      </c>
      <c r="B62" s="2">
        <v>46073</v>
      </c>
      <c r="C62" s="3">
        <v>20000</v>
      </c>
      <c r="D62" s="18" t="s">
        <v>82</v>
      </c>
      <c r="F62" t="s">
        <v>10</v>
      </c>
      <c r="G62" t="s">
        <v>105</v>
      </c>
    </row>
    <row r="63" spans="1:8" x14ac:dyDescent="0.25">
      <c r="A63">
        <v>48</v>
      </c>
      <c r="B63" s="2">
        <v>46073</v>
      </c>
      <c r="C63" s="3">
        <v>260100</v>
      </c>
      <c r="D63" s="3" t="s">
        <v>9</v>
      </c>
      <c r="E63" s="3" t="s">
        <v>46</v>
      </c>
      <c r="F63" t="s">
        <v>10</v>
      </c>
      <c r="G63" t="s">
        <v>106</v>
      </c>
    </row>
    <row r="64" spans="1:8" x14ac:dyDescent="0.25">
      <c r="A64">
        <v>49</v>
      </c>
      <c r="B64" s="2">
        <v>46073</v>
      </c>
      <c r="C64" s="3">
        <v>412000</v>
      </c>
      <c r="D64" s="10" t="s">
        <v>24</v>
      </c>
      <c r="F64" t="s">
        <v>10</v>
      </c>
      <c r="G64" s="1" t="s">
        <v>107</v>
      </c>
    </row>
    <row r="65" spans="1:7" x14ac:dyDescent="0.25">
      <c r="A65">
        <v>50</v>
      </c>
      <c r="B65" s="2">
        <v>46073</v>
      </c>
      <c r="C65" s="3">
        <v>80000</v>
      </c>
      <c r="D65" s="3" t="s">
        <v>9</v>
      </c>
      <c r="F65" t="s">
        <v>2</v>
      </c>
      <c r="G65" t="s">
        <v>113</v>
      </c>
    </row>
    <row r="66" spans="1:7" x14ac:dyDescent="0.25">
      <c r="A66">
        <v>51</v>
      </c>
      <c r="B66" s="2">
        <v>46074</v>
      </c>
      <c r="C66" s="3">
        <v>57000</v>
      </c>
      <c r="D66" s="10" t="s">
        <v>24</v>
      </c>
      <c r="F66" t="s">
        <v>10</v>
      </c>
      <c r="G66" t="s">
        <v>114</v>
      </c>
    </row>
    <row r="67" spans="1:7" x14ac:dyDescent="0.25">
      <c r="B67" s="2">
        <v>46074</v>
      </c>
      <c r="C67" s="3">
        <v>5600</v>
      </c>
      <c r="D67" s="3" t="s">
        <v>8</v>
      </c>
      <c r="F67" t="s">
        <v>10</v>
      </c>
      <c r="G67" t="s">
        <v>115</v>
      </c>
    </row>
    <row r="68" spans="1:7" x14ac:dyDescent="0.25">
      <c r="B68" s="2">
        <v>46074</v>
      </c>
      <c r="C68" s="3">
        <v>15000</v>
      </c>
      <c r="D68" s="3" t="s">
        <v>9</v>
      </c>
      <c r="F68" t="s">
        <v>10</v>
      </c>
      <c r="G68" t="s">
        <v>116</v>
      </c>
    </row>
    <row r="71" spans="1:7" x14ac:dyDescent="0.25">
      <c r="B71" s="2">
        <v>46076</v>
      </c>
      <c r="C71" s="3">
        <v>58200</v>
      </c>
      <c r="D71" s="3" t="s">
        <v>8</v>
      </c>
      <c r="F71" t="s">
        <v>10</v>
      </c>
      <c r="G71" t="s">
        <v>136</v>
      </c>
    </row>
    <row r="72" spans="1:7" x14ac:dyDescent="0.25">
      <c r="B72" s="2">
        <v>46076</v>
      </c>
      <c r="C72" s="3">
        <v>63202</v>
      </c>
      <c r="D72" s="3" t="s">
        <v>8</v>
      </c>
      <c r="F72" t="s">
        <v>10</v>
      </c>
      <c r="G72" t="s">
        <v>119</v>
      </c>
    </row>
    <row r="73" spans="1:7" x14ac:dyDescent="0.25">
      <c r="B73" s="2">
        <v>46076</v>
      </c>
      <c r="C73" s="3">
        <f>8200+1300</f>
        <v>9500</v>
      </c>
      <c r="D73" s="3" t="s">
        <v>8</v>
      </c>
      <c r="F73" t="s">
        <v>10</v>
      </c>
      <c r="G73" t="s">
        <v>12</v>
      </c>
    </row>
    <row r="74" spans="1:7" x14ac:dyDescent="0.25">
      <c r="B74" s="2">
        <v>46076</v>
      </c>
      <c r="C74" s="3">
        <v>20400</v>
      </c>
      <c r="D74" s="10" t="s">
        <v>24</v>
      </c>
      <c r="F74" t="s">
        <v>10</v>
      </c>
      <c r="G74" t="s">
        <v>120</v>
      </c>
    </row>
    <row r="75" spans="1:7" x14ac:dyDescent="0.25">
      <c r="B75" s="2">
        <v>46076</v>
      </c>
      <c r="C75" s="3">
        <v>42500</v>
      </c>
      <c r="D75" s="10" t="s">
        <v>24</v>
      </c>
      <c r="F75" t="s">
        <v>10</v>
      </c>
      <c r="G75" t="s">
        <v>117</v>
      </c>
    </row>
    <row r="76" spans="1:7" x14ac:dyDescent="0.25">
      <c r="B76" s="2">
        <v>46076</v>
      </c>
      <c r="C76" s="3">
        <v>192000</v>
      </c>
      <c r="D76" s="10" t="s">
        <v>24</v>
      </c>
      <c r="F76" t="s">
        <v>10</v>
      </c>
      <c r="G76" t="s">
        <v>118</v>
      </c>
    </row>
    <row r="77" spans="1:7" x14ac:dyDescent="0.25">
      <c r="B77" s="2">
        <v>46076</v>
      </c>
      <c r="C77" s="3">
        <v>260000</v>
      </c>
      <c r="D77" s="3" t="s">
        <v>9</v>
      </c>
      <c r="F77" t="s">
        <v>10</v>
      </c>
      <c r="G77" t="s">
        <v>130</v>
      </c>
    </row>
    <row r="78" spans="1:7" x14ac:dyDescent="0.25">
      <c r="B78" s="2">
        <v>46076</v>
      </c>
      <c r="C78" s="3">
        <v>30000</v>
      </c>
      <c r="D78" s="3" t="s">
        <v>9</v>
      </c>
      <c r="F78" t="s">
        <v>2</v>
      </c>
      <c r="G78" t="s">
        <v>133</v>
      </c>
    </row>
    <row r="79" spans="1:7" x14ac:dyDescent="0.25">
      <c r="B79" s="2">
        <v>46076</v>
      </c>
      <c r="C79" s="16">
        <v>615000</v>
      </c>
      <c r="D79" s="3" t="s">
        <v>8</v>
      </c>
      <c r="F79" t="s">
        <v>2</v>
      </c>
      <c r="G79" t="s">
        <v>134</v>
      </c>
    </row>
    <row r="80" spans="1:7" x14ac:dyDescent="0.25">
      <c r="B80" s="2">
        <v>46076</v>
      </c>
      <c r="C80" s="3">
        <v>81000</v>
      </c>
      <c r="D80" s="3" t="s">
        <v>8</v>
      </c>
      <c r="F80" t="s">
        <v>2</v>
      </c>
      <c r="G80" t="s">
        <v>135</v>
      </c>
    </row>
    <row r="81" spans="2:7" x14ac:dyDescent="0.25">
      <c r="B81" s="2">
        <v>46084</v>
      </c>
      <c r="C81" s="3">
        <v>395000</v>
      </c>
      <c r="D81" s="3" t="s">
        <v>9</v>
      </c>
      <c r="F81" t="s">
        <v>2</v>
      </c>
      <c r="G81" t="s">
        <v>225</v>
      </c>
    </row>
    <row r="82" spans="2:7" x14ac:dyDescent="0.25">
      <c r="B82" s="2">
        <v>46083</v>
      </c>
      <c r="D82" s="3" t="s">
        <v>9</v>
      </c>
      <c r="F82" t="s">
        <v>2</v>
      </c>
      <c r="G82" t="s">
        <v>226</v>
      </c>
    </row>
  </sheetData>
  <autoFilter ref="B16:I59"/>
  <conditionalFormatting sqref="C1:E2 H17:H28 C23:C28 H34:H36 C35:C36 G49 G59">
    <cfRule type="containsText" dxfId="11" priority="19" operator="containsText" text="Patrimonio">
      <formula>NOT(ISERROR(SEARCH("Patrimonio",C1)))</formula>
    </cfRule>
    <cfRule type="containsText" dxfId="10" priority="20" operator="containsText" text="Por Pagar">
      <formula>NOT(ISERROR(SEARCH("Por Pagar",C1)))</formula>
    </cfRule>
  </conditionalFormatting>
  <conditionalFormatting sqref="D5:E80 D83:E1048576 E82">
    <cfRule type="containsText" dxfId="9" priority="5" operator="containsText" text="Patrimonio">
      <formula>NOT(ISERROR(SEARCH("Patrimonio",D5)))</formula>
    </cfRule>
    <cfRule type="containsText" dxfId="8" priority="6" operator="containsText" text="Por Pagar">
      <formula>NOT(ISERROR(SEARCH("Por Pagar",D5)))</formula>
    </cfRule>
  </conditionalFormatting>
  <conditionalFormatting sqref="D81:E81">
    <cfRule type="containsText" dxfId="7" priority="3" operator="containsText" text="Patrimonio">
      <formula>NOT(ISERROR(SEARCH("Patrimonio",D81)))</formula>
    </cfRule>
    <cfRule type="containsText" dxfId="6" priority="4" operator="containsText" text="Por Pagar">
      <formula>NOT(ISERROR(SEARCH("Por Pagar",D81)))</formula>
    </cfRule>
  </conditionalFormatting>
  <conditionalFormatting sqref="D82">
    <cfRule type="containsText" dxfId="5" priority="1" operator="containsText" text="Patrimonio">
      <formula>NOT(ISERROR(SEARCH("Patrimonio",D82)))</formula>
    </cfRule>
    <cfRule type="containsText" dxfId="4" priority="2" operator="containsText" text="Por Pagar">
      <formula>NOT(ISERROR(SEARCH("Por Pagar",D82)))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Q30"/>
  <sheetViews>
    <sheetView showGridLines="0" zoomScale="85" zoomScaleNormal="85" workbookViewId="0">
      <selection activeCell="S9" sqref="S9"/>
    </sheetView>
  </sheetViews>
  <sheetFormatPr baseColWidth="10" defaultRowHeight="15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0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0" hidden="1" customWidth="1" outlineLevel="1"/>
    <col min="10" max="10" width="3.140625" hidden="1" customWidth="1" outlineLevel="1"/>
    <col min="11" max="11" width="0" hidden="1" customWidth="1" outlineLevel="1"/>
    <col min="12" max="12" width="3.140625" hidden="1" customWidth="1" outlineLevel="1"/>
    <col min="13" max="13" width="0" hidden="1" customWidth="1" outlineLevel="1"/>
    <col min="14" max="14" width="3.140625" bestFit="1" customWidth="1" collapsed="1"/>
    <col min="16" max="16" width="3.140625" bestFit="1" customWidth="1" collapsed="1"/>
  </cols>
  <sheetData>
    <row r="1" spans="1:17" x14ac:dyDescent="0.25">
      <c r="A1" s="40">
        <v>197650</v>
      </c>
      <c r="C1" s="42">
        <f>+C14-A1</f>
        <v>7950</v>
      </c>
      <c r="D1" s="40"/>
      <c r="E1" s="41"/>
      <c r="F1" s="41"/>
      <c r="G1" s="41"/>
    </row>
    <row r="2" spans="1:17" x14ac:dyDescent="0.25">
      <c r="A2" s="43" t="s">
        <v>137</v>
      </c>
      <c r="B2" s="44" t="s">
        <v>138</v>
      </c>
      <c r="C2" s="45">
        <v>46076</v>
      </c>
      <c r="D2" s="44" t="s">
        <v>138</v>
      </c>
      <c r="E2" s="45">
        <v>46077</v>
      </c>
      <c r="F2" s="44" t="s">
        <v>138</v>
      </c>
      <c r="G2" s="45">
        <v>46078</v>
      </c>
      <c r="H2" s="44" t="s">
        <v>138</v>
      </c>
      <c r="I2" s="45">
        <v>46079</v>
      </c>
      <c r="J2" s="44" t="s">
        <v>138</v>
      </c>
      <c r="K2" s="45">
        <v>46080</v>
      </c>
      <c r="L2" s="44" t="s">
        <v>138</v>
      </c>
      <c r="M2" s="45">
        <v>46081</v>
      </c>
      <c r="N2" s="44" t="s">
        <v>138</v>
      </c>
      <c r="O2" s="45">
        <v>3</v>
      </c>
      <c r="P2" s="44" t="s">
        <v>138</v>
      </c>
      <c r="Q2" s="45">
        <v>46083</v>
      </c>
    </row>
    <row r="3" spans="1:17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1">
        <v>0</v>
      </c>
      <c r="O3" s="3">
        <f>+$A3*N3</f>
        <v>0</v>
      </c>
      <c r="P3" s="1"/>
      <c r="Q3" s="3">
        <f>+$A3*P3</f>
        <v>0</v>
      </c>
    </row>
    <row r="4" spans="1:17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1">
        <v>1</v>
      </c>
      <c r="O4" s="3">
        <f t="shared" ref="O4" si="5">+$A4*N4</f>
        <v>50000</v>
      </c>
      <c r="P4" s="1"/>
      <c r="Q4" s="3">
        <f t="shared" ref="Q4" si="6">+$A4*P4</f>
        <v>0</v>
      </c>
    </row>
    <row r="5" spans="1:17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1">
        <v>1</v>
      </c>
      <c r="O5" s="3">
        <f>+$A5*N5</f>
        <v>20000</v>
      </c>
      <c r="P5" s="1"/>
      <c r="Q5" s="3">
        <f>+$A5*P5</f>
        <v>0</v>
      </c>
    </row>
    <row r="6" spans="1:17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1">
        <v>4</v>
      </c>
      <c r="O6" s="3">
        <f>+$A6*N6</f>
        <v>40000</v>
      </c>
      <c r="P6" s="1"/>
      <c r="Q6" s="3">
        <f>+$A6*P6</f>
        <v>0</v>
      </c>
    </row>
    <row r="7" spans="1:17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7">+$A7*H7</f>
        <v>30000</v>
      </c>
      <c r="J7" s="26">
        <v>5</v>
      </c>
      <c r="K7" s="3">
        <f t="shared" ref="K7:K13" si="8">+$A7*J7</f>
        <v>25000</v>
      </c>
      <c r="L7" s="26">
        <v>5</v>
      </c>
      <c r="M7" s="3">
        <f t="shared" ref="M7:M13" si="9">+$A7*L7</f>
        <v>25000</v>
      </c>
      <c r="N7" s="1">
        <v>3</v>
      </c>
      <c r="O7" s="3">
        <f t="shared" ref="O7:O13" si="10">+$A7*N7</f>
        <v>15000</v>
      </c>
      <c r="P7" s="1"/>
      <c r="Q7" s="3">
        <f t="shared" ref="Q7:Q13" si="11">+$A7*P7</f>
        <v>0</v>
      </c>
    </row>
    <row r="8" spans="1:17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7"/>
        <v>24000</v>
      </c>
      <c r="J8" s="26">
        <v>17</v>
      </c>
      <c r="K8" s="3">
        <f t="shared" si="8"/>
        <v>34000</v>
      </c>
      <c r="L8" s="26">
        <v>14</v>
      </c>
      <c r="M8" s="3">
        <f t="shared" si="9"/>
        <v>28000</v>
      </c>
      <c r="N8" s="1">
        <v>10</v>
      </c>
      <c r="O8" s="3">
        <f t="shared" si="10"/>
        <v>20000</v>
      </c>
      <c r="P8" s="1"/>
      <c r="Q8" s="3">
        <f t="shared" si="11"/>
        <v>0</v>
      </c>
    </row>
    <row r="9" spans="1:17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7"/>
        <v>3000</v>
      </c>
      <c r="J9" s="26">
        <v>2</v>
      </c>
      <c r="K9" s="3">
        <f t="shared" si="8"/>
        <v>2000</v>
      </c>
      <c r="L9" s="26">
        <v>0</v>
      </c>
      <c r="M9" s="3">
        <f t="shared" si="9"/>
        <v>0</v>
      </c>
      <c r="N9" s="1">
        <v>0</v>
      </c>
      <c r="O9" s="3">
        <f t="shared" si="10"/>
        <v>0</v>
      </c>
      <c r="P9" s="1"/>
      <c r="Q9" s="3">
        <f t="shared" si="11"/>
        <v>0</v>
      </c>
    </row>
    <row r="10" spans="1:17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7"/>
        <v>19000</v>
      </c>
      <c r="J10" s="26">
        <v>37</v>
      </c>
      <c r="K10" s="3">
        <f t="shared" si="8"/>
        <v>18500</v>
      </c>
      <c r="L10" s="26">
        <v>36</v>
      </c>
      <c r="M10" s="3">
        <f t="shared" si="9"/>
        <v>18000</v>
      </c>
      <c r="N10" s="1">
        <v>36</v>
      </c>
      <c r="O10" s="3">
        <f t="shared" si="10"/>
        <v>18000</v>
      </c>
      <c r="P10" s="1"/>
      <c r="Q10" s="3">
        <f t="shared" si="11"/>
        <v>0</v>
      </c>
    </row>
    <row r="11" spans="1:17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7"/>
        <v>12400</v>
      </c>
      <c r="J11" s="26">
        <v>62</v>
      </c>
      <c r="K11" s="3">
        <f t="shared" si="8"/>
        <v>12400</v>
      </c>
      <c r="L11" s="26">
        <v>68</v>
      </c>
      <c r="M11" s="3">
        <f t="shared" si="9"/>
        <v>13600</v>
      </c>
      <c r="N11" s="1">
        <v>81</v>
      </c>
      <c r="O11" s="3">
        <f t="shared" si="10"/>
        <v>16200</v>
      </c>
      <c r="P11" s="1"/>
      <c r="Q11" s="3">
        <f t="shared" si="11"/>
        <v>0</v>
      </c>
    </row>
    <row r="12" spans="1:17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7"/>
        <v>5100</v>
      </c>
      <c r="J12" s="26">
        <v>48</v>
      </c>
      <c r="K12" s="3">
        <f t="shared" si="8"/>
        <v>4800</v>
      </c>
      <c r="L12" s="26">
        <v>63</v>
      </c>
      <c r="M12" s="3">
        <f t="shared" si="9"/>
        <v>6300</v>
      </c>
      <c r="N12" s="1">
        <v>77</v>
      </c>
      <c r="O12" s="3">
        <f t="shared" si="10"/>
        <v>7700</v>
      </c>
      <c r="P12" s="1"/>
      <c r="Q12" s="3">
        <f t="shared" si="11"/>
        <v>0</v>
      </c>
    </row>
    <row r="13" spans="1:17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7"/>
        <v>500</v>
      </c>
      <c r="J13" s="26">
        <v>10</v>
      </c>
      <c r="K13" s="28">
        <f t="shared" si="8"/>
        <v>500</v>
      </c>
      <c r="L13" s="26">
        <v>10</v>
      </c>
      <c r="M13" s="28">
        <f t="shared" si="9"/>
        <v>500</v>
      </c>
      <c r="N13" s="1">
        <v>14</v>
      </c>
      <c r="O13" s="28">
        <f t="shared" si="10"/>
        <v>700</v>
      </c>
      <c r="P13" s="1"/>
      <c r="Q13" s="28">
        <f t="shared" si="11"/>
        <v>0</v>
      </c>
    </row>
    <row r="14" spans="1:17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187600</v>
      </c>
      <c r="Q14" s="17">
        <f>SUM(Q3:Q13)</f>
        <v>0</v>
      </c>
    </row>
    <row r="15" spans="1:17" x14ac:dyDescent="0.25">
      <c r="E15" s="18">
        <f>+SUM('historial de venta'!G32:G37)</f>
        <v>76000</v>
      </c>
    </row>
    <row r="16" spans="1:17" x14ac:dyDescent="0.25">
      <c r="M16" s="13">
        <f>+K14-M18</f>
        <v>95200</v>
      </c>
      <c r="O16" s="13"/>
      <c r="Q16" s="13"/>
    </row>
    <row r="17" spans="1:17" x14ac:dyDescent="0.25">
      <c r="A17" s="48" t="s">
        <v>3</v>
      </c>
      <c r="C17" s="48" t="s">
        <v>166</v>
      </c>
      <c r="D17" s="46"/>
      <c r="E17" s="48" t="s">
        <v>167</v>
      </c>
      <c r="F17" s="47"/>
      <c r="G17" s="48" t="s">
        <v>168</v>
      </c>
      <c r="H17" s="47"/>
      <c r="I17" s="48" t="s">
        <v>169</v>
      </c>
      <c r="J17" s="47"/>
      <c r="K17" s="48" t="s">
        <v>197</v>
      </c>
      <c r="L17" s="47"/>
      <c r="M17" s="48" t="s">
        <v>207</v>
      </c>
      <c r="N17" s="47"/>
      <c r="O17" s="48" t="s">
        <v>207</v>
      </c>
      <c r="P17" s="47"/>
      <c r="Q17" s="48" t="s">
        <v>207</v>
      </c>
    </row>
    <row r="18" spans="1:17" x14ac:dyDescent="0.25">
      <c r="A18" s="19" t="s">
        <v>140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+O14</f>
        <v>187600</v>
      </c>
    </row>
    <row r="19" spans="1:17" x14ac:dyDescent="0.25">
      <c r="A19" s="19" t="s">
        <v>208</v>
      </c>
      <c r="C19" s="19"/>
      <c r="E19" s="49"/>
      <c r="G19" s="49"/>
      <c r="I19" s="49"/>
      <c r="K19" s="49"/>
      <c r="M19" s="66">
        <v>-350000</v>
      </c>
      <c r="O19" s="66"/>
      <c r="Q19" s="66"/>
    </row>
    <row r="20" spans="1:17" x14ac:dyDescent="0.25">
      <c r="A20" s="19" t="s">
        <v>139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/>
      <c r="Q20" s="31">
        <f>+Q18-O18</f>
        <v>46200</v>
      </c>
    </row>
    <row r="21" spans="1:17" ht="15.75" thickBot="1" x14ac:dyDescent="0.3">
      <c r="A21" s="19" t="s">
        <v>141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</row>
    <row r="22" spans="1:17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233800</v>
      </c>
    </row>
    <row r="24" spans="1:17" x14ac:dyDescent="0.25">
      <c r="A24" s="58" t="s">
        <v>199</v>
      </c>
      <c r="C24" s="59">
        <f>C14-C22</f>
        <v>0</v>
      </c>
      <c r="D24" s="59"/>
      <c r="E24" s="59">
        <f>E14-E22</f>
        <v>-76000</v>
      </c>
      <c r="F24" s="59"/>
      <c r="G24" s="59">
        <f>G14-G22</f>
        <v>-432900</v>
      </c>
      <c r="H24" s="59"/>
      <c r="I24" s="59">
        <f>I14-I22</f>
        <v>-27900</v>
      </c>
      <c r="J24" s="59"/>
      <c r="K24" s="59">
        <f>K14-K22</f>
        <v>177100</v>
      </c>
      <c r="L24" s="59"/>
      <c r="M24" s="59">
        <f>M14-M22</f>
        <v>6300</v>
      </c>
      <c r="N24" s="59"/>
      <c r="O24" s="59">
        <f>O14-O22</f>
        <v>46200</v>
      </c>
      <c r="P24" s="59"/>
      <c r="Q24" s="59">
        <f>Q14-Q22</f>
        <v>-233800</v>
      </c>
    </row>
    <row r="30" spans="1:17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"/>
  <sheetViews>
    <sheetView topLeftCell="B1" workbookViewId="0">
      <pane ySplit="4" topLeftCell="A5" activePane="bottomLeft" state="frozen"/>
      <selection pane="bottomLeft" activeCell="I15" sqref="I15:I2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3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3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3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3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3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3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3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3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3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3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7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7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7"/>
    </row>
    <row r="18" spans="1:9" x14ac:dyDescent="0.25">
      <c r="A18" t="s">
        <v>181</v>
      </c>
      <c r="B18" s="53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7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7"/>
    </row>
    <row r="20" spans="1:9" ht="15.75" thickBot="1" x14ac:dyDescent="0.3">
      <c r="A20" t="s">
        <v>181</v>
      </c>
      <c r="B20" s="53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7">
        <f t="shared" si="0"/>
        <v>8000</v>
      </c>
      <c r="I20" s="67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zoomScale="115" zoomScaleNormal="115" workbookViewId="0">
      <selection activeCell="D10" sqref="D10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170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205</v>
      </c>
      <c r="E3" s="22" t="s">
        <v>165</v>
      </c>
    </row>
    <row r="4" spans="1:7" x14ac:dyDescent="0.25">
      <c r="A4" s="38">
        <v>46076</v>
      </c>
      <c r="B4" s="13">
        <v>30500</v>
      </c>
      <c r="C4" s="13"/>
      <c r="D4" s="64">
        <v>32000</v>
      </c>
      <c r="E4" s="39">
        <f>+B4-D4</f>
        <v>-1500</v>
      </c>
      <c r="F4" s="22" t="s">
        <v>164</v>
      </c>
      <c r="G4" t="s">
        <v>163</v>
      </c>
    </row>
    <row r="5" spans="1:7" x14ac:dyDescent="0.25">
      <c r="A5" s="38">
        <v>46077</v>
      </c>
      <c r="B5" s="13">
        <v>11000</v>
      </c>
      <c r="C5" s="13"/>
      <c r="D5" s="64">
        <v>8000</v>
      </c>
      <c r="E5" s="39">
        <f>+B5-D5</f>
        <v>3000</v>
      </c>
      <c r="F5" s="22" t="s">
        <v>162</v>
      </c>
      <c r="G5" t="s">
        <v>161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160</v>
      </c>
    </row>
    <row r="7" spans="1:7" x14ac:dyDescent="0.25">
      <c r="A7" s="38">
        <v>46079</v>
      </c>
      <c r="B7" s="13">
        <v>125000</v>
      </c>
      <c r="C7" s="13"/>
      <c r="D7" s="64">
        <v>125000</v>
      </c>
      <c r="E7" s="39">
        <f t="shared" si="0"/>
        <v>0</v>
      </c>
      <c r="F7" t="s">
        <v>160</v>
      </c>
    </row>
    <row r="8" spans="1:7" x14ac:dyDescent="0.25">
      <c r="A8" s="38">
        <v>46080</v>
      </c>
      <c r="B8" s="13">
        <v>56000</v>
      </c>
      <c r="C8" s="13"/>
      <c r="D8" s="64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5">
        <f>47000+280000</f>
        <v>327000</v>
      </c>
      <c r="E9" s="39">
        <f t="shared" si="0"/>
        <v>0</v>
      </c>
      <c r="F9" t="s">
        <v>160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H27"/>
  <sheetViews>
    <sheetView zoomScale="115" zoomScaleNormal="115" workbookViewId="0">
      <selection activeCell="D8" sqref="D8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</cols>
  <sheetData>
    <row r="1" spans="1:8" x14ac:dyDescent="0.25">
      <c r="D1" s="3">
        <f>+SUM(D3:D1048576)</f>
        <v>36150</v>
      </c>
    </row>
    <row r="2" spans="1:8" x14ac:dyDescent="0.25">
      <c r="A2" s="36" t="s">
        <v>5</v>
      </c>
      <c r="B2" s="36" t="s">
        <v>159</v>
      </c>
      <c r="C2" s="36" t="s">
        <v>158</v>
      </c>
      <c r="D2" s="37" t="s">
        <v>6</v>
      </c>
      <c r="E2" s="37" t="s">
        <v>229</v>
      </c>
      <c r="F2" s="36" t="s">
        <v>157</v>
      </c>
      <c r="G2" s="36" t="s">
        <v>156</v>
      </c>
      <c r="H2" s="36" t="s">
        <v>155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228</v>
      </c>
      <c r="F3" s="32" t="s">
        <v>143</v>
      </c>
      <c r="G3" s="1" t="s">
        <v>144</v>
      </c>
      <c r="H3" t="s">
        <v>219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228</v>
      </c>
      <c r="F4" s="32" t="s">
        <v>143</v>
      </c>
      <c r="G4" s="1" t="s">
        <v>154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228</v>
      </c>
      <c r="F5" s="32" t="s">
        <v>143</v>
      </c>
      <c r="G5" t="s">
        <v>153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228</v>
      </c>
      <c r="F6" s="32" t="s">
        <v>143</v>
      </c>
      <c r="G6" t="s">
        <v>152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228</v>
      </c>
      <c r="F7" s="32" t="s">
        <v>143</v>
      </c>
      <c r="G7" t="s">
        <v>151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228</v>
      </c>
      <c r="F8" s="32" t="s">
        <v>143</v>
      </c>
      <c r="G8" t="s">
        <v>150</v>
      </c>
      <c r="H8" t="s">
        <v>218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228</v>
      </c>
      <c r="F9" s="32" t="s">
        <v>143</v>
      </c>
      <c r="G9" s="1" t="s">
        <v>144</v>
      </c>
      <c r="H9" t="s">
        <v>219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228</v>
      </c>
      <c r="F10" s="32" t="s">
        <v>143</v>
      </c>
      <c r="G10" t="s">
        <v>149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228</v>
      </c>
      <c r="F11" s="33" t="s">
        <v>148</v>
      </c>
      <c r="G11" t="s">
        <v>147</v>
      </c>
      <c r="H11" t="s">
        <v>148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228</v>
      </c>
      <c r="F12" s="32" t="s">
        <v>143</v>
      </c>
      <c r="G12" t="s">
        <v>146</v>
      </c>
      <c r="H12" t="s">
        <v>145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228</v>
      </c>
      <c r="F13" s="32" t="s">
        <v>143</v>
      </c>
      <c r="G13" s="1" t="s">
        <v>144</v>
      </c>
      <c r="H13" t="s">
        <v>219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60">
        <v>49000</v>
      </c>
      <c r="E14" s="3" t="s">
        <v>228</v>
      </c>
      <c r="F14" s="32" t="s">
        <v>143</v>
      </c>
      <c r="G14" t="s">
        <v>142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60">
        <v>11000</v>
      </c>
      <c r="E15" s="3" t="s">
        <v>228</v>
      </c>
      <c r="F15" s="33" t="s">
        <v>148</v>
      </c>
      <c r="G15" t="s">
        <v>147</v>
      </c>
      <c r="H15" t="s">
        <v>148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60">
        <v>10000</v>
      </c>
      <c r="E16" s="3" t="s">
        <v>228</v>
      </c>
      <c r="F16" s="32" t="s">
        <v>143</v>
      </c>
      <c r="G16" t="s">
        <v>202</v>
      </c>
    </row>
    <row r="17" spans="1:8" x14ac:dyDescent="0.25">
      <c r="A17" s="2">
        <v>46080</v>
      </c>
      <c r="B17" s="2" t="str">
        <f t="shared" si="1"/>
        <v>vie</v>
      </c>
      <c r="C17" s="34">
        <v>0.7631944444444444</v>
      </c>
      <c r="D17" s="60">
        <v>24000</v>
      </c>
      <c r="E17" s="3" t="s">
        <v>228</v>
      </c>
      <c r="F17" s="32" t="s">
        <v>143</v>
      </c>
      <c r="G17" t="s">
        <v>203</v>
      </c>
    </row>
    <row r="18" spans="1:8" x14ac:dyDescent="0.25">
      <c r="A18" s="2">
        <v>46080</v>
      </c>
      <c r="B18" s="2" t="str">
        <f t="shared" si="1"/>
        <v>vie</v>
      </c>
      <c r="C18" s="34">
        <v>0.75972222222222219</v>
      </c>
      <c r="D18" s="60">
        <v>11000</v>
      </c>
      <c r="E18" s="3" t="s">
        <v>228</v>
      </c>
      <c r="F18" s="32" t="s">
        <v>143</v>
      </c>
      <c r="G18" t="s">
        <v>204</v>
      </c>
    </row>
    <row r="19" spans="1:8" x14ac:dyDescent="0.25">
      <c r="A19" s="2">
        <v>46081</v>
      </c>
      <c r="B19" s="2" t="str">
        <f t="shared" si="1"/>
        <v>sáb</v>
      </c>
      <c r="C19" s="34"/>
      <c r="D19" s="60">
        <v>280000</v>
      </c>
      <c r="E19" s="3" t="s">
        <v>228</v>
      </c>
      <c r="F19" s="32" t="s">
        <v>143</v>
      </c>
      <c r="G19" t="s">
        <v>212</v>
      </c>
      <c r="H19" t="s">
        <v>220</v>
      </c>
    </row>
    <row r="20" spans="1:8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228</v>
      </c>
      <c r="F20" s="32" t="s">
        <v>143</v>
      </c>
      <c r="G20" t="s">
        <v>213</v>
      </c>
      <c r="H20" t="s">
        <v>218</v>
      </c>
    </row>
    <row r="21" spans="1:8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228</v>
      </c>
      <c r="F21" s="32" t="s">
        <v>143</v>
      </c>
      <c r="G21" t="s">
        <v>214</v>
      </c>
      <c r="H21" t="s">
        <v>216</v>
      </c>
    </row>
    <row r="22" spans="1:8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228</v>
      </c>
      <c r="F22" s="32" t="s">
        <v>143</v>
      </c>
      <c r="G22" t="s">
        <v>202</v>
      </c>
      <c r="H22" t="s">
        <v>217</v>
      </c>
    </row>
    <row r="23" spans="1:8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230</v>
      </c>
      <c r="F23" s="33" t="s">
        <v>148</v>
      </c>
      <c r="G23" t="s">
        <v>231</v>
      </c>
    </row>
    <row r="24" spans="1:8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230</v>
      </c>
      <c r="F24" s="32" t="s">
        <v>143</v>
      </c>
      <c r="G24" t="s">
        <v>231</v>
      </c>
    </row>
    <row r="25" spans="1:8" x14ac:dyDescent="0.25">
      <c r="A25" s="2">
        <v>46084</v>
      </c>
      <c r="B25" s="2" t="str">
        <f t="shared" si="2"/>
        <v>mar</v>
      </c>
      <c r="C25" s="1"/>
      <c r="D25" s="59">
        <v>-619850</v>
      </c>
      <c r="E25" s="3" t="s">
        <v>230</v>
      </c>
      <c r="F25" s="32" t="s">
        <v>143</v>
      </c>
      <c r="G25" t="s">
        <v>227</v>
      </c>
    </row>
    <row r="26" spans="1:8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228</v>
      </c>
      <c r="F26" s="32" t="s">
        <v>143</v>
      </c>
      <c r="G26" t="s">
        <v>232</v>
      </c>
    </row>
    <row r="27" spans="1:8" x14ac:dyDescent="0.25">
      <c r="A27" s="2">
        <v>46084</v>
      </c>
      <c r="B27" s="2" t="str">
        <f t="shared" ref="B27" si="3">+TEXT(A27,"ddd")</f>
        <v>mar</v>
      </c>
      <c r="C27" s="1"/>
      <c r="D27" s="3">
        <v>11000</v>
      </c>
      <c r="E27" s="3" t="s">
        <v>228</v>
      </c>
      <c r="F27" s="33" t="s">
        <v>148</v>
      </c>
      <c r="G27" t="s">
        <v>147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11"/>
  <sheetViews>
    <sheetView tabSelected="1" zoomScale="145" zoomScaleNormal="145" workbookViewId="0">
      <selection activeCell="B9" sqref="B9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9" bestFit="1" customWidth="1"/>
  </cols>
  <sheetData>
    <row r="1" spans="1:3" x14ac:dyDescent="0.25">
      <c r="B1" s="63" t="s">
        <v>211</v>
      </c>
      <c r="C1" s="62">
        <f>+SUM(C3:C1048576)</f>
        <v>72700</v>
      </c>
    </row>
    <row r="2" spans="1:3" x14ac:dyDescent="0.25">
      <c r="A2" s="36" t="s">
        <v>5</v>
      </c>
      <c r="B2" s="36" t="s">
        <v>3</v>
      </c>
      <c r="C2" s="61" t="s">
        <v>222</v>
      </c>
    </row>
    <row r="3" spans="1:3" x14ac:dyDescent="0.25">
      <c r="A3" s="56">
        <v>46076</v>
      </c>
      <c r="B3" t="s">
        <v>206</v>
      </c>
      <c r="C3" s="59">
        <v>73700</v>
      </c>
    </row>
    <row r="4" spans="1:3" x14ac:dyDescent="0.25">
      <c r="A4" s="56">
        <v>46080</v>
      </c>
      <c r="B4" t="s">
        <v>198</v>
      </c>
      <c r="C4" s="59">
        <v>-300000</v>
      </c>
    </row>
    <row r="5" spans="1:3" x14ac:dyDescent="0.25">
      <c r="A5" s="56">
        <v>46081</v>
      </c>
      <c r="B5" t="s">
        <v>209</v>
      </c>
      <c r="C5" s="59">
        <v>280000</v>
      </c>
    </row>
    <row r="6" spans="1:3" x14ac:dyDescent="0.25">
      <c r="A6" s="56">
        <v>46080</v>
      </c>
      <c r="B6" t="s">
        <v>210</v>
      </c>
      <c r="C6" s="59">
        <v>-16000</v>
      </c>
    </row>
    <row r="7" spans="1:3" x14ac:dyDescent="0.25">
      <c r="A7" s="56">
        <v>46081</v>
      </c>
      <c r="B7" t="s">
        <v>215</v>
      </c>
      <c r="C7" s="59">
        <v>-350000</v>
      </c>
    </row>
    <row r="8" spans="1:3" x14ac:dyDescent="0.25">
      <c r="A8" s="56">
        <v>46081</v>
      </c>
      <c r="B8" t="s">
        <v>221</v>
      </c>
      <c r="C8" s="59">
        <v>30000</v>
      </c>
    </row>
    <row r="9" spans="1:3" x14ac:dyDescent="0.25">
      <c r="A9" s="68">
        <v>46076</v>
      </c>
      <c r="B9" t="s">
        <v>223</v>
      </c>
      <c r="C9" s="59">
        <f>195000+140000+20000</f>
        <v>355000</v>
      </c>
    </row>
    <row r="10" spans="1:3" x14ac:dyDescent="0.25">
      <c r="B10" t="s">
        <v>224</v>
      </c>
      <c r="C10" s="59">
        <v>619850</v>
      </c>
    </row>
    <row r="11" spans="1:3" x14ac:dyDescent="0.25">
      <c r="B11" t="s">
        <v>233</v>
      </c>
      <c r="C11" s="59">
        <v>-619850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2" t="s">
        <v>186</v>
      </c>
      <c r="K4" s="52" t="s">
        <v>192</v>
      </c>
    </row>
    <row r="5" spans="1:11" x14ac:dyDescent="0.25">
      <c r="A5" t="s">
        <v>180</v>
      </c>
      <c r="B5" s="53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180</v>
      </c>
      <c r="B6" s="53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180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3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3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3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3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3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3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3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3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3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3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3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3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3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3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3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3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3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3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3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3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3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3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3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3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3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3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3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3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3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3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3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3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3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3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3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3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3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3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3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3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3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3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3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3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3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3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3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51B3BFD-4BC7-48D9-94DF-A7E0AC3AE585}">
  <ds:schemaRefs/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2026-03-04T00:30:41Z</dcterms:modified>
</cp:coreProperties>
</file>