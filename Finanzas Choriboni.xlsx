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12120" windowHeight="5250" tabRatio="806" firstSheet="1" activeTab="2"/>
  </bookViews>
  <sheets>
    <sheet name="chorizo" sheetId="3" state="hidden" r:id="rId1"/>
    <sheet name="choriboni" sheetId="4" r:id="rId2"/>
    <sheet name="Arqueo de Caja" sheetId="9" r:id="rId3"/>
    <sheet name="empaque" sheetId="15" r:id="rId4"/>
    <sheet name="proveedores" sheetId="7" state="hidden" r:id="rId5"/>
    <sheet name="informe" sheetId="6" state="hidden" r:id="rId6"/>
    <sheet name="Costos" sheetId="8" state="hidden" r:id="rId7"/>
    <sheet name="Reporte" sheetId="11" r:id="rId8"/>
    <sheet name="Extracto_bancario" sheetId="10" r:id="rId9"/>
    <sheet name="Prestamos" sheetId="12" r:id="rId10"/>
    <sheet name="Hoja4" sheetId="19" r:id="rId11"/>
    <sheet name="Inventario" sheetId="20" r:id="rId12"/>
    <sheet name="Bugs" sheetId="21" r:id="rId13"/>
    <sheet name="Gastos del dìa" sheetId="17" r:id="rId14"/>
    <sheet name="Hoja1" sheetId="16" r:id="rId15"/>
    <sheet name="Informe ventas" sheetId="13" state="hidden" r:id="rId16"/>
    <sheet name="historial de venta" sheetId="14" state="hidden" r:id="rId17"/>
  </sheets>
  <definedNames>
    <definedName name="_xlnm._FilterDatabase" localSheetId="1" hidden="1">choriboni!$B$17:$I$60</definedName>
  </definedNames>
  <calcPr calcId="162913"/>
  <pivotCaches>
    <pivotCache cacheId="0" r:id="rId18"/>
    <pivotCache cacheId="1" r:id="rId19"/>
    <pivotCache cacheId="2" r:id="rId20"/>
    <pivotCache cacheId="3" r:id="rId21"/>
    <pivotCache cacheId="4" r:id="rId22"/>
    <pivotCache cacheId="5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1" i="9" l="1"/>
  <c r="I9" i="21" l="1"/>
  <c r="D37" i="10"/>
  <c r="D36" i="10"/>
  <c r="C1" i="17"/>
  <c r="W19" i="9"/>
  <c r="W18" i="9"/>
  <c r="U24" i="9"/>
  <c r="U14" i="9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W22" i="9"/>
  <c r="W24" i="9"/>
  <c r="U21" i="9"/>
  <c r="Q24" i="9"/>
  <c r="S24" i="9"/>
  <c r="U5" i="9"/>
  <c r="U4" i="9"/>
  <c r="Q14" i="9"/>
  <c r="AE13" i="9"/>
  <c r="AE12" i="9"/>
  <c r="AE11" i="9"/>
  <c r="AE10" i="9"/>
  <c r="AE9" i="9"/>
  <c r="AE8" i="9"/>
  <c r="AE7" i="9"/>
  <c r="AE6" i="9"/>
  <c r="AE5" i="9"/>
  <c r="AE4" i="9"/>
  <c r="AE3" i="9"/>
  <c r="S21" i="9"/>
  <c r="U1" i="9"/>
  <c r="U17" i="9" s="1"/>
  <c r="S1" i="9"/>
  <c r="S17" i="9" s="1"/>
  <c r="Q1" i="9"/>
  <c r="Q17" i="9" s="1"/>
  <c r="O1" i="9"/>
  <c r="O17" i="9" s="1"/>
  <c r="AE14" i="9" l="1"/>
  <c r="U13" i="9" l="1"/>
  <c r="U12" i="9"/>
  <c r="U11" i="9"/>
  <c r="U10" i="9"/>
  <c r="U9" i="9"/>
  <c r="U8" i="9"/>
  <c r="U7" i="9"/>
  <c r="U6" i="9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O14" i="9" l="1"/>
  <c r="D1" i="10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2" i="9"/>
  <c r="O24" i="9" s="1"/>
  <c r="M24" i="9"/>
  <c r="K22" i="9"/>
  <c r="K24" i="9" s="1"/>
  <c r="G21" i="9"/>
  <c r="Q22" i="9" l="1"/>
  <c r="N6" i="13"/>
  <c r="S18" i="9" l="1"/>
  <c r="S22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U18" i="9" l="1"/>
  <c r="U22" i="9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" i="11" l="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G24" i="9" l="1"/>
  <c r="I22" i="9"/>
  <c r="I24" i="9" s="1"/>
  <c r="D9" i="8"/>
  <c r="C14" i="9"/>
  <c r="C24" i="9" s="1"/>
  <c r="C41" i="4"/>
  <c r="C40" i="4"/>
  <c r="C31" i="4"/>
  <c r="C39" i="4"/>
  <c r="C19" i="4"/>
  <c r="C58" i="4"/>
  <c r="C20" i="4"/>
  <c r="C54" i="4"/>
  <c r="C55" i="4"/>
  <c r="C43" i="4"/>
  <c r="C18" i="4"/>
  <c r="C1" i="9" l="1"/>
  <c r="C26" i="4"/>
  <c r="C4" i="4"/>
  <c r="C3" i="4"/>
  <c r="C5" i="4" s="1"/>
  <c r="C7" i="4" l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<sst xmlns="http://schemas.openxmlformats.org/spreadsheetml/2006/main" count="719" uniqueCount="267">
  <si>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</si>
  <si>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</si>
  <si>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</si>
  <si>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</si>
  <si>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</si>
  <si>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</si>
  <si>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</si>
  <si>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</si>
  <si>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</si>
  <si>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</si>
  <si>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</si>
  <si>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</si>
  <si>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</si>
  <si>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</si>
  <si>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</si>
  <si>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</si>
  <si>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</si>
  <si>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</si>
  <si>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</si>
  <si>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</si>
  <si>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</si>
  <si>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</si>
  <si>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</si>
  <si>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</si>
  <si>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</si>
  <si>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</si>
  <si>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</si>
  <si>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</si>
  <si>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</si>
  <si>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</si>
  <si>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</si>
  <si>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</si>
  <si>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</si>
  <si>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</si>
  <si>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</si>
  <si>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</si>
  <si>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</si>
  <si>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</si>
  <si>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</si>
  <si>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</si>
  <si>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</si>
  <si>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</si>
  <si>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</si>
  <si>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</si>
  <si>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</si>
  <si>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</si>
  <si>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</si>
  <si>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</si>
  <si>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</si>
  <si>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</si>
  <si>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</si>
  <si>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</si>
  <si>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</si>
  <si>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</si>
  <si>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</si>
  <si>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</si>
  <si>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</si>
  <si>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</si>
  <si>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</si>
  <si>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</si>
  <si>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</si>
  <si>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</si>
  <si>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</si>
  <si>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</si>
  <si>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</si>
  <si>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</si>
  <si>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</si>
  <si>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</si>
  <si>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</si>
  <si>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</si>
  <si>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</si>
  <si>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</si>
  <si>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</si>
  <si>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</si>
  <si>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</si>
  <si>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</si>
  <si>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</si>
  <si>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</si>
  <si>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</si>
  <si>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</si>
  <si>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</si>
  <si>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</si>
  <si>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</si>
  <si>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</si>
  <si>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</si>
  <si>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</si>
  <si>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</si>
  <si>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</si>
  <si>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</si>
  <si>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</si>
  <si>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</si>
  <si>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</si>
  <si>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</si>
  <si>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</si>
  <si>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</si>
  <si>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</si>
  <si>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</si>
  <si>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</si>
  <si>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</si>
  <si>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</si>
  <si>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</si>
  <si>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</si>
  <si>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</si>
  <si>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</si>
  <si>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</si>
  <si>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</si>
  <si>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</si>
  <si>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</si>
  <si>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</si>
  <si>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</si>
  <si>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</si>
  <si>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</si>
  <si>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</si>
  <si>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</si>
  <si>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</si>
  <si>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</si>
  <si>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</si>
  <si>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</si>
  <si>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</si>
  <si>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</si>
  <si>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</si>
  <si>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</si>
  <si>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</si>
  <si>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</si>
  <si>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</si>
  <si>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</si>
  <si>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</si>
  <si>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</si>
  <si>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</si>
  <si>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</si>
  <si>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</si>
  <si>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</si>
  <si>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</si>
  <si>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</si>
  <si>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</si>
  <si>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</si>
  <si>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</si>
  <si>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</si>
  <si>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</si>
  <si>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</si>
  <si>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</si>
  <si>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</si>
  <si>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</si>
  <si>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</si>
  <si>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</si>
  <si>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</si>
  <si>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</si>
  <si>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</si>
  <si>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</si>
  <si>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</si>
  <si>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</si>
  <si>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</si>
  <si>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</si>
  <si>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</si>
  <si>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</si>
  <si>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</si>
  <si>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</si>
  <si>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</si>
  <si>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</si>
  <si>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</si>
  <si>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</si>
  <si>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</si>
  <si>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</si>
  <si>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</si>
  <si>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</si>
  <si>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</si>
  <si>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</si>
  <si>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</si>
  <si>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</si>
  <si>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</si>
  <si>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</si>
  <si>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</si>
  <si>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</si>
  <si>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</si>
  <si>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</si>
  <si>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</si>
  <si>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</si>
  <si>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</si>
  <si>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</si>
  <si>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</si>
  <si>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</si>
  <si>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</si>
  <si>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</si>
  <si>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</si>
  <si>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</si>
  <si>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</si>
  <si>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</si>
  <si>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</si>
  <si>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</si>
  <si>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</si>
  <si>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</si>
  <si>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</si>
  <si>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</si>
  <si>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</si>
  <si>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</si>
  <si>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</si>
  <si>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</si>
  <si>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</si>
  <si>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</si>
  <si>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</si>
  <si>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</si>
  <si>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</si>
  <si>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</si>
  <si>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</si>
  <si>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</si>
  <si>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</si>
  <si>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</si>
  <si>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</si>
  <si>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</si>
  <si>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</si>
  <si>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</si>
  <si>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</si>
  <si>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</si>
  <si>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</si>
  <si>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</si>
  <si>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</si>
  <si>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</si>
  <si>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</si>
  <si>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</si>
  <si>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</si>
  <si>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</si>
  <si>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</si>
  <si>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</si>
  <si>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</si>
  <si>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</si>
  <si>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</si>
  <si>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</si>
  <si>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</si>
  <si>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</si>
  <si>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</si>
  <si>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</si>
  <si>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</si>
  <si>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</si>
  <si>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</si>
  <si>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</si>
  <si>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</si>
  <si>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</si>
  <si>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</si>
  <si>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</si>
  <si>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</si>
  <si>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</si>
  <si>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</si>
  <si>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</si>
  <si>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</si>
  <si>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</si>
  <si>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</si>
  <si>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</si>
  <si>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</si>
  <si>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</si>
  <si>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bottòn de abrir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</si>
  <si>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</si>
  <si>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</si>
  <si>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</si>
  <si>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</si>
  <si>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</si>
  <si>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 xml:space="preserve">debe existir un monitoreo de 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</si>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</sst>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73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2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sheetMetadata" Target="metadata.xml"/><Relationship Id="rId36" Type="http://schemas.openxmlformats.org/officeDocument/2006/relationships/customXml" Target="../customXml/item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8">
      <pivotArea outline="0" collapsedLevelsAreSubtotals="1" fieldPosition="0"/>
    </format>
    <format dxfId="7">
      <pivotArea outline="0" collapsedLevelsAreSubtotals="1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  <format dxfId="10">
      <pivotArea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4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83"/>
  <sheetViews>
    <sheetView showGridLines="0" zoomScale="90" zoomScaleNormal="90" workbookViewId="0">
      <pane ySplit="17" topLeftCell="A66" activePane="bottomLeft" state="frozen"/>
      <selection pane="bottomLeft" activeCell="D10" sqref="D10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256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0"/>
  <conditionalFormatting sqref="C1:E2 H18:H29 C24:C29 H35:H37 C36:C37 G50 G60">
    <cfRule type="containsText" dxfId="21" priority="19" operator="containsText" text="Patrimonio">
      <formula>NOT(ISERROR(SEARCH("Patrimonio",C1)))</formula>
    </cfRule>
    <cfRule type="containsText" dxfId="20" priority="20" operator="containsText" text="Por Pagar">
      <formula>NOT(ISERROR(SEARCH("Por Pagar",C1)))</formula>
    </cfRule>
  </conditionalFormatting>
  <conditionalFormatting sqref="D5:E1048576">
    <cfRule type="containsText" dxfId="19" priority="1" operator="containsText" text="Patrimonio">
      <formula>NOT(ISERROR(SEARCH("Patrimonio",D5)))</formula>
    </cfRule>
    <cfRule type="containsText" dxfId="18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E30"/>
  <sheetViews>
    <sheetView showGridLines="0" tabSelected="1" topLeftCell="A7" zoomScale="85" zoomScaleNormal="85" workbookViewId="0">
      <selection activeCell="W28" sqref="W28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customWidth="1" outlineLevel="1" collapsed="1"/>
    <col min="21" max="21" width="11.42578125" customWidth="1" outlineLevel="1"/>
    <col min="22" max="22" width="3.140625" bestFit="1" customWidth="1"/>
  </cols>
  <sheetData>
    <row r="1" spans="1:31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/>
      <c r="Z1" s="41"/>
      <c r="AA1" s="41"/>
      <c r="AB1" s="41"/>
      <c r="AC1" s="41"/>
    </row>
    <row r="2" spans="1:31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5"/>
      <c r="Y2" s="45"/>
      <c r="Z2" s="45"/>
      <c r="AA2" s="45"/>
      <c r="AB2" s="45"/>
      <c r="AC2" s="45"/>
      <c r="AD2" s="44" t="s">
        <v>137</v>
      </c>
      <c r="AE2" s="45">
        <v>46083</v>
      </c>
    </row>
    <row r="3" spans="1:31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3"/>
      <c r="Y3" s="3"/>
      <c r="Z3" s="3"/>
      <c r="AA3" s="3"/>
      <c r="AB3" s="3"/>
      <c r="AC3" s="3"/>
      <c r="AD3" s="26">
        <v>0</v>
      </c>
      <c r="AE3" s="3">
        <f>+$A3*AD3</f>
        <v>0</v>
      </c>
    </row>
    <row r="4" spans="1:31" outlineLevel="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0</v>
      </c>
      <c r="O4" s="3">
        <f t="shared" ref="O4" si="5">+$A4*N4</f>
        <v>0</v>
      </c>
      <c r="P4" s="26">
        <v>1</v>
      </c>
      <c r="Q4" s="3">
        <f t="shared" ref="Q4" si="6">+$A4*P4</f>
        <v>50000</v>
      </c>
      <c r="R4" s="26">
        <v>1</v>
      </c>
      <c r="S4" s="3"/>
      <c r="T4" s="26">
        <v>0</v>
      </c>
      <c r="U4" s="3">
        <f t="shared" ref="U4:U5" si="7">+$A4*T4</f>
        <v>0</v>
      </c>
      <c r="V4" s="1">
        <v>1</v>
      </c>
      <c r="W4" s="3">
        <f t="shared" ref="W4:W5" si="8">+$A4*V4</f>
        <v>50000</v>
      </c>
      <c r="X4" s="3"/>
      <c r="Y4" s="3"/>
      <c r="Z4" s="3"/>
      <c r="AA4" s="3"/>
      <c r="AB4" s="3"/>
      <c r="AC4" s="3"/>
      <c r="AD4" s="26">
        <v>1</v>
      </c>
      <c r="AE4" s="3">
        <f t="shared" ref="AE4" si="9">+$A4*AD4</f>
        <v>50000</v>
      </c>
    </row>
    <row r="5" spans="1:31" outlineLevel="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7"/>
        <v>0</v>
      </c>
      <c r="V5" s="1">
        <v>0</v>
      </c>
      <c r="W5" s="3">
        <f t="shared" si="8"/>
        <v>0</v>
      </c>
      <c r="X5" s="3"/>
      <c r="Y5" s="3"/>
      <c r="Z5" s="3"/>
      <c r="AA5" s="3"/>
      <c r="AB5" s="3"/>
      <c r="AC5" s="3"/>
      <c r="AD5" s="26">
        <v>1</v>
      </c>
      <c r="AE5" s="3">
        <f>+$A5*AD5</f>
        <v>20000</v>
      </c>
    </row>
    <row r="6" spans="1:31" outlineLevel="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3"/>
      <c r="Y6" s="3"/>
      <c r="Z6" s="3"/>
      <c r="AA6" s="3"/>
      <c r="AB6" s="3"/>
      <c r="AC6" s="3"/>
      <c r="AD6" s="26">
        <v>4</v>
      </c>
      <c r="AE6" s="3">
        <f>+$A6*AD6</f>
        <v>40000</v>
      </c>
    </row>
    <row r="7" spans="1:31" outlineLevel="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10">+$A7*H7</f>
        <v>30000</v>
      </c>
      <c r="J7" s="26">
        <v>5</v>
      </c>
      <c r="K7" s="3">
        <f t="shared" ref="K7:K13" si="11">+$A7*J7</f>
        <v>25000</v>
      </c>
      <c r="L7" s="26">
        <v>5</v>
      </c>
      <c r="M7" s="3">
        <f t="shared" ref="M7:M13" si="12">+$A7*L7</f>
        <v>25000</v>
      </c>
      <c r="N7" s="26">
        <v>5</v>
      </c>
      <c r="O7" s="3">
        <f t="shared" ref="O7:O13" si="13">+$A7*N7</f>
        <v>25000</v>
      </c>
      <c r="P7" s="26">
        <v>3</v>
      </c>
      <c r="Q7" s="3">
        <f t="shared" ref="Q7:Q13" si="14">+$A7*P7</f>
        <v>15000</v>
      </c>
      <c r="R7" s="26">
        <v>3</v>
      </c>
      <c r="S7" s="3"/>
      <c r="T7" s="26">
        <v>3</v>
      </c>
      <c r="U7" s="3">
        <f t="shared" ref="U7:U13" si="15">+$A7*T7</f>
        <v>15000</v>
      </c>
      <c r="V7" s="1">
        <v>4</v>
      </c>
      <c r="W7" s="3">
        <f t="shared" ref="W7:W13" si="16">+$A7*V7</f>
        <v>20000</v>
      </c>
      <c r="X7" s="3"/>
      <c r="Y7" s="3"/>
      <c r="Z7" s="3"/>
      <c r="AA7" s="3"/>
      <c r="AB7" s="3"/>
      <c r="AC7" s="3"/>
      <c r="AD7" s="26">
        <v>3</v>
      </c>
      <c r="AE7" s="3">
        <f t="shared" ref="AE7:AE13" si="17">+$A7*AD7</f>
        <v>15000</v>
      </c>
    </row>
    <row r="8" spans="1:31" outlineLevel="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10"/>
        <v>24000</v>
      </c>
      <c r="J8" s="26">
        <v>17</v>
      </c>
      <c r="K8" s="3">
        <f t="shared" si="11"/>
        <v>34000</v>
      </c>
      <c r="L8" s="26">
        <v>14</v>
      </c>
      <c r="M8" s="3">
        <f t="shared" si="12"/>
        <v>28000</v>
      </c>
      <c r="N8" s="26">
        <v>14</v>
      </c>
      <c r="O8" s="3">
        <f t="shared" si="13"/>
        <v>28000</v>
      </c>
      <c r="P8" s="26">
        <v>10</v>
      </c>
      <c r="Q8" s="3">
        <f t="shared" si="14"/>
        <v>20000</v>
      </c>
      <c r="R8" s="26">
        <v>10</v>
      </c>
      <c r="S8" s="3"/>
      <c r="T8" s="26">
        <v>12</v>
      </c>
      <c r="U8" s="3">
        <f t="shared" si="15"/>
        <v>24000</v>
      </c>
      <c r="V8" s="1">
        <v>22</v>
      </c>
      <c r="W8" s="3">
        <f t="shared" si="16"/>
        <v>44000</v>
      </c>
      <c r="X8" s="3"/>
      <c r="Y8" s="3"/>
      <c r="Z8" s="3"/>
      <c r="AA8" s="3"/>
      <c r="AB8" s="3"/>
      <c r="AC8" s="3"/>
      <c r="AD8" s="26">
        <v>10</v>
      </c>
      <c r="AE8" s="3">
        <f t="shared" si="17"/>
        <v>20000</v>
      </c>
    </row>
    <row r="9" spans="1:31" outlineLevel="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10"/>
        <v>3000</v>
      </c>
      <c r="J9" s="26">
        <v>2</v>
      </c>
      <c r="K9" s="3">
        <f t="shared" si="11"/>
        <v>2000</v>
      </c>
      <c r="L9" s="26">
        <v>0</v>
      </c>
      <c r="M9" s="3">
        <f t="shared" si="12"/>
        <v>0</v>
      </c>
      <c r="N9" s="26">
        <v>0</v>
      </c>
      <c r="O9" s="3">
        <f t="shared" si="13"/>
        <v>0</v>
      </c>
      <c r="P9" s="26">
        <v>0</v>
      </c>
      <c r="Q9" s="3">
        <f t="shared" si="14"/>
        <v>0</v>
      </c>
      <c r="R9" s="26">
        <v>0</v>
      </c>
      <c r="S9" s="3"/>
      <c r="T9" s="26">
        <v>20</v>
      </c>
      <c r="U9" s="3">
        <f t="shared" si="15"/>
        <v>20000</v>
      </c>
      <c r="V9" s="1">
        <v>16</v>
      </c>
      <c r="W9" s="3">
        <f t="shared" si="16"/>
        <v>16000</v>
      </c>
      <c r="X9" s="3"/>
      <c r="Y9" s="3"/>
      <c r="Z9" s="3"/>
      <c r="AA9" s="3"/>
      <c r="AB9" s="3"/>
      <c r="AC9" s="3"/>
      <c r="AD9" s="26">
        <v>0</v>
      </c>
      <c r="AE9" s="3">
        <f t="shared" si="17"/>
        <v>0</v>
      </c>
    </row>
    <row r="10" spans="1:31" outlineLevel="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10"/>
        <v>19000</v>
      </c>
      <c r="J10" s="26">
        <v>37</v>
      </c>
      <c r="K10" s="3">
        <f t="shared" si="11"/>
        <v>18500</v>
      </c>
      <c r="L10" s="26">
        <v>36</v>
      </c>
      <c r="M10" s="3">
        <f t="shared" si="12"/>
        <v>18000</v>
      </c>
      <c r="N10" s="26">
        <v>36</v>
      </c>
      <c r="O10" s="3">
        <f t="shared" si="13"/>
        <v>18000</v>
      </c>
      <c r="P10" s="26">
        <v>36</v>
      </c>
      <c r="Q10" s="3">
        <f t="shared" si="14"/>
        <v>18000</v>
      </c>
      <c r="R10" s="26">
        <v>36</v>
      </c>
      <c r="S10" s="3"/>
      <c r="T10" s="26">
        <v>40</v>
      </c>
      <c r="U10" s="3">
        <f t="shared" si="15"/>
        <v>20000</v>
      </c>
      <c r="V10" s="1">
        <v>45</v>
      </c>
      <c r="W10" s="3">
        <f t="shared" si="16"/>
        <v>22500</v>
      </c>
      <c r="X10" s="3"/>
      <c r="Y10" s="3"/>
      <c r="Z10" s="3"/>
      <c r="AA10" s="3"/>
      <c r="AB10" s="3"/>
      <c r="AC10" s="3"/>
      <c r="AD10" s="26">
        <v>36</v>
      </c>
      <c r="AE10" s="3">
        <f t="shared" si="17"/>
        <v>18000</v>
      </c>
    </row>
    <row r="11" spans="1:31" outlineLevel="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10"/>
        <v>12400</v>
      </c>
      <c r="J11" s="26">
        <v>62</v>
      </c>
      <c r="K11" s="3">
        <f t="shared" si="11"/>
        <v>12400</v>
      </c>
      <c r="L11" s="26">
        <v>68</v>
      </c>
      <c r="M11" s="3">
        <f t="shared" si="12"/>
        <v>13600</v>
      </c>
      <c r="N11" s="26">
        <v>68</v>
      </c>
      <c r="O11" s="3">
        <f t="shared" si="13"/>
        <v>13600</v>
      </c>
      <c r="P11" s="26">
        <v>81</v>
      </c>
      <c r="Q11" s="3">
        <f t="shared" si="14"/>
        <v>16200</v>
      </c>
      <c r="R11" s="26">
        <v>81</v>
      </c>
      <c r="S11" s="3"/>
      <c r="T11" s="26">
        <v>3</v>
      </c>
      <c r="U11" s="3">
        <f t="shared" si="15"/>
        <v>600</v>
      </c>
      <c r="V11" s="1">
        <v>5</v>
      </c>
      <c r="W11" s="3">
        <f t="shared" si="16"/>
        <v>1000</v>
      </c>
      <c r="X11" s="3"/>
      <c r="Y11" s="3"/>
      <c r="Z11" s="3"/>
      <c r="AA11" s="3"/>
      <c r="AB11" s="3"/>
      <c r="AC11" s="3"/>
      <c r="AD11" s="26">
        <v>81</v>
      </c>
      <c r="AE11" s="3">
        <f t="shared" si="17"/>
        <v>16200</v>
      </c>
    </row>
    <row r="12" spans="1:31" outlineLevel="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10"/>
        <v>5100</v>
      </c>
      <c r="J12" s="26">
        <v>48</v>
      </c>
      <c r="K12" s="3">
        <f t="shared" si="11"/>
        <v>4800</v>
      </c>
      <c r="L12" s="26">
        <v>63</v>
      </c>
      <c r="M12" s="3">
        <f t="shared" si="12"/>
        <v>6300</v>
      </c>
      <c r="N12" s="26">
        <v>63</v>
      </c>
      <c r="O12" s="3">
        <f t="shared" si="13"/>
        <v>6300</v>
      </c>
      <c r="P12" s="26">
        <v>77</v>
      </c>
      <c r="Q12" s="3">
        <f t="shared" si="14"/>
        <v>7700</v>
      </c>
      <c r="R12" s="26">
        <v>77</v>
      </c>
      <c r="S12" s="3"/>
      <c r="T12" s="26">
        <v>9</v>
      </c>
      <c r="U12" s="3">
        <f t="shared" si="15"/>
        <v>900</v>
      </c>
      <c r="V12" s="1">
        <v>11</v>
      </c>
      <c r="W12" s="3">
        <f t="shared" si="16"/>
        <v>1100</v>
      </c>
      <c r="X12" s="3"/>
      <c r="Y12" s="3"/>
      <c r="Z12" s="3"/>
      <c r="AA12" s="3"/>
      <c r="AB12" s="3"/>
      <c r="AC12" s="3"/>
      <c r="AD12" s="26">
        <v>77</v>
      </c>
      <c r="AE12" s="3">
        <f t="shared" si="17"/>
        <v>7700</v>
      </c>
    </row>
    <row r="13" spans="1:31" ht="15.75" outlineLevel="1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10"/>
        <v>500</v>
      </c>
      <c r="J13" s="26">
        <v>10</v>
      </c>
      <c r="K13" s="28">
        <f t="shared" si="11"/>
        <v>500</v>
      </c>
      <c r="L13" s="26">
        <v>10</v>
      </c>
      <c r="M13" s="28">
        <f t="shared" si="12"/>
        <v>500</v>
      </c>
      <c r="N13" s="26">
        <v>10</v>
      </c>
      <c r="O13" s="28">
        <f t="shared" si="13"/>
        <v>500</v>
      </c>
      <c r="P13" s="26">
        <v>14</v>
      </c>
      <c r="Q13" s="28">
        <f t="shared" si="14"/>
        <v>700</v>
      </c>
      <c r="R13" s="26">
        <v>14</v>
      </c>
      <c r="S13" s="28"/>
      <c r="T13" s="26">
        <v>9</v>
      </c>
      <c r="U13" s="28">
        <f t="shared" si="15"/>
        <v>450</v>
      </c>
      <c r="V13" s="1">
        <v>9</v>
      </c>
      <c r="W13" s="28">
        <f t="shared" si="16"/>
        <v>450</v>
      </c>
      <c r="X13" s="59"/>
      <c r="Y13" s="59"/>
      <c r="Z13" s="59"/>
      <c r="AA13" s="59"/>
      <c r="AB13" s="59"/>
      <c r="AC13" s="59"/>
      <c r="AD13" s="26">
        <v>14</v>
      </c>
      <c r="AE13" s="28">
        <f t="shared" si="17"/>
        <v>700</v>
      </c>
    </row>
    <row r="14" spans="1:31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X14" s="17"/>
      <c r="Y14" s="17"/>
      <c r="Z14" s="17"/>
      <c r="AA14" s="17"/>
      <c r="AB14" s="17"/>
      <c r="AC14" s="17"/>
      <c r="AE14" s="69">
        <f>SUM(AE3:AE13)</f>
        <v>187600</v>
      </c>
    </row>
    <row r="15" spans="1:31" x14ac:dyDescent="0.25">
      <c r="E15" s="18">
        <f>+SUM('historial de venta'!G32:G37)</f>
        <v>76000</v>
      </c>
      <c r="U15">
        <v>324300</v>
      </c>
      <c r="X15" s="13"/>
      <c r="Y15" s="13"/>
      <c r="Z15" s="13"/>
      <c r="AA15" s="13"/>
      <c r="AB15" s="13"/>
      <c r="AC15" s="13"/>
    </row>
    <row r="16" spans="1:31" x14ac:dyDescent="0.25">
      <c r="M16" s="13">
        <f>+K14-M18</f>
        <v>95200</v>
      </c>
      <c r="O16" s="13"/>
      <c r="Q16" s="13"/>
      <c r="S16" s="13"/>
      <c r="U16" s="13"/>
      <c r="W16" s="13"/>
      <c r="X16" s="13"/>
      <c r="Y16" s="13"/>
      <c r="Z16" s="13"/>
      <c r="AA16" s="13"/>
      <c r="AB16" s="13"/>
      <c r="AC16" s="13"/>
    </row>
    <row r="17" spans="1:29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13"/>
      <c r="Y17" s="13"/>
      <c r="Z17" s="13"/>
      <c r="AA17" s="13"/>
      <c r="AB17" s="13"/>
      <c r="AC17" s="13"/>
    </row>
    <row r="18" spans="1:29" x14ac:dyDescent="0.25">
      <c r="A18" s="19" t="s">
        <v>139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+Q22</f>
        <v>201400</v>
      </c>
      <c r="U18" s="68">
        <f>+S22</f>
        <v>252000</v>
      </c>
      <c r="W18" s="19">
        <f>+U22</f>
        <v>103550</v>
      </c>
      <c r="X18" s="13"/>
      <c r="Y18" s="13"/>
      <c r="Z18" s="13"/>
      <c r="AA18" s="13"/>
      <c r="AB18" s="13"/>
      <c r="AC18" s="13"/>
    </row>
    <row r="19" spans="1:29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+U24</f>
        <v>17400</v>
      </c>
      <c r="X19" s="13"/>
      <c r="Y19" s="13"/>
      <c r="Z19" s="13"/>
      <c r="AA19" s="13"/>
      <c r="AB19" s="13"/>
      <c r="AC19" s="13"/>
    </row>
    <row r="20" spans="1:2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X20" s="13"/>
      <c r="Y20" s="13"/>
      <c r="Z20" s="13"/>
      <c r="AA20" s="13"/>
      <c r="AB20" s="13"/>
      <c r="AC20" s="13"/>
    </row>
    <row r="21" spans="1:2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X21" s="13"/>
      <c r="Y21" s="13"/>
      <c r="Z21" s="13"/>
      <c r="AA21" s="13"/>
      <c r="AB21" s="13"/>
      <c r="AC21" s="13"/>
    </row>
    <row r="22" spans="1:29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201400</v>
      </c>
      <c r="S22" s="13">
        <f>+SUM(S18:S20)-S21</f>
        <v>252000</v>
      </c>
      <c r="U22" s="13">
        <f>+SUM(U18:U20)-U21</f>
        <v>103550</v>
      </c>
      <c r="W22" s="13">
        <f>+SUM(W18:W20)-W21</f>
        <v>179050</v>
      </c>
      <c r="X22" s="13"/>
      <c r="Y22" s="13"/>
      <c r="Z22" s="13"/>
      <c r="AA22" s="13"/>
      <c r="AB22" s="13"/>
      <c r="AC22" s="13"/>
    </row>
    <row r="24" spans="1:29" x14ac:dyDescent="0.25">
      <c r="A24" s="57" t="s">
        <v>198</v>
      </c>
      <c r="C24" s="58">
        <f>C14-C22</f>
        <v>0</v>
      </c>
      <c r="D24" s="58"/>
      <c r="E24" s="58">
        <f>E14-E22</f>
        <v>-76000</v>
      </c>
      <c r="F24" s="58"/>
      <c r="G24" s="58">
        <f>G14-G22</f>
        <v>-432900</v>
      </c>
      <c r="H24" s="58"/>
      <c r="I24" s="58">
        <f>I14-I22</f>
        <v>-27900</v>
      </c>
      <c r="J24" s="58"/>
      <c r="K24" s="58">
        <f>K14-K22</f>
        <v>177100</v>
      </c>
      <c r="L24" s="58"/>
      <c r="M24" s="58">
        <f>M14-M22</f>
        <v>6300</v>
      </c>
      <c r="N24" s="58"/>
      <c r="O24" s="58">
        <f>O14-O22</f>
        <v>0</v>
      </c>
      <c r="P24" s="58"/>
      <c r="Q24" s="58">
        <f>Q14-Q22</f>
        <v>-13800</v>
      </c>
      <c r="R24" s="58"/>
      <c r="S24" s="58">
        <f>S14-S22</f>
        <v>-252000</v>
      </c>
      <c r="T24" s="58"/>
      <c r="U24" s="58">
        <f>U14-U22</f>
        <v>17400</v>
      </c>
      <c r="V24" s="58"/>
      <c r="W24" s="58">
        <f>W14-W22</f>
        <v>-4000</v>
      </c>
      <c r="X24" s="58"/>
      <c r="Y24" s="58"/>
      <c r="Z24" s="58"/>
      <c r="AA24" s="58"/>
      <c r="AB24" s="58"/>
      <c r="AC24" s="58"/>
    </row>
    <row r="27" spans="1:29" x14ac:dyDescent="0.25">
      <c r="W27">
        <v>75050</v>
      </c>
    </row>
    <row r="30" spans="1:29" x14ac:dyDescent="0.25">
      <c r="I30" s="29"/>
      <c r="K30" s="29"/>
      <c r="M30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C11" sqref="A11:XFD13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259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257</v>
      </c>
      <c r="C10" s="72" t="s">
        <v>258</v>
      </c>
      <c r="D10" t="s">
        <v>260</v>
      </c>
    </row>
    <row r="11" spans="1:4" x14ac:dyDescent="0.25">
      <c r="A11" t="s">
        <v>266</v>
      </c>
      <c r="C11" t="s">
        <v>265</v>
      </c>
    </row>
  </sheetData>
  <conditionalFormatting sqref="A2:A4">
    <cfRule type="containsText" dxfId="17" priority="3" operator="containsText" text="Patrimonio">
      <formula>NOT(ISERROR(SEARCH("Patrimonio",A2)))</formula>
    </cfRule>
    <cfRule type="containsText" dxfId="16" priority="4" operator="containsText" text="Por Pagar">
      <formula>NOT(ISERROR(SEARCH("Por Pagar",A2)))</formula>
    </cfRule>
  </conditionalFormatting>
  <conditionalFormatting sqref="A8">
    <cfRule type="containsText" dxfId="15" priority="1" operator="containsText" text="Patrimonio">
      <formula>NOT(ISERROR(SEARCH("Patrimonio",A8)))</formula>
    </cfRule>
    <cfRule type="containsText" dxfId="14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4" zoomScale="115" zoomScaleNormal="115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H37"/>
  <sheetViews>
    <sheetView zoomScale="115" zoomScaleNormal="115" workbookViewId="0">
      <pane ySplit="2" topLeftCell="A28" activePane="bottomLeft" state="frozen"/>
      <selection activeCell="C1" sqref="C1"/>
      <selection pane="bottomLeft" activeCell="D37" sqref="D37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</cols>
  <sheetData>
    <row r="1" spans="1:8" x14ac:dyDescent="0.25">
      <c r="D1" s="3">
        <f>+SUM(D3:D1048576)</f>
        <v>530150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8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8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8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8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8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8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8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8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8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8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8" x14ac:dyDescent="0.25">
      <c r="A27" s="2">
        <v>46084</v>
      </c>
      <c r="B27" s="2" t="str">
        <f t="shared" ref="B27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8" x14ac:dyDescent="0.25">
      <c r="A28" s="2">
        <v>46085</v>
      </c>
      <c r="D28" s="3">
        <v>19000</v>
      </c>
      <c r="E28" s="3" t="s">
        <v>223</v>
      </c>
      <c r="F28" s="32" t="s">
        <v>142</v>
      </c>
    </row>
    <row r="29" spans="1:8" x14ac:dyDescent="0.25">
      <c r="A29" s="2">
        <v>46085</v>
      </c>
      <c r="D29" s="3">
        <v>8000</v>
      </c>
      <c r="E29" s="3" t="s">
        <v>223</v>
      </c>
      <c r="F29" s="32" t="s">
        <v>142</v>
      </c>
    </row>
    <row r="30" spans="1:8" x14ac:dyDescent="0.25">
      <c r="A30" s="2">
        <v>46085</v>
      </c>
      <c r="D30" s="3">
        <v>18000</v>
      </c>
      <c r="E30" s="3" t="s">
        <v>223</v>
      </c>
      <c r="F30" s="32" t="s">
        <v>142</v>
      </c>
    </row>
    <row r="31" spans="1:8" x14ac:dyDescent="0.25">
      <c r="A31" s="2">
        <v>46085</v>
      </c>
      <c r="D31" s="3">
        <v>8000</v>
      </c>
      <c r="E31" s="3" t="s">
        <v>223</v>
      </c>
      <c r="F31" s="32" t="s">
        <v>142</v>
      </c>
    </row>
    <row r="32" spans="1:8" x14ac:dyDescent="0.25">
      <c r="A32" s="2">
        <v>46085</v>
      </c>
      <c r="D32" s="3">
        <v>64000</v>
      </c>
      <c r="E32" s="3" t="s">
        <v>223</v>
      </c>
      <c r="F32" s="32" t="s">
        <v>142</v>
      </c>
    </row>
    <row r="36" spans="4:4" x14ac:dyDescent="0.25">
      <c r="D36" s="3">
        <f>+SUM(D28:D32)</f>
        <v>117000</v>
      </c>
    </row>
    <row r="37" spans="4:4" x14ac:dyDescent="0.25">
      <c r="D37" s="3">
        <f>'Arqueo de Caja'!$U$18+8000</f>
        <v>260000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0"/>
  <sheetViews>
    <sheetView zoomScale="145" zoomScaleNormal="145" workbookViewId="0">
      <pane ySplit="2" topLeftCell="A15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56">
        <v>46084</v>
      </c>
      <c r="B10" t="s">
        <v>242</v>
      </c>
      <c r="C10" s="58">
        <v>619850</v>
      </c>
    </row>
    <row r="11" spans="1:3" x14ac:dyDescent="0.25">
      <c r="A11" s="56">
        <v>46084</v>
      </c>
      <c r="B11" t="s">
        <v>228</v>
      </c>
      <c r="C11" s="58">
        <v>-619850</v>
      </c>
    </row>
    <row r="12" spans="1:3" x14ac:dyDescent="0.25">
      <c r="A12" s="56">
        <v>46083</v>
      </c>
      <c r="B12" t="s">
        <v>231</v>
      </c>
      <c r="C12" s="58">
        <v>50000</v>
      </c>
    </row>
    <row r="13" spans="1:3" x14ac:dyDescent="0.25">
      <c r="A13" s="56">
        <v>46085</v>
      </c>
      <c r="B13" t="s">
        <v>238</v>
      </c>
      <c r="C13" s="70">
        <v>46350</v>
      </c>
    </row>
    <row r="14" spans="1:3" x14ac:dyDescent="0.25">
      <c r="A14" s="56">
        <v>46085</v>
      </c>
      <c r="B14" t="s">
        <v>236</v>
      </c>
      <c r="C14" s="70">
        <v>16500</v>
      </c>
    </row>
    <row r="15" spans="1:3" x14ac:dyDescent="0.25">
      <c r="A15" s="56">
        <v>46085</v>
      </c>
      <c r="B15" t="s">
        <v>237</v>
      </c>
      <c r="C15" s="70">
        <v>11000</v>
      </c>
    </row>
    <row r="16" spans="1:3" x14ac:dyDescent="0.25">
      <c r="A16" s="56">
        <v>46085</v>
      </c>
      <c r="B16" t="s">
        <v>241</v>
      </c>
      <c r="C16" s="70">
        <v>3500</v>
      </c>
    </row>
    <row r="17" spans="1:3" x14ac:dyDescent="0.25">
      <c r="A17" s="56">
        <v>46085</v>
      </c>
      <c r="B17" t="s">
        <v>239</v>
      </c>
      <c r="C17" s="70">
        <v>124400</v>
      </c>
    </row>
    <row r="18" spans="1:3" x14ac:dyDescent="0.25">
      <c r="A18" s="56">
        <v>46085</v>
      </c>
      <c r="B18" s="71" t="s">
        <v>240</v>
      </c>
      <c r="C18" s="58">
        <v>-201750</v>
      </c>
    </row>
    <row r="19" spans="1:3" x14ac:dyDescent="0.25">
      <c r="A19" s="56">
        <v>46085</v>
      </c>
      <c r="B19" s="71" t="s">
        <v>240</v>
      </c>
      <c r="C19" s="58">
        <v>-122700</v>
      </c>
    </row>
    <row r="20" spans="1:3" x14ac:dyDescent="0.25">
      <c r="A20" s="56">
        <v>46086</v>
      </c>
      <c r="B20" t="s">
        <v>243</v>
      </c>
      <c r="C20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C3:K15"/>
  <sheetViews>
    <sheetView workbookViewId="0">
      <selection activeCell="J7" sqref="J7:K7"/>
    </sheetView>
  </sheetViews>
  <sheetFormatPr baseColWidth="10" defaultRowHeight="15" x14ac:dyDescent="0.25"/>
  <sheetData>
    <row r="3" spans="3:11" x14ac:dyDescent="0.25">
      <c r="C3" t="s">
        <v>247</v>
      </c>
    </row>
    <row r="4" spans="3:11" x14ac:dyDescent="0.25">
      <c r="C4" t="s">
        <v>248</v>
      </c>
    </row>
    <row r="5" spans="3:11" x14ac:dyDescent="0.25">
      <c r="C5" t="s">
        <v>249</v>
      </c>
    </row>
    <row r="6" spans="3:11" x14ac:dyDescent="0.25">
      <c r="C6" t="s">
        <v>250</v>
      </c>
    </row>
    <row r="7" spans="3:11" x14ac:dyDescent="0.25">
      <c r="C7" t="s">
        <v>251</v>
      </c>
      <c r="J7" t="s">
        <v>265</v>
      </c>
      <c r="K7" t="s">
        <v>266</v>
      </c>
    </row>
    <row r="8" spans="3:11" x14ac:dyDescent="0.25">
      <c r="C8" t="s">
        <v>252</v>
      </c>
    </row>
    <row r="9" spans="3:11" x14ac:dyDescent="0.25">
      <c r="C9" t="s">
        <v>253</v>
      </c>
      <c r="I9">
        <f>22400+7450</f>
        <v>29850</v>
      </c>
    </row>
    <row r="10" spans="3:11" x14ac:dyDescent="0.25">
      <c r="C10" t="s">
        <v>254</v>
      </c>
    </row>
    <row r="11" spans="3:11" x14ac:dyDescent="0.25">
      <c r="C11" t="s">
        <v>255</v>
      </c>
    </row>
    <row r="12" spans="3:11" x14ac:dyDescent="0.25">
      <c r="C12" t="s">
        <v>261</v>
      </c>
    </row>
    <row r="13" spans="3:11" x14ac:dyDescent="0.25">
      <c r="C13" t="s">
        <v>262</v>
      </c>
    </row>
    <row r="14" spans="3:11" x14ac:dyDescent="0.25">
      <c r="C14" t="s">
        <v>263</v>
      </c>
    </row>
    <row r="15" spans="3:11" x14ac:dyDescent="0.25">
      <c r="C15" t="s">
        <v>264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A3" sqref="A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26BBDD3B-5549-4B7F-A242-39E079346B51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chorizo</vt:lpstr>
      <vt:lpstr>choriboni</vt:lpstr>
      <vt:lpstr>Arqueo de Caja</vt:lpstr>
      <vt:lpstr>empaque</vt:lpstr>
      <vt:lpstr>proveedores</vt:lpstr>
      <vt:lpstr>informe</vt:lpstr>
      <vt:lpstr>Costos</vt:lpstr>
      <vt:lpstr>Reporte</vt:lpstr>
      <vt:lpstr>Extracto_bancario</vt:lpstr>
      <vt:lpstr>Prestamos</vt:lpstr>
      <vt:lpstr>Hoja4</vt:lpstr>
      <vt:lpstr>Inventario</vt:lpstr>
      <vt:lpstr>Bugs</vt:lpstr>
      <vt:lpstr>Gastos del dìa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2026-03-06T01:24:29Z</dcterms:modified>
</cp:coreProperties>
</file>