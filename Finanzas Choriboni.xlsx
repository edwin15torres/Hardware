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99694F8B-3F60-4C28-B13B-520C2AA47578}" xr6:coauthVersionLast="47" xr6:coauthVersionMax="47" xr10:uidLastSave="{00000000-0000-0000-0000-000000000000}"/>
  <bookViews>
    <workbookView xWindow="20370" yWindow="-2070" windowWidth="21840" windowHeight="13140" tabRatio="803" firstSheet="1" activeTab="2" xr2:uid="{00000000-000D-0000-FFFF-FFFF00000000}"/>
  </bookViews>
  <sheets>
    <sheet name="chorizo" sheetId="3" state="hidden" r:id="rId1"/>
    <sheet name="choriboni" sheetId="4" r:id="rId2"/>
    <sheet name="Arqueo de Caja" sheetId="9" r:id="rId3"/>
    <sheet name="Clientes" sheetId="24" r:id="rId4"/>
    <sheet name="Empaques" sheetId="25" r:id="rId5"/>
    <sheet name="proveedores" sheetId="7" state="hidden" r:id="rId6"/>
    <sheet name="informe" sheetId="6" state="hidden" r:id="rId7"/>
    <sheet name="Costos" sheetId="8" state="hidden" r:id="rId8"/>
    <sheet name="Reporte" sheetId="11" r:id="rId9"/>
    <sheet name="Extracto" sheetId="10" r:id="rId10"/>
    <sheet name="Rappi" sheetId="26" r:id="rId11"/>
    <sheet name="7-MARZO" sheetId="22" state="hidden" r:id="rId12"/>
    <sheet name="Prestamos" sheetId="12" r:id="rId13"/>
    <sheet name="maquina" sheetId="23" r:id="rId14"/>
    <sheet name="DevOps" sheetId="21" r:id="rId15"/>
    <sheet name="Informe ventas" sheetId="13" state="hidden" r:id="rId16"/>
    <sheet name="historial de venta" sheetId="14" state="hidden" r:id="rId17"/>
  </sheets>
  <definedNames>
    <definedName name="_xlnm._FilterDatabase" localSheetId="1" hidden="1">choriboni!$B$17:$I$69</definedName>
  </definedNames>
  <calcPr calcId="191029"/>
  <pivotCaches>
    <pivotCache cacheId="0" r:id="rId18"/>
    <pivotCache cacheId="1" r:id="rId19"/>
    <pivotCache cacheId="2" r:id="rId20"/>
    <pivotCache cacheId="3" r:id="rId21"/>
    <pivotCache cacheId="4" r:id="rId22"/>
    <pivotCache cacheId="5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1" i="9" l="1"/>
  <c r="AN9" i="9"/>
  <c r="AN14" i="9"/>
  <c r="AI27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I14" i="9" l="1"/>
  <c r="AG14" i="9"/>
  <c r="AI18" i="9" s="1"/>
  <c r="AI23" i="9" s="1"/>
  <c r="AE14" i="9"/>
  <c r="AI25" i="9" l="1"/>
  <c r="AE23" i="9"/>
  <c r="AG18" i="9" l="1"/>
  <c r="AG23" i="9" s="1"/>
  <c r="AG25" i="9" s="1"/>
  <c r="B47" i="10"/>
  <c r="B45" i="10"/>
  <c r="B44" i="10"/>
  <c r="B43" i="10"/>
  <c r="B42" i="10"/>
  <c r="B41" i="10"/>
  <c r="B46" i="10"/>
  <c r="B40" i="10"/>
  <c r="B39" i="10"/>
  <c r="B38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G10" i="25"/>
  <c r="E6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AC18" i="9" l="1"/>
  <c r="AC23" i="9" s="1"/>
  <c r="AA25" i="9"/>
  <c r="AC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K13" i="9"/>
  <c r="AK12" i="9"/>
  <c r="AK11" i="9"/>
  <c r="AK10" i="9"/>
  <c r="AK9" i="9"/>
  <c r="AK8" i="9"/>
  <c r="AK7" i="9"/>
  <c r="AK6" i="9"/>
  <c r="AK5" i="9"/>
  <c r="AK4" i="9"/>
  <c r="AK3" i="9"/>
  <c r="S21" i="9"/>
  <c r="U1" i="9"/>
  <c r="U17" i="9" s="1"/>
  <c r="S1" i="9"/>
  <c r="S17" i="9" s="1"/>
  <c r="Q1" i="9"/>
  <c r="Q17" i="9" s="1"/>
  <c r="O1" i="9"/>
  <c r="O17" i="9" s="1"/>
  <c r="AK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D1" i="10" s="1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2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A22" authorId="0" shapeId="0" xr:uid="{00000000-0006-0000-0200-00000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<sst xmlns="http://schemas.openxmlformats.org/spreadsheetml/2006/main" count="887" uniqueCount="354">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</sst>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sheetMetadata" Target="metadata.xml"/><Relationship Id="rId36" Type="http://schemas.openxmlformats.org/officeDocument/2006/relationships/customXml" Target="../customXml/item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P21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2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4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250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N31"/>
  <sheetViews>
    <sheetView showGridLines="0" tabSelected="1" zoomScaleNormal="100" workbookViewId="0">
      <selection activeCell="AI17" sqref="AI17"/>
    </sheetView>
  </sheetViews>
  <sheetFormatPr baseColWidth="10" defaultRowHeight="15" outlineLevelRow="1" outlineLevelCol="1" x14ac:dyDescent="0.25"/>
  <cols>
    <col min="1" max="1" width="15" style="3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0" hidden="1" customWidth="1"/>
    <col min="28" max="28" width="3.140625" hidden="1" customWidth="1" collapsed="1"/>
    <col min="29" max="29" width="0" hidden="1" customWidth="1"/>
    <col min="30" max="30" width="3.140625" bestFit="1" customWidth="1" collapsed="1"/>
    <col min="32" max="32" width="3.140625" bestFit="1" customWidth="1" collapsed="1"/>
    <col min="34" max="34" width="3.140625" bestFit="1" customWidth="1" collapsed="1"/>
    <col min="36" max="37" width="0" hidden="1" customWidth="1"/>
  </cols>
  <sheetData>
    <row r="1" spans="1:40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</row>
    <row r="2" spans="1:40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46083</v>
      </c>
    </row>
    <row r="3" spans="1:40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/>
      <c r="AI3" s="3">
        <f t="shared" ref="AI3:AI13" si="2">+$A3*AH3</f>
        <v>0</v>
      </c>
      <c r="AJ3" s="26">
        <v>0</v>
      </c>
      <c r="AK3" s="3">
        <f>+$A3*AJ3</f>
        <v>0</v>
      </c>
    </row>
    <row r="4" spans="1:40" outlineLevel="1" x14ac:dyDescent="0.25">
      <c r="A4" s="27">
        <v>50000</v>
      </c>
      <c r="B4" s="26">
        <v>1</v>
      </c>
      <c r="C4" s="3">
        <f t="shared" ref="C4:C13" si="3">+A4*B4</f>
        <v>50000</v>
      </c>
      <c r="D4" s="26">
        <v>1</v>
      </c>
      <c r="E4" s="3">
        <f t="shared" ref="E4:E13" si="4">+$A4*D4</f>
        <v>50000</v>
      </c>
      <c r="F4" s="26">
        <v>1</v>
      </c>
      <c r="G4" s="3"/>
      <c r="H4" s="26">
        <v>0</v>
      </c>
      <c r="I4" s="3">
        <f t="shared" ref="I4" si="5">+$A4*H4</f>
        <v>0</v>
      </c>
      <c r="J4" s="26">
        <v>2</v>
      </c>
      <c r="K4" s="3">
        <f t="shared" ref="K4" si="6">+$A4*J4</f>
        <v>100000</v>
      </c>
      <c r="L4" s="26">
        <v>0</v>
      </c>
      <c r="M4" s="3">
        <f t="shared" ref="M4" si="7">+$A4*L4</f>
        <v>0</v>
      </c>
      <c r="N4" s="26">
        <v>0</v>
      </c>
      <c r="O4" s="3">
        <f t="shared" ref="O4" si="8">+$A4*N4</f>
        <v>0</v>
      </c>
      <c r="P4" s="26">
        <v>1</v>
      </c>
      <c r="Q4" s="3">
        <f t="shared" ref="Q4" si="9">+$A4*P4</f>
        <v>50000</v>
      </c>
      <c r="R4" s="26">
        <v>1</v>
      </c>
      <c r="S4" s="3"/>
      <c r="T4" s="26">
        <v>0</v>
      </c>
      <c r="U4" s="3">
        <f t="shared" ref="U4:U5" si="10">+$A4*T4</f>
        <v>0</v>
      </c>
      <c r="V4" s="1">
        <v>1</v>
      </c>
      <c r="W4" s="3">
        <f t="shared" ref="W4:W5" si="11">+$A4*V4</f>
        <v>50000</v>
      </c>
      <c r="X4" s="1">
        <v>0</v>
      </c>
      <c r="Y4" s="3">
        <f t="shared" ref="Y4:Y5" si="1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/>
      <c r="AI4" s="3">
        <f t="shared" si="2"/>
        <v>0</v>
      </c>
      <c r="AJ4" s="26">
        <v>1</v>
      </c>
      <c r="AK4" s="3">
        <f t="shared" ref="AK4" si="13">+$A4*AJ4</f>
        <v>50000</v>
      </c>
      <c r="AN4" s="91">
        <v>20500</v>
      </c>
    </row>
    <row r="5" spans="1:40" outlineLevel="1" x14ac:dyDescent="0.25">
      <c r="A5" s="27">
        <v>20000</v>
      </c>
      <c r="B5" s="26">
        <v>4</v>
      </c>
      <c r="C5" s="3">
        <f t="shared" si="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0"/>
        <v>0</v>
      </c>
      <c r="V5" s="1">
        <v>0</v>
      </c>
      <c r="W5" s="3">
        <f t="shared" si="11"/>
        <v>0</v>
      </c>
      <c r="X5" s="1">
        <v>0</v>
      </c>
      <c r="Y5" s="3">
        <f t="shared" si="1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/>
      <c r="AI5" s="3">
        <f t="shared" si="2"/>
        <v>0</v>
      </c>
      <c r="AJ5" s="26">
        <v>1</v>
      </c>
      <c r="AK5" s="3">
        <f>+$A5*AJ5</f>
        <v>20000</v>
      </c>
      <c r="AN5" s="91">
        <v>55800</v>
      </c>
    </row>
    <row r="6" spans="1:40" outlineLevel="1" x14ac:dyDescent="0.25">
      <c r="A6" s="27">
        <v>10000</v>
      </c>
      <c r="B6" s="26">
        <v>2</v>
      </c>
      <c r="C6" s="3">
        <f t="shared" si="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/>
      <c r="AI6" s="3">
        <f t="shared" si="2"/>
        <v>0</v>
      </c>
      <c r="AJ6" s="26">
        <v>4</v>
      </c>
      <c r="AK6" s="3">
        <f>+$A6*AJ6</f>
        <v>40000</v>
      </c>
      <c r="AN6" s="91">
        <v>43800</v>
      </c>
    </row>
    <row r="7" spans="1:40" outlineLevel="1" x14ac:dyDescent="0.25">
      <c r="A7" s="27">
        <v>5000</v>
      </c>
      <c r="B7" s="26">
        <v>2</v>
      </c>
      <c r="C7" s="3">
        <f t="shared" si="3"/>
        <v>10000</v>
      </c>
      <c r="D7" s="26">
        <v>4</v>
      </c>
      <c r="E7" s="3">
        <f t="shared" si="4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/>
      <c r="AI7" s="3">
        <f t="shared" si="2"/>
        <v>0</v>
      </c>
      <c r="AJ7" s="26">
        <v>3</v>
      </c>
      <c r="AK7" s="3">
        <f t="shared" ref="AK7:AK13" si="23">+$A7*AJ7</f>
        <v>15000</v>
      </c>
      <c r="AN7" s="81">
        <v>40000</v>
      </c>
    </row>
    <row r="8" spans="1:40" ht="15.75" outlineLevel="1" thickBot="1" x14ac:dyDescent="0.3">
      <c r="A8" s="27">
        <v>2000</v>
      </c>
      <c r="B8" s="26">
        <v>4</v>
      </c>
      <c r="C8" s="3">
        <f t="shared" si="3"/>
        <v>8000</v>
      </c>
      <c r="D8" s="26">
        <v>5</v>
      </c>
      <c r="E8" s="3">
        <f t="shared" si="4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/>
      <c r="AI8" s="3">
        <f t="shared" si="2"/>
        <v>0</v>
      </c>
      <c r="AJ8" s="26">
        <v>10</v>
      </c>
      <c r="AK8" s="3">
        <f t="shared" si="23"/>
        <v>20000</v>
      </c>
      <c r="AN8" s="90">
        <v>100000</v>
      </c>
    </row>
    <row r="9" spans="1:40" ht="15.75" outlineLevel="1" thickTop="1" x14ac:dyDescent="0.25">
      <c r="A9" s="27">
        <v>1000</v>
      </c>
      <c r="B9" s="26">
        <v>7</v>
      </c>
      <c r="C9" s="3">
        <f t="shared" si="3"/>
        <v>7000</v>
      </c>
      <c r="D9" s="26">
        <v>8</v>
      </c>
      <c r="E9" s="3">
        <f t="shared" si="4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/>
      <c r="AI9" s="3">
        <f t="shared" si="2"/>
        <v>0</v>
      </c>
      <c r="AJ9" s="26">
        <v>0</v>
      </c>
      <c r="AK9" s="3">
        <f t="shared" si="23"/>
        <v>0</v>
      </c>
      <c r="AN9" s="29">
        <f>+SUM(AN4:AN8)</f>
        <v>260100</v>
      </c>
    </row>
    <row r="10" spans="1:40" outlineLevel="1" x14ac:dyDescent="0.25">
      <c r="A10" s="27">
        <v>500</v>
      </c>
      <c r="B10" s="26">
        <v>31</v>
      </c>
      <c r="C10" s="3">
        <f t="shared" si="3"/>
        <v>15500</v>
      </c>
      <c r="D10" s="26">
        <v>32</v>
      </c>
      <c r="E10" s="3">
        <f t="shared" si="4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/>
      <c r="AI10" s="3">
        <f t="shared" si="2"/>
        <v>0</v>
      </c>
      <c r="AJ10" s="26">
        <v>36</v>
      </c>
      <c r="AK10" s="3">
        <f t="shared" si="23"/>
        <v>18000</v>
      </c>
    </row>
    <row r="11" spans="1:40" outlineLevel="1" x14ac:dyDescent="0.25">
      <c r="A11" s="27">
        <v>200</v>
      </c>
      <c r="B11" s="26">
        <v>54</v>
      </c>
      <c r="C11" s="3">
        <f t="shared" si="3"/>
        <v>10800</v>
      </c>
      <c r="D11" s="26">
        <v>56</v>
      </c>
      <c r="E11" s="3">
        <f t="shared" si="4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/>
      <c r="AI11" s="3">
        <f t="shared" si="2"/>
        <v>0</v>
      </c>
      <c r="AJ11" s="26">
        <v>81</v>
      </c>
      <c r="AK11" s="3">
        <f t="shared" si="23"/>
        <v>16200</v>
      </c>
    </row>
    <row r="12" spans="1:40" outlineLevel="1" x14ac:dyDescent="0.25">
      <c r="A12" s="27">
        <v>100</v>
      </c>
      <c r="B12" s="26">
        <v>38</v>
      </c>
      <c r="C12" s="3">
        <f t="shared" si="3"/>
        <v>3800</v>
      </c>
      <c r="D12" s="26">
        <v>39</v>
      </c>
      <c r="E12" s="3">
        <f t="shared" si="4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/>
      <c r="AI12" s="3">
        <f t="shared" si="2"/>
        <v>0</v>
      </c>
      <c r="AJ12" s="26">
        <v>77</v>
      </c>
      <c r="AK12" s="3">
        <f t="shared" si="23"/>
        <v>7700</v>
      </c>
      <c r="AN12" s="81">
        <v>55800</v>
      </c>
    </row>
    <row r="13" spans="1:40" ht="15.75" outlineLevel="1" thickBot="1" x14ac:dyDescent="0.3">
      <c r="A13" s="27">
        <v>50</v>
      </c>
      <c r="B13" s="26">
        <v>10</v>
      </c>
      <c r="C13" s="28">
        <f t="shared" si="3"/>
        <v>500</v>
      </c>
      <c r="D13" s="26">
        <v>10</v>
      </c>
      <c r="E13" s="28">
        <f t="shared" si="4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/>
      <c r="AI13" s="28">
        <f t="shared" si="2"/>
        <v>0</v>
      </c>
      <c r="AJ13" s="26">
        <v>14</v>
      </c>
      <c r="AK13" s="28">
        <f t="shared" si="23"/>
        <v>700</v>
      </c>
      <c r="AN13" s="90">
        <v>43800</v>
      </c>
    </row>
    <row r="14" spans="1:40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0</v>
      </c>
      <c r="AK14" s="69">
        <f>SUM(AK3:AK13)</f>
        <v>187600</v>
      </c>
      <c r="AN14" s="81">
        <f>+SUM(AN12:AN13)</f>
        <v>99600</v>
      </c>
    </row>
    <row r="15" spans="1:40" x14ac:dyDescent="0.25">
      <c r="E15" s="18">
        <f>+SUM('historial de venta'!G32:G37)</f>
        <v>76000</v>
      </c>
      <c r="U15">
        <v>324300</v>
      </c>
      <c r="AE15" s="17"/>
      <c r="AG15" s="17"/>
      <c r="AI15" s="17"/>
    </row>
    <row r="16" spans="1:40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</row>
    <row r="17" spans="1:35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</row>
    <row r="18" spans="1:3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</row>
    <row r="19" spans="1:35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</row>
    <row r="20" spans="1:3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0</v>
      </c>
    </row>
    <row r="21" spans="1:3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v>0</v>
      </c>
    </row>
    <row r="22" spans="1:35" ht="16.5" thickTop="1" thickBot="1" x14ac:dyDescent="0.3">
      <c r="A22" s="19" t="s">
        <v>311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v>0</v>
      </c>
    </row>
    <row r="23" spans="1:3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101400</v>
      </c>
      <c r="AI23" s="13">
        <f>+SUM(AI18:AI20)-SUM(AI21:AI22)</f>
        <v>106200</v>
      </c>
    </row>
    <row r="25" spans="1:35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-106200</v>
      </c>
    </row>
    <row r="27" spans="1:35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100000-12050</f>
        <v>87950</v>
      </c>
    </row>
    <row r="28" spans="1:35" x14ac:dyDescent="0.25">
      <c r="A28" s="19" t="s">
        <v>332</v>
      </c>
      <c r="W28">
        <v>75050</v>
      </c>
      <c r="Y28">
        <v>75050</v>
      </c>
      <c r="AI28" s="67">
        <v>100000</v>
      </c>
    </row>
    <row r="31" spans="1:35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333</v>
      </c>
      <c r="B1" t="s">
        <v>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C5:G14"/>
  <sheetViews>
    <sheetView zoomScale="115" zoomScaleNormal="115" workbookViewId="0">
      <selection activeCell="E16" sqref="E16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316</v>
      </c>
    </row>
    <row r="6" spans="3:7" x14ac:dyDescent="0.25">
      <c r="C6" t="s">
        <v>312</v>
      </c>
      <c r="D6">
        <v>10000</v>
      </c>
      <c r="E6">
        <f>+D6*4</f>
        <v>40000</v>
      </c>
    </row>
    <row r="7" spans="3:7" x14ac:dyDescent="0.25">
      <c r="C7" t="s">
        <v>313</v>
      </c>
    </row>
    <row r="8" spans="3:7" x14ac:dyDescent="0.25">
      <c r="C8" t="s">
        <v>314</v>
      </c>
    </row>
    <row r="9" spans="3:7" x14ac:dyDescent="0.25">
      <c r="C9" s="88" t="s">
        <v>315</v>
      </c>
      <c r="D9" s="88"/>
      <c r="E9" s="88"/>
    </row>
    <row r="10" spans="3:7" x14ac:dyDescent="0.25">
      <c r="G10">
        <f>100000-16000</f>
        <v>84000</v>
      </c>
    </row>
    <row r="13" spans="3:7" x14ac:dyDescent="0.25">
      <c r="C13" t="s">
        <v>232</v>
      </c>
      <c r="D13" t="s">
        <v>235</v>
      </c>
    </row>
    <row r="14" spans="3:7" x14ac:dyDescent="0.25">
      <c r="C14" t="s">
        <v>233</v>
      </c>
      <c r="D14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253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251</v>
      </c>
      <c r="C10" s="72" t="s">
        <v>252</v>
      </c>
      <c r="D10" t="s">
        <v>254</v>
      </c>
    </row>
    <row r="11" spans="1:4" x14ac:dyDescent="0.25">
      <c r="A11" t="s">
        <v>258</v>
      </c>
      <c r="C11" t="s">
        <v>257</v>
      </c>
    </row>
    <row r="12" spans="1:4" x14ac:dyDescent="0.25">
      <c r="A12" s="1" t="s">
        <v>330</v>
      </c>
      <c r="B12" s="1"/>
      <c r="C12" s="1" t="s">
        <v>317</v>
      </c>
    </row>
    <row r="13" spans="1:4" x14ac:dyDescent="0.25">
      <c r="A13" t="s">
        <v>244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66FF"/>
  </sheetPr>
  <dimension ref="A1:K47"/>
  <sheetViews>
    <sheetView zoomScale="115" zoomScaleNormal="115" workbookViewId="0">
      <pane ySplit="2" topLeftCell="A33" activePane="bottomLeft" state="frozen"/>
      <selection activeCell="C1" sqref="C1"/>
      <selection pane="bottomLeft" activeCell="D34" sqref="D34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187650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8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263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262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261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260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259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268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267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266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265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264</v>
      </c>
      <c r="K37" s="13">
        <f>+SUM(D33:D37)</f>
        <v>131500</v>
      </c>
    </row>
    <row r="38" spans="1:11" x14ac:dyDescent="0.25">
      <c r="A38" s="2">
        <v>46088</v>
      </c>
      <c r="B38" s="2" t="str">
        <f t="shared" si="3"/>
        <v>sáb</v>
      </c>
      <c r="D38" s="3">
        <v>28000</v>
      </c>
      <c r="E38" s="3" t="s">
        <v>223</v>
      </c>
      <c r="F38" s="32" t="s">
        <v>142</v>
      </c>
      <c r="G38" t="s">
        <v>319</v>
      </c>
      <c r="K38" s="13"/>
    </row>
    <row r="39" spans="1:11" x14ac:dyDescent="0.25">
      <c r="A39" s="2">
        <v>46088</v>
      </c>
      <c r="B39" s="2" t="str">
        <f t="shared" ref="B39" si="4">+TEXT(A39,"ddd")</f>
        <v>sáb</v>
      </c>
      <c r="D39" s="3">
        <v>43000</v>
      </c>
      <c r="E39" s="3" t="s">
        <v>223</v>
      </c>
      <c r="F39" s="32"/>
      <c r="G39" t="s">
        <v>269</v>
      </c>
      <c r="K39" s="13"/>
    </row>
    <row r="40" spans="1:11" x14ac:dyDescent="0.25">
      <c r="A40" s="2" t="s">
        <v>0</v>
      </c>
      <c r="B40" s="2" t="str">
        <f t="shared" ref="B40:B45" si="5">+TEXT(A40,"ddd")</f>
        <v xml:space="preserve"> </v>
      </c>
      <c r="C40" t="s">
        <v>270</v>
      </c>
      <c r="D40" s="16">
        <v>16000</v>
      </c>
      <c r="E40" s="3" t="s">
        <v>223</v>
      </c>
      <c r="F40" s="32" t="s">
        <v>142</v>
      </c>
      <c r="G40" s="1" t="s">
        <v>320</v>
      </c>
    </row>
    <row r="41" spans="1:11" x14ac:dyDescent="0.25">
      <c r="A41" s="2">
        <v>46089</v>
      </c>
      <c r="B41" s="2" t="str">
        <f t="shared" si="5"/>
        <v>dom</v>
      </c>
      <c r="D41" s="3">
        <v>30000</v>
      </c>
      <c r="E41" s="3" t="s">
        <v>223</v>
      </c>
      <c r="F41" s="32" t="s">
        <v>142</v>
      </c>
    </row>
    <row r="42" spans="1:11" x14ac:dyDescent="0.25">
      <c r="A42" s="2">
        <v>46089</v>
      </c>
      <c r="B42" s="2" t="str">
        <f t="shared" si="5"/>
        <v>dom</v>
      </c>
      <c r="D42" s="3">
        <v>54000</v>
      </c>
      <c r="E42" s="3" t="s">
        <v>223</v>
      </c>
      <c r="F42" s="32" t="s">
        <v>142</v>
      </c>
    </row>
    <row r="43" spans="1:11" x14ac:dyDescent="0.25">
      <c r="A43" s="2">
        <v>46089</v>
      </c>
      <c r="B43" s="2" t="str">
        <f t="shared" si="5"/>
        <v>dom</v>
      </c>
      <c r="D43" s="3">
        <v>8000</v>
      </c>
      <c r="E43" s="3" t="s">
        <v>223</v>
      </c>
      <c r="F43" s="32" t="s">
        <v>142</v>
      </c>
    </row>
    <row r="44" spans="1:11" x14ac:dyDescent="0.25">
      <c r="A44" s="2">
        <v>46089</v>
      </c>
      <c r="B44" s="2" t="str">
        <f t="shared" si="5"/>
        <v>dom</v>
      </c>
      <c r="D44" s="3">
        <v>30000</v>
      </c>
      <c r="E44" s="3" t="s">
        <v>223</v>
      </c>
      <c r="F44" s="32" t="s">
        <v>142</v>
      </c>
    </row>
    <row r="45" spans="1:11" x14ac:dyDescent="0.25">
      <c r="A45" s="2">
        <v>46089</v>
      </c>
      <c r="B45" s="2" t="str">
        <f t="shared" si="5"/>
        <v>dom</v>
      </c>
      <c r="D45" s="3">
        <v>16000</v>
      </c>
      <c r="E45" s="3" t="s">
        <v>223</v>
      </c>
      <c r="F45" s="32" t="s">
        <v>142</v>
      </c>
    </row>
    <row r="46" spans="1:11" x14ac:dyDescent="0.25">
      <c r="A46" s="2">
        <v>46091</v>
      </c>
      <c r="B46" s="2" t="str">
        <f>+TEXT(A46,"ddd")</f>
        <v>mar</v>
      </c>
      <c r="D46" s="3">
        <v>90000</v>
      </c>
      <c r="E46" s="3" t="s">
        <v>223</v>
      </c>
      <c r="F46" s="33" t="s">
        <v>147</v>
      </c>
    </row>
    <row r="47" spans="1:11" x14ac:dyDescent="0.25">
      <c r="A47" s="2">
        <v>46091</v>
      </c>
      <c r="B47" s="2" t="str">
        <f>+TEXT(A47,"ddd")</f>
        <v>mar</v>
      </c>
      <c r="D47" s="58">
        <v>-412000</v>
      </c>
      <c r="E47" s="3" t="s">
        <v>223</v>
      </c>
      <c r="F47" s="32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321</v>
      </c>
      <c r="E2" t="s">
        <v>328</v>
      </c>
    </row>
    <row r="3" spans="2:7" x14ac:dyDescent="0.25">
      <c r="B3" t="s">
        <v>322</v>
      </c>
    </row>
    <row r="4" spans="2:7" x14ac:dyDescent="0.25">
      <c r="B4" t="s">
        <v>323</v>
      </c>
    </row>
    <row r="5" spans="2:7" x14ac:dyDescent="0.25">
      <c r="B5" t="s">
        <v>324</v>
      </c>
      <c r="D5">
        <v>7</v>
      </c>
      <c r="E5" t="s">
        <v>327</v>
      </c>
    </row>
    <row r="6" spans="2:7" x14ac:dyDescent="0.25">
      <c r="B6" s="24">
        <v>0</v>
      </c>
      <c r="C6" t="s">
        <v>326</v>
      </c>
      <c r="G6" t="s">
        <v>329</v>
      </c>
    </row>
    <row r="7" spans="2:7" x14ac:dyDescent="0.25">
      <c r="G7">
        <v>26</v>
      </c>
    </row>
    <row r="8" spans="2:7" x14ac:dyDescent="0.25">
      <c r="B8" t="s">
        <v>325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283</v>
      </c>
      <c r="B2" s="73" t="s">
        <v>277</v>
      </c>
      <c r="C2" s="73" t="s">
        <v>278</v>
      </c>
      <c r="D2" s="73" t="s">
        <v>3</v>
      </c>
      <c r="E2" s="73"/>
      <c r="F2" s="74" t="s">
        <v>281</v>
      </c>
      <c r="G2" s="74" t="s">
        <v>282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271</v>
      </c>
      <c r="B4" s="75"/>
      <c r="C4" s="75"/>
      <c r="D4" s="75" t="s">
        <v>271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272</v>
      </c>
      <c r="E5" s="75" t="s">
        <v>273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272</v>
      </c>
      <c r="E6" s="75" t="s">
        <v>274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275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276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290</v>
      </c>
      <c r="E9" s="75"/>
      <c r="F9" s="78">
        <v>-22000</v>
      </c>
      <c r="G9" s="75"/>
    </row>
    <row r="10" spans="1:10" x14ac:dyDescent="0.25">
      <c r="A10" s="75" t="s">
        <v>279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279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279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279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279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279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280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280</v>
      </c>
      <c r="B17" s="75"/>
      <c r="C17" s="75"/>
      <c r="D17" s="75" t="s">
        <v>285</v>
      </c>
      <c r="E17" s="75"/>
      <c r="F17" s="76"/>
      <c r="G17" s="79">
        <v>28000</v>
      </c>
    </row>
    <row r="18" spans="1:7" x14ac:dyDescent="0.25">
      <c r="A18" s="75" t="s">
        <v>279</v>
      </c>
      <c r="B18" s="75"/>
      <c r="C18" s="75"/>
      <c r="D18" s="75" t="s">
        <v>288</v>
      </c>
      <c r="E18" s="75"/>
      <c r="F18" s="78">
        <v>15000</v>
      </c>
      <c r="G18" s="77"/>
    </row>
    <row r="19" spans="1:7" x14ac:dyDescent="0.25">
      <c r="A19" s="75" t="s">
        <v>279</v>
      </c>
      <c r="B19" s="75"/>
      <c r="C19" s="75"/>
      <c r="D19" s="75" t="s">
        <v>286</v>
      </c>
      <c r="E19" s="75"/>
      <c r="F19" s="78">
        <v>60000</v>
      </c>
      <c r="G19" s="77"/>
    </row>
    <row r="20" spans="1:7" x14ac:dyDescent="0.25">
      <c r="A20" s="75" t="s">
        <v>279</v>
      </c>
      <c r="B20" s="75"/>
      <c r="C20" s="75"/>
      <c r="D20" s="75" t="s">
        <v>287</v>
      </c>
      <c r="E20" s="75"/>
      <c r="F20" s="78">
        <v>12000</v>
      </c>
      <c r="G20" s="77"/>
    </row>
    <row r="21" spans="1:7" x14ac:dyDescent="0.25">
      <c r="A21" s="75" t="s">
        <v>280</v>
      </c>
      <c r="B21" s="75"/>
      <c r="C21" s="75"/>
      <c r="D21" s="75" t="s">
        <v>284</v>
      </c>
      <c r="E21" s="75"/>
      <c r="F21" s="76"/>
      <c r="G21" s="79">
        <v>43000</v>
      </c>
    </row>
    <row r="22" spans="1:7" x14ac:dyDescent="0.25">
      <c r="A22" s="75" t="s">
        <v>279</v>
      </c>
      <c r="D22" s="75" t="s">
        <v>289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C25" sqref="C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292</v>
      </c>
      <c r="C21" s="58">
        <v>129000</v>
      </c>
    </row>
    <row r="22" spans="1:3" x14ac:dyDescent="0.25">
      <c r="A22" s="2">
        <v>46120</v>
      </c>
      <c r="B22" t="s">
        <v>291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301</v>
      </c>
    </row>
    <row r="2" spans="1:7" x14ac:dyDescent="0.25">
      <c r="A2" t="s">
        <v>109</v>
      </c>
      <c r="B2" s="58">
        <v>1300000</v>
      </c>
      <c r="C2" t="s">
        <v>300</v>
      </c>
      <c r="F2">
        <v>1600</v>
      </c>
      <c r="G2" t="s">
        <v>318</v>
      </c>
    </row>
    <row r="3" spans="1:7" x14ac:dyDescent="0.25">
      <c r="A3" t="s">
        <v>293</v>
      </c>
      <c r="B3" s="58">
        <v>-1350000</v>
      </c>
      <c r="C3" t="s">
        <v>299</v>
      </c>
      <c r="F3" s="81">
        <v>3700000</v>
      </c>
    </row>
    <row r="4" spans="1:7" x14ac:dyDescent="0.25">
      <c r="A4" s="1" t="s">
        <v>294</v>
      </c>
      <c r="B4" s="58">
        <v>-400000</v>
      </c>
      <c r="C4" t="s">
        <v>299</v>
      </c>
      <c r="F4" s="81">
        <f>+F3/F2</f>
        <v>2312.5</v>
      </c>
    </row>
    <row r="5" spans="1:7" x14ac:dyDescent="0.25">
      <c r="A5" t="s">
        <v>295</v>
      </c>
      <c r="B5" s="58">
        <f>-500000/2</f>
        <v>-250000</v>
      </c>
      <c r="C5" t="s">
        <v>299</v>
      </c>
    </row>
    <row r="6" spans="1:7" x14ac:dyDescent="0.25">
      <c r="A6" t="s">
        <v>296</v>
      </c>
      <c r="B6" s="58">
        <f>-180000/2</f>
        <v>-90000</v>
      </c>
      <c r="C6" t="s">
        <v>299</v>
      </c>
      <c r="F6">
        <v>3500</v>
      </c>
    </row>
    <row r="7" spans="1:7" x14ac:dyDescent="0.25">
      <c r="A7" t="s">
        <v>297</v>
      </c>
      <c r="B7" s="58">
        <v>-30000</v>
      </c>
      <c r="C7" t="s">
        <v>299</v>
      </c>
      <c r="F7">
        <f>+F6*F2</f>
        <v>5600000</v>
      </c>
    </row>
    <row r="8" spans="1:7" x14ac:dyDescent="0.25">
      <c r="A8" t="s">
        <v>298</v>
      </c>
      <c r="B8" s="58">
        <f>((550-185)*3500)/2</f>
        <v>638750</v>
      </c>
      <c r="C8" t="s">
        <v>299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299</v>
      </c>
    </row>
    <row r="10" spans="1:7" x14ac:dyDescent="0.25">
      <c r="A10" t="s">
        <v>298</v>
      </c>
      <c r="D10" t="s">
        <v>302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E16"/>
  <sheetViews>
    <sheetView zoomScale="130" zoomScaleNormal="130" workbookViewId="0">
      <pane ySplit="2" topLeftCell="A4" activePane="bottomLeft" state="frozen"/>
      <selection pane="bottomLeft" activeCell="B7" sqref="B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5" ht="21" x14ac:dyDescent="0.35">
      <c r="B1" s="84" t="s">
        <v>353</v>
      </c>
      <c r="C1" s="22"/>
    </row>
    <row r="2" spans="1:5" x14ac:dyDescent="0.25">
      <c r="A2" s="82" t="s">
        <v>5</v>
      </c>
      <c r="B2" s="82" t="s">
        <v>336</v>
      </c>
      <c r="C2" s="82" t="s">
        <v>307</v>
      </c>
      <c r="D2" s="82" t="s">
        <v>352</v>
      </c>
      <c r="E2" s="92" t="s">
        <v>303</v>
      </c>
    </row>
    <row r="3" spans="1:5" x14ac:dyDescent="0.25">
      <c r="A3" s="85">
        <v>46090</v>
      </c>
      <c r="B3" s="83" t="s">
        <v>304</v>
      </c>
      <c r="C3" s="86" t="s">
        <v>308</v>
      </c>
      <c r="D3" s="83" t="s">
        <v>305</v>
      </c>
      <c r="E3" s="93" t="s">
        <v>306</v>
      </c>
    </row>
    <row r="4" spans="1:5" x14ac:dyDescent="0.25">
      <c r="A4" s="85">
        <v>46090</v>
      </c>
      <c r="B4" s="83" t="s">
        <v>335</v>
      </c>
      <c r="C4" s="86" t="s">
        <v>308</v>
      </c>
      <c r="D4" s="83" t="s">
        <v>309</v>
      </c>
      <c r="E4" s="93" t="s">
        <v>310</v>
      </c>
    </row>
    <row r="5" spans="1:5" ht="30" x14ac:dyDescent="0.25">
      <c r="A5" s="85">
        <v>46093</v>
      </c>
      <c r="B5" s="83" t="s">
        <v>339</v>
      </c>
      <c r="C5" s="86" t="s">
        <v>308</v>
      </c>
      <c r="D5" s="83" t="s">
        <v>337</v>
      </c>
      <c r="E5" s="93" t="s">
        <v>338</v>
      </c>
    </row>
    <row r="6" spans="1:5" ht="30" x14ac:dyDescent="0.25">
      <c r="A6" s="85">
        <v>46093</v>
      </c>
      <c r="B6" s="83" t="s">
        <v>342</v>
      </c>
      <c r="C6" s="86" t="s">
        <v>308</v>
      </c>
      <c r="D6" s="83" t="s">
        <v>340</v>
      </c>
      <c r="E6" s="93" t="s">
        <v>341</v>
      </c>
    </row>
    <row r="7" spans="1:5" ht="30" x14ac:dyDescent="0.25">
      <c r="A7" s="85">
        <v>46093</v>
      </c>
      <c r="B7" s="83" t="s">
        <v>343</v>
      </c>
      <c r="C7" s="86" t="s">
        <v>308</v>
      </c>
      <c r="D7" s="83" t="s">
        <v>345</v>
      </c>
      <c r="E7" s="93" t="s">
        <v>344</v>
      </c>
    </row>
    <row r="8" spans="1:5" x14ac:dyDescent="0.25">
      <c r="A8" s="85">
        <v>46093</v>
      </c>
      <c r="B8" s="83" t="s">
        <v>349</v>
      </c>
      <c r="C8" s="86" t="s">
        <v>308</v>
      </c>
      <c r="D8" s="83" t="s">
        <v>346</v>
      </c>
      <c r="E8" s="93" t="s">
        <v>347</v>
      </c>
    </row>
    <row r="9" spans="1:5" ht="30" x14ac:dyDescent="0.25">
      <c r="A9" s="85">
        <v>46093</v>
      </c>
      <c r="B9" s="83" t="s">
        <v>350</v>
      </c>
      <c r="C9" s="86" t="s">
        <v>308</v>
      </c>
      <c r="D9" s="83" t="s">
        <v>348</v>
      </c>
      <c r="E9" s="93" t="s">
        <v>351</v>
      </c>
    </row>
    <row r="10" spans="1:5" x14ac:dyDescent="0.25">
      <c r="A10" s="83"/>
      <c r="B10" s="83" t="s">
        <v>246</v>
      </c>
      <c r="C10" s="94" t="s">
        <v>307</v>
      </c>
      <c r="D10" s="83"/>
      <c r="E10" s="93"/>
    </row>
    <row r="11" spans="1:5" x14ac:dyDescent="0.25">
      <c r="A11" s="83"/>
      <c r="B11" s="83" t="s">
        <v>245</v>
      </c>
      <c r="C11" s="94" t="s">
        <v>307</v>
      </c>
      <c r="D11" s="83"/>
      <c r="E11" s="93"/>
    </row>
    <row r="12" spans="1:5" x14ac:dyDescent="0.25">
      <c r="A12" s="83"/>
      <c r="B12" s="83" t="s">
        <v>247</v>
      </c>
      <c r="C12" s="94" t="s">
        <v>307</v>
      </c>
      <c r="D12" s="83"/>
      <c r="E12" s="93"/>
    </row>
    <row r="13" spans="1:5" x14ac:dyDescent="0.25">
      <c r="A13" s="83"/>
      <c r="B13" s="83" t="s">
        <v>248</v>
      </c>
      <c r="C13" s="94" t="s">
        <v>307</v>
      </c>
      <c r="D13" s="83"/>
      <c r="E13" s="93"/>
    </row>
    <row r="14" spans="1:5" x14ac:dyDescent="0.25">
      <c r="A14" s="83"/>
      <c r="B14" s="83" t="s">
        <v>249</v>
      </c>
      <c r="C14" s="94" t="s">
        <v>307</v>
      </c>
      <c r="D14" s="83"/>
      <c r="E14" s="93"/>
    </row>
    <row r="15" spans="1:5" x14ac:dyDescent="0.25">
      <c r="A15" s="83"/>
      <c r="B15" s="83" t="s">
        <v>255</v>
      </c>
      <c r="C15" s="94" t="s">
        <v>307</v>
      </c>
      <c r="D15" s="83"/>
      <c r="E15" s="93"/>
    </row>
    <row r="16" spans="1:5" x14ac:dyDescent="0.25">
      <c r="A16" s="83"/>
      <c r="B16" s="83" t="s">
        <v>256</v>
      </c>
      <c r="C16" s="94" t="s">
        <v>307</v>
      </c>
      <c r="D16" s="83"/>
      <c r="E16" s="9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chorizo</vt:lpstr>
      <vt:lpstr>choriboni</vt:lpstr>
      <vt:lpstr>Arqueo de Caja</vt:lpstr>
      <vt:lpstr>Clientes</vt:lpstr>
      <vt:lpstr>Empaques</vt:lpstr>
      <vt:lpstr>proveedores</vt:lpstr>
      <vt:lpstr>informe</vt:lpstr>
      <vt:lpstr>Costos</vt:lpstr>
      <vt:lpstr>Reporte</vt:lpstr>
      <vt:lpstr>Extracto</vt:lpstr>
      <vt:lpstr>Rappi</vt:lpstr>
      <vt:lpstr>7-MARZO</vt:lpstr>
      <vt:lpstr>Prestamos</vt:lpstr>
      <vt:lpstr>maquina</vt:lpstr>
      <vt:lpstr>DevOps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2026-03-12T15:49:50Z</dcterms:modified>
</cp:coreProperties>
</file>