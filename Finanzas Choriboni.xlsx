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ownloads\Hardware\"/>
    </mc:Choice>
  </mc:AlternateContent>
  <xr:revisionPtr revIDLastSave="0" documentId="13_ncr:1_{2744D4BA-AB07-406E-BB3C-CDBD4E74DE53}" xr6:coauthVersionLast="47" xr6:coauthVersionMax="47" xr10:uidLastSave="{00000000-0000-0000-0000-000000000000}"/>
  <bookViews>
    <workbookView xWindow="20370" yWindow="-2070" windowWidth="21840" windowHeight="13140" firstSheet="6" activeTab="6" xr2:uid="{00000000-000D-0000-FFFF-FFFF00000000}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Reporte" sheetId="11" r:id="rId7"/>
    <sheet name="Extracto_bancario" sheetId="10" r:id="rId8"/>
    <sheet name="Prestamos" sheetId="12" r:id="rId9"/>
    <sheet name="Informe ventas" sheetId="13" r:id="rId10"/>
    <sheet name="historial de venta" sheetId="14" r:id="rId11"/>
  </sheets>
  <externalReferences>
    <externalReference r:id="rId12"/>
  </externalReferences>
  <definedNames>
    <definedName name="_xlnm._FilterDatabase" localSheetId="1" hidden="1">choriboni!$B$14:$I$57</definedName>
  </definedNames>
  <calcPr calcId="191029"/>
  <pivotCaches>
    <pivotCache cacheId="0" r:id="rId13"/>
    <pivotCache cacheId="242" r:id="rId14"/>
    <pivotCache cacheId="214" r:id="rId15"/>
    <pivotCache cacheId="219" r:id="rId16"/>
    <pivotCache cacheId="222" r:id="rId17"/>
    <pivotCache cacheId="241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9" l="1"/>
  <c r="K13" i="9"/>
  <c r="K12" i="9"/>
  <c r="K11" i="9"/>
  <c r="K10" i="9"/>
  <c r="K9" i="9"/>
  <c r="K8" i="9"/>
  <c r="K7" i="9"/>
  <c r="K6" i="9"/>
  <c r="K5" i="9"/>
  <c r="K4" i="9"/>
  <c r="K3" i="9"/>
  <c r="E8" i="11"/>
  <c r="D8" i="11"/>
  <c r="I14" i="9"/>
  <c r="E25" i="9"/>
  <c r="H31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N6" i="13"/>
  <c r="E20" i="9"/>
  <c r="K14" i="9" l="1"/>
  <c r="C1" i="9"/>
  <c r="D14" i="10" l="1"/>
  <c r="E4" i="11"/>
  <c r="E5" i="11"/>
  <c r="B2" i="10"/>
  <c r="B3" i="10"/>
  <c r="B4" i="10"/>
  <c r="B5" i="10"/>
  <c r="B6" i="10"/>
  <c r="B7" i="10"/>
  <c r="B8" i="10"/>
  <c r="B9" i="10"/>
  <c r="B10" i="10"/>
  <c r="B11" i="10"/>
  <c r="B12" i="10"/>
  <c r="B13" i="10"/>
  <c r="I18" i="9"/>
  <c r="I19" i="9" s="1"/>
  <c r="G19" i="9"/>
  <c r="C19" i="9"/>
  <c r="C20" i="9" s="1"/>
  <c r="E17" i="9" s="1"/>
  <c r="G17" i="9" s="1"/>
  <c r="G14" i="9"/>
  <c r="I13" i="9"/>
  <c r="I12" i="9"/>
  <c r="I11" i="9"/>
  <c r="I10" i="9"/>
  <c r="I9" i="9"/>
  <c r="I8" i="9"/>
  <c r="I7" i="9"/>
  <c r="I6" i="9"/>
  <c r="I5" i="9"/>
  <c r="I4" i="9"/>
  <c r="I3" i="9"/>
  <c r="G20" i="9" l="1"/>
  <c r="I17" i="9" s="1"/>
  <c r="I20" i="9" s="1"/>
  <c r="E6" i="9"/>
  <c r="E5" i="9"/>
  <c r="E7" i="9"/>
  <c r="E8" i="9"/>
  <c r="E9" i="9"/>
  <c r="E10" i="9"/>
  <c r="E11" i="9"/>
  <c r="E12" i="9"/>
  <c r="E13" i="9"/>
  <c r="E4" i="9"/>
  <c r="E3" i="9"/>
  <c r="C3" i="9"/>
  <c r="I22" i="9" l="1"/>
  <c r="E14" i="9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D9" i="8" s="1"/>
  <c r="C71" i="4"/>
  <c r="C14" i="9" l="1"/>
  <c r="C4" i="4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5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 xr:uid="{00000000-0006-0000-0100-000003000000}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 xr:uid="{00000000-0006-0000-0100-000009000000}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4" authorId="0" shapeId="0" xr:uid="{DE6441DB-0441-43E8-BAF8-6C9ACFC8765C}">
      <text>
        <r>
          <rPr>
            <b/>
            <sz val="9"/>
            <color indexed="81"/>
            <rFont val="Tahoma"/>
            <family val="2"/>
          </rPr>
          <t>Edwin</t>
        </r>
      </text>
    </comment>
    <comment ref="C19" authorId="0" shapeId="0" xr:uid="{5110F975-ADCC-4B24-AF64-024E52DEC71E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19" authorId="0" shapeId="0" xr:uid="{5B73191A-7C69-4532-B7C4-D413CA1AF44B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19" authorId="0" shapeId="0" xr:uid="{F7A04378-6554-49F6-88B2-558E8E1D4FD0}">
      <text>
        <r>
          <rPr>
            <sz val="9"/>
            <color indexed="81"/>
            <rFont val="Tahoma"/>
            <family val="2"/>
          </rPr>
          <t xml:space="preserve">nomina,
mercado
Uniforme
</t>
        </r>
      </text>
    </comment>
    <comment ref="I19" authorId="0" shapeId="0" xr:uid="{7F13D8FE-F4B6-499A-8BA3-01723669A454}">
      <text>
        <r>
          <rPr>
            <b/>
            <sz val="9"/>
            <color indexed="81"/>
            <rFont val="Tahoma"/>
            <family val="2"/>
          </rPr>
          <t>nomina
transporte de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9A236C-3895-41A1-88E0-28BDC14AB6DB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B8D6F388-353D-4A89-BA91-0460D05161B5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2E20F65F-9EBF-4A16-98A0-5EFDD288FCA6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89A80502-BD8E-4EB9-9DDC-6F792B2340A7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A8022F8-3B27-4400-B6AA-5E598061A84E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77313F92-E092-4F20-B9EE-18268DEB30F1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D7C645E9-321F-4787-ADA0-8D0013843C82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28FA8FF4-ED15-4CA3-811C-78A7B10463C2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3496BF73-5C79-460A-9870-34E14CBD8551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6C78596E-0A43-493F-84FC-611E898FD5AA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8303EE0-67DE-4AEB-9605-E2DB63CE0377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402A8EA4-792A-445C-A940-69AF15731E23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31BBAF79-0A6E-407A-B2C9-302687DE0193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744CBA0D-F77A-4593-B0AE-C8B58BD473AB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28659DBD-049E-49AA-ABB6-18157B815C01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D636E6B5-3AA8-4967-8421-5D22ACE50EDD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F40084AE-83EC-47EA-9889-21C199CBB535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BD791DC3-B513-4037-A02B-5D2D0DD63831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59270E76-3734-4EFE-86BE-068A8259E6D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<sst xmlns="http://schemas.openxmlformats.org/spreadsheetml/2006/main" count="575" uniqueCount="199">
  <si>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</si>
  <si>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</si>
  <si>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</si>
  <si>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</si>
  <si>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</si>
  <si>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</si>
  <si>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</si>
  <si>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</si>
  <si>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</si>
  <si>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</si>
  <si>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</si>
  <si>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</si>
  <si>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</si>
  <si>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</si>
  <si>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</si>
  <si>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</si>
  <si>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</si>
  <si>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</si>
  <si>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</si>
  <si>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</si>
  <si>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</si>
  <si>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</si>
  <si>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</si>
  <si>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</si>
  <si>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</si>
  <si>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</si>
  <si>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</si>
  <si>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</si>
  <si>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</si>
  <si>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</si>
  <si>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</si>
  <si>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</si>
  <si>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</si>
  <si>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</si>
  <si>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</si>
  <si>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</si>
  <si>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</si>
  <si>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</si>
  <si>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</si>
  <si>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</si>
  <si>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</si>
  <si>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</si>
  <si>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</si>
  <si>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</si>
  <si>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</si>
  <si>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</si>
  <si>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</si>
  <si>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</si>
  <si>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</si>
  <si>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</si>
  <si>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</si>
  <si>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</si>
  <si>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</si>
  <si>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</si>
  <si>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</si>
  <si>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</si>
  <si>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</si>
  <si>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</si>
  <si>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</si>
  <si>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</si>
  <si>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</si>
  <si>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</si>
  <si>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</si>
  <si>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</si>
  <si>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</si>
  <si>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</si>
  <si>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</si>
  <si>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</si>
  <si>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</si>
  <si>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</si>
  <si>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</si>
  <si>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</si>
  <si>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</si>
  <si>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</si>
  <si>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</si>
  <si>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</si>
  <si>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</si>
  <si>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</si>
  <si>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</si>
  <si>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</si>
  <si>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</si>
  <si>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</si>
  <si>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</si>
  <si>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</si>
  <si>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</si>
  <si>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</si>
  <si>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</si>
  <si>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</si>
  <si>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</si>
  <si>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</si>
  <si>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</si>
  <si>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</si>
  <si>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</si>
  <si>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</si>
  <si>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</si>
  <si>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</si>
  <si>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</si>
  <si>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</si>
  <si>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</si>
  <si>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</si>
  <si>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</si>
  <si>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</si>
  <si>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</si>
  <si>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</si>
  <si>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</si>
  <si>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</si>
  <si>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</si>
  <si>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</si>
  <si>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</si>
  <si>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</si>
  <si>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</si>
  <si>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</si>
  <si>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</si>
  <si>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</si>
  <si>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</si>
  <si>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</si>
  <si>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</si>
  <si>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</si>
  <si>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</si>
  <si>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</si>
  <si>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</si>
  <si>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</si>
  <si>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</si>
  <si>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</si>
  <si>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</si>
  <si>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</si>
  <si>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</si>
  <si>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</si>
  <si>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</si>
  <si>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</si>
  <si>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</si>
  <si>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</si>
  <si>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</si>
  <si>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</si>
  <si>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</si>
  <si>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</si>
  <si>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</si>
  <si>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</si>
  <si>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</si>
  <si>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</si>
  <si>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</si>
  <si>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</si>
  <si>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</si>
  <si>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</si>
  <si>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</si>
  <si>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</si>
  <si>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</si>
  <si>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</si>
  <si>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</si>
  <si>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</si>
  <si>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</si>
  <si>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</si>
  <si>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</si>
  <si>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</si>
  <si>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</si>
  <si>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</si>
  <si>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</si>
  <si>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</si>
  <si>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</si>
  <si>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</si>
  <si>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</si>
  <si>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</si>
  <si>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</si>
  <si>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</si>
  <si>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</si>
  <si>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</si>
  <si>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Libro Auxiliar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</si>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</sst>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9" fillId="8" borderId="0" applyNumberFormat="0" applyBorder="0" applyAlignment="0" applyProtection="0"/>
  </cellStyleXfs>
  <cellXfs count="5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9" fillId="8" borderId="0" xfId="4" applyNumberFormat="1"/>
    <xf numFmtId="164" fontId="2" fillId="0" borderId="2" xfId="0" applyNumberFormat="1" applyFont="1" applyBorder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10" fillId="11" borderId="0" xfId="0" applyFont="1" applyFill="1"/>
    <xf numFmtId="164" fontId="10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1" fillId="11" borderId="0" xfId="1" applyNumberFormat="1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16" fontId="12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0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pivotCacheDefinition" Target="pivotCache/pivotCacheDefinition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DevOps_local\foodtech_choriboni\Documentacion\Dashboard%20Chorobi%20Parrilla.xlsx" TargetMode="External"/><Relationship Id="rId1" Type="http://schemas.openxmlformats.org/officeDocument/2006/relationships/externalLinkPath" Target="file:///F:\DevOps_local\foodtech_choriboni\Documentacion\Dashboard%20Chorob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historial de venta"/>
    </sheetNames>
    <sheetDataSet>
      <sheetData sheetId="0">
        <row r="7">
          <cell r="H7">
            <v>226700</v>
          </cell>
        </row>
        <row r="8">
          <cell r="H8">
            <v>84000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Finanzas%20Choriboni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9.954428472221" createdVersion="8" refreshedVersion="8" minRefreshableVersion="3" recordCount="13" xr:uid="{6D5A376A-1838-4A1D-8968-B412DA5DC065}">
  <cacheSource type="worksheet">
    <worksheetSource ref="A1:F1048576" sheet="Extracto_bancario" r:id="rId2"/>
  </cacheSource>
  <cacheFields count="6">
    <cacheField name="fecha" numFmtId="0">
      <sharedItems containsNonDate="0" containsDate="1" containsString="0" containsBlank="1" minDate="2026-02-23T00:00:00" maxDate="2026-02-27T00:00:00" count="5">
        <d v="2026-02-23T00:00:00"/>
        <d v="2026-02-24T00:00:00"/>
        <d v="2026-02-25T00:00:00"/>
        <d v="2026-02-26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51000"/>
    </cacheField>
    <cacheField name="cuenta" numFmtId="0">
      <sharedItems containsBlank="1" count="3">
        <s v="Nequi"/>
        <s v="DaviPlata"/>
        <m/>
      </sharedItems>
    </cacheField>
    <cacheField name="nombre_clien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D4661A2-AF78-418C-AC9B-09F367FFC04B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397AF9DA-5A2F-4365-928F-C9D81991B9BC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382F0C9-840F-4D34-BDAD-C289B28A6B2D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DE60DC07-6AD3-48D3-AF42-BFBF4D36A7E5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s v="lun"/>
    <d v="1899-12-30T17:31:00"/>
    <n v="6500"/>
    <x v="0"/>
    <s v="Papá"/>
  </r>
  <r>
    <x v="0"/>
    <s v="lun"/>
    <m/>
    <n v="24000"/>
    <x v="0"/>
    <s v="Diana Carolina Colorado Penagos"/>
  </r>
  <r>
    <x v="1"/>
    <s v="mar"/>
    <d v="1899-12-30T19:03:00"/>
    <n v="3000"/>
    <x v="0"/>
    <s v="Lucelyz Pelaez"/>
  </r>
  <r>
    <x v="1"/>
    <s v="mar"/>
    <d v="1899-12-30T19:52:00"/>
    <n v="8000"/>
    <x v="0"/>
    <s v="Jeisson Gutierrez"/>
  </r>
  <r>
    <x v="2"/>
    <s v="mié"/>
    <d v="1899-12-30T16:40:00"/>
    <n v="8000"/>
    <x v="0"/>
    <s v="María Torres"/>
  </r>
  <r>
    <x v="2"/>
    <s v="mié"/>
    <d v="1899-12-30T19:04:00"/>
    <n v="8000"/>
    <x v="0"/>
    <s v="Ori****Rod*****Ma"/>
  </r>
  <r>
    <x v="2"/>
    <s v="mié"/>
    <d v="1899-12-30T19:22:00"/>
    <n v="22500"/>
    <x v="0"/>
    <s v="Papá"/>
  </r>
  <r>
    <x v="2"/>
    <s v="mié"/>
    <d v="1899-12-30T20:09:00"/>
    <n v="8000"/>
    <x v="0"/>
    <s v="Juan Heredia"/>
  </r>
  <r>
    <x v="2"/>
    <s v="mié"/>
    <d v="1899-12-30T19:03:00"/>
    <n v="16000"/>
    <x v="1"/>
    <s v="ND"/>
  </r>
  <r>
    <x v="3"/>
    <s v="jue"/>
    <d v="1899-12-30T13:33:00"/>
    <n v="25000"/>
    <x v="0"/>
    <s v="Claudia Arevalo"/>
  </r>
  <r>
    <x v="3"/>
    <s v="jue"/>
    <d v="1899-12-30T20:17:00"/>
    <n v="51000"/>
    <x v="0"/>
    <s v="Papá"/>
  </r>
  <r>
    <x v="3"/>
    <s v="jue"/>
    <d v="1899-12-30T17:28:00"/>
    <n v="49000"/>
    <x v="0"/>
    <s v="Darwin Casallas"/>
  </r>
  <r>
    <x v="4"/>
    <m/>
    <m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  <format dxfId="13">
      <pivotArea outline="0" fieldPosition="0">
        <references count="1">
          <reference field="4294967294" count="1"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BA19E3-A1F0-4CD2-B519-801FA9F3A28D}" name="TablaDinámica5" cacheId="2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D21" firstHeaderRow="1" firstDataRow="2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h="1" x="2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6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781014-0CEE-440C-B3DC-CC9CCC62E89E}" name="TablaDinámica1" cacheId="2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6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CE66EA-89C0-4A88-BA8A-70A447C59714}" name="TablaDinámica4" cacheId="241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EE8C44-FA8F-4FBD-8C57-674A1C62FB47}" name="TablaDinámica2" cacheId="222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D2831-8530-467E-B157-30F01AE74F34}" name="TablaDinámica1" cacheId="214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BC0329-BB23-4293-A92A-0B83AB649884}" name="TablaDinámica3" cacheId="21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78"/>
  <sheetViews>
    <sheetView showGridLines="0" zoomScale="70" zoomScaleNormal="70" workbookViewId="0">
      <pane ySplit="14" topLeftCell="A60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 xr:uid="{00000000-0009-0000-0000-000001000000}"/>
  <conditionalFormatting sqref="C1:E2 D5:E1048576 H15:H26 C21:C26 H32:H34 C33:C34 G47 G57">
    <cfRule type="containsText" dxfId="5" priority="13" operator="containsText" text="Patrimonio">
      <formula>NOT(ISERROR(SEARCH("Patrimonio",C1)))</formula>
    </cfRule>
    <cfRule type="containsText" dxfId="4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K28"/>
  <sheetViews>
    <sheetView showGridLines="0" topLeftCell="A2" zoomScale="145" zoomScaleNormal="145" workbookViewId="0">
      <selection activeCell="C23" sqref="C23"/>
    </sheetView>
  </sheetViews>
  <sheetFormatPr baseColWidth="10" defaultRowHeight="15" x14ac:dyDescent="0.25"/>
  <cols>
    <col min="1" max="1" width="13" style="3" bestFit="1" customWidth="1"/>
    <col min="2" max="2" width="3" bestFit="1" customWidth="1"/>
    <col min="3" max="3" width="13" style="3" bestFit="1" customWidth="1"/>
    <col min="4" max="4" width="3" style="3" bestFit="1" customWidth="1"/>
    <col min="6" max="6" width="3.140625" bestFit="1" customWidth="1"/>
    <col min="7" max="7" width="10.7109375" bestFit="1" customWidth="1"/>
    <col min="8" max="8" width="3.140625" bestFit="1" customWidth="1"/>
    <col min="10" max="10" width="3.140625" bestFit="1" customWidth="1"/>
  </cols>
  <sheetData>
    <row r="1" spans="1:11" hidden="1" x14ac:dyDescent="0.25">
      <c r="A1" s="41">
        <v>197650</v>
      </c>
      <c r="C1" s="43">
        <f>+C14-A1</f>
        <v>7950</v>
      </c>
      <c r="D1" s="41"/>
      <c r="E1" s="42"/>
      <c r="F1" s="42"/>
      <c r="G1" s="42"/>
    </row>
    <row r="2" spans="1:11" x14ac:dyDescent="0.25">
      <c r="A2" s="44" t="s">
        <v>137</v>
      </c>
      <c r="B2" s="45" t="s">
        <v>138</v>
      </c>
      <c r="C2" s="46">
        <v>46076</v>
      </c>
      <c r="D2" s="45" t="s">
        <v>138</v>
      </c>
      <c r="E2" s="46">
        <v>46077</v>
      </c>
      <c r="F2" s="45" t="s">
        <v>138</v>
      </c>
      <c r="G2" s="46">
        <v>46078</v>
      </c>
      <c r="H2" s="45" t="s">
        <v>138</v>
      </c>
      <c r="I2" s="46">
        <v>46079</v>
      </c>
      <c r="J2" s="45" t="s">
        <v>138</v>
      </c>
      <c r="K2" s="46">
        <v>46060</v>
      </c>
    </row>
    <row r="3" spans="1:1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1"/>
      <c r="K3" s="3">
        <f>+$A3*J3</f>
        <v>0</v>
      </c>
    </row>
    <row r="4" spans="1:1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1"/>
      <c r="K4" s="3">
        <f t="shared" ref="K4" si="3">+$A4*J4</f>
        <v>0</v>
      </c>
    </row>
    <row r="5" spans="1:1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1"/>
      <c r="K5" s="3">
        <f>+$A5*J5</f>
        <v>0</v>
      </c>
    </row>
    <row r="6" spans="1:1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1"/>
      <c r="K6" s="3">
        <f>+$A6*J6</f>
        <v>0</v>
      </c>
    </row>
    <row r="7" spans="1:1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4">+$A7*H7</f>
        <v>30000</v>
      </c>
      <c r="J7" s="1"/>
      <c r="K7" s="3">
        <f t="shared" ref="K7:K13" si="5">+$A7*J7</f>
        <v>0</v>
      </c>
    </row>
    <row r="8" spans="1:1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4"/>
        <v>24000</v>
      </c>
      <c r="J8" s="1"/>
      <c r="K8" s="3">
        <f t="shared" si="5"/>
        <v>0</v>
      </c>
    </row>
    <row r="9" spans="1:1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4"/>
        <v>3000</v>
      </c>
      <c r="J9" s="1"/>
      <c r="K9" s="3">
        <f t="shared" si="5"/>
        <v>0</v>
      </c>
    </row>
    <row r="10" spans="1:1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4"/>
        <v>19000</v>
      </c>
      <c r="J10" s="1"/>
      <c r="K10" s="3">
        <f t="shared" si="5"/>
        <v>0</v>
      </c>
    </row>
    <row r="11" spans="1:1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4"/>
        <v>12400</v>
      </c>
      <c r="J11" s="1"/>
      <c r="K11" s="3">
        <f t="shared" si="5"/>
        <v>0</v>
      </c>
    </row>
    <row r="12" spans="1:1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4"/>
        <v>5100</v>
      </c>
      <c r="J12" s="1"/>
      <c r="K12" s="3">
        <f t="shared" si="5"/>
        <v>0</v>
      </c>
    </row>
    <row r="13" spans="1:11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4"/>
        <v>500</v>
      </c>
      <c r="J13" s="1"/>
      <c r="K13" s="28">
        <f t="shared" si="5"/>
        <v>0</v>
      </c>
    </row>
    <row r="14" spans="1:11" ht="15.75" thickTop="1" x14ac:dyDescent="0.25">
      <c r="C14" s="18">
        <f>+SUM(C3:C13)</f>
        <v>205600</v>
      </c>
      <c r="E14" s="18">
        <f>+SUM(E3:E13)</f>
        <v>239600</v>
      </c>
      <c r="G14" s="16">
        <f>+E24+117300</f>
        <v>117300</v>
      </c>
      <c r="I14" s="3">
        <f>+SUM(I3:I13)</f>
        <v>184000</v>
      </c>
      <c r="K14" s="3">
        <f>+SUM(K3:K13)</f>
        <v>0</v>
      </c>
    </row>
    <row r="16" spans="1:11" x14ac:dyDescent="0.25">
      <c r="A16" s="49" t="s">
        <v>3</v>
      </c>
      <c r="C16" s="49" t="s">
        <v>167</v>
      </c>
      <c r="D16" s="47"/>
      <c r="E16" s="49" t="s">
        <v>168</v>
      </c>
      <c r="F16" s="48"/>
      <c r="G16" s="49" t="s">
        <v>169</v>
      </c>
      <c r="H16" s="48"/>
      <c r="I16" s="49" t="s">
        <v>170</v>
      </c>
      <c r="J16" s="48"/>
      <c r="K16" s="49" t="s">
        <v>198</v>
      </c>
    </row>
    <row r="17" spans="1:11" x14ac:dyDescent="0.25">
      <c r="A17" s="19" t="s">
        <v>140</v>
      </c>
      <c r="C17" s="19">
        <v>73700</v>
      </c>
      <c r="E17" s="50">
        <f>$C$20</f>
        <v>205600</v>
      </c>
      <c r="G17" s="32">
        <f>$E$20</f>
        <v>315600</v>
      </c>
      <c r="I17" s="32">
        <f>$G$20</f>
        <v>432900</v>
      </c>
      <c r="K17" s="32">
        <f>+I20</f>
        <v>432900</v>
      </c>
    </row>
    <row r="18" spans="1:11" x14ac:dyDescent="0.25">
      <c r="A18" s="19" t="s">
        <v>139</v>
      </c>
      <c r="C18" s="19">
        <v>192000</v>
      </c>
      <c r="E18" s="50">
        <v>213000</v>
      </c>
      <c r="G18" s="50">
        <v>344000</v>
      </c>
      <c r="I18" s="50">
        <f>[1]Informe!$H$8</f>
        <v>84000</v>
      </c>
      <c r="K18" s="50"/>
    </row>
    <row r="19" spans="1:11" ht="15.75" thickBot="1" x14ac:dyDescent="0.3">
      <c r="A19" s="19" t="s">
        <v>141</v>
      </c>
      <c r="C19" s="52">
        <f>60000+100</f>
        <v>60100</v>
      </c>
      <c r="E19" s="51">
        <v>103000</v>
      </c>
      <c r="G19" s="51">
        <f>[1]Informe!$H$7</f>
        <v>226700</v>
      </c>
      <c r="I19" s="51">
        <f>$I$18</f>
        <v>84000</v>
      </c>
      <c r="K19" s="51"/>
    </row>
    <row r="20" spans="1:11" ht="15.75" thickTop="1" x14ac:dyDescent="0.25">
      <c r="C20" s="18">
        <f>+C17+C18-C19</f>
        <v>205600</v>
      </c>
      <c r="E20" s="18">
        <f>+E17+E18-E19</f>
        <v>315600</v>
      </c>
      <c r="G20" s="13">
        <f>+G17+G18-G19</f>
        <v>432900</v>
      </c>
      <c r="I20" s="13">
        <f>+I17+I18-I19</f>
        <v>432900</v>
      </c>
      <c r="K20" s="13"/>
    </row>
    <row r="22" spans="1:11" x14ac:dyDescent="0.25">
      <c r="E22" s="16">
        <v>76000</v>
      </c>
      <c r="I22" s="30">
        <f>+I20-I14</f>
        <v>248900</v>
      </c>
    </row>
    <row r="24" spans="1:11" x14ac:dyDescent="0.25">
      <c r="E24" s="13"/>
    </row>
    <row r="25" spans="1:11" x14ac:dyDescent="0.25">
      <c r="E25" s="13">
        <f>+E18-E22</f>
        <v>137000</v>
      </c>
    </row>
    <row r="28" spans="1:11" x14ac:dyDescent="0.25">
      <c r="I28" s="29"/>
      <c r="K28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59B21-236C-4749-8CD9-698F1E8146CB}">
  <sheetPr>
    <tabColor rgb="FF9966FF"/>
  </sheetPr>
  <dimension ref="A2:G21"/>
  <sheetViews>
    <sheetView tabSelected="1" zoomScale="115" zoomScaleNormal="115" workbookViewId="0">
      <selection activeCell="E12" sqref="E12"/>
    </sheetView>
  </sheetViews>
  <sheetFormatPr baseColWidth="10" defaultRowHeight="15" x14ac:dyDescent="0.25"/>
  <cols>
    <col min="1" max="1" width="17.5703125" bestFit="1" customWidth="1"/>
    <col min="2" max="2" width="13.5703125" bestFit="1" customWidth="1"/>
    <col min="3" max="3" width="11.28515625" bestFit="1" customWidth="1"/>
    <col min="4" max="5" width="12.5703125" bestFit="1" customWidth="1"/>
  </cols>
  <sheetData>
    <row r="2" spans="1:7" x14ac:dyDescent="0.25">
      <c r="A2" s="22" t="s">
        <v>171</v>
      </c>
      <c r="D2" s="22" t="s">
        <v>166</v>
      </c>
      <c r="E2" s="22" t="s">
        <v>165</v>
      </c>
    </row>
    <row r="3" spans="1:7" x14ac:dyDescent="0.25">
      <c r="A3" s="11" t="s">
        <v>34</v>
      </c>
      <c r="B3" t="s">
        <v>36</v>
      </c>
    </row>
    <row r="4" spans="1:7" x14ac:dyDescent="0.25">
      <c r="A4" s="39">
        <v>46076</v>
      </c>
      <c r="B4" s="13">
        <v>30500</v>
      </c>
      <c r="C4" s="13"/>
      <c r="D4" s="31">
        <v>32000</v>
      </c>
      <c r="E4" s="40">
        <f>+B4-D4</f>
        <v>-1500</v>
      </c>
      <c r="F4" s="22" t="s">
        <v>164</v>
      </c>
      <c r="G4" t="s">
        <v>163</v>
      </c>
    </row>
    <row r="5" spans="1:7" x14ac:dyDescent="0.25">
      <c r="A5" s="39">
        <v>46077</v>
      </c>
      <c r="B5" s="13">
        <v>11000</v>
      </c>
      <c r="C5" s="13"/>
      <c r="D5" s="31">
        <v>8000</v>
      </c>
      <c r="E5" s="40">
        <f>+B5-D5</f>
        <v>3000</v>
      </c>
      <c r="F5" s="22" t="s">
        <v>162</v>
      </c>
      <c r="G5" t="s">
        <v>161</v>
      </c>
    </row>
    <row r="6" spans="1:7" x14ac:dyDescent="0.25">
      <c r="A6" s="39">
        <v>46078</v>
      </c>
      <c r="B6" s="13">
        <v>62500</v>
      </c>
      <c r="C6" s="13"/>
      <c r="D6" s="13">
        <v>62500</v>
      </c>
      <c r="F6" t="s">
        <v>160</v>
      </c>
    </row>
    <row r="7" spans="1:7" x14ac:dyDescent="0.25">
      <c r="A7" s="39">
        <v>46079</v>
      </c>
      <c r="B7" s="13">
        <v>125000</v>
      </c>
      <c r="C7" s="13"/>
      <c r="D7" s="31">
        <v>125000</v>
      </c>
      <c r="F7" t="s">
        <v>160</v>
      </c>
    </row>
    <row r="8" spans="1:7" x14ac:dyDescent="0.25">
      <c r="A8" s="8" t="s">
        <v>35</v>
      </c>
      <c r="B8" s="13">
        <v>229000</v>
      </c>
      <c r="C8" s="13"/>
      <c r="D8" s="13">
        <f>+SUM(D4:D7)</f>
        <v>227500</v>
      </c>
      <c r="E8" s="40">
        <f>+B8-D8</f>
        <v>1500</v>
      </c>
    </row>
    <row r="9" spans="1:7" x14ac:dyDescent="0.25">
      <c r="C9" s="13"/>
      <c r="E9" s="40"/>
    </row>
    <row r="15" spans="1:7" x14ac:dyDescent="0.25">
      <c r="A15" s="11" t="s">
        <v>36</v>
      </c>
      <c r="B15" s="11" t="s">
        <v>173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9">
        <v>46076</v>
      </c>
      <c r="B17" s="13"/>
      <c r="C17" s="13">
        <v>30500</v>
      </c>
      <c r="D17" s="13">
        <v>30500</v>
      </c>
    </row>
    <row r="18" spans="1:4" x14ac:dyDescent="0.25">
      <c r="A18" s="39">
        <v>46077</v>
      </c>
      <c r="B18" s="13"/>
      <c r="C18" s="13">
        <v>11000</v>
      </c>
      <c r="D18" s="13">
        <v>11000</v>
      </c>
    </row>
    <row r="19" spans="1:4" x14ac:dyDescent="0.25">
      <c r="A19" s="39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9">
        <v>46079</v>
      </c>
      <c r="B20" s="13"/>
      <c r="C20" s="13">
        <v>125000</v>
      </c>
      <c r="D20" s="13">
        <v>125000</v>
      </c>
    </row>
    <row r="21" spans="1:4" x14ac:dyDescent="0.25">
      <c r="A21" s="8" t="s">
        <v>35</v>
      </c>
      <c r="B21" s="13">
        <v>16000</v>
      </c>
      <c r="C21" s="13">
        <v>213000</v>
      </c>
      <c r="D21" s="13">
        <v>229000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A2AF-F430-4B35-99A8-701357D67062}">
  <sheetPr>
    <tabColor rgb="FF9966FF"/>
  </sheetPr>
  <dimension ref="A1:G14"/>
  <sheetViews>
    <sheetView zoomScale="115" zoomScaleNormal="115" workbookViewId="0">
      <selection sqref="A1:E1"/>
    </sheetView>
  </sheetViews>
  <sheetFormatPr baseColWidth="10" defaultColWidth="9.140625" defaultRowHeight="15" x14ac:dyDescent="0.25"/>
  <cols>
    <col min="2" max="2" width="11.5703125" bestFit="1" customWidth="1"/>
    <col min="3" max="3" width="10" bestFit="1" customWidth="1"/>
    <col min="4" max="4" width="12.28515625" style="3" bestFit="1" customWidth="1"/>
    <col min="6" max="6" width="30.42578125" bestFit="1" customWidth="1"/>
    <col min="7" max="7" width="13.42578125" hidden="1" customWidth="1"/>
  </cols>
  <sheetData>
    <row r="1" spans="1:7" x14ac:dyDescent="0.25">
      <c r="A1" s="37" t="s">
        <v>5</v>
      </c>
      <c r="B1" s="37" t="s">
        <v>159</v>
      </c>
      <c r="C1" s="37" t="s">
        <v>158</v>
      </c>
      <c r="D1" s="38" t="s">
        <v>6</v>
      </c>
      <c r="E1" s="37" t="s">
        <v>157</v>
      </c>
      <c r="F1" s="37" t="s">
        <v>156</v>
      </c>
      <c r="G1" s="37" t="s">
        <v>155</v>
      </c>
    </row>
    <row r="2" spans="1:7" x14ac:dyDescent="0.25">
      <c r="A2" s="2">
        <v>46076</v>
      </c>
      <c r="B2" s="2" t="str">
        <f t="shared" ref="B2:B13" si="0">+TEXT(A2,"ddd")</f>
        <v>lun</v>
      </c>
      <c r="C2" s="35">
        <v>0.72986111111111107</v>
      </c>
      <c r="D2" s="3">
        <v>6500</v>
      </c>
      <c r="E2" s="33" t="s">
        <v>143</v>
      </c>
      <c r="F2" s="1" t="s">
        <v>144</v>
      </c>
    </row>
    <row r="3" spans="1:7" x14ac:dyDescent="0.25">
      <c r="A3" s="2">
        <v>46076</v>
      </c>
      <c r="B3" s="2" t="str">
        <f t="shared" si="0"/>
        <v>lun</v>
      </c>
      <c r="C3" s="36"/>
      <c r="D3" s="3">
        <v>24000</v>
      </c>
      <c r="E3" s="33" t="s">
        <v>143</v>
      </c>
      <c r="F3" s="1" t="s">
        <v>154</v>
      </c>
    </row>
    <row r="4" spans="1:7" x14ac:dyDescent="0.25">
      <c r="A4" s="2">
        <v>46077</v>
      </c>
      <c r="B4" s="2" t="str">
        <f t="shared" si="0"/>
        <v>mar</v>
      </c>
      <c r="C4" s="35">
        <v>0.79374999999999996</v>
      </c>
      <c r="D4" s="3">
        <v>3000</v>
      </c>
      <c r="E4" s="33" t="s">
        <v>143</v>
      </c>
      <c r="F4" t="s">
        <v>153</v>
      </c>
    </row>
    <row r="5" spans="1:7" x14ac:dyDescent="0.25">
      <c r="A5" s="2">
        <v>46077</v>
      </c>
      <c r="B5" s="2" t="str">
        <f t="shared" si="0"/>
        <v>mar</v>
      </c>
      <c r="C5" s="35">
        <v>0.82777777777777772</v>
      </c>
      <c r="D5" s="3">
        <v>8000</v>
      </c>
      <c r="E5" s="33" t="s">
        <v>143</v>
      </c>
      <c r="F5" t="s">
        <v>152</v>
      </c>
    </row>
    <row r="6" spans="1:7" x14ac:dyDescent="0.25">
      <c r="A6" s="2">
        <v>46078</v>
      </c>
      <c r="B6" s="2" t="str">
        <f t="shared" si="0"/>
        <v>mié</v>
      </c>
      <c r="C6" s="35">
        <v>0.69444444444444442</v>
      </c>
      <c r="D6" s="3">
        <v>8000</v>
      </c>
      <c r="E6" s="33" t="s">
        <v>143</v>
      </c>
      <c r="F6" t="s">
        <v>151</v>
      </c>
    </row>
    <row r="7" spans="1:7" x14ac:dyDescent="0.25">
      <c r="A7" s="2">
        <v>46078</v>
      </c>
      <c r="B7" s="2" t="str">
        <f t="shared" si="0"/>
        <v>mié</v>
      </c>
      <c r="C7" s="35">
        <v>0.7944444444444444</v>
      </c>
      <c r="D7" s="3">
        <v>8000</v>
      </c>
      <c r="E7" s="33" t="s">
        <v>143</v>
      </c>
      <c r="F7" t="s">
        <v>150</v>
      </c>
    </row>
    <row r="8" spans="1:7" x14ac:dyDescent="0.25">
      <c r="A8" s="2">
        <v>46078</v>
      </c>
      <c r="B8" s="2" t="str">
        <f t="shared" si="0"/>
        <v>mié</v>
      </c>
      <c r="C8" s="35">
        <v>0.80694444444444446</v>
      </c>
      <c r="D8" s="3">
        <v>22500</v>
      </c>
      <c r="E8" s="33" t="s">
        <v>143</v>
      </c>
      <c r="F8" s="1" t="s">
        <v>144</v>
      </c>
    </row>
    <row r="9" spans="1:7" x14ac:dyDescent="0.25">
      <c r="A9" s="2">
        <v>46078</v>
      </c>
      <c r="B9" s="2" t="str">
        <f t="shared" si="0"/>
        <v>mié</v>
      </c>
      <c r="C9" s="35">
        <v>0.83958333333333335</v>
      </c>
      <c r="D9" s="3">
        <v>8000</v>
      </c>
      <c r="E9" s="33" t="s">
        <v>143</v>
      </c>
      <c r="F9" t="s">
        <v>149</v>
      </c>
    </row>
    <row r="10" spans="1:7" x14ac:dyDescent="0.25">
      <c r="A10" s="2">
        <v>46078</v>
      </c>
      <c r="B10" s="2" t="str">
        <f t="shared" si="0"/>
        <v>mié</v>
      </c>
      <c r="C10" s="35">
        <v>0.79374999999999996</v>
      </c>
      <c r="D10" s="3">
        <v>16000</v>
      </c>
      <c r="E10" s="34" t="s">
        <v>148</v>
      </c>
      <c r="F10" t="s">
        <v>147</v>
      </c>
    </row>
    <row r="11" spans="1:7" x14ac:dyDescent="0.25">
      <c r="A11" s="2">
        <v>46079</v>
      </c>
      <c r="B11" s="2" t="str">
        <f t="shared" si="0"/>
        <v>jue</v>
      </c>
      <c r="C11" s="35">
        <v>0.56458333333333333</v>
      </c>
      <c r="D11" s="3">
        <v>25000</v>
      </c>
      <c r="E11" s="33" t="s">
        <v>143</v>
      </c>
      <c r="F11" t="s">
        <v>146</v>
      </c>
      <c r="G11" t="s">
        <v>145</v>
      </c>
    </row>
    <row r="12" spans="1:7" x14ac:dyDescent="0.25">
      <c r="A12" s="2">
        <v>46079</v>
      </c>
      <c r="B12" s="2" t="str">
        <f t="shared" si="0"/>
        <v>jue</v>
      </c>
      <c r="C12" s="35">
        <v>0.84513888888888888</v>
      </c>
      <c r="D12" s="3">
        <v>51000</v>
      </c>
      <c r="E12" s="33" t="s">
        <v>143</v>
      </c>
      <c r="F12" s="1" t="s">
        <v>144</v>
      </c>
    </row>
    <row r="13" spans="1:7" ht="15.75" thickBot="1" x14ac:dyDescent="0.3">
      <c r="A13" s="2">
        <v>46079</v>
      </c>
      <c r="B13" s="2" t="str">
        <f t="shared" si="0"/>
        <v>jue</v>
      </c>
      <c r="C13" s="35">
        <v>0.72777777777777775</v>
      </c>
      <c r="D13" s="28">
        <v>49000</v>
      </c>
      <c r="E13" s="33" t="s">
        <v>143</v>
      </c>
      <c r="F13" t="s">
        <v>142</v>
      </c>
    </row>
    <row r="14" spans="1:7" ht="15.75" thickTop="1" x14ac:dyDescent="0.25">
      <c r="D14" s="3">
        <f>+SUM(D2:D13)</f>
        <v>229000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7172-8870-4088-99CA-FB989DC53D79}">
  <dimension ref="A1:C1"/>
  <sheetViews>
    <sheetView zoomScale="160" zoomScaleNormal="160" workbookViewId="0">
      <selection activeCell="B2" sqref="B2"/>
    </sheetView>
  </sheetViews>
  <sheetFormatPr baseColWidth="10" defaultRowHeight="15" x14ac:dyDescent="0.25"/>
  <cols>
    <col min="1" max="1" width="5.85546875" bestFit="1" customWidth="1"/>
    <col min="2" max="2" width="19.7109375" customWidth="1"/>
  </cols>
  <sheetData>
    <row r="1" spans="1:3" x14ac:dyDescent="0.25">
      <c r="A1" s="37" t="s">
        <v>5</v>
      </c>
      <c r="B1" s="37" t="s">
        <v>3</v>
      </c>
      <c r="C1" s="38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AEEDB-74A7-4CDB-A481-B3E79C64A295}">
  <sheetPr>
    <tabColor rgb="FF92D050"/>
  </sheetPr>
  <dimension ref="A3:N22"/>
  <sheetViews>
    <sheetView workbookViewId="0">
      <selection activeCell="N12" sqref="N12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172</v>
      </c>
      <c r="B3" s="11" t="s">
        <v>173</v>
      </c>
      <c r="F3" s="11" t="s">
        <v>174</v>
      </c>
      <c r="G3" s="11" t="s">
        <v>173</v>
      </c>
    </row>
    <row r="4" spans="1:14" x14ac:dyDescent="0.25">
      <c r="B4" t="s">
        <v>175</v>
      </c>
      <c r="D4" t="s">
        <v>35</v>
      </c>
      <c r="G4" t="s">
        <v>175</v>
      </c>
      <c r="K4" t="s">
        <v>176</v>
      </c>
      <c r="L4" t="s">
        <v>35</v>
      </c>
    </row>
    <row r="5" spans="1:14" x14ac:dyDescent="0.25">
      <c r="A5" s="11" t="s">
        <v>34</v>
      </c>
      <c r="B5" t="s">
        <v>177</v>
      </c>
      <c r="C5" t="s">
        <v>178</v>
      </c>
      <c r="F5" s="11" t="s">
        <v>34</v>
      </c>
      <c r="G5" t="s">
        <v>177</v>
      </c>
      <c r="H5" t="s">
        <v>179</v>
      </c>
      <c r="I5" t="s">
        <v>180</v>
      </c>
      <c r="J5" t="s">
        <v>178</v>
      </c>
      <c r="K5" t="s">
        <v>178</v>
      </c>
      <c r="N5" s="1" t="s">
        <v>175</v>
      </c>
    </row>
    <row r="6" spans="1:14" x14ac:dyDescent="0.25">
      <c r="A6" s="8" t="s">
        <v>181</v>
      </c>
      <c r="B6" s="13">
        <v>73700</v>
      </c>
      <c r="C6" s="13">
        <v>192000</v>
      </c>
      <c r="D6" s="13">
        <v>265700</v>
      </c>
      <c r="F6" s="8" t="s">
        <v>181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182</v>
      </c>
      <c r="B7" s="13">
        <v>205600</v>
      </c>
      <c r="C7" s="13">
        <v>213000</v>
      </c>
      <c r="D7" s="13">
        <v>418600</v>
      </c>
      <c r="F7" s="8" t="s">
        <v>182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183</v>
      </c>
      <c r="B8" s="13"/>
      <c r="C8" s="13">
        <v>344000</v>
      </c>
      <c r="D8" s="13">
        <v>344000</v>
      </c>
      <c r="F8" s="8" t="s">
        <v>183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184</v>
      </c>
      <c r="B9" s="13"/>
      <c r="C9" s="13">
        <v>84000</v>
      </c>
      <c r="D9" s="13">
        <v>84000</v>
      </c>
      <c r="F9" s="8" t="s">
        <v>184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185</v>
      </c>
      <c r="B14" t="s" vm="1">
        <v>178</v>
      </c>
    </row>
    <row r="16" spans="1:14" x14ac:dyDescent="0.25">
      <c r="A16" s="11" t="s">
        <v>172</v>
      </c>
      <c r="B16" s="11" t="s">
        <v>173</v>
      </c>
    </row>
    <row r="17" spans="1:4" x14ac:dyDescent="0.25">
      <c r="A17" s="11" t="s">
        <v>34</v>
      </c>
      <c r="B17" t="s">
        <v>175</v>
      </c>
      <c r="C17" t="s">
        <v>176</v>
      </c>
      <c r="D17" t="s">
        <v>35</v>
      </c>
    </row>
    <row r="18" spans="1:4" x14ac:dyDescent="0.25">
      <c r="A18" s="8" t="s">
        <v>181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182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183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184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0024C-184A-4F46-87EF-C0AEC2A2C74B}">
  <sheetPr>
    <tabColor rgb="FF92D050"/>
  </sheetPr>
  <dimension ref="A1:K69"/>
  <sheetViews>
    <sheetView workbookViewId="0">
      <pane ySplit="4" topLeftCell="A14" activePane="bottomLeft" state="frozen"/>
      <selection pane="bottomLeft" activeCell="G32" sqref="C32:G37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185</v>
      </c>
      <c r="B1" t="s" vm="1">
        <v>178</v>
      </c>
    </row>
    <row r="2" spans="1:11" x14ac:dyDescent="0.25">
      <c r="A2" s="11" t="s">
        <v>186</v>
      </c>
      <c r="B2" t="s" vm="2">
        <v>175</v>
      </c>
      <c r="H2" s="13"/>
    </row>
    <row r="4" spans="1:11" x14ac:dyDescent="0.25">
      <c r="A4" s="11" t="s">
        <v>187</v>
      </c>
      <c r="B4" s="11" t="s">
        <v>5</v>
      </c>
      <c r="C4" s="11" t="s">
        <v>188</v>
      </c>
      <c r="D4" s="11" t="s">
        <v>189</v>
      </c>
      <c r="E4" s="11" t="s">
        <v>190</v>
      </c>
      <c r="F4" t="s">
        <v>191</v>
      </c>
      <c r="G4" s="23" t="s">
        <v>192</v>
      </c>
      <c r="J4" s="53" t="s">
        <v>187</v>
      </c>
      <c r="K4" s="53" t="s">
        <v>193</v>
      </c>
    </row>
    <row r="5" spans="1:11" x14ac:dyDescent="0.25">
      <c r="A5" t="s">
        <v>181</v>
      </c>
      <c r="B5" s="54">
        <v>46076.692083333335</v>
      </c>
      <c r="C5" t="s">
        <v>194</v>
      </c>
      <c r="D5">
        <v>8000</v>
      </c>
      <c r="E5">
        <v>2</v>
      </c>
      <c r="F5" s="13">
        <v>1</v>
      </c>
      <c r="G5" s="3">
        <f>+D5*E5</f>
        <v>16000</v>
      </c>
      <c r="J5" s="55">
        <v>46076</v>
      </c>
      <c r="K5" s="3">
        <f>+SUMIF(A:A,J5,G:G)</f>
        <v>192000</v>
      </c>
    </row>
    <row r="6" spans="1:11" x14ac:dyDescent="0.25">
      <c r="A6" t="s">
        <v>181</v>
      </c>
      <c r="B6" s="54">
        <v>46076.717372685183</v>
      </c>
      <c r="C6" t="s">
        <v>194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5">
        <v>46077</v>
      </c>
      <c r="K6" s="3">
        <f>+SUMIF(A:A,J6,G:G)</f>
        <v>213000</v>
      </c>
    </row>
    <row r="7" spans="1:11" x14ac:dyDescent="0.25">
      <c r="A7" t="s">
        <v>181</v>
      </c>
      <c r="C7" t="s">
        <v>195</v>
      </c>
      <c r="D7">
        <v>3000</v>
      </c>
      <c r="E7">
        <v>2</v>
      </c>
      <c r="F7" s="13">
        <v>1</v>
      </c>
      <c r="G7" s="3">
        <f t="shared" si="0"/>
        <v>6000</v>
      </c>
      <c r="J7" s="55">
        <v>46078</v>
      </c>
      <c r="K7" s="3">
        <f>+SUMIF(A:A,J7,G:G)</f>
        <v>344000</v>
      </c>
    </row>
    <row r="8" spans="1:11" x14ac:dyDescent="0.25">
      <c r="A8" t="s">
        <v>181</v>
      </c>
      <c r="B8" s="54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5">
        <v>46079</v>
      </c>
      <c r="K8" s="3">
        <f>+SUMIF(A:A,J8,G:G)</f>
        <v>84000</v>
      </c>
    </row>
    <row r="9" spans="1:11" x14ac:dyDescent="0.25">
      <c r="A9" t="s">
        <v>181</v>
      </c>
      <c r="C9" t="s">
        <v>194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181</v>
      </c>
      <c r="B10" s="54">
        <v>46076.751967592594</v>
      </c>
      <c r="C10" t="s">
        <v>194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181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181</v>
      </c>
      <c r="B12" s="54">
        <v>46076.787222222221</v>
      </c>
      <c r="C12" t="s">
        <v>194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181</v>
      </c>
      <c r="B13" s="54">
        <v>46076.795474537037</v>
      </c>
      <c r="C13" t="s">
        <v>194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181</v>
      </c>
      <c r="C14" t="s">
        <v>195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181</v>
      </c>
      <c r="B15" s="54">
        <v>46076.818287037036</v>
      </c>
      <c r="C15" t="s">
        <v>194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181</v>
      </c>
      <c r="B16" s="54">
        <v>46076.841643518521</v>
      </c>
      <c r="C16" t="s">
        <v>194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181</v>
      </c>
      <c r="B17" s="54">
        <v>46076.843854166669</v>
      </c>
      <c r="C17" t="s">
        <v>194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181</v>
      </c>
      <c r="B18" s="54">
        <v>46076.845659722225</v>
      </c>
      <c r="C18" t="s">
        <v>194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181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181</v>
      </c>
      <c r="B20" s="54">
        <v>46076.850243055553</v>
      </c>
      <c r="C20" t="s">
        <v>194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181</v>
      </c>
      <c r="B21" s="54">
        <v>46076.852650462963</v>
      </c>
      <c r="C21" t="s">
        <v>194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182</v>
      </c>
      <c r="B22" s="54">
        <v>46077.648680555554</v>
      </c>
      <c r="C22" t="s">
        <v>194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182</v>
      </c>
      <c r="B23" s="54">
        <v>46077.649351851855</v>
      </c>
      <c r="C23" t="s">
        <v>194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182</v>
      </c>
      <c r="B24" s="54">
        <v>46077.740034722221</v>
      </c>
      <c r="C24" t="s">
        <v>194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182</v>
      </c>
      <c r="B25" s="54">
        <v>46077.759606481479</v>
      </c>
      <c r="C25" t="s">
        <v>194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182</v>
      </c>
      <c r="B26" s="54">
        <v>46077.774178240739</v>
      </c>
      <c r="C26" t="s">
        <v>194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182</v>
      </c>
      <c r="B27" s="54">
        <v>46077.775185185186</v>
      </c>
      <c r="C27" t="s">
        <v>194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182</v>
      </c>
      <c r="B28" s="54">
        <v>46077.77952546296</v>
      </c>
      <c r="C28" t="s">
        <v>196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182</v>
      </c>
      <c r="C29" t="s">
        <v>194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182</v>
      </c>
      <c r="B30" s="54">
        <v>46077.797152777777</v>
      </c>
      <c r="C30" t="s">
        <v>194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182</v>
      </c>
      <c r="B31" s="54">
        <v>46077.836875000001</v>
      </c>
      <c r="C31" t="s">
        <v>194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182</v>
      </c>
      <c r="B32" s="54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7" x14ac:dyDescent="0.25">
      <c r="A33" t="s">
        <v>182</v>
      </c>
      <c r="C33" t="s">
        <v>194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7" x14ac:dyDescent="0.25">
      <c r="A34" t="s">
        <v>182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7" x14ac:dyDescent="0.25">
      <c r="A35" t="s">
        <v>182</v>
      </c>
      <c r="B35" s="54">
        <v>46077.849872685183</v>
      </c>
      <c r="C35" t="s">
        <v>194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7" x14ac:dyDescent="0.25">
      <c r="A36" t="s">
        <v>182</v>
      </c>
      <c r="C36" t="s">
        <v>195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7" x14ac:dyDescent="0.25">
      <c r="A37" t="s">
        <v>182</v>
      </c>
      <c r="B37" s="54">
        <v>46077.867604166669</v>
      </c>
      <c r="C37" t="s">
        <v>194</v>
      </c>
      <c r="D37">
        <v>8000</v>
      </c>
      <c r="E37">
        <v>1</v>
      </c>
      <c r="F37" s="13">
        <v>1</v>
      </c>
      <c r="G37" s="16">
        <f t="shared" si="0"/>
        <v>8000</v>
      </c>
    </row>
    <row r="38" spans="1:7" x14ac:dyDescent="0.25">
      <c r="A38" t="s">
        <v>183</v>
      </c>
      <c r="B38" s="54">
        <v>46078.578043981484</v>
      </c>
      <c r="C38" t="s">
        <v>194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7" x14ac:dyDescent="0.25">
      <c r="A39" t="s">
        <v>183</v>
      </c>
      <c r="B39" s="54">
        <v>46078.579907407409</v>
      </c>
      <c r="C39" t="s">
        <v>194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7" x14ac:dyDescent="0.25">
      <c r="A40" t="s">
        <v>183</v>
      </c>
      <c r="B40" s="54">
        <v>46078.58693287037</v>
      </c>
      <c r="C40" t="s">
        <v>194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7" x14ac:dyDescent="0.25">
      <c r="A41" t="s">
        <v>183</v>
      </c>
      <c r="B41" s="54">
        <v>46078.59138888889</v>
      </c>
      <c r="C41" t="s">
        <v>197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7" x14ac:dyDescent="0.25">
      <c r="A42" t="s">
        <v>183</v>
      </c>
      <c r="B42" s="54">
        <v>46078.600636574076</v>
      </c>
      <c r="C42" t="s">
        <v>197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7" x14ac:dyDescent="0.25">
      <c r="A43" t="s">
        <v>183</v>
      </c>
      <c r="B43" s="54">
        <v>46078.601261574076</v>
      </c>
      <c r="C43" t="s">
        <v>194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7" x14ac:dyDescent="0.25">
      <c r="A44" t="s">
        <v>183</v>
      </c>
      <c r="B44" s="54">
        <v>46078.694513888891</v>
      </c>
      <c r="C44" t="s">
        <v>194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7" x14ac:dyDescent="0.25">
      <c r="A45" t="s">
        <v>183</v>
      </c>
      <c r="B45" s="54">
        <v>46078.762141203704</v>
      </c>
      <c r="C45" t="s">
        <v>194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7" x14ac:dyDescent="0.25">
      <c r="A46" t="s">
        <v>183</v>
      </c>
      <c r="B46" s="54">
        <v>46078.764027777775</v>
      </c>
      <c r="C46" t="s">
        <v>194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7" x14ac:dyDescent="0.25">
      <c r="A47" t="s">
        <v>183</v>
      </c>
      <c r="B47" s="54">
        <v>46078.768379629626</v>
      </c>
      <c r="C47" t="s">
        <v>194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7" x14ac:dyDescent="0.25">
      <c r="A48" t="s">
        <v>183</v>
      </c>
      <c r="B48" s="54">
        <v>46078.77375</v>
      </c>
      <c r="C48" t="s">
        <v>194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183</v>
      </c>
      <c r="B49" s="54">
        <v>46078.774247685185</v>
      </c>
      <c r="C49" t="s">
        <v>195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183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183</v>
      </c>
      <c r="B51" s="54">
        <v>46078.777766203704</v>
      </c>
      <c r="C51" t="s">
        <v>194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183</v>
      </c>
      <c r="B52" s="54">
        <v>46078.800497685188</v>
      </c>
      <c r="C52" t="s">
        <v>194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183</v>
      </c>
      <c r="C53" t="s">
        <v>195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183</v>
      </c>
      <c r="B54" s="54">
        <v>46078.81894675926</v>
      </c>
      <c r="C54" t="s">
        <v>197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183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183</v>
      </c>
      <c r="B56" s="54">
        <v>46078.819791666669</v>
      </c>
      <c r="C56" t="s">
        <v>194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183</v>
      </c>
      <c r="B57" s="54">
        <v>46078.83253472222</v>
      </c>
      <c r="C57" t="s">
        <v>194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183</v>
      </c>
      <c r="B58" s="54">
        <v>46078.838090277779</v>
      </c>
      <c r="C58" t="s">
        <v>194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183</v>
      </c>
      <c r="B59" s="54">
        <v>46078.848043981481</v>
      </c>
      <c r="C59" t="s">
        <v>194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184</v>
      </c>
      <c r="B60" s="54">
        <v>46079.557025462964</v>
      </c>
      <c r="C60" t="s">
        <v>196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184</v>
      </c>
      <c r="B61" s="54">
        <v>46079.560671296298</v>
      </c>
      <c r="C61" t="s">
        <v>194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184</v>
      </c>
      <c r="B62" s="54">
        <v>46079.752893518518</v>
      </c>
      <c r="C62" t="s">
        <v>194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184</v>
      </c>
      <c r="B63" s="54">
        <v>46079.764050925929</v>
      </c>
      <c r="C63" t="s">
        <v>194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184</v>
      </c>
      <c r="B64" s="54">
        <v>46079.794652777775</v>
      </c>
      <c r="C64" t="s">
        <v>194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184</v>
      </c>
      <c r="B65" s="54">
        <v>46079.81355324074</v>
      </c>
      <c r="C65" t="s">
        <v>194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184</v>
      </c>
      <c r="B66" s="54">
        <v>46079.814722222225</v>
      </c>
      <c r="C66" t="s">
        <v>194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184</v>
      </c>
      <c r="B67" s="54">
        <v>46079.84375</v>
      </c>
      <c r="C67" t="s">
        <v>194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184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chorizo</vt:lpstr>
      <vt:lpstr>choriboni</vt:lpstr>
      <vt:lpstr>Arqueo de Caja</vt:lpstr>
      <vt:lpstr>proveedores</vt:lpstr>
      <vt:lpstr>informe</vt:lpstr>
      <vt:lpstr>Costos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2026-02-27T17:21:54Z</dcterms:modified>
</cp:coreProperties>
</file>