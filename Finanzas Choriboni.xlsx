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pivotTables/pivotTable1.xml" ContentType="application/vnd.openxmlformats-officedocument.spreadsheetml.pivotTable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Fabrica\"/>
    </mc:Choice>
  </mc:AlternateContent>
  <bookViews>
    <workbookView xWindow="20370" yWindow="-2070" windowWidth="21840" windowHeight="13140" tabRatio="780" firstSheet="2" activeTab="5"/>
  </bookViews>
  <sheets>
    <sheet name="chorizo" sheetId="3" state="hidden" r:id="rId1"/>
    <sheet name="choriboni" sheetId="4" r:id="rId2"/>
    <sheet name="choriboni_II" sheetId="54" r:id="rId3"/>
    <sheet name="costeo" sheetId="41" state="hidden" r:id="rId4"/>
    <sheet name="maquina" sheetId="23" r:id="rId5"/>
    <sheet name="Arqueo de Caja" sheetId="43" r:id="rId6"/>
    <sheet name="Extracto" sheetId="10" r:id="rId7"/>
    <sheet name="Inv-2abr" sheetId="53" r:id="rId8"/>
    <sheet name="Carta" sheetId="56" r:id="rId9"/>
    <sheet name="DevOps" sheetId="21" r:id="rId10"/>
    <sheet name="precio_mp" sheetId="55" r:id="rId11"/>
    <sheet name="MP" sheetId="37" r:id="rId12"/>
    <sheet name="MP2" sheetId="38" state="hidden" r:id="rId13"/>
    <sheet name="TICO" sheetId="48" r:id="rId14"/>
    <sheet name="16mar" sheetId="34" state="hidden" r:id="rId15"/>
    <sheet name="Extracto (2)" sheetId="47" state="hidden" r:id="rId16"/>
    <sheet name="Inf - Extracto" sheetId="50" r:id="rId17"/>
    <sheet name="Prestamos" sheetId="12" r:id="rId18"/>
    <sheet name="Arqueo de Caja (2)" sheetId="46" state="hidden" r:id="rId19"/>
    <sheet name="25 marzo" sheetId="40" r:id="rId20"/>
    <sheet name="Gas" sheetId="32" state="hidden" r:id="rId21"/>
    <sheet name="Registros" sheetId="31" state="hidden" r:id="rId22"/>
    <sheet name="Forecast_dia" sheetId="51" r:id="rId23"/>
    <sheet name="Hoja2" sheetId="36" state="hidden" r:id="rId24"/>
    <sheet name="Clientes" sheetId="24" state="hidden" r:id="rId25"/>
    <sheet name="Empaques" sheetId="25" r:id="rId26"/>
    <sheet name="proveedores" sheetId="7" r:id="rId27"/>
    <sheet name="informe" sheetId="6" state="hidden" r:id="rId28"/>
    <sheet name="Costos" sheetId="8" state="hidden" r:id="rId29"/>
    <sheet name="Inventario" sheetId="27" state="hidden" r:id="rId30"/>
    <sheet name="Reporte" sheetId="11" r:id="rId31"/>
    <sheet name="Rappi" sheetId="26" r:id="rId32"/>
    <sheet name="Hoja3" sheetId="57" r:id="rId33"/>
    <sheet name="7-MARZO" sheetId="22" state="hidden" r:id="rId34"/>
    <sheet name="Informe ventas" sheetId="13" state="hidden" r:id="rId35"/>
    <sheet name="historial de venta" sheetId="14" state="hidden" r:id="rId36"/>
  </sheets>
  <externalReferences>
    <externalReference r:id="rId37"/>
  </externalReferences>
  <definedNames>
    <definedName name="_xlnm._FilterDatabase" localSheetId="1" hidden="1">choriboni!$C$23:$I$87</definedName>
    <definedName name="_xlnm._FilterDatabase" localSheetId="9" hidden="1">DevOps!$B$2:$E$52</definedName>
    <definedName name="_xlnm._FilterDatabase" localSheetId="6" hidden="1">Extracto!$A$6:$J$160</definedName>
    <definedName name="_xlnm._FilterDatabase" localSheetId="15" hidden="1">'Extracto (2)'!$A$5:$K$128</definedName>
    <definedName name="_xlnm._FilterDatabase" localSheetId="32" hidden="1">Hoja3!$A$1:$H$55</definedName>
    <definedName name="_xlnm._FilterDatabase" localSheetId="7" hidden="1">'Inv-2abr'!$A$1:$G$23</definedName>
    <definedName name="_xlnm._FilterDatabase" localSheetId="4" hidden="1">maquina!$C$6:$J$15</definedName>
    <definedName name="_xlnm._FilterDatabase" localSheetId="12" hidden="1">'MP2'!$A$3:$AK$52</definedName>
    <definedName name="_xlnm._FilterDatabase" localSheetId="17" hidden="1">Prestamos!$A$2:$C$28</definedName>
  </definedNames>
  <calcPr calcId="162913"/>
  <pivotCaches>
    <pivotCache cacheId="0" r:id="rId38"/>
    <pivotCache cacheId="1" r:id="rId39"/>
    <pivotCache cacheId="2" r:id="rId40"/>
    <pivotCache cacheId="3" r:id="rId41"/>
    <pivotCache cacheId="4" r:id="rId42"/>
    <pivotCache cacheId="5" r:id="rId43"/>
    <pivotCache cacheId="6" r:id="rId4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ciones-51ba295a-2a34-423f-a719-88618405a15d" name="transacciones" connection="Consulta - transacciones"/>
          <x15:modelTable id="usuarios-cdcdca8c-0a33-49a8-9fb6-be79aade23c0" name="usuarios" connection="Consulta - usuarios"/>
          <x15:modelTable id="transacciones-0d07c9fd-0f01-4c04-a5a6-a715e704423c" name="transacciones1" connection="Consulta - transacciones (2)"/>
          <x15:modelTable id="usuarios-53504229-3d42-4526-a0a8-b6e8dc3eed77" name="usuarios1" connection="Consulta - usuarios (2)"/>
          <x15:modelTable id="productos-b161ad7e-a7e4-4b26-9906-27c139127262" name="productos" connection="Consulta - productos"/>
          <x15:modelTable id="items-f9111c43-692e-47dd-a790-aac799dcd048" name="items" connection="Consulta - items"/>
        </x15:modelTables>
        <x15:modelRelationships>
          <x15:modelRelationship fromTable="transacciones" fromColumn="id_usuario" toTable="usuarios" toColumn="id_usuario"/>
          <x15:modelRelationship fromTable="transacciones1" fromColumn="id_usuario" toTable="usuarios1" toColumn="id_usuario"/>
          <x15:modelRelationship fromTable="items" fromColumn="id_transaccion" toTable="transacciones1" toColumn="id_transaccion"/>
          <x15:modelRelationship fromTable="items" fromColumn="id_producto" toTable="productos" toColumn="id_product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cciones" columnName="fecha" columnId="fecha">
                <x16:calculatedTimeColumn columnName="fecha (índice de días)" columnId="fecha (índice de días)" contentType="daysindex" isSelected="1"/>
                <x16:calculatedTimeColumn columnName="fecha (día)" columnId="fecha (día)" contentType="days" isSelected="1"/>
                <x16:calculatedTimeColumn columnName="fecha (hora)" columnId="fecha (hora)" contentType="hours" isSelected="1"/>
                <x16:calculatedTimeColumn columnName="fecha (minuto)" columnId="fecha (minuto)" contentType="minutes" isSelected="1"/>
                <x16:calculatedTimeColumn columnName="fecha (segundo)" columnId="fecha (segundo)" contentType="seconds" isSelected="1"/>
              </x16:modelTimeGrouping>
              <x16:modelTimeGrouping tableName="transacciones1" columnName="fecha" columnId="fecha">
                <x16:calculatedTimeColumn columnName="fecha (índice de días)" columnId="fecha (índice de días)" contentType="daysindex" isSelected="1"/>
                <x16:calculatedTimeColumn columnName="fecha (día)" columnId="fecha (día)" contentType="days" isSelected="1"/>
                <x16:calculatedTimeColumn columnName="fecha (hora)" columnId="fecha (hora)" contentType="hours" isSelected="1"/>
                <x16:calculatedTimeColumn columnName="fecha (minuto)" columnId="fecha (minuto)" contentType="minutes" isSelected="1"/>
                <x16:calculatedTimeColumn columnName="fecha (segundo)" columnId="fecha (segundo)" contentType="second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37" l="1"/>
  <c r="I31" i="37"/>
  <c r="K31" i="37" s="1"/>
  <c r="L31" i="37" s="1"/>
  <c r="L32" i="37"/>
  <c r="I32" i="37"/>
  <c r="K32" i="37" s="1"/>
  <c r="J30" i="37"/>
  <c r="I30" i="37"/>
  <c r="K30" i="37" s="1"/>
  <c r="L30" i="37" s="1"/>
  <c r="J29" i="37"/>
  <c r="I29" i="37"/>
  <c r="K29" i="37" s="1"/>
  <c r="L29" i="37" s="1"/>
  <c r="D10" i="57" l="1"/>
  <c r="D14" i="57"/>
  <c r="D6" i="57"/>
  <c r="D37" i="57"/>
  <c r="D35" i="57"/>
  <c r="D13" i="57"/>
  <c r="D34" i="57"/>
  <c r="D33" i="57"/>
  <c r="D20" i="57"/>
  <c r="D23" i="57"/>
  <c r="D27" i="57"/>
  <c r="D22" i="57"/>
  <c r="D28" i="57"/>
  <c r="D54" i="57"/>
  <c r="D39" i="57"/>
  <c r="D53" i="57"/>
  <c r="D41" i="57"/>
  <c r="D44" i="57"/>
  <c r="D40" i="57"/>
  <c r="D55" i="57"/>
  <c r="D29" i="57"/>
  <c r="D21" i="57"/>
  <c r="D51" i="57"/>
  <c r="D49" i="57"/>
  <c r="D50" i="57"/>
  <c r="D43" i="57"/>
  <c r="D19" i="57"/>
  <c r="D38" i="57"/>
  <c r="D48" i="57"/>
  <c r="D36" i="57"/>
  <c r="D25" i="57"/>
  <c r="D17" i="57"/>
  <c r="D16" i="57"/>
  <c r="D42" i="57"/>
  <c r="D7" i="57"/>
  <c r="D9" i="57"/>
  <c r="D26" i="57"/>
  <c r="D31" i="57"/>
  <c r="D12" i="57"/>
  <c r="D11" i="57"/>
  <c r="D15" i="57"/>
  <c r="D52" i="57"/>
  <c r="D30" i="57"/>
  <c r="D8" i="57"/>
  <c r="D47" i="57"/>
  <c r="D46" i="57"/>
  <c r="D45" i="57"/>
  <c r="D24" i="57"/>
  <c r="D18" i="57"/>
  <c r="D32" i="57"/>
  <c r="F10" i="57"/>
  <c r="G10" i="57" s="1"/>
  <c r="F14" i="57"/>
  <c r="G14" i="57" s="1"/>
  <c r="F6" i="57"/>
  <c r="G6" i="57"/>
  <c r="F37" i="57"/>
  <c r="G37" i="57" s="1"/>
  <c r="F35" i="57"/>
  <c r="G35" i="57" s="1"/>
  <c r="F13" i="57"/>
  <c r="G13" i="57" s="1"/>
  <c r="F34" i="57"/>
  <c r="G34" i="57" s="1"/>
  <c r="F33" i="57"/>
  <c r="G33" i="57" s="1"/>
  <c r="F20" i="57"/>
  <c r="G20" i="57" s="1"/>
  <c r="F23" i="57"/>
  <c r="G23" i="57" s="1"/>
  <c r="F27" i="57"/>
  <c r="G27" i="57"/>
  <c r="F22" i="57"/>
  <c r="G22" i="57" s="1"/>
  <c r="F28" i="57"/>
  <c r="G28" i="57" s="1"/>
  <c r="F54" i="57"/>
  <c r="G54" i="57" s="1"/>
  <c r="F39" i="57"/>
  <c r="G39" i="57" s="1"/>
  <c r="F3" i="57"/>
  <c r="G3" i="57" s="1"/>
  <c r="F53" i="57"/>
  <c r="G53" i="57" s="1"/>
  <c r="F41" i="57"/>
  <c r="G41" i="57" s="1"/>
  <c r="F44" i="57"/>
  <c r="G44" i="57"/>
  <c r="F40" i="57"/>
  <c r="G40" i="57" s="1"/>
  <c r="F4" i="57"/>
  <c r="G4" i="57" s="1"/>
  <c r="F55" i="57"/>
  <c r="G55" i="57" s="1"/>
  <c r="F29" i="57"/>
  <c r="G29" i="57" s="1"/>
  <c r="F21" i="57"/>
  <c r="G21" i="57" s="1"/>
  <c r="F51" i="57"/>
  <c r="G51" i="57"/>
  <c r="F5" i="57"/>
  <c r="G5" i="57" s="1"/>
  <c r="F49" i="57"/>
  <c r="G49" i="57"/>
  <c r="F50" i="57"/>
  <c r="G50" i="57" s="1"/>
  <c r="F43" i="57"/>
  <c r="G43" i="57" s="1"/>
  <c r="F19" i="57"/>
  <c r="G19" i="57" s="1"/>
  <c r="F38" i="57"/>
  <c r="G38" i="57" s="1"/>
  <c r="F48" i="57"/>
  <c r="G48" i="57" s="1"/>
  <c r="F36" i="57"/>
  <c r="G36" i="57"/>
  <c r="F2" i="57"/>
  <c r="G2" i="57" s="1"/>
  <c r="F25" i="57"/>
  <c r="G25" i="57" s="1"/>
  <c r="F17" i="57"/>
  <c r="G17" i="57" s="1"/>
  <c r="F16" i="57"/>
  <c r="G16" i="57" s="1"/>
  <c r="F42" i="57"/>
  <c r="G42" i="57" s="1"/>
  <c r="F7" i="57"/>
  <c r="G7" i="57"/>
  <c r="F9" i="57"/>
  <c r="G9" i="57" s="1"/>
  <c r="F26" i="57"/>
  <c r="G26" i="57" s="1"/>
  <c r="F31" i="57"/>
  <c r="G31" i="57" s="1"/>
  <c r="F12" i="57"/>
  <c r="G12" i="57" s="1"/>
  <c r="F11" i="57"/>
  <c r="G11" i="57" s="1"/>
  <c r="F15" i="57"/>
  <c r="G15" i="57" s="1"/>
  <c r="F52" i="57"/>
  <c r="G52" i="57" s="1"/>
  <c r="F30" i="57"/>
  <c r="G30" i="57" s="1"/>
  <c r="F8" i="57"/>
  <c r="G8" i="57" s="1"/>
  <c r="F47" i="57"/>
  <c r="G47" i="57"/>
  <c r="F46" i="57"/>
  <c r="G46" i="57" s="1"/>
  <c r="F45" i="57"/>
  <c r="G45" i="57" s="1"/>
  <c r="F24" i="57"/>
  <c r="G24" i="57" s="1"/>
  <c r="F18" i="57"/>
  <c r="G18" i="57" s="1"/>
  <c r="F32" i="57"/>
  <c r="G32" i="57" s="1"/>
  <c r="H37" i="57"/>
  <c r="L1" i="53"/>
  <c r="C13" i="43" l="1"/>
  <c r="C12" i="43"/>
  <c r="C11" i="43"/>
  <c r="C10" i="43"/>
  <c r="C9" i="43"/>
  <c r="C8" i="43"/>
  <c r="C7" i="43"/>
  <c r="C6" i="43"/>
  <c r="C5" i="43"/>
  <c r="C4" i="43"/>
  <c r="C3" i="43"/>
  <c r="C38" i="43"/>
  <c r="E21" i="43"/>
  <c r="I22" i="43"/>
  <c r="B154" i="10"/>
  <c r="B160" i="10"/>
  <c r="B159" i="10"/>
  <c r="B158" i="10"/>
  <c r="B157" i="10"/>
  <c r="B156" i="10"/>
  <c r="B155" i="10"/>
  <c r="B153" i="10"/>
  <c r="E38" i="43"/>
  <c r="H21" i="53"/>
  <c r="D30" i="53"/>
  <c r="K9" i="53"/>
  <c r="G11" i="53"/>
  <c r="H11" i="53" s="1"/>
  <c r="G7" i="53"/>
  <c r="H7" i="53" s="1"/>
  <c r="K7" i="53" s="1"/>
  <c r="C2" i="53"/>
  <c r="G2" i="53" s="1"/>
  <c r="H2" i="53" s="1"/>
  <c r="K2" i="53" s="1"/>
  <c r="F18" i="53"/>
  <c r="C18" i="53"/>
  <c r="G12" i="53"/>
  <c r="H12" i="53" s="1"/>
  <c r="K12" i="53" s="1"/>
  <c r="G15" i="53"/>
  <c r="H15" i="53" s="1"/>
  <c r="K15" i="53" s="1"/>
  <c r="G13" i="53"/>
  <c r="H13" i="53" s="1"/>
  <c r="K13" i="53" s="1"/>
  <c r="C3" i="53"/>
  <c r="G3" i="53" s="1"/>
  <c r="H3" i="53" s="1"/>
  <c r="K3" i="53" s="1"/>
  <c r="H6" i="4"/>
  <c r="K24" i="37"/>
  <c r="J26" i="37"/>
  <c r="L26" i="37"/>
  <c r="I26" i="37"/>
  <c r="K26" i="37" s="1"/>
  <c r="J25" i="37"/>
  <c r="J24" i="37"/>
  <c r="I25" i="37"/>
  <c r="K25" i="37" s="1"/>
  <c r="I24" i="37"/>
  <c r="H23" i="37"/>
  <c r="J23" i="37" s="1"/>
  <c r="I23" i="37"/>
  <c r="K23" i="37" s="1"/>
  <c r="I22" i="37"/>
  <c r="K22" i="37" s="1"/>
  <c r="L12" i="37"/>
  <c r="I12" i="37"/>
  <c r="C14" i="43" l="1"/>
  <c r="L23" i="37"/>
  <c r="H9" i="37"/>
  <c r="I11" i="37"/>
  <c r="I10" i="37"/>
  <c r="I9" i="37"/>
  <c r="J9" i="37"/>
  <c r="J7" i="37"/>
  <c r="L7" i="37" s="1"/>
  <c r="H11" i="37"/>
  <c r="J11" i="37" s="1"/>
  <c r="H10" i="37"/>
  <c r="J10" i="37" s="1"/>
  <c r="I21" i="37"/>
  <c r="K21" i="37" s="1"/>
  <c r="I20" i="37"/>
  <c r="K20" i="37" s="1"/>
  <c r="I19" i="37"/>
  <c r="K19" i="37" s="1"/>
  <c r="I18" i="37"/>
  <c r="K18" i="37" s="1"/>
  <c r="I17" i="37"/>
  <c r="K17" i="37" s="1"/>
  <c r="I16" i="37"/>
  <c r="K16" i="37" s="1"/>
  <c r="I15" i="37"/>
  <c r="K15" i="37" s="1"/>
  <c r="I14" i="37"/>
  <c r="K14" i="37" s="1"/>
  <c r="I13" i="37"/>
  <c r="I8" i="37"/>
  <c r="I6" i="37"/>
  <c r="L6" i="37"/>
  <c r="L13" i="37"/>
  <c r="J15" i="37"/>
  <c r="J16" i="37"/>
  <c r="J17" i="37"/>
  <c r="J14" i="37"/>
  <c r="L8" i="37"/>
  <c r="F7" i="37"/>
  <c r="I7" i="37" s="1"/>
  <c r="L25" i="37"/>
  <c r="L24" i="37"/>
  <c r="B152" i="10"/>
  <c r="B151" i="10"/>
  <c r="G38" i="43"/>
  <c r="K9" i="37" l="1"/>
  <c r="K10" i="37"/>
  <c r="L10" i="37" s="1"/>
  <c r="K11" i="37"/>
  <c r="L9" i="37"/>
  <c r="L14" i="37"/>
  <c r="L15" i="37"/>
  <c r="L17" i="37"/>
  <c r="L16" i="37"/>
  <c r="I38" i="43" l="1"/>
  <c r="B150" i="10"/>
  <c r="K38" i="43"/>
  <c r="G26" i="53"/>
  <c r="G28" i="53"/>
  <c r="G27" i="53"/>
  <c r="G25" i="53"/>
  <c r="G10" i="53"/>
  <c r="H10" i="53" s="1"/>
  <c r="K10" i="53" s="1"/>
  <c r="G8" i="53"/>
  <c r="H8" i="53" s="1"/>
  <c r="K8" i="53" s="1"/>
  <c r="G6" i="53"/>
  <c r="H6" i="53" s="1"/>
  <c r="K6" i="53" s="1"/>
  <c r="G5" i="53"/>
  <c r="H5" i="53" s="1"/>
  <c r="K5" i="53" s="1"/>
  <c r="G4" i="53"/>
  <c r="H4" i="53" s="1"/>
  <c r="K4" i="53" s="1"/>
  <c r="G22" i="53"/>
  <c r="H22" i="53" s="1"/>
  <c r="G19" i="53"/>
  <c r="H19" i="53" s="1"/>
  <c r="K19" i="53" s="1"/>
  <c r="G20" i="53"/>
  <c r="H20" i="53" s="1"/>
  <c r="K20" i="53" s="1"/>
  <c r="G16" i="53"/>
  <c r="G17" i="53"/>
  <c r="H17" i="53" s="1"/>
  <c r="K17" i="53" s="1"/>
  <c r="D148" i="10"/>
  <c r="B148" i="10"/>
  <c r="B149" i="10"/>
  <c r="D147" i="10"/>
  <c r="M38" i="43"/>
  <c r="O38" i="43"/>
  <c r="Q38" i="43"/>
  <c r="S38" i="43"/>
  <c r="U38" i="43"/>
  <c r="Y38" i="43"/>
  <c r="AA38" i="43"/>
  <c r="AC38" i="43"/>
  <c r="W31" i="43"/>
  <c r="D141" i="10"/>
  <c r="B141" i="10"/>
  <c r="AC31" i="43"/>
  <c r="B140" i="10"/>
  <c r="BK20" i="43"/>
  <c r="BO31" i="43"/>
  <c r="H16" i="53" l="1"/>
  <c r="G18" i="53"/>
  <c r="BS30" i="43"/>
  <c r="BU30" i="43"/>
  <c r="BY30" i="43"/>
  <c r="BQ16" i="43"/>
  <c r="CA30" i="43"/>
  <c r="CA20" i="43"/>
  <c r="K16" i="53" l="1"/>
  <c r="H18" i="53"/>
  <c r="C23" i="53"/>
  <c r="G23" i="53" s="1"/>
  <c r="H23" i="53" s="1"/>
  <c r="C14" i="53"/>
  <c r="G14" i="53" s="1"/>
  <c r="M16" i="53" l="1"/>
  <c r="L18" i="53"/>
  <c r="M18" i="53" s="1"/>
  <c r="H14" i="53"/>
  <c r="K14" i="53" s="1"/>
  <c r="K1" i="53" s="1"/>
  <c r="B146" i="10"/>
  <c r="B145" i="10"/>
  <c r="B144" i="10"/>
  <c r="B143" i="10"/>
  <c r="B138" i="10"/>
  <c r="B139" i="10"/>
  <c r="B137" i="10"/>
  <c r="B136" i="10"/>
  <c r="D139" i="10"/>
  <c r="B135" i="10"/>
  <c r="B147" i="10"/>
  <c r="W30" i="43"/>
  <c r="W38" i="43" s="1"/>
  <c r="W13" i="43" l="1"/>
  <c r="W12" i="43"/>
  <c r="W11" i="43"/>
  <c r="W10" i="43"/>
  <c r="W9" i="43"/>
  <c r="W8" i="43"/>
  <c r="W7" i="43"/>
  <c r="W6" i="43"/>
  <c r="W5" i="43"/>
  <c r="W4" i="43"/>
  <c r="W3" i="43"/>
  <c r="W14" i="43" l="1"/>
  <c r="D9" i="38" l="1"/>
  <c r="E9" i="38" s="1"/>
  <c r="CS21" i="43"/>
  <c r="G14" i="48" l="1"/>
  <c r="G12" i="48"/>
  <c r="G11" i="48"/>
  <c r="G10" i="48"/>
  <c r="G9" i="48"/>
  <c r="G8" i="48"/>
  <c r="G7" i="48"/>
  <c r="G6" i="48"/>
  <c r="G5" i="48"/>
  <c r="AC13" i="43" l="1"/>
  <c r="AC12" i="43"/>
  <c r="AC11" i="43"/>
  <c r="AC10" i="43"/>
  <c r="AC9" i="43"/>
  <c r="AC8" i="43"/>
  <c r="AC7" i="43"/>
  <c r="AC6" i="43"/>
  <c r="AC5" i="43"/>
  <c r="AC4" i="43"/>
  <c r="AC3" i="43"/>
  <c r="F15" i="48"/>
  <c r="F19" i="48" s="1"/>
  <c r="F13" i="48"/>
  <c r="G13" i="48" s="1"/>
  <c r="AC14" i="43" l="1"/>
  <c r="C5" i="50" l="1"/>
  <c r="C6" i="50" s="1"/>
  <c r="C7" i="50" s="1"/>
  <c r="C8" i="50" s="1"/>
  <c r="C9" i="50" s="1"/>
  <c r="C10" i="50" s="1"/>
  <c r="C11" i="50" s="1"/>
  <c r="C12" i="50" s="1"/>
  <c r="C13" i="50" s="1"/>
  <c r="C14" i="50" s="1"/>
  <c r="C15" i="50" s="1"/>
  <c r="C16" i="50" s="1"/>
  <c r="C17" i="50" s="1"/>
  <c r="C18" i="50" s="1"/>
  <c r="C19" i="50" s="1"/>
  <c r="C20" i="50" s="1"/>
  <c r="C21" i="50" s="1"/>
  <c r="C22" i="50" s="1"/>
  <c r="C23" i="50" s="1"/>
  <c r="C24" i="50" s="1"/>
  <c r="C25" i="50" s="1"/>
  <c r="C26" i="50" s="1"/>
  <c r="C27" i="50" s="1"/>
  <c r="C28" i="50" s="1"/>
  <c r="C29" i="50" s="1"/>
  <c r="D29" i="10"/>
  <c r="D86" i="10"/>
  <c r="D90" i="10"/>
  <c r="D94" i="10"/>
  <c r="D112" i="10"/>
  <c r="D30" i="50"/>
  <c r="D29" i="50"/>
  <c r="D28" i="50"/>
  <c r="D1" i="10" l="1"/>
  <c r="E30" i="50"/>
  <c r="E29" i="50"/>
  <c r="E28" i="50"/>
  <c r="AE36" i="43"/>
  <c r="F21" i="23"/>
  <c r="F20" i="23"/>
  <c r="F19" i="23"/>
  <c r="F18" i="23"/>
  <c r="G21" i="23"/>
  <c r="G20" i="23"/>
  <c r="G19" i="23"/>
  <c r="G18" i="23"/>
  <c r="C21" i="23"/>
  <c r="C20" i="23"/>
  <c r="B134" i="10"/>
  <c r="B133" i="10"/>
  <c r="B132" i="10"/>
  <c r="B131" i="10"/>
  <c r="AG38" i="43"/>
  <c r="AE13" i="43"/>
  <c r="AE12" i="43"/>
  <c r="AE11" i="43"/>
  <c r="AE10" i="43"/>
  <c r="AE9" i="43"/>
  <c r="AE8" i="43"/>
  <c r="AE7" i="43"/>
  <c r="AE6" i="43"/>
  <c r="AE5" i="43"/>
  <c r="AE4" i="43"/>
  <c r="AE3" i="43"/>
  <c r="AG13" i="43"/>
  <c r="AG12" i="43"/>
  <c r="AG11" i="43"/>
  <c r="AG10" i="43"/>
  <c r="AG9" i="43"/>
  <c r="AG8" i="43"/>
  <c r="AG7" i="43"/>
  <c r="AG6" i="43"/>
  <c r="AG5" i="43"/>
  <c r="AG4" i="43"/>
  <c r="AG3" i="43"/>
  <c r="D71" i="4"/>
  <c r="D67" i="4"/>
  <c r="M67" i="4"/>
  <c r="F24" i="23" s="1"/>
  <c r="C24" i="23" s="1"/>
  <c r="CA21" i="43"/>
  <c r="CK21" i="43"/>
  <c r="AC36" i="43" l="1"/>
  <c r="AA36" i="43" s="1"/>
  <c r="Y36" i="43" s="1"/>
  <c r="W36" i="43" s="1"/>
  <c r="U36" i="43" s="1"/>
  <c r="S36" i="43" s="1"/>
  <c r="Q36" i="43" s="1"/>
  <c r="O36" i="43" s="1"/>
  <c r="M36" i="43" s="1"/>
  <c r="K36" i="43" s="1"/>
  <c r="I36" i="43" s="1"/>
  <c r="G36" i="43" s="1"/>
  <c r="E36" i="43" s="1"/>
  <c r="C36" i="43" s="1"/>
  <c r="AE38" i="43"/>
  <c r="AE14" i="43"/>
  <c r="BA31" i="43"/>
  <c r="AU31" i="43"/>
  <c r="CC30" i="43"/>
  <c r="CC38" i="43" s="1"/>
  <c r="B29" i="10"/>
  <c r="CQ30" i="43"/>
  <c r="CQ38" i="43" s="1"/>
  <c r="CS30" i="43"/>
  <c r="CS38" i="43" s="1"/>
  <c r="B48" i="10"/>
  <c r="B128" i="47"/>
  <c r="B127" i="47"/>
  <c r="B126" i="47"/>
  <c r="B125" i="47"/>
  <c r="B124" i="47"/>
  <c r="B123" i="47"/>
  <c r="B122" i="47"/>
  <c r="B121" i="47"/>
  <c r="B120" i="47"/>
  <c r="B119" i="47"/>
  <c r="B118" i="47"/>
  <c r="B117" i="47"/>
  <c r="B116" i="47"/>
  <c r="B115" i="47"/>
  <c r="B114" i="47"/>
  <c r="B113" i="47"/>
  <c r="B112" i="47"/>
  <c r="B111" i="47"/>
  <c r="D110" i="47"/>
  <c r="B110" i="47"/>
  <c r="B109" i="47"/>
  <c r="B108" i="47"/>
  <c r="B107" i="47"/>
  <c r="B106" i="47"/>
  <c r="B105" i="47"/>
  <c r="B104" i="47"/>
  <c r="B103" i="47"/>
  <c r="B102" i="47"/>
  <c r="B101" i="47"/>
  <c r="B100" i="47"/>
  <c r="B99" i="47"/>
  <c r="B98" i="47"/>
  <c r="B97" i="47"/>
  <c r="B96" i="47"/>
  <c r="B95" i="47"/>
  <c r="B94" i="47"/>
  <c r="B93" i="47"/>
  <c r="D92" i="47"/>
  <c r="B92" i="47"/>
  <c r="B91" i="47"/>
  <c r="B90" i="47"/>
  <c r="B89" i="47"/>
  <c r="D88" i="47"/>
  <c r="B88" i="47"/>
  <c r="B87" i="47"/>
  <c r="B86" i="47"/>
  <c r="B85" i="47"/>
  <c r="D84" i="47"/>
  <c r="D1" i="47" s="1"/>
  <c r="B84" i="47"/>
  <c r="B83" i="47"/>
  <c r="B82" i="47"/>
  <c r="B81" i="47"/>
  <c r="B80" i="47"/>
  <c r="B79" i="47"/>
  <c r="B78" i="47"/>
  <c r="B77" i="47"/>
  <c r="B76" i="47"/>
  <c r="B75" i="47"/>
  <c r="B74" i="47"/>
  <c r="B73" i="47"/>
  <c r="B72" i="47"/>
  <c r="B71" i="47"/>
  <c r="B70" i="47"/>
  <c r="B69" i="47"/>
  <c r="B68" i="47"/>
  <c r="B67" i="47"/>
  <c r="B66" i="47"/>
  <c r="B65" i="47"/>
  <c r="B64" i="47"/>
  <c r="B63" i="47"/>
  <c r="B62" i="47"/>
  <c r="B61" i="47"/>
  <c r="B60" i="47"/>
  <c r="B59" i="47"/>
  <c r="B58" i="47"/>
  <c r="B57" i="47"/>
  <c r="B56" i="47"/>
  <c r="B55" i="47"/>
  <c r="B54" i="47"/>
  <c r="B53" i="47"/>
  <c r="B52" i="47"/>
  <c r="B51" i="47"/>
  <c r="B50" i="47"/>
  <c r="B49" i="47"/>
  <c r="B48" i="47"/>
  <c r="B47" i="47"/>
  <c r="B46" i="47"/>
  <c r="B45" i="47"/>
  <c r="B44" i="47"/>
  <c r="B43" i="47"/>
  <c r="B42" i="47"/>
  <c r="B41" i="47"/>
  <c r="B40" i="47"/>
  <c r="N39" i="47"/>
  <c r="B39" i="47"/>
  <c r="N38" i="47"/>
  <c r="B38" i="47"/>
  <c r="B37" i="47"/>
  <c r="B36" i="47"/>
  <c r="N35" i="47"/>
  <c r="B35" i="47"/>
  <c r="N34" i="47"/>
  <c r="B34" i="47"/>
  <c r="B33" i="47"/>
  <c r="B32" i="47"/>
  <c r="B31" i="47"/>
  <c r="B30" i="47"/>
  <c r="B29" i="47"/>
  <c r="B28" i="47"/>
  <c r="B27" i="47"/>
  <c r="D26" i="47"/>
  <c r="B26" i="47"/>
  <c r="B25" i="47"/>
  <c r="B24" i="47"/>
  <c r="B23" i="47"/>
  <c r="B22" i="47"/>
  <c r="B21" i="47"/>
  <c r="B20" i="47"/>
  <c r="B19" i="47"/>
  <c r="B18" i="47"/>
  <c r="B17" i="47"/>
  <c r="B16" i="47"/>
  <c r="B15" i="47"/>
  <c r="B14" i="47"/>
  <c r="B13" i="47"/>
  <c r="B12" i="47"/>
  <c r="B11" i="47"/>
  <c r="B10" i="47"/>
  <c r="B9" i="47"/>
  <c r="B8" i="47"/>
  <c r="B7" i="47"/>
  <c r="B6" i="47"/>
  <c r="AM19" i="43"/>
  <c r="AW31" i="43"/>
  <c r="AY30" i="43"/>
  <c r="AY38" i="43" s="1"/>
  <c r="BA30" i="43"/>
  <c r="F11" i="34"/>
  <c r="BM28" i="43"/>
  <c r="BK28" i="43" s="1"/>
  <c r="BI28" i="43" s="1"/>
  <c r="BG28" i="43" s="1"/>
  <c r="BE28" i="43" s="1"/>
  <c r="BC28" i="43" s="1"/>
  <c r="BA28" i="43" s="1"/>
  <c r="AY28" i="43" s="1"/>
  <c r="AW28" i="43" s="1"/>
  <c r="AU28" i="43" s="1"/>
  <c r="BK38" i="43"/>
  <c r="BO30" i="43"/>
  <c r="BO38" i="43" s="1"/>
  <c r="BS33" i="43"/>
  <c r="BS38" i="43" s="1"/>
  <c r="B64" i="10"/>
  <c r="B63" i="10"/>
  <c r="B62" i="10"/>
  <c r="B61" i="10"/>
  <c r="B60" i="10"/>
  <c r="BQ27" i="43"/>
  <c r="BQ38" i="43"/>
  <c r="BU38" i="43"/>
  <c r="BW2" i="43"/>
  <c r="BW1" i="43" s="1"/>
  <c r="BW17" i="43" s="1"/>
  <c r="BW38" i="43"/>
  <c r="BW28" i="43"/>
  <c r="BU28" i="43" s="1"/>
  <c r="BW25" i="43"/>
  <c r="BY38" i="43"/>
  <c r="CG38" i="43"/>
  <c r="CM14" i="43"/>
  <c r="CK28" i="43"/>
  <c r="CI22" i="43"/>
  <c r="CA38" i="43"/>
  <c r="CE38" i="43"/>
  <c r="BA40" i="46"/>
  <c r="BC40" i="46" s="1"/>
  <c r="BG40" i="46" s="1"/>
  <c r="BI40" i="46" s="1"/>
  <c r="BK40" i="46" s="1"/>
  <c r="AQ39" i="46"/>
  <c r="AM39" i="46"/>
  <c r="AK39" i="46"/>
  <c r="BK36" i="46"/>
  <c r="BI36" i="46"/>
  <c r="BE36" i="46"/>
  <c r="BC36" i="46"/>
  <c r="BA36" i="46"/>
  <c r="AY36" i="46"/>
  <c r="AW36" i="46"/>
  <c r="M36" i="46"/>
  <c r="K36" i="46"/>
  <c r="I36" i="46"/>
  <c r="G36" i="46"/>
  <c r="E36" i="46"/>
  <c r="C34" i="46"/>
  <c r="E34" i="46" s="1"/>
  <c r="G34" i="46" s="1"/>
  <c r="I34" i="46" s="1"/>
  <c r="K34" i="46" s="1"/>
  <c r="M34" i="46" s="1"/>
  <c r="AS33" i="46"/>
  <c r="AS36" i="46" s="1"/>
  <c r="AM33" i="46"/>
  <c r="AG33" i="46"/>
  <c r="AG34" i="46" s="1"/>
  <c r="AI34" i="46" s="1"/>
  <c r="AK34" i="46" s="1"/>
  <c r="AE32" i="46"/>
  <c r="AG32" i="46" s="1"/>
  <c r="AI32" i="46" s="1"/>
  <c r="AK32" i="46" s="1"/>
  <c r="BI31" i="46"/>
  <c r="AY31" i="46"/>
  <c r="AU30" i="46"/>
  <c r="AU36" i="46" s="1"/>
  <c r="AQ30" i="46"/>
  <c r="AO30" i="46"/>
  <c r="AM30" i="46"/>
  <c r="AE30" i="46"/>
  <c r="C30" i="46"/>
  <c r="C36" i="46" s="1"/>
  <c r="AK27" i="46"/>
  <c r="AM27" i="46" s="1"/>
  <c r="AO27" i="46" s="1"/>
  <c r="AQ27" i="46" s="1"/>
  <c r="AS27" i="46" s="1"/>
  <c r="AU31" i="46" s="1"/>
  <c r="AI27" i="46"/>
  <c r="AG27" i="46"/>
  <c r="AE27" i="46"/>
  <c r="AE23" i="46"/>
  <c r="AI22" i="46"/>
  <c r="BA21" i="46"/>
  <c r="AY21" i="46"/>
  <c r="AW21" i="46"/>
  <c r="AM21" i="46"/>
  <c r="AI21" i="46"/>
  <c r="AG21" i="46"/>
  <c r="AA21" i="46"/>
  <c r="W21" i="46"/>
  <c r="U21" i="46"/>
  <c r="S21" i="46"/>
  <c r="M21" i="46"/>
  <c r="M23" i="46" s="1"/>
  <c r="K21" i="46"/>
  <c r="I21" i="46"/>
  <c r="G21" i="46"/>
  <c r="C21" i="46"/>
  <c r="C23" i="46" s="1"/>
  <c r="BG20" i="46"/>
  <c r="BG36" i="46" s="1"/>
  <c r="BG19" i="46"/>
  <c r="AQ19" i="46"/>
  <c r="AG18" i="46"/>
  <c r="AK14" i="46"/>
  <c r="K14" i="46"/>
  <c r="I14" i="46"/>
  <c r="BK13" i="46"/>
  <c r="BI13" i="46"/>
  <c r="BG13" i="46"/>
  <c r="BE13" i="46"/>
  <c r="BC13" i="46"/>
  <c r="BA13" i="46"/>
  <c r="AY13" i="46"/>
  <c r="AW13" i="46"/>
  <c r="AU13" i="46"/>
  <c r="AS13" i="46"/>
  <c r="AQ13" i="46"/>
  <c r="AO13" i="46"/>
  <c r="AM13" i="46"/>
  <c r="AI13" i="46"/>
  <c r="AG13" i="46"/>
  <c r="AE13" i="46"/>
  <c r="AC13" i="46"/>
  <c r="AA13" i="46"/>
  <c r="Y13" i="46"/>
  <c r="W13" i="46"/>
  <c r="U13" i="46"/>
  <c r="Q13" i="46"/>
  <c r="O13" i="46"/>
  <c r="M13" i="46"/>
  <c r="K13" i="46"/>
  <c r="I13" i="46"/>
  <c r="E13" i="46"/>
  <c r="C13" i="46"/>
  <c r="BK12" i="46"/>
  <c r="BI12" i="46"/>
  <c r="BG12" i="46"/>
  <c r="BE12" i="46"/>
  <c r="BC12" i="46"/>
  <c r="BA12" i="46"/>
  <c r="AY12" i="46"/>
  <c r="AW12" i="46"/>
  <c r="AU12" i="46"/>
  <c r="AS12" i="46"/>
  <c r="AQ12" i="46"/>
  <c r="AO12" i="46"/>
  <c r="AM12" i="46"/>
  <c r="AI12" i="46"/>
  <c r="AG12" i="46"/>
  <c r="AE12" i="46"/>
  <c r="AC12" i="46"/>
  <c r="AA12" i="46"/>
  <c r="Y12" i="46"/>
  <c r="W12" i="46"/>
  <c r="U12" i="46"/>
  <c r="Q12" i="46"/>
  <c r="O12" i="46"/>
  <c r="M12" i="46"/>
  <c r="K12" i="46"/>
  <c r="I12" i="46"/>
  <c r="E12" i="46"/>
  <c r="C12" i="46"/>
  <c r="BK11" i="46"/>
  <c r="BI11" i="46"/>
  <c r="BG11" i="46"/>
  <c r="BE11" i="46"/>
  <c r="BC11" i="46"/>
  <c r="BA11" i="46"/>
  <c r="AY11" i="46"/>
  <c r="AW11" i="46"/>
  <c r="AU11" i="46"/>
  <c r="AS11" i="46"/>
  <c r="AQ11" i="46"/>
  <c r="AO11" i="46"/>
  <c r="AM11" i="46"/>
  <c r="AI11" i="46"/>
  <c r="AG11" i="46"/>
  <c r="AE11" i="46"/>
  <c r="AC11" i="46"/>
  <c r="AA11" i="46"/>
  <c r="Y11" i="46"/>
  <c r="W11" i="46"/>
  <c r="U11" i="46"/>
  <c r="Q11" i="46"/>
  <c r="O11" i="46"/>
  <c r="M11" i="46"/>
  <c r="K11" i="46"/>
  <c r="I11" i="46"/>
  <c r="E11" i="46"/>
  <c r="C11" i="46"/>
  <c r="BK10" i="46"/>
  <c r="BI10" i="46"/>
  <c r="BG10" i="46"/>
  <c r="BE10" i="46"/>
  <c r="BC10" i="46"/>
  <c r="BA10" i="46"/>
  <c r="AY10" i="46"/>
  <c r="AW10" i="46"/>
  <c r="AU10" i="46"/>
  <c r="AS10" i="46"/>
  <c r="AQ10" i="46"/>
  <c r="AO10" i="46"/>
  <c r="AM10" i="46"/>
  <c r="AI10" i="46"/>
  <c r="AG10" i="46"/>
  <c r="AE10" i="46"/>
  <c r="AC10" i="46"/>
  <c r="AA10" i="46"/>
  <c r="Y10" i="46"/>
  <c r="W10" i="46"/>
  <c r="U10" i="46"/>
  <c r="Q10" i="46"/>
  <c r="O10" i="46"/>
  <c r="M10" i="46"/>
  <c r="K10" i="46"/>
  <c r="I10" i="46"/>
  <c r="E10" i="46"/>
  <c r="C10" i="46"/>
  <c r="BK9" i="46"/>
  <c r="BI9" i="46"/>
  <c r="BG9" i="46"/>
  <c r="BE9" i="46"/>
  <c r="BC9" i="46"/>
  <c r="BA9" i="46"/>
  <c r="AY9" i="46"/>
  <c r="AW9" i="46"/>
  <c r="AU9" i="46"/>
  <c r="AS9" i="46"/>
  <c r="AQ9" i="46"/>
  <c r="AO9" i="46"/>
  <c r="AM9" i="46"/>
  <c r="AI9" i="46"/>
  <c r="AG9" i="46"/>
  <c r="AE9" i="46"/>
  <c r="AC9" i="46"/>
  <c r="AA9" i="46"/>
  <c r="Y9" i="46"/>
  <c r="W9" i="46"/>
  <c r="U9" i="46"/>
  <c r="Q9" i="46"/>
  <c r="O9" i="46"/>
  <c r="M9" i="46"/>
  <c r="K9" i="46"/>
  <c r="I9" i="46"/>
  <c r="E9" i="46"/>
  <c r="C9" i="46"/>
  <c r="BK8" i="46"/>
  <c r="BI8" i="46"/>
  <c r="BG8" i="46"/>
  <c r="BE8" i="46"/>
  <c r="BC8" i="46"/>
  <c r="BA8" i="46"/>
  <c r="AY8" i="46"/>
  <c r="AW8" i="46"/>
  <c r="AU8" i="46"/>
  <c r="AS8" i="46"/>
  <c r="AQ8" i="46"/>
  <c r="AO8" i="46"/>
  <c r="AM8" i="46"/>
  <c r="AI8" i="46"/>
  <c r="AG8" i="46"/>
  <c r="AE8" i="46"/>
  <c r="AC8" i="46"/>
  <c r="AA8" i="46"/>
  <c r="Y8" i="46"/>
  <c r="W8" i="46"/>
  <c r="U8" i="46"/>
  <c r="Q8" i="46"/>
  <c r="O8" i="46"/>
  <c r="M8" i="46"/>
  <c r="K8" i="46"/>
  <c r="I8" i="46"/>
  <c r="E8" i="46"/>
  <c r="C8" i="46"/>
  <c r="BK7" i="46"/>
  <c r="BI7" i="46"/>
  <c r="BG7" i="46"/>
  <c r="BE7" i="46"/>
  <c r="BC7" i="46"/>
  <c r="BA7" i="46"/>
  <c r="AY7" i="46"/>
  <c r="AW7" i="46"/>
  <c r="AU7" i="46"/>
  <c r="AS7" i="46"/>
  <c r="AQ7" i="46"/>
  <c r="AO7" i="46"/>
  <c r="AM7" i="46"/>
  <c r="AI7" i="46"/>
  <c r="AG7" i="46"/>
  <c r="AE7" i="46"/>
  <c r="AC7" i="46"/>
  <c r="AA7" i="46"/>
  <c r="Y7" i="46"/>
  <c r="W7" i="46"/>
  <c r="U7" i="46"/>
  <c r="Q7" i="46"/>
  <c r="O7" i="46"/>
  <c r="M7" i="46"/>
  <c r="K7" i="46"/>
  <c r="I7" i="46"/>
  <c r="E7" i="46"/>
  <c r="C7" i="46"/>
  <c r="BK6" i="46"/>
  <c r="BI6" i="46"/>
  <c r="BG6" i="46"/>
  <c r="BE6" i="46"/>
  <c r="BC6" i="46"/>
  <c r="BA6" i="46"/>
  <c r="AY6" i="46"/>
  <c r="AW6" i="46"/>
  <c r="AU6" i="46"/>
  <c r="AS6" i="46"/>
  <c r="AQ6" i="46"/>
  <c r="AO6" i="46"/>
  <c r="AM6" i="46"/>
  <c r="AI6" i="46"/>
  <c r="AG6" i="46"/>
  <c r="AE6" i="46"/>
  <c r="AC6" i="46"/>
  <c r="AA6" i="46"/>
  <c r="Y6" i="46"/>
  <c r="W6" i="46"/>
  <c r="U6" i="46"/>
  <c r="Q6" i="46"/>
  <c r="O6" i="46"/>
  <c r="M6" i="46"/>
  <c r="K6" i="46"/>
  <c r="I6" i="46"/>
  <c r="E6" i="46"/>
  <c r="C6" i="46"/>
  <c r="BK5" i="46"/>
  <c r="BI5" i="46"/>
  <c r="BG5" i="46"/>
  <c r="BE5" i="46"/>
  <c r="BC5" i="46"/>
  <c r="BA5" i="46"/>
  <c r="AY5" i="46"/>
  <c r="AW5" i="46"/>
  <c r="AU5" i="46"/>
  <c r="AS5" i="46"/>
  <c r="AQ5" i="46"/>
  <c r="AO5" i="46"/>
  <c r="AM5" i="46"/>
  <c r="AI5" i="46"/>
  <c r="AG5" i="46"/>
  <c r="AE5" i="46"/>
  <c r="AC5" i="46"/>
  <c r="AA5" i="46"/>
  <c r="Y5" i="46"/>
  <c r="W5" i="46"/>
  <c r="U5" i="46"/>
  <c r="Q5" i="46"/>
  <c r="O5" i="46"/>
  <c r="M5" i="46"/>
  <c r="K5" i="46"/>
  <c r="I5" i="46"/>
  <c r="E5" i="46"/>
  <c r="C5" i="46"/>
  <c r="BK4" i="46"/>
  <c r="BI4" i="46"/>
  <c r="BG4" i="46"/>
  <c r="BE4" i="46"/>
  <c r="BC4" i="46"/>
  <c r="BA4" i="46"/>
  <c r="AY4" i="46"/>
  <c r="AW4" i="46"/>
  <c r="AU4" i="46"/>
  <c r="AS4" i="46"/>
  <c r="AQ4" i="46"/>
  <c r="AO4" i="46"/>
  <c r="AM4" i="46"/>
  <c r="AI4" i="46"/>
  <c r="AG4" i="46"/>
  <c r="AE4" i="46"/>
  <c r="AC4" i="46"/>
  <c r="AA4" i="46"/>
  <c r="AA14" i="46" s="1"/>
  <c r="Y4" i="46"/>
  <c r="Y14" i="46" s="1"/>
  <c r="W4" i="46"/>
  <c r="W14" i="46" s="1"/>
  <c r="U4" i="46"/>
  <c r="U14" i="46" s="1"/>
  <c r="Q4" i="46"/>
  <c r="O4" i="46"/>
  <c r="M4" i="46"/>
  <c r="K4" i="46"/>
  <c r="I4" i="46"/>
  <c r="E4" i="46"/>
  <c r="C4" i="46"/>
  <c r="BK3" i="46"/>
  <c r="BK14" i="46" s="1"/>
  <c r="BI3" i="46"/>
  <c r="BI14" i="46" s="1"/>
  <c r="BG3" i="46"/>
  <c r="BG14" i="46" s="1"/>
  <c r="BE3" i="46"/>
  <c r="BE14" i="46" s="1"/>
  <c r="BC3" i="46"/>
  <c r="BC14" i="46" s="1"/>
  <c r="BA3" i="46"/>
  <c r="BA14" i="46" s="1"/>
  <c r="AY3" i="46"/>
  <c r="AY14" i="46" s="1"/>
  <c r="AW3" i="46"/>
  <c r="AW14" i="46" s="1"/>
  <c r="AY18" i="46" s="1"/>
  <c r="AU3" i="46"/>
  <c r="AU14" i="46" s="1"/>
  <c r="AW18" i="46" s="1"/>
  <c r="AW23" i="46" s="1"/>
  <c r="AS3" i="46"/>
  <c r="AQ3" i="46"/>
  <c r="AQ14" i="46" s="1"/>
  <c r="AO3" i="46"/>
  <c r="AO14" i="46" s="1"/>
  <c r="AQ18" i="46" s="1"/>
  <c r="AM3" i="46"/>
  <c r="AM14" i="46" s="1"/>
  <c r="AO18" i="46" s="1"/>
  <c r="AI3" i="46"/>
  <c r="AI14" i="46" s="1"/>
  <c r="AG3" i="46"/>
  <c r="AG14" i="46" s="1"/>
  <c r="AE3" i="46"/>
  <c r="AE14" i="46" s="1"/>
  <c r="AC3" i="46"/>
  <c r="AC14" i="46" s="1"/>
  <c r="Q3" i="46"/>
  <c r="Q14" i="46" s="1"/>
  <c r="O3" i="46"/>
  <c r="O14" i="46" s="1"/>
  <c r="M3" i="46"/>
  <c r="M14" i="46" s="1"/>
  <c r="K3" i="46"/>
  <c r="I3" i="46"/>
  <c r="E3" i="46"/>
  <c r="C3" i="46"/>
  <c r="C14" i="46" s="1"/>
  <c r="C25" i="46" s="1"/>
  <c r="AQ2" i="46"/>
  <c r="AS2" i="46" s="1"/>
  <c r="AO1" i="46"/>
  <c r="AO17" i="46" s="1"/>
  <c r="AM1" i="46"/>
  <c r="AM17" i="46" s="1"/>
  <c r="AK1" i="46"/>
  <c r="AK17" i="46" s="1"/>
  <c r="AI1" i="46"/>
  <c r="AI17" i="46" s="1"/>
  <c r="AG1" i="46"/>
  <c r="AG17" i="46" s="1"/>
  <c r="AE1" i="46"/>
  <c r="AE17" i="46" s="1"/>
  <c r="AC1" i="46"/>
  <c r="AC17" i="46" s="1"/>
  <c r="AA1" i="46"/>
  <c r="AA17" i="46" s="1"/>
  <c r="Y1" i="46"/>
  <c r="Y17" i="46" s="1"/>
  <c r="W1" i="46"/>
  <c r="W17" i="46" s="1"/>
  <c r="U1" i="46"/>
  <c r="U17" i="46" s="1"/>
  <c r="S1" i="46"/>
  <c r="S17" i="46" s="1"/>
  <c r="Q1" i="46"/>
  <c r="Q17" i="46" s="1"/>
  <c r="O1" i="46"/>
  <c r="O17" i="46" s="1"/>
  <c r="M1" i="46"/>
  <c r="K1" i="46"/>
  <c r="I1" i="46"/>
  <c r="G1" i="46"/>
  <c r="E1" i="46"/>
  <c r="C1" i="46"/>
  <c r="CI38" i="43"/>
  <c r="CO21" i="43"/>
  <c r="CS1" i="43"/>
  <c r="CQ1" i="43"/>
  <c r="CO1" i="43"/>
  <c r="CM1" i="43"/>
  <c r="CK1" i="43"/>
  <c r="CI1" i="43"/>
  <c r="CK38" i="43"/>
  <c r="CM38" i="43"/>
  <c r="CO38" i="43"/>
  <c r="CS35" i="43"/>
  <c r="AS41" i="43"/>
  <c r="AQ41" i="43" s="1"/>
  <c r="AM41" i="43" s="1"/>
  <c r="AK41" i="43" s="1"/>
  <c r="AI41" i="43" s="1"/>
  <c r="AG41" i="43" s="1"/>
  <c r="AE41" i="43" s="1"/>
  <c r="AC41" i="43" s="1"/>
  <c r="AA41" i="43" s="1"/>
  <c r="Y41" i="43" s="1"/>
  <c r="W41" i="43" s="1"/>
  <c r="U41" i="43" s="1"/>
  <c r="S41" i="43" s="1"/>
  <c r="Q41" i="43" s="1"/>
  <c r="O41" i="43" s="1"/>
  <c r="M41" i="43" s="1"/>
  <c r="K41" i="43" s="1"/>
  <c r="I41" i="43" s="1"/>
  <c r="G41" i="43" s="1"/>
  <c r="AI38" i="43"/>
  <c r="AK38" i="43"/>
  <c r="AO38" i="43"/>
  <c r="AQ38" i="43"/>
  <c r="AS38" i="43"/>
  <c r="AU38" i="43"/>
  <c r="AW38" i="43"/>
  <c r="BA33" i="43"/>
  <c r="BG33" i="43"/>
  <c r="BM33" i="43"/>
  <c r="BM35" i="43" s="1"/>
  <c r="BK35" i="43" s="1"/>
  <c r="BI35" i="43" s="1"/>
  <c r="AK31" i="43"/>
  <c r="BC30" i="43"/>
  <c r="BC38" i="43" s="1"/>
  <c r="BE30" i="43"/>
  <c r="BE38" i="43" s="1"/>
  <c r="BG30" i="43"/>
  <c r="BM27" i="43"/>
  <c r="BK27" i="43" s="1"/>
  <c r="BO27" i="43"/>
  <c r="BK22" i="43"/>
  <c r="AS21" i="43"/>
  <c r="AU21" i="43"/>
  <c r="AW21" i="43"/>
  <c r="BG21" i="43"/>
  <c r="BK21" i="43"/>
  <c r="BM21" i="43"/>
  <c r="BS21" i="43"/>
  <c r="BY21" i="43"/>
  <c r="CC21" i="43"/>
  <c r="CI21" i="43"/>
  <c r="CM21" i="43"/>
  <c r="CS23" i="43"/>
  <c r="CQ18" i="43" s="1"/>
  <c r="CQ23" i="43" s="1"/>
  <c r="AM20" i="43"/>
  <c r="AM38" i="43" s="1"/>
  <c r="AM13" i="43"/>
  <c r="AS13" i="43"/>
  <c r="AU13" i="43"/>
  <c r="AW13" i="43"/>
  <c r="AY13" i="43"/>
  <c r="BA13" i="43"/>
  <c r="BE13" i="43"/>
  <c r="BG13" i="43"/>
  <c r="BK13" i="43"/>
  <c r="BM13" i="43"/>
  <c r="BO13" i="43"/>
  <c r="BQ13" i="43"/>
  <c r="BS13" i="43"/>
  <c r="BU13" i="43"/>
  <c r="BY13" i="43"/>
  <c r="CA13" i="43"/>
  <c r="CE13" i="43"/>
  <c r="CI13" i="43"/>
  <c r="CK13" i="43"/>
  <c r="CM13" i="43"/>
  <c r="CQ13" i="43"/>
  <c r="CS13" i="43"/>
  <c r="AM12" i="43"/>
  <c r="AS12" i="43"/>
  <c r="AU12" i="43"/>
  <c r="AW12" i="43"/>
  <c r="AY12" i="43"/>
  <c r="BA12" i="43"/>
  <c r="BE12" i="43"/>
  <c r="BG12" i="43"/>
  <c r="BK12" i="43"/>
  <c r="BM12" i="43"/>
  <c r="BO12" i="43"/>
  <c r="BQ12" i="43"/>
  <c r="BS12" i="43"/>
  <c r="BU12" i="43"/>
  <c r="BY12" i="43"/>
  <c r="CA12" i="43"/>
  <c r="CE12" i="43"/>
  <c r="CI12" i="43"/>
  <c r="CK12" i="43"/>
  <c r="CM12" i="43"/>
  <c r="CQ12" i="43"/>
  <c r="CS12" i="43"/>
  <c r="AM11" i="43"/>
  <c r="AS11" i="43"/>
  <c r="AU11" i="43"/>
  <c r="AW11" i="43"/>
  <c r="AY11" i="43"/>
  <c r="BA11" i="43"/>
  <c r="BE11" i="43"/>
  <c r="BG11" i="43"/>
  <c r="BK11" i="43"/>
  <c r="BM11" i="43"/>
  <c r="BO11" i="43"/>
  <c r="BQ11" i="43"/>
  <c r="BS11" i="43"/>
  <c r="BU11" i="43"/>
  <c r="BY11" i="43"/>
  <c r="CA11" i="43"/>
  <c r="CE11" i="43"/>
  <c r="CI11" i="43"/>
  <c r="CK11" i="43"/>
  <c r="CM11" i="43"/>
  <c r="CQ11" i="43"/>
  <c r="CS11" i="43"/>
  <c r="AM10" i="43"/>
  <c r="AS10" i="43"/>
  <c r="AU10" i="43"/>
  <c r="AW10" i="43"/>
  <c r="AY10" i="43"/>
  <c r="BA10" i="43"/>
  <c r="BE10" i="43"/>
  <c r="BG10" i="43"/>
  <c r="BK10" i="43"/>
  <c r="BM10" i="43"/>
  <c r="BO10" i="43"/>
  <c r="BQ10" i="43"/>
  <c r="BS10" i="43"/>
  <c r="BU10" i="43"/>
  <c r="BY10" i="43"/>
  <c r="CA10" i="43"/>
  <c r="CE10" i="43"/>
  <c r="CI10" i="43"/>
  <c r="CK10" i="43"/>
  <c r="CM10" i="43"/>
  <c r="CQ10" i="43"/>
  <c r="CS10" i="43"/>
  <c r="AM9" i="43"/>
  <c r="AS9" i="43"/>
  <c r="AU9" i="43"/>
  <c r="AW9" i="43"/>
  <c r="AY9" i="43"/>
  <c r="BA9" i="43"/>
  <c r="BE9" i="43"/>
  <c r="BG9" i="43"/>
  <c r="BK9" i="43"/>
  <c r="BM9" i="43"/>
  <c r="BO9" i="43"/>
  <c r="BQ9" i="43"/>
  <c r="BS9" i="43"/>
  <c r="BU9" i="43"/>
  <c r="BY9" i="43"/>
  <c r="CA9" i="43"/>
  <c r="CE9" i="43"/>
  <c r="CI9" i="43"/>
  <c r="CK9" i="43"/>
  <c r="CM9" i="43"/>
  <c r="CQ9" i="43"/>
  <c r="CS9" i="43"/>
  <c r="AM8" i="43"/>
  <c r="AS8" i="43"/>
  <c r="AU8" i="43"/>
  <c r="AW8" i="43"/>
  <c r="AY8" i="43"/>
  <c r="BA8" i="43"/>
  <c r="BE8" i="43"/>
  <c r="BG8" i="43"/>
  <c r="BK8" i="43"/>
  <c r="BM8" i="43"/>
  <c r="BO8" i="43"/>
  <c r="BQ8" i="43"/>
  <c r="BS8" i="43"/>
  <c r="BU8" i="43"/>
  <c r="BY8" i="43"/>
  <c r="CA8" i="43"/>
  <c r="CE8" i="43"/>
  <c r="CI8" i="43"/>
  <c r="CK8" i="43"/>
  <c r="CM8" i="43"/>
  <c r="CQ8" i="43"/>
  <c r="CS8" i="43"/>
  <c r="AM7" i="43"/>
  <c r="AS7" i="43"/>
  <c r="AU7" i="43"/>
  <c r="AW7" i="43"/>
  <c r="AY7" i="43"/>
  <c r="BA7" i="43"/>
  <c r="BE7" i="43"/>
  <c r="BG7" i="43"/>
  <c r="BK7" i="43"/>
  <c r="BM7" i="43"/>
  <c r="BO7" i="43"/>
  <c r="BQ7" i="43"/>
  <c r="BS7" i="43"/>
  <c r="BU7" i="43"/>
  <c r="BY7" i="43"/>
  <c r="CA7" i="43"/>
  <c r="CE7" i="43"/>
  <c r="CI7" i="43"/>
  <c r="CK7" i="43"/>
  <c r="CM7" i="43"/>
  <c r="CQ7" i="43"/>
  <c r="CS7" i="43"/>
  <c r="AM6" i="43"/>
  <c r="AS6" i="43"/>
  <c r="AU6" i="43"/>
  <c r="AW6" i="43"/>
  <c r="AY6" i="43"/>
  <c r="BA6" i="43"/>
  <c r="BE6" i="43"/>
  <c r="BG6" i="43"/>
  <c r="BK6" i="43"/>
  <c r="BM6" i="43"/>
  <c r="BO6" i="43"/>
  <c r="BQ6" i="43"/>
  <c r="BS6" i="43"/>
  <c r="BU6" i="43"/>
  <c r="BY6" i="43"/>
  <c r="CA6" i="43"/>
  <c r="CE6" i="43"/>
  <c r="CI6" i="43"/>
  <c r="CK6" i="43"/>
  <c r="CM6" i="43"/>
  <c r="CQ6" i="43"/>
  <c r="CS6" i="43"/>
  <c r="AM5" i="43"/>
  <c r="AS5" i="43"/>
  <c r="AU5" i="43"/>
  <c r="AW5" i="43"/>
  <c r="AY5" i="43"/>
  <c r="BA5" i="43"/>
  <c r="BE5" i="43"/>
  <c r="BG5" i="43"/>
  <c r="BK5" i="43"/>
  <c r="BM5" i="43"/>
  <c r="BO5" i="43"/>
  <c r="BQ5" i="43"/>
  <c r="BS5" i="43"/>
  <c r="BU5" i="43"/>
  <c r="BY5" i="43"/>
  <c r="CA5" i="43"/>
  <c r="CE5" i="43"/>
  <c r="CI5" i="43"/>
  <c r="CK5" i="43"/>
  <c r="CM5" i="43"/>
  <c r="CQ5" i="43"/>
  <c r="CS5" i="43"/>
  <c r="AM4" i="43"/>
  <c r="AS4" i="43"/>
  <c r="AU4" i="43"/>
  <c r="AW4" i="43"/>
  <c r="AY4" i="43"/>
  <c r="BA4" i="43"/>
  <c r="BE4" i="43"/>
  <c r="BG4" i="43"/>
  <c r="BK4" i="43"/>
  <c r="BM4" i="43"/>
  <c r="BO4" i="43"/>
  <c r="BQ4" i="43"/>
  <c r="BS4" i="43"/>
  <c r="BU4" i="43"/>
  <c r="BY4" i="43"/>
  <c r="CA4" i="43"/>
  <c r="CE4" i="43"/>
  <c r="CI4" i="43"/>
  <c r="CK4" i="43"/>
  <c r="CM4" i="43"/>
  <c r="CQ4" i="43"/>
  <c r="CS4" i="43"/>
  <c r="AM3" i="43"/>
  <c r="AS3" i="43"/>
  <c r="AU3" i="43"/>
  <c r="AW3" i="43"/>
  <c r="AY3" i="43"/>
  <c r="BA3" i="43"/>
  <c r="BE3" i="43"/>
  <c r="BG3" i="43"/>
  <c r="BK3" i="43"/>
  <c r="BM3" i="43"/>
  <c r="BO3" i="43"/>
  <c r="BQ3" i="43"/>
  <c r="CE3" i="43"/>
  <c r="CI3" i="43"/>
  <c r="CK3" i="43"/>
  <c r="CM3" i="43"/>
  <c r="CQ3" i="43"/>
  <c r="CS3" i="43"/>
  <c r="BC2" i="43"/>
  <c r="BA2" i="43" s="1"/>
  <c r="AY2" i="43" s="1"/>
  <c r="BE1" i="43"/>
  <c r="BE17" i="43" s="1"/>
  <c r="BG1" i="43"/>
  <c r="BG17" i="43" s="1"/>
  <c r="BI1" i="43"/>
  <c r="BI17" i="43" s="1"/>
  <c r="BK1" i="43"/>
  <c r="BK17" i="43" s="1"/>
  <c r="BM1" i="43"/>
  <c r="BM17" i="43" s="1"/>
  <c r="BO1" i="43"/>
  <c r="BO17" i="43" s="1"/>
  <c r="BQ1" i="43"/>
  <c r="BQ17" i="43" s="1"/>
  <c r="BS1" i="43"/>
  <c r="BS17" i="43" s="1"/>
  <c r="BU1" i="43"/>
  <c r="BU17" i="43" s="1"/>
  <c r="BY1" i="43"/>
  <c r="BY17" i="43" s="1"/>
  <c r="CA1" i="43"/>
  <c r="CA17" i="43" s="1"/>
  <c r="CC1" i="43"/>
  <c r="CC17" i="43" s="1"/>
  <c r="CE1" i="43"/>
  <c r="CE17" i="43" s="1"/>
  <c r="CG1" i="43"/>
  <c r="CG17" i="43" s="1"/>
  <c r="M71" i="4"/>
  <c r="F25" i="23" s="1"/>
  <c r="C25" i="23" s="1"/>
  <c r="B130" i="10"/>
  <c r="B129" i="10"/>
  <c r="C19" i="23"/>
  <c r="C18" i="23"/>
  <c r="C22" i="23"/>
  <c r="B10" i="41"/>
  <c r="B11" i="41" s="1"/>
  <c r="B7" i="41"/>
  <c r="B8" i="41" s="1"/>
  <c r="B4" i="41"/>
  <c r="F17" i="23"/>
  <c r="C17" i="23" s="1"/>
  <c r="C16" i="23"/>
  <c r="C7" i="23"/>
  <c r="L64" i="4"/>
  <c r="D17" i="4"/>
  <c r="C8" i="23"/>
  <c r="C9" i="23"/>
  <c r="C12" i="23"/>
  <c r="BU14" i="43" l="1"/>
  <c r="AM32" i="46"/>
  <c r="AO32" i="46" s="1"/>
  <c r="AQ32" i="46" s="1"/>
  <c r="AS32" i="46" s="1"/>
  <c r="AU32" i="46" s="1"/>
  <c r="AW32" i="46" s="1"/>
  <c r="AY32" i="46" s="1"/>
  <c r="BA32" i="46" s="1"/>
  <c r="D3" i="47"/>
  <c r="AQ23" i="46"/>
  <c r="AY23" i="46"/>
  <c r="AY25" i="46" s="1"/>
  <c r="AG23" i="46"/>
  <c r="AS18" i="46"/>
  <c r="AS23" i="46" s="1"/>
  <c r="AU18" i="46" s="1"/>
  <c r="AU23" i="46" s="1"/>
  <c r="AU25" i="46" s="1"/>
  <c r="L15" i="4"/>
  <c r="D64" i="4"/>
  <c r="H4" i="4" s="1"/>
  <c r="G15" i="4"/>
  <c r="C32" i="46"/>
  <c r="E32" i="46" s="1"/>
  <c r="G32" i="46" s="1"/>
  <c r="I32" i="46" s="1"/>
  <c r="K32" i="46" s="1"/>
  <c r="M32" i="46" s="1"/>
  <c r="BE40" i="46"/>
  <c r="M64" i="4"/>
  <c r="F23" i="23" s="1"/>
  <c r="C23" i="23" s="1"/>
  <c r="BG38" i="43"/>
  <c r="AE25" i="46"/>
  <c r="M37" i="46"/>
  <c r="AS14" i="46"/>
  <c r="AS25" i="46" s="1"/>
  <c r="BA38" i="43"/>
  <c r="BG14" i="43"/>
  <c r="CI28" i="43"/>
  <c r="CG28" i="43" s="1"/>
  <c r="CE28" i="43" s="1"/>
  <c r="CC28" i="43" s="1"/>
  <c r="CA28" i="43" s="1"/>
  <c r="D2" i="47"/>
  <c r="BM38" i="43"/>
  <c r="CS32" i="43"/>
  <c r="CS39" i="43" s="1"/>
  <c r="BI27" i="43"/>
  <c r="CS14" i="43"/>
  <c r="CS25" i="43" s="1"/>
  <c r="CI14" i="43"/>
  <c r="BM14" i="43"/>
  <c r="AU14" i="43"/>
  <c r="AM14" i="43"/>
  <c r="BS14" i="43"/>
  <c r="CE14" i="43"/>
  <c r="BK14" i="43"/>
  <c r="BA14" i="43"/>
  <c r="AS14" i="43"/>
  <c r="CA14" i="43"/>
  <c r="BC1" i="43"/>
  <c r="BC17" i="43" s="1"/>
  <c r="AY14" i="43"/>
  <c r="BY14" i="43"/>
  <c r="BO14" i="43"/>
  <c r="BE14" i="43"/>
  <c r="AW14" i="43"/>
  <c r="CO18" i="43"/>
  <c r="AO41" i="43"/>
  <c r="AK18" i="46"/>
  <c r="BC18" i="46"/>
  <c r="AC18" i="46"/>
  <c r="AC23" i="46" s="1"/>
  <c r="AC25" i="46" s="1"/>
  <c r="BA18" i="46"/>
  <c r="AU2" i="46"/>
  <c r="AS1" i="46"/>
  <c r="AS17" i="46" s="1"/>
  <c r="M25" i="46"/>
  <c r="O18" i="46"/>
  <c r="AI18" i="46"/>
  <c r="AI23" i="46" s="1"/>
  <c r="AI25" i="46" s="1"/>
  <c r="AG25" i="46"/>
  <c r="AQ25" i="46"/>
  <c r="BI18" i="46"/>
  <c r="BI23" i="46" s="1"/>
  <c r="BI25" i="46" s="1"/>
  <c r="AA18" i="46"/>
  <c r="AA23" i="46" s="1"/>
  <c r="AA25" i="46" s="1"/>
  <c r="C37" i="46"/>
  <c r="E18" i="46"/>
  <c r="E23" i="46" s="1"/>
  <c r="AM34" i="46"/>
  <c r="AO34" i="46" s="1"/>
  <c r="AQ34" i="46" s="1"/>
  <c r="AS34" i="46" s="1"/>
  <c r="AU34" i="46" s="1"/>
  <c r="AW34" i="46" s="1"/>
  <c r="AY34" i="46" s="1"/>
  <c r="BA34" i="46" s="1"/>
  <c r="AW25" i="46"/>
  <c r="AQ1" i="46"/>
  <c r="AQ17" i="46" s="1"/>
  <c r="M16" i="46"/>
  <c r="CQ35" i="43"/>
  <c r="CO35" i="43" s="1"/>
  <c r="CM35" i="43" s="1"/>
  <c r="CK35" i="43" s="1"/>
  <c r="CI35" i="43" s="1"/>
  <c r="CG35" i="43" s="1"/>
  <c r="CE35" i="43" s="1"/>
  <c r="CC35" i="43" s="1"/>
  <c r="CA35" i="43" s="1"/>
  <c r="BY35" i="43" s="1"/>
  <c r="BW35" i="43" s="1"/>
  <c r="BU35" i="43" s="1"/>
  <c r="BS35" i="43" s="1"/>
  <c r="BQ35" i="43" s="1"/>
  <c r="BO35" i="43" s="1"/>
  <c r="BG35" i="43"/>
  <c r="BE35" i="43" s="1"/>
  <c r="BC35" i="43" s="1"/>
  <c r="BA35" i="43" s="1"/>
  <c r="AY35" i="43" s="1"/>
  <c r="AW35" i="43" s="1"/>
  <c r="AU35" i="43" s="1"/>
  <c r="AS35" i="43" s="1"/>
  <c r="AW2" i="43"/>
  <c r="AY1" i="43"/>
  <c r="AY17" i="43" s="1"/>
  <c r="BA1" i="43"/>
  <c r="BA17" i="43" s="1"/>
  <c r="AW37" i="46" l="1"/>
  <c r="CQ32" i="43"/>
  <c r="CO32" i="43" s="1"/>
  <c r="CM32" i="43" s="1"/>
  <c r="CK32" i="43" s="1"/>
  <c r="CI32" i="43" s="1"/>
  <c r="CG32" i="43" s="1"/>
  <c r="CE32" i="43" s="1"/>
  <c r="CC32" i="43" s="1"/>
  <c r="CA32" i="43" s="1"/>
  <c r="BY32" i="43" s="1"/>
  <c r="BW32" i="43" s="1"/>
  <c r="BU32" i="43" s="1"/>
  <c r="BS32" i="43" s="1"/>
  <c r="BQ32" i="43" s="1"/>
  <c r="BO32" i="43" s="1"/>
  <c r="BM32" i="43" s="1"/>
  <c r="BK32" i="43" s="1"/>
  <c r="BI32" i="43" s="1"/>
  <c r="BG32" i="43" s="1"/>
  <c r="BE32" i="43" s="1"/>
  <c r="BC32" i="43" s="1"/>
  <c r="BA32" i="43" s="1"/>
  <c r="BG27" i="43"/>
  <c r="BE27" i="43" s="1"/>
  <c r="BC27" i="43" s="1"/>
  <c r="BA27" i="43" s="1"/>
  <c r="AY31" i="43" s="1"/>
  <c r="BA23" i="46"/>
  <c r="CO23" i="43"/>
  <c r="BC23" i="46"/>
  <c r="BE18" i="46"/>
  <c r="BE23" i="46" s="1"/>
  <c r="BE34" i="46"/>
  <c r="BG34" i="46" s="1"/>
  <c r="BI34" i="46" s="1"/>
  <c r="BK34" i="46" s="1"/>
  <c r="BC34" i="46"/>
  <c r="BE32" i="46"/>
  <c r="BG32" i="46" s="1"/>
  <c r="BI32" i="46" s="1"/>
  <c r="BK32" i="46" s="1"/>
  <c r="BC32" i="46"/>
  <c r="Q18" i="46"/>
  <c r="Q23" i="46" s="1"/>
  <c r="O23" i="46"/>
  <c r="O25" i="46" s="1"/>
  <c r="AY37" i="46"/>
  <c r="E37" i="46"/>
  <c r="G18" i="46"/>
  <c r="G23" i="46" s="1"/>
  <c r="E27" i="46"/>
  <c r="BK18" i="46"/>
  <c r="BK23" i="46" s="1"/>
  <c r="AS37" i="46"/>
  <c r="AW2" i="46"/>
  <c r="AU1" i="46"/>
  <c r="AU17" i="46" s="1"/>
  <c r="AU37" i="46"/>
  <c r="AO35" i="43"/>
  <c r="AM35" i="43" s="1"/>
  <c r="AK35" i="43" s="1"/>
  <c r="AI35" i="43" s="1"/>
  <c r="AG35" i="43" s="1"/>
  <c r="AE35" i="43" s="1"/>
  <c r="AC35" i="43" s="1"/>
  <c r="AA35" i="43" s="1"/>
  <c r="Y35" i="43" s="1"/>
  <c r="W35" i="43" s="1"/>
  <c r="U35" i="43" s="1"/>
  <c r="S35" i="43" s="1"/>
  <c r="Q35" i="43" s="1"/>
  <c r="O35" i="43" s="1"/>
  <c r="M35" i="43" s="1"/>
  <c r="K35" i="43" s="1"/>
  <c r="I35" i="43" s="1"/>
  <c r="G35" i="43" s="1"/>
  <c r="E35" i="43" s="1"/>
  <c r="C35" i="43" s="1"/>
  <c r="AQ35" i="43"/>
  <c r="AU2" i="43"/>
  <c r="AU1" i="43" s="1"/>
  <c r="AW1" i="43"/>
  <c r="AW17" i="43" s="1"/>
  <c r="B119" i="10"/>
  <c r="B124" i="10"/>
  <c r="B128" i="10"/>
  <c r="B125" i="10"/>
  <c r="B127" i="10"/>
  <c r="B126" i="10"/>
  <c r="L22" i="37"/>
  <c r="B123" i="10"/>
  <c r="B122" i="10"/>
  <c r="B121" i="10"/>
  <c r="B120" i="10"/>
  <c r="B118" i="10"/>
  <c r="CQ39" i="43" l="1"/>
  <c r="BI37" i="46"/>
  <c r="AY32" i="43"/>
  <c r="AW32" i="43" s="1"/>
  <c r="CO14" i="43"/>
  <c r="CO25" i="43" s="1"/>
  <c r="CM18" i="43"/>
  <c r="CM23" i="43" s="1"/>
  <c r="CK18" i="43" s="1"/>
  <c r="CK23" i="43" s="1"/>
  <c r="CO39" i="43"/>
  <c r="CG25" i="43"/>
  <c r="BE37" i="46"/>
  <c r="BE25" i="46"/>
  <c r="BK37" i="46"/>
  <c r="BK25" i="46"/>
  <c r="BC37" i="46"/>
  <c r="BG18" i="46"/>
  <c r="BC25" i="46"/>
  <c r="AY2" i="46"/>
  <c r="AW1" i="46"/>
  <c r="AW17" i="46" s="1"/>
  <c r="G25" i="46"/>
  <c r="I18" i="46"/>
  <c r="I23" i="46" s="1"/>
  <c r="G37" i="46"/>
  <c r="S18" i="46"/>
  <c r="S23" i="46" s="1"/>
  <c r="Q25" i="46"/>
  <c r="BA37" i="46"/>
  <c r="BA25" i="46"/>
  <c r="AS2" i="43"/>
  <c r="AU17" i="43"/>
  <c r="U18" i="46" l="1"/>
  <c r="S25" i="46"/>
  <c r="AU32" i="43"/>
  <c r="AS32" i="43" s="1"/>
  <c r="CI18" i="43"/>
  <c r="CM25" i="43"/>
  <c r="CM39" i="43"/>
  <c r="U23" i="46"/>
  <c r="BA2" i="46"/>
  <c r="AY1" i="46"/>
  <c r="AY17" i="46" s="1"/>
  <c r="K18" i="46"/>
  <c r="K23" i="46" s="1"/>
  <c r="I37" i="46"/>
  <c r="I25" i="46"/>
  <c r="BG23" i="46"/>
  <c r="BC15" i="46"/>
  <c r="BA16" i="46" s="1"/>
  <c r="AQ2" i="43"/>
  <c r="AS1" i="43"/>
  <c r="AS17" i="43" s="1"/>
  <c r="D39" i="38"/>
  <c r="AO32" i="43" l="1"/>
  <c r="AM32" i="43" s="1"/>
  <c r="AK32" i="43" s="1"/>
  <c r="AI32" i="43" s="1"/>
  <c r="AG32" i="43" s="1"/>
  <c r="AQ32" i="43"/>
  <c r="CK14" i="43"/>
  <c r="CK25" i="43" s="1"/>
  <c r="CI23" i="43"/>
  <c r="CK39" i="43"/>
  <c r="BC2" i="46"/>
  <c r="BA1" i="46"/>
  <c r="BA17" i="46" s="1"/>
  <c r="BG37" i="46"/>
  <c r="BG25" i="46"/>
  <c r="K37" i="46"/>
  <c r="K25" i="46"/>
  <c r="W18" i="46"/>
  <c r="U25" i="46"/>
  <c r="W19" i="46" s="1"/>
  <c r="AQ1" i="43"/>
  <c r="AQ17" i="43" s="1"/>
  <c r="AO2" i="43"/>
  <c r="D46" i="38"/>
  <c r="F46" i="38" s="1"/>
  <c r="D13" i="38"/>
  <c r="E13" i="38" s="1"/>
  <c r="D5" i="38"/>
  <c r="F5" i="38" s="1"/>
  <c r="D6" i="38"/>
  <c r="E6" i="38" s="1"/>
  <c r="D7" i="38"/>
  <c r="F7" i="38" s="1"/>
  <c r="D8" i="38"/>
  <c r="F8" i="38" s="1"/>
  <c r="D10" i="38"/>
  <c r="F10" i="38" s="1"/>
  <c r="D11" i="38"/>
  <c r="E11" i="38" s="1"/>
  <c r="D12" i="38"/>
  <c r="F12" i="38" s="1"/>
  <c r="D14" i="38"/>
  <c r="F14" i="38" s="1"/>
  <c r="D15" i="38"/>
  <c r="F15" i="38" s="1"/>
  <c r="D16" i="38"/>
  <c r="F16" i="38" s="1"/>
  <c r="D17" i="38"/>
  <c r="E17" i="38" s="1"/>
  <c r="D18" i="38"/>
  <c r="F18" i="38" s="1"/>
  <c r="D19" i="38"/>
  <c r="F19" i="38" s="1"/>
  <c r="D20" i="38"/>
  <c r="F20" i="38" s="1"/>
  <c r="D21" i="38"/>
  <c r="E21" i="38" s="1"/>
  <c r="D22" i="38"/>
  <c r="F22" i="38" s="1"/>
  <c r="D23" i="38"/>
  <c r="F23" i="38" s="1"/>
  <c r="D24" i="38"/>
  <c r="E24" i="38" s="1"/>
  <c r="D25" i="38"/>
  <c r="E25" i="38" s="1"/>
  <c r="D26" i="38"/>
  <c r="F26" i="38" s="1"/>
  <c r="D27" i="38"/>
  <c r="F27" i="38" s="1"/>
  <c r="D28" i="38"/>
  <c r="E28" i="38" s="1"/>
  <c r="D29" i="38"/>
  <c r="E29" i="38" s="1"/>
  <c r="D30" i="38"/>
  <c r="F30" i="38" s="1"/>
  <c r="D31" i="38"/>
  <c r="F31" i="38" s="1"/>
  <c r="D32" i="38"/>
  <c r="F32" i="38" s="1"/>
  <c r="D33" i="38"/>
  <c r="E33" i="38" s="1"/>
  <c r="D34" i="38"/>
  <c r="F34" i="38" s="1"/>
  <c r="D35" i="38"/>
  <c r="F35" i="38" s="1"/>
  <c r="D36" i="38"/>
  <c r="F36" i="38" s="1"/>
  <c r="D37" i="38"/>
  <c r="E37" i="38" s="1"/>
  <c r="D38" i="38"/>
  <c r="F38" i="38" s="1"/>
  <c r="F39" i="38"/>
  <c r="D40" i="38"/>
  <c r="F40" i="38" s="1"/>
  <c r="D41" i="38"/>
  <c r="E41" i="38" s="1"/>
  <c r="D42" i="38"/>
  <c r="F42" i="38" s="1"/>
  <c r="D43" i="38"/>
  <c r="F43" i="38" s="1"/>
  <c r="D44" i="38"/>
  <c r="F44" i="38" s="1"/>
  <c r="D45" i="38"/>
  <c r="E45" i="38" s="1"/>
  <c r="D47" i="38"/>
  <c r="F47" i="38" s="1"/>
  <c r="D48" i="38"/>
  <c r="F48" i="38" s="1"/>
  <c r="D49" i="38"/>
  <c r="E49" i="38" s="1"/>
  <c r="D50" i="38"/>
  <c r="F50" i="38" s="1"/>
  <c r="D51" i="38"/>
  <c r="F51" i="38" s="1"/>
  <c r="D4" i="38"/>
  <c r="F4" i="38" s="1"/>
  <c r="F6" i="23"/>
  <c r="F5" i="23" s="1"/>
  <c r="L18" i="37"/>
  <c r="E10" i="23"/>
  <c r="E11" i="23"/>
  <c r="C11" i="23" s="1"/>
  <c r="E13" i="23"/>
  <c r="C13" i="23" s="1"/>
  <c r="E14" i="23"/>
  <c r="C14" i="23" s="1"/>
  <c r="B100" i="10"/>
  <c r="B117" i="10"/>
  <c r="B116" i="10"/>
  <c r="B115" i="10"/>
  <c r="B114" i="10"/>
  <c r="AE32" i="43" l="1"/>
  <c r="AC32" i="43" s="1"/>
  <c r="AA32" i="43" s="1"/>
  <c r="Y32" i="43" s="1"/>
  <c r="CI25" i="43"/>
  <c r="CI39" i="43"/>
  <c r="CG39" i="43" s="1"/>
  <c r="CE18" i="43"/>
  <c r="CE23" i="43" s="1"/>
  <c r="W23" i="46"/>
  <c r="BE2" i="46"/>
  <c r="BC1" i="46"/>
  <c r="BC17" i="46" s="1"/>
  <c r="AM2" i="43"/>
  <c r="AO1" i="43"/>
  <c r="AO17" i="43" s="1"/>
  <c r="E6" i="23"/>
  <c r="H6" i="23" s="1"/>
  <c r="C10" i="23"/>
  <c r="E16" i="38"/>
  <c r="F28" i="38"/>
  <c r="E48" i="38"/>
  <c r="F11" i="38"/>
  <c r="E12" i="38"/>
  <c r="F29" i="38"/>
  <c r="E32" i="38"/>
  <c r="F45" i="38"/>
  <c r="E4" i="38"/>
  <c r="F41" i="38"/>
  <c r="E44" i="38"/>
  <c r="F25" i="38"/>
  <c r="F37" i="38"/>
  <c r="E40" i="38"/>
  <c r="F9" i="38"/>
  <c r="F17" i="38"/>
  <c r="E20" i="38"/>
  <c r="F24" i="38"/>
  <c r="F33" i="38"/>
  <c r="E36" i="38"/>
  <c r="F49" i="38"/>
  <c r="F6" i="38"/>
  <c r="F21" i="38"/>
  <c r="E5" i="38"/>
  <c r="F13" i="38"/>
  <c r="E15" i="38"/>
  <c r="E19" i="38"/>
  <c r="E23" i="38"/>
  <c r="E27" i="38"/>
  <c r="E31" i="38"/>
  <c r="E35" i="38"/>
  <c r="E39" i="38"/>
  <c r="E43" i="38"/>
  <c r="E47" i="38"/>
  <c r="E14" i="38"/>
  <c r="E18" i="38"/>
  <c r="E22" i="38"/>
  <c r="E26" i="38"/>
  <c r="E30" i="38"/>
  <c r="E34" i="38"/>
  <c r="E38" i="38"/>
  <c r="E42" i="38"/>
  <c r="E46" i="38"/>
  <c r="E50" i="38"/>
  <c r="E51" i="38"/>
  <c r="E8" i="38"/>
  <c r="E10" i="38"/>
  <c r="E7" i="38"/>
  <c r="B112" i="10"/>
  <c r="B111" i="10"/>
  <c r="B105" i="10"/>
  <c r="B102" i="10"/>
  <c r="B109" i="10"/>
  <c r="B104" i="10"/>
  <c r="B106" i="10"/>
  <c r="B107" i="10"/>
  <c r="B108" i="10"/>
  <c r="B103" i="10"/>
  <c r="B110" i="10"/>
  <c r="B113" i="10"/>
  <c r="B101" i="10"/>
  <c r="W32" i="43" l="1"/>
  <c r="U32" i="43" s="1"/>
  <c r="S32" i="43" s="1"/>
  <c r="Q32" i="43" s="1"/>
  <c r="O32" i="43" s="1"/>
  <c r="M32" i="43" s="1"/>
  <c r="K32" i="43" s="1"/>
  <c r="I32" i="43" s="1"/>
  <c r="G32" i="43" s="1"/>
  <c r="E32" i="43" s="1"/>
  <c r="C32" i="43" s="1"/>
  <c r="CC18" i="43"/>
  <c r="CC23" i="43" s="1"/>
  <c r="CA18" i="43" s="1"/>
  <c r="CE25" i="43"/>
  <c r="CE39" i="43"/>
  <c r="BG2" i="46"/>
  <c r="BE1" i="46"/>
  <c r="BE17" i="46" s="1"/>
  <c r="Y18" i="46"/>
  <c r="Y23" i="46" s="1"/>
  <c r="Y25" i="46" s="1"/>
  <c r="W25" i="46"/>
  <c r="AK2" i="43"/>
  <c r="AM1" i="43"/>
  <c r="AM17" i="43" s="1"/>
  <c r="CC14" i="43" l="1"/>
  <c r="CC25" i="43" s="1"/>
  <c r="CC39" i="43"/>
  <c r="BI2" i="46"/>
  <c r="BG1" i="46"/>
  <c r="BG17" i="46" s="1"/>
  <c r="AI2" i="43"/>
  <c r="AK1" i="43"/>
  <c r="AK17" i="43" s="1"/>
  <c r="L21" i="37"/>
  <c r="L19" i="37"/>
  <c r="L20" i="37"/>
  <c r="AI1" i="43" l="1"/>
  <c r="AI17" i="43" s="1"/>
  <c r="AG2" i="43"/>
  <c r="CA23" i="43"/>
  <c r="CA25" i="43" s="1"/>
  <c r="BK2" i="46"/>
  <c r="BK1" i="46" s="1"/>
  <c r="BK17" i="46" s="1"/>
  <c r="BI1" i="46"/>
  <c r="BI17" i="46" s="1"/>
  <c r="AE2" i="43" l="1"/>
  <c r="AG1" i="43"/>
  <c r="AG17" i="43" s="1"/>
  <c r="BY18" i="43"/>
  <c r="BY23" i="43" s="1"/>
  <c r="BY25" i="43" s="1"/>
  <c r="CA39" i="43"/>
  <c r="B95" i="10"/>
  <c r="B99" i="10"/>
  <c r="B98" i="10"/>
  <c r="B97" i="10"/>
  <c r="B96" i="10"/>
  <c r="B94" i="10"/>
  <c r="B93" i="10"/>
  <c r="AE1" i="43" l="1"/>
  <c r="AE17" i="43" s="1"/>
  <c r="AC2" i="43"/>
  <c r="BY39" i="43"/>
  <c r="BW39" i="43" s="1"/>
  <c r="BU18" i="43"/>
  <c r="BU23" i="43" s="1"/>
  <c r="F6" i="36"/>
  <c r="G6" i="36" s="1"/>
  <c r="D6" i="36"/>
  <c r="I6" i="36" s="1"/>
  <c r="C6" i="36"/>
  <c r="H6" i="36" s="1"/>
  <c r="B89" i="10"/>
  <c r="I13" i="34"/>
  <c r="B92" i="10"/>
  <c r="B91" i="10"/>
  <c r="B87" i="10"/>
  <c r="BS18" i="43" l="1"/>
  <c r="BS23" i="43" s="1"/>
  <c r="BQ18" i="43" s="1"/>
  <c r="AC1" i="43"/>
  <c r="AC17" i="43" s="1"/>
  <c r="AA2" i="43"/>
  <c r="BU39" i="43"/>
  <c r="BU25" i="43"/>
  <c r="J6" i="36"/>
  <c r="J7" i="36" s="1"/>
  <c r="J9" i="36" s="1"/>
  <c r="BS25" i="43" l="1"/>
  <c r="BQ19" i="43" s="1"/>
  <c r="BS39" i="43"/>
  <c r="Y2" i="43"/>
  <c r="AA1" i="43"/>
  <c r="AA17" i="43" s="1"/>
  <c r="K7" i="34"/>
  <c r="B86" i="10"/>
  <c r="B81" i="10"/>
  <c r="B80" i="10"/>
  <c r="B85" i="10"/>
  <c r="B84" i="10"/>
  <c r="B83" i="10"/>
  <c r="B82" i="10"/>
  <c r="B79" i="10"/>
  <c r="B78" i="10"/>
  <c r="B77" i="10"/>
  <c r="B76" i="10"/>
  <c r="BQ23" i="43" l="1"/>
  <c r="BQ39" i="43" s="1"/>
  <c r="Y1" i="43"/>
  <c r="Y17" i="43" s="1"/>
  <c r="W2" i="43"/>
  <c r="G18" i="34"/>
  <c r="I7" i="34"/>
  <c r="I5" i="34"/>
  <c r="BQ14" i="43" l="1"/>
  <c r="BQ25" i="43" s="1"/>
  <c r="BO18" i="43"/>
  <c r="BO23" i="43" s="1"/>
  <c r="BM18" i="43" s="1"/>
  <c r="BM23" i="43" s="1"/>
  <c r="BK18" i="43" s="1"/>
  <c r="W1" i="43"/>
  <c r="W17" i="43" s="1"/>
  <c r="U2" i="43"/>
  <c r="U1" i="43" l="1"/>
  <c r="U17" i="43" s="1"/>
  <c r="S2" i="43"/>
  <c r="BO39" i="43"/>
  <c r="BO25" i="43"/>
  <c r="BM25" i="43"/>
  <c r="BK23" i="43"/>
  <c r="BI18" i="43" s="1"/>
  <c r="BM39" i="43"/>
  <c r="D4" i="34"/>
  <c r="D2" i="34" s="1"/>
  <c r="F2" i="34" s="1"/>
  <c r="S1" i="43" l="1"/>
  <c r="S17" i="43" s="1"/>
  <c r="Q2" i="43"/>
  <c r="BK25" i="43"/>
  <c r="BK39" i="43"/>
  <c r="C15" i="32"/>
  <c r="D13" i="32"/>
  <c r="D18" i="25"/>
  <c r="D17" i="25"/>
  <c r="E6" i="32"/>
  <c r="E7" i="32" s="1"/>
  <c r="B4" i="32"/>
  <c r="B5" i="32" s="1"/>
  <c r="A3" i="32"/>
  <c r="Q1" i="43" l="1"/>
  <c r="Q17" i="43" s="1"/>
  <c r="O2" i="43"/>
  <c r="BE21" i="43"/>
  <c r="AO21" i="46"/>
  <c r="AO23" i="46" s="1"/>
  <c r="AO25" i="46" s="1"/>
  <c r="B75" i="10"/>
  <c r="B74" i="10"/>
  <c r="B73" i="10"/>
  <c r="B72" i="10"/>
  <c r="B71" i="10"/>
  <c r="O1" i="43" l="1"/>
  <c r="O17" i="43" s="1"/>
  <c r="M2" i="43"/>
  <c r="K2" i="43" s="1"/>
  <c r="E2" i="31"/>
  <c r="C9" i="31"/>
  <c r="C10" i="31"/>
  <c r="C7" i="31"/>
  <c r="E27" i="31"/>
  <c r="K1" i="43" l="1"/>
  <c r="K17" i="43" s="1"/>
  <c r="I2" i="43"/>
  <c r="M1" i="43"/>
  <c r="M17" i="43" s="1"/>
  <c r="C13" i="31"/>
  <c r="B90" i="10"/>
  <c r="B70" i="10"/>
  <c r="B69" i="10"/>
  <c r="B68" i="10"/>
  <c r="B67" i="10"/>
  <c r="B88" i="10"/>
  <c r="C1" i="27"/>
  <c r="I1" i="43" l="1"/>
  <c r="I17" i="43" s="1"/>
  <c r="G2" i="43"/>
  <c r="BI20" i="43"/>
  <c r="AK20" i="46"/>
  <c r="AK23" i="46" s="1"/>
  <c r="G6" i="32"/>
  <c r="H6" i="32" s="1"/>
  <c r="B66" i="10"/>
  <c r="B65" i="10"/>
  <c r="B59" i="10"/>
  <c r="B58" i="10"/>
  <c r="B57" i="10"/>
  <c r="B56" i="10"/>
  <c r="B55" i="10"/>
  <c r="B54" i="10"/>
  <c r="B53" i="10"/>
  <c r="B52" i="10"/>
  <c r="B51" i="10"/>
  <c r="G1" i="43" l="1"/>
  <c r="G17" i="43" s="1"/>
  <c r="E2" i="43"/>
  <c r="C2" i="43" s="1"/>
  <c r="C1" i="43" s="1"/>
  <c r="C17" i="43" s="1"/>
  <c r="AM18" i="46"/>
  <c r="AM23" i="46" s="1"/>
  <c r="AK25" i="46"/>
  <c r="BI38" i="43"/>
  <c r="BI23" i="43"/>
  <c r="G11" i="26"/>
  <c r="D9" i="26"/>
  <c r="E1" i="43" l="1"/>
  <c r="E17" i="43" s="1"/>
  <c r="BI39" i="43"/>
  <c r="BI14" i="43"/>
  <c r="BI25" i="43" s="1"/>
  <c r="BG18" i="43"/>
  <c r="BG23" i="43" s="1"/>
  <c r="AM25" i="46"/>
  <c r="AM42" i="46"/>
  <c r="B50" i="10"/>
  <c r="B47" i="10"/>
  <c r="B46" i="10"/>
  <c r="B45" i="10"/>
  <c r="B44" i="10"/>
  <c r="B49" i="10"/>
  <c r="B43" i="10"/>
  <c r="B42" i="10"/>
  <c r="BE18" i="43" l="1"/>
  <c r="BG25" i="43"/>
  <c r="BE19" i="43" s="1"/>
  <c r="BG39" i="43"/>
  <c r="E6" i="25"/>
  <c r="C2" i="25"/>
  <c r="BE23" i="43" l="1"/>
  <c r="C23" i="12"/>
  <c r="F22" i="22"/>
  <c r="F12" i="22"/>
  <c r="G16" i="22"/>
  <c r="F15" i="22"/>
  <c r="F14" i="22"/>
  <c r="F13" i="22"/>
  <c r="F11" i="22"/>
  <c r="F10" i="22"/>
  <c r="F5" i="22"/>
  <c r="BC18" i="43" l="1"/>
  <c r="BC23" i="43" s="1"/>
  <c r="BE25" i="43"/>
  <c r="BE39" i="43"/>
  <c r="F1" i="22"/>
  <c r="E5" i="23"/>
  <c r="M41" i="10"/>
  <c r="B41" i="10"/>
  <c r="B40" i="10"/>
  <c r="B39" i="10"/>
  <c r="B38" i="10"/>
  <c r="B37" i="10"/>
  <c r="B36" i="10"/>
  <c r="B35" i="10"/>
  <c r="B34" i="10"/>
  <c r="B33" i="10"/>
  <c r="B32" i="10"/>
  <c r="M36" i="10"/>
  <c r="BA18" i="43" l="1"/>
  <c r="BC14" i="43"/>
  <c r="BC25" i="43" s="1"/>
  <c r="BC39" i="43"/>
  <c r="H1" i="22"/>
  <c r="I1" i="22" s="1"/>
  <c r="BA23" i="43" l="1"/>
  <c r="BA16" i="43"/>
  <c r="M40" i="10"/>
  <c r="BA39" i="43" l="1"/>
  <c r="AY18" i="43"/>
  <c r="AY23" i="43" s="1"/>
  <c r="BA25" i="43"/>
  <c r="B30" i="10"/>
  <c r="B31" i="10"/>
  <c r="B28" i="10"/>
  <c r="B27" i="10"/>
  <c r="D27" i="10"/>
  <c r="D5" i="10" s="1"/>
  <c r="C9" i="12"/>
  <c r="C1" i="12" s="1"/>
  <c r="AW18" i="43" l="1"/>
  <c r="AW23" i="43" s="1"/>
  <c r="AY39" i="43"/>
  <c r="AY25" i="43"/>
  <c r="D2" i="10"/>
  <c r="D3" i="10"/>
  <c r="AW39" i="43" l="1"/>
  <c r="AU18" i="43"/>
  <c r="AU23" i="43" s="1"/>
  <c r="AW25" i="43"/>
  <c r="D8" i="11"/>
  <c r="E8" i="11" s="1"/>
  <c r="D9" i="11"/>
  <c r="E9" i="11" s="1"/>
  <c r="B24" i="10"/>
  <c r="B25" i="10"/>
  <c r="B26" i="10"/>
  <c r="AU39" i="43" l="1"/>
  <c r="AU25" i="43"/>
  <c r="AS18" i="43"/>
  <c r="AS23" i="43" s="1"/>
  <c r="B23" i="10"/>
  <c r="AS25" i="43" l="1"/>
  <c r="AQ18" i="43"/>
  <c r="AS39" i="43"/>
  <c r="E7" i="11"/>
  <c r="E6" i="11"/>
  <c r="B22" i="10"/>
  <c r="B21" i="10"/>
  <c r="B20" i="10"/>
  <c r="B19" i="10"/>
  <c r="AO18" i="43" l="1"/>
  <c r="AO23" i="43" s="1"/>
  <c r="AQ23" i="43"/>
  <c r="N6" i="13"/>
  <c r="AQ14" i="43" l="1"/>
  <c r="AQ25" i="43" s="1"/>
  <c r="AQ39" i="43"/>
  <c r="AO14" i="43"/>
  <c r="AO25" i="43" s="1"/>
  <c r="AO39" i="43"/>
  <c r="AM18" i="43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K8" i="14"/>
  <c r="G8" i="14"/>
  <c r="K7" i="14"/>
  <c r="G7" i="14"/>
  <c r="K6" i="14"/>
  <c r="G6" i="14"/>
  <c r="G5" i="14"/>
  <c r="K5" i="14" s="1"/>
  <c r="N9" i="13"/>
  <c r="N8" i="13"/>
  <c r="N7" i="13"/>
  <c r="CQ14" i="43" l="1"/>
  <c r="CQ25" i="43" s="1"/>
  <c r="E14" i="46"/>
  <c r="E25" i="46" s="1"/>
  <c r="AM23" i="43"/>
  <c r="AQ15" i="43"/>
  <c r="AS16" i="43" s="1"/>
  <c r="M37" i="10"/>
  <c r="H37" i="14"/>
  <c r="H31" i="14"/>
  <c r="E4" i="11"/>
  <c r="E5" i="11"/>
  <c r="B7" i="10"/>
  <c r="B8" i="10"/>
  <c r="B9" i="10"/>
  <c r="B10" i="10"/>
  <c r="B11" i="10"/>
  <c r="B12" i="10"/>
  <c r="B13" i="10"/>
  <c r="B14" i="10"/>
  <c r="B15" i="10"/>
  <c r="B16" i="10"/>
  <c r="B17" i="10"/>
  <c r="B18" i="10"/>
  <c r="AM39" i="43" l="1"/>
  <c r="AM25" i="43"/>
  <c r="AK18" i="43"/>
  <c r="AK23" i="43" s="1"/>
  <c r="E2" i="11"/>
  <c r="AK14" i="43" l="1"/>
  <c r="AK25" i="43" s="1"/>
  <c r="AK39" i="43"/>
  <c r="AI18" i="43"/>
  <c r="AI23" i="43" s="1"/>
  <c r="F7" i="8"/>
  <c r="F6" i="8"/>
  <c r="F5" i="8"/>
  <c r="F4" i="8"/>
  <c r="D5" i="8"/>
  <c r="D6" i="8"/>
  <c r="D7" i="8"/>
  <c r="D4" i="8"/>
  <c r="D78" i="4"/>
  <c r="H7" i="4" s="1"/>
  <c r="AG18" i="43" l="1"/>
  <c r="AG23" i="43" s="1"/>
  <c r="AG14" i="43" s="1"/>
  <c r="AI14" i="43"/>
  <c r="AI25" i="43" s="1"/>
  <c r="AI39" i="43"/>
  <c r="D9" i="8"/>
  <c r="D47" i="4"/>
  <c r="D46" i="4"/>
  <c r="D37" i="4"/>
  <c r="D45" i="4"/>
  <c r="H5" i="4" s="1"/>
  <c r="D25" i="4"/>
  <c r="D26" i="4"/>
  <c r="D60" i="4"/>
  <c r="D61" i="4"/>
  <c r="D21" i="4" s="1"/>
  <c r="D49" i="4"/>
  <c r="D24" i="4"/>
  <c r="AE18" i="43" l="1"/>
  <c r="AE23" i="43" s="1"/>
  <c r="AG25" i="43"/>
  <c r="AG39" i="43"/>
  <c r="H3" i="4"/>
  <c r="H8" i="4" s="1"/>
  <c r="D32" i="4"/>
  <c r="AC18" i="43" l="1"/>
  <c r="AC23" i="43" s="1"/>
  <c r="AA18" i="43" s="1"/>
  <c r="AA23" i="43" s="1"/>
  <c r="AE25" i="43"/>
  <c r="AE39" i="43"/>
  <c r="D19" i="4"/>
  <c r="D3" i="4"/>
  <c r="D4" i="4"/>
  <c r="Y18" i="43" l="1"/>
  <c r="Y23" i="43" s="1"/>
  <c r="AA14" i="43"/>
  <c r="AA25" i="43" s="1"/>
  <c r="AA39" i="43"/>
  <c r="AC25" i="43"/>
  <c r="AC39" i="43"/>
  <c r="D5" i="4"/>
  <c r="D7" i="4" s="1"/>
  <c r="F15" i="4" s="1"/>
  <c r="W18" i="43" l="1"/>
  <c r="W23" i="43" s="1"/>
  <c r="Y14" i="43"/>
  <c r="Y25" i="43" s="1"/>
  <c r="Y39" i="43"/>
  <c r="U18" i="43" l="1"/>
  <c r="U23" i="43" s="1"/>
  <c r="W25" i="43"/>
  <c r="W39" i="43"/>
  <c r="U39" i="43" l="1"/>
  <c r="U14" i="43"/>
  <c r="U25" i="43" s="1"/>
  <c r="S18" i="43"/>
  <c r="S23" i="43" s="1"/>
  <c r="Q18" i="43" s="1"/>
  <c r="Q23" i="43" s="1"/>
  <c r="O18" i="43" s="1"/>
  <c r="O23" i="43" s="1"/>
  <c r="M18" i="43" s="1"/>
  <c r="M23" i="43" s="1"/>
  <c r="D5" i="50"/>
  <c r="E5" i="50" l="1"/>
  <c r="M14" i="43"/>
  <c r="M25" i="43" s="1"/>
  <c r="K18" i="43"/>
  <c r="K23" i="43" s="1"/>
  <c r="I18" i="43" s="1"/>
  <c r="I23" i="43" s="1"/>
  <c r="G18" i="43" s="1"/>
  <c r="G23" i="43" s="1"/>
  <c r="E18" i="43" s="1"/>
  <c r="E23" i="43" s="1"/>
  <c r="C18" i="43" s="1"/>
  <c r="C23" i="43" s="1"/>
  <c r="S39" i="43"/>
  <c r="O14" i="43"/>
  <c r="O25" i="43" s="1"/>
  <c r="Q39" i="43"/>
  <c r="M39" i="43"/>
  <c r="S14" i="43"/>
  <c r="S25" i="43" s="1"/>
  <c r="O39" i="43"/>
  <c r="Q14" i="43"/>
  <c r="Q25" i="43" s="1"/>
  <c r="D6" i="50"/>
  <c r="E6" i="50" l="1"/>
  <c r="C39" i="43"/>
  <c r="C25" i="43"/>
  <c r="E39" i="43"/>
  <c r="E14" i="43"/>
  <c r="E25" i="43" s="1"/>
  <c r="G39" i="43"/>
  <c r="G14" i="43"/>
  <c r="G25" i="43" s="1"/>
  <c r="I39" i="43"/>
  <c r="I14" i="43"/>
  <c r="I25" i="43" s="1"/>
  <c r="K39" i="43"/>
  <c r="K14" i="43"/>
  <c r="K25" i="43" s="1"/>
  <c r="D7" i="50"/>
  <c r="E7" i="50" l="1"/>
  <c r="D8" i="50"/>
  <c r="E8" i="50" l="1"/>
  <c r="D9" i="50"/>
  <c r="E9" i="50" l="1"/>
  <c r="D10" i="50"/>
  <c r="E10" i="50" l="1"/>
  <c r="D11" i="50"/>
  <c r="E11" i="50" l="1"/>
  <c r="D12" i="50"/>
  <c r="E12" i="50" l="1"/>
  <c r="D13" i="50"/>
  <c r="E13" i="50" l="1"/>
  <c r="D14" i="50"/>
  <c r="E14" i="50" l="1"/>
  <c r="D15" i="50"/>
  <c r="E15" i="50" l="1"/>
  <c r="D16" i="50"/>
  <c r="E16" i="50" l="1"/>
  <c r="D17" i="50"/>
  <c r="E17" i="50" l="1"/>
  <c r="D18" i="50"/>
  <c r="E18" i="50" l="1"/>
  <c r="D19" i="50"/>
  <c r="E19" i="50" l="1"/>
  <c r="D20" i="50"/>
  <c r="E20" i="50" l="1"/>
  <c r="D21" i="50"/>
  <c r="E21" i="50" l="1"/>
  <c r="D22" i="50"/>
  <c r="E22" i="50" l="1"/>
  <c r="D23" i="50"/>
  <c r="E23" i="50" l="1"/>
  <c r="D24" i="50"/>
  <c r="E24" i="50" l="1"/>
  <c r="D25" i="50"/>
  <c r="E25" i="50" l="1"/>
  <c r="D26" i="50"/>
  <c r="E26" i="50" l="1"/>
  <c r="L11" i="37"/>
  <c r="D27" i="50"/>
  <c r="E27" i="50" l="1"/>
</calcChain>
</file>

<file path=xl/comments1.xml><?xml version="1.0" encoding="utf-8"?>
<comments xmlns="http://schemas.openxmlformats.org/spreadsheetml/2006/main">
  <authors>
    <author>ADMIN</author>
    <author>PC</author>
  </authors>
  <commentList>
    <comment ref="F15" authorId="0" shapeId="0">
      <text>
        <r>
          <rPr>
            <b/>
            <sz val="9"/>
            <color indexed="81"/>
            <rFont val="Tahoma"/>
            <family val="2"/>
          </rPr>
          <t>SALDO A FAVOR</t>
        </r>
      </text>
    </comment>
    <comment ref="G15" authorId="0" shapeId="0">
      <text>
        <r>
          <rPr>
            <b/>
            <sz val="9"/>
            <color indexed="10"/>
            <rFont val="Tahoma"/>
            <family val="2"/>
          </rPr>
          <t>VALOR QUE SE TENIA QUE CONSIGNAR</t>
        </r>
      </text>
    </comment>
    <comment ref="D24" authorId="1" shapeId="0">
      <text>
        <r>
          <rPr>
            <b/>
            <sz val="9"/>
            <color indexed="81"/>
            <rFont val="Tahoma"/>
            <family val="2"/>
          </rPr>
          <t>150,000 motor de extractor y olla</t>
        </r>
      </text>
    </comment>
    <comment ref="D25" authorId="0" shapeId="0">
      <text>
        <r>
          <rPr>
            <sz val="9"/>
            <color indexed="81"/>
            <rFont val="Tahoma"/>
            <family val="2"/>
          </rPr>
          <t>Se encimo dinero porque se encontro una nevera más moderna</t>
        </r>
      </text>
    </comment>
    <comment ref="D26" authorId="1" shapeId="0">
      <text>
        <r>
          <rPr>
            <b/>
            <sz val="9"/>
            <color indexed="81"/>
            <rFont val="Tahoma"/>
            <family val="2"/>
          </rPr>
          <t>2 facturas y sillas</t>
        </r>
      </text>
    </comment>
    <comment ref="H26" authorId="0" shapeId="0">
      <text>
        <r>
          <rPr>
            <sz val="9"/>
            <color indexed="81"/>
            <rFont val="Tahoma"/>
            <family val="2"/>
          </rPr>
          <t>Barbacoa marca Kodell (parrilla) con campana, barra de metal, lavaplatos, olla, campana para otra parrilla</t>
        </r>
      </text>
    </comment>
    <comment ref="H40" authorId="0" shapeId="0">
      <text>
        <r>
          <rPr>
            <b/>
            <sz val="9"/>
            <color indexed="81"/>
            <rFont val="Tahoma"/>
            <family val="2"/>
          </rPr>
          <t>EFECTIVO</t>
        </r>
      </text>
    </comment>
    <comment ref="H41" authorId="0" shapeId="0">
      <text>
        <r>
          <rPr>
            <b/>
            <sz val="9"/>
            <color indexed="81"/>
            <rFont val="Tahoma"/>
            <family val="2"/>
          </rPr>
          <t>PARRILLA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2" authorId="0" shapeId="0">
      <text>
        <r>
          <rPr>
            <b/>
            <sz val="9"/>
            <color indexed="81"/>
            <rFont val="Tahoma"/>
            <family val="2"/>
          </rPr>
          <t>NEQUI</t>
        </r>
      </text>
    </comment>
    <comment ref="H43" authorId="0" shapeId="0">
      <text>
        <r>
          <rPr>
            <sz val="9"/>
            <color indexed="81"/>
            <rFont val="Tahoma"/>
            <family val="2"/>
          </rPr>
          <t>Llevar parrilla 2 donde a la casa donde vive papá</t>
        </r>
      </text>
    </comment>
    <comment ref="D45" authorId="1" shapeId="0">
      <text>
        <r>
          <rPr>
            <b/>
            <sz val="9"/>
            <color indexed="81"/>
            <rFont val="Tahoma"/>
            <family val="2"/>
          </rPr>
          <t>robo del muchacho la mitad  50,000</t>
        </r>
      </text>
    </comment>
    <comment ref="I45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nit 39,804,494-8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3 días de producción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E13" authorId="0" shapeId="0">
      <text>
        <r>
          <rPr>
            <b/>
            <sz val="9"/>
            <color indexed="81"/>
            <rFont val="Tahoma"/>
            <family val="2"/>
          </rPr>
          <t>385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PC</author>
  </authors>
  <commentList>
    <comment ref="W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Monserrate</t>
        </r>
      </text>
    </comment>
    <comment ref="CK14" authorId="0" shapeId="0">
      <text>
        <r>
          <rPr>
            <b/>
            <sz val="9"/>
            <color indexed="81"/>
            <rFont val="Tahoma"/>
            <family val="2"/>
          </rPr>
          <t>=115000+105200</t>
        </r>
      </text>
    </comment>
    <comment ref="CQ14" authorId="0" shapeId="0">
      <text>
        <r>
          <rPr>
            <sz val="9"/>
            <color indexed="81"/>
            <rFont val="Tahoma"/>
            <family val="2"/>
          </rPr>
          <t>Arqueo: 8:05 pm
8:49 pm última transacción del día</t>
        </r>
      </text>
    </comment>
    <comment ref="AE19" authorId="0" shapeId="0">
      <text>
        <r>
          <rPr>
            <sz val="9"/>
            <color indexed="81"/>
            <rFont val="Tahoma"/>
            <family val="2"/>
          </rPr>
          <t>AJUSTE CONTABLE</t>
        </r>
      </text>
    </comment>
    <comment ref="AM1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Propina para la casa</t>
        </r>
      </text>
    </comment>
    <comment ref="BA19" authorId="0" shapeId="0">
      <text>
        <r>
          <rPr>
            <sz val="9"/>
            <color indexed="81"/>
            <rFont val="Tahoma"/>
            <family val="2"/>
          </rPr>
          <t>AJUSTE CONTABLE</t>
        </r>
      </text>
    </comment>
    <comment ref="BE19" authorId="0" shapeId="0">
      <text>
        <r>
          <rPr>
            <sz val="9"/>
            <color indexed="81"/>
            <rFont val="Tahoma"/>
            <family val="2"/>
          </rPr>
          <t>AJUSTE CONTABLE</t>
        </r>
      </text>
    </comment>
    <comment ref="BQ19" authorId="0" shapeId="0">
      <text>
        <r>
          <rPr>
            <sz val="9"/>
            <color indexed="81"/>
            <rFont val="Tahoma"/>
            <family val="2"/>
          </rPr>
          <t>AJUSTE CONTABLE</t>
        </r>
      </text>
    </comment>
    <comment ref="CK19" authorId="0" shapeId="0">
      <text>
        <r>
          <rPr>
            <sz val="9"/>
            <color indexed="81"/>
            <rFont val="Tahoma"/>
            <family val="2"/>
          </rPr>
          <t>AJUSTE CONTABLE</t>
        </r>
      </text>
    </comment>
    <comment ref="CM19" authorId="0" shapeId="0">
      <text>
        <r>
          <rPr>
            <sz val="9"/>
            <color indexed="81"/>
            <rFont val="Tahoma"/>
            <family val="2"/>
          </rPr>
          <t>AJUSTE CONTABLE</t>
        </r>
      </text>
    </comment>
    <comment ref="CQ19" authorId="0" shapeId="0">
      <text>
        <r>
          <rPr>
            <sz val="9"/>
            <color indexed="81"/>
            <rFont val="Tahoma"/>
            <family val="2"/>
          </rPr>
          <t>AJUSTE CONTABLE</t>
        </r>
      </text>
    </comment>
    <comment ref="AG21" authorId="1" shapeId="0">
      <text>
        <r>
          <rPr>
            <b/>
            <sz val="9"/>
            <color indexed="81"/>
            <rFont val="Tahoma"/>
            <family val="2"/>
          </rPr>
          <t>nomina</t>
        </r>
      </text>
    </comment>
    <comment ref="AI21" authorId="1" shapeId="0">
      <text>
        <r>
          <rPr>
            <b/>
            <sz val="9"/>
            <color indexed="81"/>
            <rFont val="Tahoma"/>
            <family val="2"/>
          </rPr>
          <t>nomina</t>
        </r>
      </text>
    </comment>
    <comment ref="AM21" authorId="1" shapeId="0">
      <text>
        <r>
          <rPr>
            <b/>
            <sz val="9"/>
            <color indexed="81"/>
            <rFont val="Tahoma"/>
            <family val="2"/>
          </rPr>
          <t>nomina</t>
        </r>
      </text>
    </comment>
    <comment ref="AS2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Nomina
Transportes</t>
        </r>
      </text>
    </comment>
    <comment ref="AU2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mojarra
aguacate</t>
        </r>
      </text>
    </comment>
    <comment ref="BG21" authorId="1" shapeId="0">
      <text>
        <r>
          <rPr>
            <b/>
            <sz val="9"/>
            <color indexed="81"/>
            <rFont val="Tahoma"/>
            <family val="2"/>
          </rPr>
          <t xml:space="preserve">Gastos_
- </t>
        </r>
        <r>
          <rPr>
            <sz val="9"/>
            <color indexed="81"/>
            <rFont val="Tahoma"/>
            <family val="2"/>
          </rPr>
          <t>aguacate
- cubirtos 120 o 130
-  Transportes
- Aparato para TV</t>
        </r>
      </text>
    </comment>
    <comment ref="BM21" authorId="1" shapeId="0">
      <text>
        <r>
          <rPr>
            <b/>
            <sz val="9"/>
            <color indexed="81"/>
            <rFont val="Tahoma"/>
            <family val="2"/>
          </rPr>
          <t>Gastos:</t>
        </r>
        <r>
          <rPr>
            <sz val="9"/>
            <color indexed="81"/>
            <rFont val="Tahoma"/>
            <family val="2"/>
          </rPr>
          <t xml:space="preserve">
- papa
-faltante daviplata</t>
        </r>
      </text>
    </comment>
    <comment ref="BS21" authorId="0" shapeId="0">
      <text>
        <r>
          <rPr>
            <b/>
            <sz val="9"/>
            <color indexed="81"/>
            <rFont val="Tahoma"/>
            <family val="2"/>
          </rPr>
          <t>Gastos</t>
        </r>
        <r>
          <rPr>
            <sz val="9"/>
            <color indexed="81"/>
            <rFont val="Tahoma"/>
            <family val="2"/>
          </rPr>
          <t xml:space="preserve">
- papel higienico + limones + papel toalla
- Transporte Edwin
- Transporte José Gustavo</t>
        </r>
      </text>
    </comment>
    <comment ref="CC21" authorId="0" shapeId="0">
      <text>
        <r>
          <rPr>
            <b/>
            <sz val="9"/>
            <color indexed="81"/>
            <rFont val="Tahoma"/>
            <family val="2"/>
          </rPr>
          <t xml:space="preserve">Gastos
</t>
        </r>
        <r>
          <rPr>
            <sz val="9"/>
            <color indexed="81"/>
            <rFont val="Tahoma"/>
            <family val="2"/>
          </rPr>
          <t>- mercado
-  bolsas, cafè, panela</t>
        </r>
      </text>
    </comment>
    <comment ref="CK21" authorId="0" shapeId="0">
      <text>
        <r>
          <rPr>
            <b/>
            <sz val="9"/>
            <color indexed="81"/>
            <rFont val="Tahoma"/>
            <family val="2"/>
          </rPr>
          <t xml:space="preserve">Gastos
</t>
        </r>
        <r>
          <rPr>
            <sz val="9"/>
            <color indexed="81"/>
            <rFont val="Tahoma"/>
            <family val="2"/>
          </rPr>
          <t>- 10.000 gastos varios
- nomina 
- transporte
-  Vidrio 120
- Prestamo
- transporte - 24 de febrero
- descuadre autorizado por administrador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M21" authorId="0" shapeId="0">
      <text>
        <r>
          <rPr>
            <b/>
            <sz val="9"/>
            <color indexed="81"/>
            <rFont val="Tahoma"/>
            <family val="2"/>
          </rPr>
          <t>Gastos:</t>
        </r>
        <r>
          <rPr>
            <sz val="9"/>
            <color indexed="81"/>
            <rFont val="Tahoma"/>
            <family val="2"/>
          </rPr>
          <t xml:space="preserve">
- nomina
- transporte
</t>
        </r>
      </text>
    </comment>
    <comment ref="CO21" authorId="0" shapeId="0">
      <text>
        <r>
          <rPr>
            <b/>
            <sz val="9"/>
            <color indexed="81"/>
            <rFont val="Tahoma"/>
            <family val="2"/>
          </rPr>
          <t>Gastos</t>
        </r>
        <r>
          <rPr>
            <sz val="9"/>
            <color indexed="81"/>
            <rFont val="Tahoma"/>
            <family val="2"/>
          </rPr>
          <t xml:space="preserve">
- nomina,
- mercado
- Uniforme
- Transportes</t>
        </r>
      </text>
    </comment>
    <comment ref="CQ21" authorId="0" shapeId="0">
      <text>
        <r>
          <rPr>
            <sz val="9"/>
            <color indexed="81"/>
            <rFont val="Tahoma"/>
            <family val="2"/>
          </rPr>
          <t>Vidrio para caja
saldo pequeño de 3000</t>
        </r>
      </text>
    </comment>
    <comment ref="CS21" authorId="0" shapeId="0">
      <text>
        <r>
          <rPr>
            <b/>
            <sz val="9"/>
            <color indexed="81"/>
            <rFont val="Tahoma"/>
            <family val="2"/>
          </rPr>
          <t>nomina mayerli</t>
        </r>
      </text>
    </comment>
    <comment ref="BA22" authorId="0" shapeId="0">
      <text>
        <r>
          <rPr>
            <b/>
            <sz val="9"/>
            <color indexed="81"/>
            <rFont val="Tahoma"/>
            <family val="2"/>
          </rPr>
          <t>Ajuste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2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Pago saldo Pendiente
Reposición de prestamos a JG</t>
        </r>
      </text>
    </comment>
    <comment ref="BS22" authorId="0" shapeId="0">
      <text>
        <r>
          <rPr>
            <b/>
            <sz val="9"/>
            <color indexed="81"/>
            <rFont val="Tahoma"/>
            <family val="2"/>
          </rPr>
          <t xml:space="preserve">Retiros:
 </t>
        </r>
        <r>
          <rPr>
            <sz val="9"/>
            <color indexed="81"/>
            <rFont val="Tahoma"/>
            <family val="2"/>
          </rPr>
          <t>- Pago Prestamo JG</t>
        </r>
      </text>
    </comment>
    <comment ref="CA2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Pago saldo Pendiente
Reposición de prestamos a JG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JG</t>
        </r>
      </text>
    </comment>
    <comment ref="CK2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Prestamo</t>
        </r>
      </text>
    </comment>
    <comment ref="BE27" authorId="1" shapeId="0">
      <text>
        <r>
          <rPr>
            <b/>
            <sz val="9"/>
            <color indexed="81"/>
            <rFont val="Tahoma"/>
            <family val="2"/>
          </rPr>
          <t>Saldo:</t>
        </r>
        <r>
          <rPr>
            <sz val="9"/>
            <color indexed="81"/>
            <rFont val="Tahoma"/>
            <family val="2"/>
          </rPr>
          <t xml:space="preserve">
Transportes</t>
        </r>
      </text>
    </comment>
    <comment ref="BO27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presta vueltas</t>
        </r>
      </text>
    </comment>
    <comment ref="BK28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Reposición de prestamos</t>
        </r>
      </text>
    </comment>
    <comment ref="CA28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Pago prestamo por reposición de gastos de MP</t>
        </r>
      </text>
    </comment>
    <comment ref="AM30" authorId="1" shapeId="0">
      <text>
        <r>
          <rPr>
            <sz val="9"/>
            <color indexed="81"/>
            <rFont val="Tahoma"/>
            <family val="2"/>
          </rPr>
          <t>127.000 
arqueo</t>
        </r>
      </text>
    </comment>
    <comment ref="AY30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presta 4 chorizos
al de publicidad</t>
        </r>
      </text>
    </comment>
    <comment ref="BA30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fía al de públicidad
EA  presta </t>
        </r>
      </text>
    </comment>
    <comment ref="BG30" authorId="0" shapeId="0">
      <text>
        <r>
          <rPr>
            <b/>
            <sz val="9"/>
            <color indexed="81"/>
            <rFont val="Tahoma"/>
            <family val="2"/>
          </rPr>
          <t>Menos descuento de hamburguesa</t>
        </r>
      </text>
    </comment>
    <comment ref="W3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Nomina José Gustavo
Torres</t>
        </r>
      </text>
    </comment>
    <comment ref="AC31" authorId="1" shapeId="0">
      <text>
        <r>
          <rPr>
            <b/>
            <sz val="9"/>
            <color indexed="81"/>
            <rFont val="Tahoma"/>
            <family val="2"/>
          </rPr>
          <t xml:space="preserve">Admín:
</t>
        </r>
        <r>
          <rPr>
            <sz val="9"/>
            <color indexed="81"/>
            <rFont val="Tahoma"/>
            <family val="2"/>
          </rPr>
          <t>- Casino
- Servicios
- Materias primas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cerveza y aguacate</t>
        </r>
      </text>
    </comment>
    <comment ref="BA3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(40000+20000)
NO SE DECONTO</t>
        </r>
      </text>
    </comment>
    <comment ref="BO31" authorId="0" shapeId="0">
      <text>
        <r>
          <rPr>
            <b/>
            <sz val="9"/>
            <color indexed="81"/>
            <rFont val="Tahoma"/>
            <family val="2"/>
          </rPr>
          <t xml:space="preserve">Consignación
 </t>
        </r>
        <r>
          <rPr>
            <sz val="9"/>
            <color indexed="81"/>
            <rFont val="Tahoma"/>
            <family val="2"/>
          </rPr>
          <t>Daviplata
de 90,000
-  pago de la gaseosa</t>
        </r>
      </text>
    </comment>
    <comment ref="CI3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Devolución prestamo de Nequi</t>
        </r>
      </text>
    </comment>
    <comment ref="AW32" authorId="0" shapeId="0">
      <text>
        <r>
          <rPr>
            <b/>
            <sz val="9"/>
            <color indexed="81"/>
            <rFont val="Tahoma"/>
            <family val="2"/>
          </rPr>
          <t>Transferencia:</t>
        </r>
        <r>
          <rPr>
            <sz val="9"/>
            <color indexed="81"/>
            <rFont val="Tahoma"/>
            <family val="2"/>
          </rPr>
          <t xml:space="preserve">
- Transferencia
- Transportes</t>
        </r>
      </text>
    </comment>
    <comment ref="AY32" authorId="0" shapeId="0">
      <text>
        <r>
          <rPr>
            <b/>
            <sz val="9"/>
            <color indexed="81"/>
            <rFont val="Tahoma"/>
            <family val="2"/>
          </rPr>
          <t>Transferencia:</t>
        </r>
        <r>
          <rPr>
            <sz val="9"/>
            <color indexed="81"/>
            <rFont val="Tahoma"/>
            <family val="2"/>
          </rPr>
          <t xml:space="preserve">
- Transferencia
- Transportes</t>
        </r>
      </text>
    </comment>
    <comment ref="BC3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7 chorizos 
56.000</t>
        </r>
      </text>
    </comment>
    <comment ref="BQ3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Transferencia papa</t>
        </r>
      </text>
    </comment>
    <comment ref="BS3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Transferencia papa</t>
        </r>
      </text>
    </comment>
    <comment ref="CC35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Transferencia a Nequi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14 DE ABRIL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14 DE ABRIL</t>
        </r>
      </text>
    </comment>
    <comment ref="AU41" authorId="0" shapeId="0">
      <text>
        <r>
          <rPr>
            <b/>
            <sz val="9"/>
            <color indexed="81"/>
            <rFont val="Tahoma"/>
            <family val="2"/>
          </rPr>
          <t>SIRV</t>
        </r>
      </text>
    </comment>
  </commentList>
</comments>
</file>

<file path=xl/comments5.xml><?xml version="1.0" encoding="utf-8"?>
<comments xmlns="http://schemas.openxmlformats.org/spreadsheetml/2006/main">
  <authors>
    <author>PC</author>
    <author>ADMIN</author>
  </authors>
  <commentList>
    <comment ref="H88" authorId="0" shapeId="0">
      <text>
        <r>
          <rPr>
            <b/>
            <sz val="9"/>
            <color indexed="81"/>
            <rFont val="Tahoma"/>
            <family val="2"/>
          </rPr>
          <t>Publicidad -pendiente</t>
        </r>
      </text>
    </comment>
    <comment ref="H89" authorId="0" shapeId="0">
      <text>
        <r>
          <rPr>
            <b/>
            <sz val="9"/>
            <color indexed="81"/>
            <rFont val="Tahoma"/>
            <family val="2"/>
          </rPr>
          <t>Publicidad -pendiente</t>
        </r>
      </text>
    </comment>
    <comment ref="H90" authorId="0" shapeId="0">
      <text>
        <r>
          <rPr>
            <b/>
            <sz val="9"/>
            <color indexed="81"/>
            <rFont val="Tahoma"/>
            <family val="2"/>
          </rPr>
          <t>Publicidad -pendiente</t>
        </r>
      </text>
    </comment>
    <comment ref="H93" authorId="0" shapeId="0">
      <text>
        <r>
          <rPr>
            <b/>
            <sz val="9"/>
            <color indexed="81"/>
            <rFont val="Tahoma"/>
            <family val="2"/>
          </rPr>
          <t>Publicidad -pendiente</t>
        </r>
      </text>
    </comment>
    <comment ref="D137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 se cobro la gaseosa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chorizos + chorizos bolsa blanca</t>
        </r>
      </text>
    </comment>
  </commentList>
</comments>
</file>

<file path=xl/comments7.xml><?xml version="1.0" encoding="utf-8"?>
<comments xmlns="http://schemas.openxmlformats.org/spreadsheetml/2006/main">
  <authors>
    <author>ADMIN</author>
  </authors>
  <commentList>
    <comment ref="J6" authorId="0" shapeId="0">
      <text>
        <r>
          <rPr>
            <b/>
            <sz val="9"/>
            <color indexed="81"/>
            <rFont val="Tahoma"/>
            <family val="2"/>
          </rPr>
          <t>610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>50 Kilos
50,000 gramos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3 papa por venta de chorizo/plata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3 papa por venta de chorizo/plata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</rPr>
          <t>3 papa por venta de chorizo/plata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Son 24 cervezas individuales</t>
        </r>
      </text>
    </comment>
  </commentList>
</comments>
</file>

<file path=xl/comments8.xml><?xml version="1.0" encoding="utf-8"?>
<comments xmlns="http://schemas.openxmlformats.org/spreadsheetml/2006/main">
  <authors>
    <author>ADMIN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1,2000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</rPr>
          <t>1,100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PC</author>
  </authors>
  <commentList>
    <comment ref="I86" authorId="0" shapeId="0">
      <text>
        <r>
          <rPr>
            <b/>
            <sz val="9"/>
            <color indexed="81"/>
            <rFont val="Tahoma"/>
            <family val="2"/>
          </rPr>
          <t>Publicidad -pendiente</t>
        </r>
      </text>
    </comment>
    <comment ref="I87" authorId="0" shapeId="0">
      <text>
        <r>
          <rPr>
            <b/>
            <sz val="9"/>
            <color indexed="81"/>
            <rFont val="Tahoma"/>
            <family val="2"/>
          </rPr>
          <t>Publicidad -pendiente</t>
        </r>
      </text>
    </comment>
    <comment ref="I88" authorId="0" shapeId="0">
      <text>
        <r>
          <rPr>
            <b/>
            <sz val="9"/>
            <color indexed="81"/>
            <rFont val="Tahoma"/>
            <family val="2"/>
          </rPr>
          <t>Publicidad -pendiente</t>
        </r>
      </text>
    </comment>
    <comment ref="I91" authorId="0" shapeId="0">
      <text>
        <r>
          <rPr>
            <b/>
            <sz val="9"/>
            <color indexed="81"/>
            <rFont val="Tahoma"/>
            <family val="2"/>
          </rPr>
          <t>Publicidad -pendiente</t>
        </r>
      </text>
    </comment>
  </commentList>
</comments>
</file>

<file path=xl/comments10.xml><?xml version="1.0" encoding="utf-8"?>
<comments xmlns="http://schemas.openxmlformats.org/spreadsheetml/2006/main">
  <authors>
    <author>ADMIN</author>
    <author>PC</author>
  </authors>
  <commentList>
    <comment ref="E14" authorId="0" shapeId="0">
      <text>
        <r>
          <rPr>
            <sz val="9"/>
            <color indexed="81"/>
            <rFont val="Tahoma"/>
            <family val="2"/>
          </rPr>
          <t>Arqueo: 8:05 pm
8:49 pm última transacción del día</t>
        </r>
      </text>
    </comment>
    <comment ref="I19" authorId="0" shapeId="0">
      <text>
        <r>
          <rPr>
            <sz val="9"/>
            <color indexed="81"/>
            <rFont val="Tahoma"/>
            <family val="2"/>
          </rPr>
          <t>AJUSTE CONTABLE</t>
        </r>
      </text>
    </comment>
    <comment ref="S19" authorId="1" shapeId="0">
      <text>
        <r>
          <rPr>
            <b/>
            <sz val="9"/>
            <color indexed="81"/>
            <rFont val="Tahoma"/>
            <family val="2"/>
          </rPr>
          <t>Estaban debajo de las  monedas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nomina mayerli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Vidrio para caja
saldo pequeño de 3000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Gastos</t>
        </r>
        <r>
          <rPr>
            <sz val="9"/>
            <color indexed="81"/>
            <rFont val="Tahoma"/>
            <family val="2"/>
          </rPr>
          <t xml:space="preserve">
- nomina,
- mercado
- Uniforme
- Transportes</t>
        </r>
      </text>
    </comment>
    <comment ref="I21" authorId="0" shapeId="0">
      <text>
        <r>
          <rPr>
            <b/>
            <sz val="9"/>
            <color indexed="81"/>
            <rFont val="Tahoma"/>
            <family val="2"/>
          </rPr>
          <t>Gastos:</t>
        </r>
        <r>
          <rPr>
            <sz val="9"/>
            <color indexed="81"/>
            <rFont val="Tahoma"/>
            <family val="2"/>
          </rPr>
          <t xml:space="preserve">
- nomina
- transporte
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Gastos
</t>
        </r>
        <r>
          <rPr>
            <sz val="9"/>
            <color indexed="81"/>
            <rFont val="Tahoma"/>
            <family val="2"/>
          </rPr>
          <t>- 10.000 gastos varios
- nomina 
- transporte
-  Vidrio 120
- Prestamo
- transporte - 24 de febrero
- descuadre autorizado por administrador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1" authorId="0" shapeId="0">
      <text>
        <r>
          <rPr>
            <b/>
            <sz val="9"/>
            <color indexed="81"/>
            <rFont val="Tahoma"/>
            <family val="2"/>
          </rPr>
          <t xml:space="preserve">Gastos
</t>
        </r>
        <r>
          <rPr>
            <sz val="9"/>
            <color indexed="81"/>
            <rFont val="Tahoma"/>
            <family val="2"/>
          </rPr>
          <t>- mercado
-  bolsas, cafè, panela</t>
        </r>
      </text>
    </comment>
    <comment ref="AA21" authorId="0" shapeId="0">
      <text>
        <r>
          <rPr>
            <b/>
            <sz val="9"/>
            <color indexed="81"/>
            <rFont val="Tahoma"/>
            <family val="2"/>
          </rPr>
          <t>Gastos</t>
        </r>
        <r>
          <rPr>
            <sz val="9"/>
            <color indexed="81"/>
            <rFont val="Tahoma"/>
            <family val="2"/>
          </rPr>
          <t xml:space="preserve">
- papel higienico + limones + papel toalla
- Transporte Edwin
- Transporte José Gustavo</t>
        </r>
      </text>
    </comment>
    <comment ref="AG21" authorId="1" shapeId="0">
      <text>
        <r>
          <rPr>
            <b/>
            <sz val="9"/>
            <color indexed="81"/>
            <rFont val="Tahoma"/>
            <family val="2"/>
          </rPr>
          <t>Gastos:</t>
        </r>
        <r>
          <rPr>
            <sz val="9"/>
            <color indexed="81"/>
            <rFont val="Tahoma"/>
            <family val="2"/>
          </rPr>
          <t xml:space="preserve">
- papa
-faltante daviplata</t>
        </r>
      </text>
    </comment>
    <comment ref="AM21" authorId="1" shapeId="0">
      <text>
        <r>
          <rPr>
            <b/>
            <sz val="9"/>
            <color indexed="81"/>
            <rFont val="Tahoma"/>
            <family val="2"/>
          </rPr>
          <t xml:space="preserve">Gastos_
- </t>
        </r>
        <r>
          <rPr>
            <sz val="9"/>
            <color indexed="81"/>
            <rFont val="Tahoma"/>
            <family val="2"/>
          </rPr>
          <t>aguacate
- cubirtos 120 o 130
-  Transportes
- Aparato para TV</t>
        </r>
      </text>
    </comment>
    <comment ref="AY2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mojarra
aguacate</t>
        </r>
      </text>
    </comment>
    <comment ref="BA2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Nomina
Transportes</t>
        </r>
      </text>
    </comment>
    <comment ref="BG21" authorId="1" shapeId="0">
      <text>
        <r>
          <rPr>
            <b/>
            <sz val="9"/>
            <color indexed="81"/>
            <rFont val="Tahoma"/>
            <family val="2"/>
          </rPr>
          <t>nomina</t>
        </r>
      </text>
    </comment>
    <comment ref="BK21" authorId="1" shapeId="0">
      <text>
        <r>
          <rPr>
            <b/>
            <sz val="9"/>
            <color indexed="81"/>
            <rFont val="Tahoma"/>
            <family val="2"/>
          </rPr>
          <t>nomina</t>
        </r>
      </text>
    </comment>
    <comment ref="AA22" authorId="0" shapeId="0">
      <text>
        <r>
          <rPr>
            <b/>
            <sz val="9"/>
            <color indexed="81"/>
            <rFont val="Tahoma"/>
            <family val="2"/>
          </rPr>
          <t xml:space="preserve">Retiros:
 </t>
        </r>
        <r>
          <rPr>
            <sz val="9"/>
            <color indexed="81"/>
            <rFont val="Tahoma"/>
            <family val="2"/>
          </rPr>
          <t>- Pago Prestamo JG</t>
        </r>
      </text>
    </comment>
    <comment ref="AS22" authorId="0" shapeId="0">
      <text>
        <r>
          <rPr>
            <b/>
            <sz val="9"/>
            <color indexed="81"/>
            <rFont val="Tahoma"/>
            <family val="2"/>
          </rPr>
          <t>Ajuste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7" authorId="1" shapeId="0">
      <text>
        <r>
          <rPr>
            <b/>
            <sz val="9"/>
            <color indexed="81"/>
            <rFont val="Tahoma"/>
            <family val="2"/>
          </rPr>
          <t>Saldo:</t>
        </r>
        <r>
          <rPr>
            <sz val="9"/>
            <color indexed="81"/>
            <rFont val="Tahoma"/>
            <family val="2"/>
          </rPr>
          <t xml:space="preserve">
Transportes</t>
        </r>
      </text>
    </comment>
    <comment ref="AE30" authorId="0" shapeId="0">
      <text>
        <r>
          <rPr>
            <b/>
            <sz val="9"/>
            <color indexed="81"/>
            <rFont val="Tahoma"/>
            <family val="2"/>
          </rPr>
          <t>Consignación Daviplata
de 90,000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0" authorId="0" shapeId="0">
      <text>
        <r>
          <rPr>
            <b/>
            <sz val="9"/>
            <color indexed="81"/>
            <rFont val="Tahoma"/>
            <family val="2"/>
          </rPr>
          <t>Menos descuento de hamburguesa</t>
        </r>
      </text>
    </comment>
    <comment ref="BG30" authorId="1" shapeId="0">
      <text>
        <r>
          <rPr>
            <sz val="9"/>
            <color indexed="81"/>
            <rFont val="Tahoma"/>
            <family val="2"/>
          </rPr>
          <t>127.000 
arqueo</t>
        </r>
      </text>
    </comment>
    <comment ref="AU3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presta 4 chorizos
al de publicidad</t>
        </r>
      </text>
    </comment>
    <comment ref="BI3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cerveza y aguacate</t>
        </r>
      </text>
    </comment>
    <comment ref="AE32" authorId="0" shapeId="0">
      <text>
        <r>
          <rPr>
            <b/>
            <sz val="9"/>
            <color indexed="81"/>
            <rFont val="Tahoma"/>
            <family val="2"/>
          </rPr>
          <t>Consignación Daviplata
de 90,000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32" authorId="0" shapeId="0">
      <text>
        <r>
          <rPr>
            <b/>
            <sz val="9"/>
            <color indexed="81"/>
            <rFont val="Tahoma"/>
            <family val="2"/>
          </rPr>
          <t>Transferencia:</t>
        </r>
        <r>
          <rPr>
            <sz val="9"/>
            <color indexed="81"/>
            <rFont val="Tahoma"/>
            <family val="2"/>
          </rPr>
          <t xml:space="preserve">
- Transferencia
- Transportes</t>
        </r>
      </text>
    </comment>
    <comment ref="AW32" authorId="0" shapeId="0">
      <text>
        <r>
          <rPr>
            <b/>
            <sz val="9"/>
            <color indexed="81"/>
            <rFont val="Tahoma"/>
            <family val="2"/>
          </rPr>
          <t>Transferencia:</t>
        </r>
        <r>
          <rPr>
            <sz val="9"/>
            <color indexed="81"/>
            <rFont val="Tahoma"/>
            <family val="2"/>
          </rPr>
          <t xml:space="preserve">
- Transferencia
- Transportes</t>
        </r>
      </text>
    </comment>
    <comment ref="AY40" authorId="0" shapeId="0">
      <text>
        <r>
          <rPr>
            <b/>
            <sz val="9"/>
            <color indexed="81"/>
            <rFont val="Tahoma"/>
            <family val="2"/>
          </rPr>
          <t>SIRV</t>
        </r>
      </text>
    </comment>
  </commentList>
</comments>
</file>

<file path=xl/comments11.xml><?xml version="1.0" encoding="utf-8"?>
<comments xmlns="http://schemas.openxmlformats.org/spreadsheetml/2006/main">
  <authors>
    <author>PC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 xml:space="preserve">Gastos_
- </t>
        </r>
        <r>
          <rPr>
            <sz val="9"/>
            <color indexed="81"/>
            <rFont val="Tahoma"/>
            <family val="2"/>
          </rPr>
          <t>aguacate
- cubirtos 120 o 130
-  Transportes
- Aparato para TV</t>
        </r>
      </text>
    </comment>
  </commentList>
</comments>
</file>

<file path=xl/comments12.xml><?xml version="1.0" encoding="utf-8"?>
<comments xmlns="http://schemas.openxmlformats.org/spreadsheetml/2006/main">
  <authors>
    <author>PC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Rad:</t>
        </r>
        <r>
          <rPr>
            <sz val="9"/>
            <color indexed="81"/>
            <rFont val="Tahoma"/>
            <family val="2"/>
          </rPr>
          <t xml:space="preserve">
5927016</t>
        </r>
      </text>
    </comment>
  </commentList>
</comments>
</file>

<file path=xl/comments13.xml><?xml version="1.0" encoding="utf-8"?>
<comments xmlns="http://schemas.openxmlformats.org/spreadsheetml/2006/main">
  <authors>
    <author>PC</author>
  </authors>
  <commentList>
    <comment ref="D9" authorId="0" shapeId="0">
      <text>
        <r>
          <rPr>
            <b/>
            <sz val="9"/>
            <color indexed="81"/>
            <rFont val="Tahoma"/>
            <family val="2"/>
          </rPr>
          <t>Bug:</t>
        </r>
        <r>
          <rPr>
            <sz val="9"/>
            <color indexed="81"/>
            <rFont val="Tahoma"/>
            <family val="2"/>
          </rPr>
          <t xml:space="preserve">
- El Software no identifica la entrada de nequ i(consignaciones)</t>
        </r>
      </text>
    </comment>
  </commentList>
</comments>
</file>

<file path=xl/comments14.xml><?xml version="1.0" encoding="utf-8"?>
<comments xmlns="http://schemas.openxmlformats.org/spreadsheetml/2006/main">
  <authors>
    <author>PC</author>
  </authors>
  <commentList>
    <comment ref="J1" authorId="0" shapeId="0">
      <text>
        <r>
          <rPr>
            <b/>
            <sz val="9"/>
            <color indexed="81"/>
            <rFont val="Tahoma"/>
            <family val="2"/>
          </rPr>
          <t xml:space="preserve">base 7 de marzo
</t>
        </r>
      </text>
    </comment>
  </commentList>
</comments>
</file>

<file path=xl/connections.xml><?xml version="1.0" encoding="utf-8"?>
<connections xmlns="http://schemas.openxmlformats.org/spreadsheetml/2006/main">
  <connection id="1" keepAlive="1" name="Consulta - AuthToken" description="Conexión a la consulta 'AuthToken' en el libro." type="5" refreshedVersion="0" background="1">
    <dbPr connection="Provider=Microsoft.Mashup.OleDb.1;Data Source=$Workbook$;Location=AuthToken;Extended Properties=&quot;&quot;" command="SELECT * FROM [AuthToken]"/>
  </connection>
  <connection id="2" keepAlive="1" name="Consulta - AuthToken (2)" description="Conexión a la consulta 'AuthToken (2)' en el libro." type="5" refreshedVersion="0" background="1">
    <dbPr connection="Provider=Microsoft.Mashup.OleDb.1;Data Source=$Workbook$;Location=&quot;AuthToken (2)&quot;;Extended Properties=&quot;&quot;" command="SELECT * FROM [AuthToken (2)]"/>
  </connection>
  <connection id="3" keepAlive="1" name="Consulta - AuthToken (3)" description="Conexión a la consulta 'AuthToken (3)' en el libro." type="5" refreshedVersion="0" background="1">
    <dbPr connection="Provider=Microsoft.Mashup.OleDb.1;Data Source=$Workbook$;Location=&quot;AuthToken (3)&quot;;Extended Properties=&quot;&quot;" command="SELECT * FROM [AuthToken (3)]"/>
  </connection>
  <connection id="4" keepAlive="1" name="Consulta - AuthToken (4)" description="Conexión a la consulta 'AuthToken (4)' en el libro." type="5" refreshedVersion="0" background="1">
    <dbPr connection="Provider=Microsoft.Mashup.OleDb.1;Data Source=$Workbook$;Location=&quot;AuthToken (4)&quot;;Extended Properties=&quot;&quot;" command="SELECT * FROM [AuthToken (4)]"/>
  </connection>
  <connection id="5" keepAlive="1" name="Consulta - AuthToken (5)" description="Conexión a la consulta 'AuthToken (5)' en el libro." type="5" refreshedVersion="0" background="1">
    <dbPr connection="Provider=Microsoft.Mashup.OleDb.1;Data Source=$Workbook$;Location=&quot;AuthToken (5)&quot;;Extended Properties=&quot;&quot;" command="SELECT * FROM [AuthToken (5)]"/>
  </connection>
  <connection id="6" keepAlive="1" name="Consulta - AuthToken (6)" description="Conexión a la consulta 'AuthToken (6)' en el libro." type="5" refreshedVersion="0" background="1">
    <dbPr connection="Provider=Microsoft.Mashup.OleDb.1;Data Source=$Workbook$;Location=&quot;AuthToken (6)&quot;;Extended Properties=&quot;&quot;" command="SELECT * FROM [AuthToken (6)]"/>
  </connection>
  <connection id="7" name="Consulta - items" description="Conexión a la consulta 'items' en el libro." type="100" refreshedVersion="8" minRefreshableVersion="5">
    <extLst>
      <ext xmlns:x15="http://schemas.microsoft.com/office/spreadsheetml/2010/11/main" uri="{DE250136-89BD-433C-8126-D09CA5730AF9}">
        <x15:connection id="45f8b6f9-5c99-4568-ba9d-775c1e062c0d">
          <x15:oledbPr connection="Provider=Microsoft.Mashup.OleDb.1;Data Source=$Workbook$;Location=items;Extended Properties=&quot;&quot;">
            <x15:dbTables>
              <x15:dbTable name="items"/>
            </x15:dbTables>
          </x15:oledbPr>
        </x15:connection>
      </ext>
    </extLst>
  </connection>
  <connection id="8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de6d9d51-cdc0-4e78-ba50-7df5e72f7e74">
          <x15:oledbPr connection="Provider=Microsoft.Mashup.OleDb.1;Data Source=$Workbook$;Location=productos;Extended Properties=&quot;&quot;">
            <x15:dbTables>
              <x15:dbTable name="productos"/>
            </x15:dbTables>
          </x15:oledbPr>
        </x15:connection>
      </ext>
    </extLst>
  </connection>
  <connection id="9" name="Consulta - transacciones" description="Conexión a la consulta 'transacciones' en el libro." type="100" refreshedVersion="8" minRefreshableVersion="5">
    <extLst>
      <ext xmlns:x15="http://schemas.microsoft.com/office/spreadsheetml/2010/11/main" uri="{DE250136-89BD-433C-8126-D09CA5730AF9}">
        <x15:connection id="ef4be532-f063-494d-9d6e-1dfc7bbfc3ed">
          <x15:oledbPr connection="Provider=Microsoft.Mashup.OleDb.1;Data Source=$Workbook$;Location=transacciones;Extended Properties=&quot;&quot;">
            <x15:dbTables>
              <x15:dbTable name="transacciones"/>
            </x15:dbTables>
          </x15:oledbPr>
        </x15:connection>
      </ext>
    </extLst>
  </connection>
  <connection id="10" name="Consulta - transacciones (2)" description="Conexión a la consulta 'transacciones (2)' en el libro." type="100" refreshedVersion="8" minRefreshableVersion="5">
    <extLst>
      <ext xmlns:x15="http://schemas.microsoft.com/office/spreadsheetml/2010/11/main" uri="{DE250136-89BD-433C-8126-D09CA5730AF9}">
        <x15:connection id="794e7a30-9525-4efd-987c-25288dbd7a7f">
          <x15:oledbPr connection="Provider=Microsoft.Mashup.OleDb.1;Data Source=$Workbook$;Location=&quot;transacciones (2)&quot;;Extended Properties=&quot;&quot;">
            <x15:dbTables>
              <x15:dbTable name="transacciones (2)"/>
            </x15:dbTables>
          </x15:oledbPr>
        </x15:connection>
      </ext>
    </extLst>
  </connection>
  <connection id="11" keepAlive="1" name="Consulta - url" description="Conexión a la consulta 'url' en el libro." type="5" refreshedVersion="0" background="1">
    <dbPr connection="Provider=Microsoft.Mashup.OleDb.1;Data Source=$Workbook$;Location=url;Extended Properties=&quot;&quot;" command="SELECT * FROM [url]"/>
  </connection>
  <connection id="12" keepAlive="1" name="Consulta - url (2)" description="Conexión a la consulta 'url (2)' en el libro." type="5" refreshedVersion="0" background="1">
    <dbPr connection="Provider=Microsoft.Mashup.OleDb.1;Data Source=$Workbook$;Location=&quot;url (2)&quot;;Extended Properties=&quot;&quot;" command="SELECT * FROM [url (2)]"/>
  </connection>
  <connection id="13" keepAlive="1" name="Consulta - url (3)" description="Conexión a la consulta 'url (3)' en el libro." type="5" refreshedVersion="0" background="1">
    <dbPr connection="Provider=Microsoft.Mashup.OleDb.1;Data Source=$Workbook$;Location=&quot;url (3)&quot;;Extended Properties=&quot;&quot;" command="SELECT * FROM [url (3)]"/>
  </connection>
  <connection id="14" keepAlive="1" name="Consulta - url (4)" description="Conexión a la consulta 'url (4)' en el libro." type="5" refreshedVersion="0" background="1">
    <dbPr connection="Provider=Microsoft.Mashup.OleDb.1;Data Source=$Workbook$;Location=&quot;url (4)&quot;;Extended Properties=&quot;&quot;" command="SELECT * FROM [url (4)]"/>
  </connection>
  <connection id="15" keepAlive="1" name="Consulta - url (5)" description="Conexión a la consulta 'url (5)' en el libro." type="5" refreshedVersion="0" background="1">
    <dbPr connection="Provider=Microsoft.Mashup.OleDb.1;Data Source=$Workbook$;Location=&quot;url (5)&quot;;Extended Properties=&quot;&quot;" command="SELECT * FROM [url (5)]"/>
  </connection>
  <connection id="16" keepAlive="1" name="Consulta - url (6)" description="Conexión a la consulta 'url (6)' en el libro." type="5" refreshedVersion="0" background="1">
    <dbPr connection="Provider=Microsoft.Mashup.OleDb.1;Data Source=$Workbook$;Location=&quot;url (6)&quot;;Extended Properties=&quot;&quot;" command="SELECT * FROM [url (6)]"/>
  </connection>
  <connection id="17" name="Consulta - usuarios" description="Conexión a la consulta 'usuarios' en el libro." type="100" refreshedVersion="8" minRefreshableVersion="5">
    <extLst>
      <ext xmlns:x15="http://schemas.microsoft.com/office/spreadsheetml/2010/11/main" uri="{DE250136-89BD-433C-8126-D09CA5730AF9}">
        <x15:connection id="4d8f795f-e836-467c-bbf6-a3e3a99503f9">
          <x15:oledbPr connection="Provider=Microsoft.Mashup.OleDb.1;Data Source=$Workbook$;Location=usuarios;Extended Properties=&quot;&quot;">
            <x15:dbTables>
              <x15:dbTable name="usuarios"/>
            </x15:dbTables>
          </x15:oledbPr>
        </x15:connection>
      </ext>
    </extLst>
  </connection>
  <connection id="18" name="Consulta - usuarios (2)" description="Conexión a la consulta 'usuarios (2)' en el libro." type="100" refreshedVersion="8" minRefreshableVersion="5">
    <extLst>
      <ext xmlns:x15="http://schemas.microsoft.com/office/spreadsheetml/2010/11/main" uri="{DE250136-89BD-433C-8126-D09CA5730AF9}">
        <x15:connection id="d696fd47-af21-48f0-9169-a9a8711c9f2a">
          <x15:oledbPr connection="Provider=Microsoft.Mashup.OleDb.1;Data Source=$Workbook$;Location=&quot;usuarios (2)&quot;;Extended Properties=&quot;&quot;">
            <x15:dbTables>
              <x15:dbTable name="usuarios (2)"/>
            </x15:dbTables>
          </x15:oledbPr>
        </x15:connection>
      </ext>
    </extLst>
  </connection>
  <connection id="19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ransacciones].[nombre_transaccion].&amp;[VENTA]}"/>
    <s v="{[transacciones].[tipo_cuenta].&amp;[EFECTIVO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<sst xmlns="http://schemas.openxmlformats.org/spreadsheetml/2006/main" count="2299" uniqueCount="794">
  <si>
    <t xml:space="preserve"> </t>
  </si>
  <si>
    <t>Responsable</t>
  </si>
  <si>
    <t>Edwin</t>
  </si>
  <si>
    <t>Consepto</t>
  </si>
  <si>
    <t>Certi. Tradición y libertad</t>
  </si>
  <si>
    <t>fecha</t>
  </si>
  <si>
    <t>valor</t>
  </si>
  <si>
    <t>tipo</t>
  </si>
  <si>
    <t>Gasto</t>
  </si>
  <si>
    <t>Patrimonio</t>
  </si>
  <si>
    <t>José Gustavo</t>
  </si>
  <si>
    <t>Arriendo - 16feb-15mar</t>
  </si>
  <si>
    <t>Varios</t>
  </si>
  <si>
    <t>Curso Invima - INVIMA</t>
  </si>
  <si>
    <t>Mesas y sillas</t>
  </si>
  <si>
    <t>Proveedor</t>
  </si>
  <si>
    <t>Candados</t>
  </si>
  <si>
    <t>Acarreo "Chorizos"</t>
  </si>
  <si>
    <t xml:space="preserve">Fabiola Parra </t>
  </si>
  <si>
    <t>Parrilla para segundo Negocio</t>
  </si>
  <si>
    <t>Comercializadora Las Brumas</t>
  </si>
  <si>
    <t>Libardo Ospina</t>
  </si>
  <si>
    <t>Costo</t>
  </si>
  <si>
    <t>Extractores de la 19</t>
  </si>
  <si>
    <t>La av 19</t>
  </si>
  <si>
    <t>Fontanar</t>
  </si>
  <si>
    <t>Ktronix</t>
  </si>
  <si>
    <t>TV y Parlantes</t>
  </si>
  <si>
    <t>Sistma POS</t>
  </si>
  <si>
    <t>Aviso -choriboni</t>
  </si>
  <si>
    <t>2 canecas + charon</t>
  </si>
  <si>
    <t>Licuadora + colador n acero</t>
  </si>
  <si>
    <t>Etiquetas de fila</t>
  </si>
  <si>
    <t>Total general</t>
  </si>
  <si>
    <t>Suma de valor</t>
  </si>
  <si>
    <t>Equipo</t>
  </si>
  <si>
    <t>Nevera y Vitrina</t>
  </si>
  <si>
    <t>(Todas)</t>
  </si>
  <si>
    <t>Muebles y montajes</t>
  </si>
  <si>
    <t>Parrilla - Chepes</t>
  </si>
  <si>
    <t>Dussan</t>
  </si>
  <si>
    <t>Tabla de Picar</t>
  </si>
  <si>
    <t>Canastas de aseo º Redeban</t>
  </si>
  <si>
    <t>Utencilios</t>
  </si>
  <si>
    <t>Bascula electrónica verde</t>
  </si>
  <si>
    <t>Despostador</t>
  </si>
  <si>
    <t>Dirección</t>
  </si>
  <si>
    <t>Teléfono</t>
  </si>
  <si>
    <t>Cra 10#22 -10 sur - local 3</t>
  </si>
  <si>
    <t>Descripción</t>
  </si>
  <si>
    <t>Sierras de corte, empacadoras al vació-embutidoras, tajadoras, cutters</t>
  </si>
  <si>
    <t>Muebles y Enseres CHEPE</t>
  </si>
  <si>
    <t>Cr10 # 17 -69 sur</t>
  </si>
  <si>
    <t>2398504 -311 212 4856</t>
  </si>
  <si>
    <t>Campana con extractor a mujer bonita</t>
  </si>
  <si>
    <t>Compra y Venta D.C.</t>
  </si>
  <si>
    <t xml:space="preserve">Cr10#18 -41 sur </t>
  </si>
  <si>
    <t>3204482491 -3124504414</t>
  </si>
  <si>
    <t>Compra y Venta El Dorado</t>
  </si>
  <si>
    <t>Cr10 # 22A -52 sur</t>
  </si>
  <si>
    <t>Neveras y vitrinas</t>
  </si>
  <si>
    <t>Canastas , cuchillos , piedra y pinzas</t>
  </si>
  <si>
    <t>Instalación de gas - contador</t>
  </si>
  <si>
    <t>LICICOL</t>
  </si>
  <si>
    <t>CR 27 10 -98</t>
  </si>
  <si>
    <t>id</t>
  </si>
  <si>
    <t>Maquina</t>
  </si>
  <si>
    <t>Cr 10#23-43 sur</t>
  </si>
  <si>
    <t>2 Grameras</t>
  </si>
  <si>
    <t>El Cubo</t>
  </si>
  <si>
    <t>Cr 10 Sur # 18 -90</t>
  </si>
  <si>
    <t>302 722 2323</t>
  </si>
  <si>
    <t>Maquinaria cárnica NUEVA</t>
  </si>
  <si>
    <t>Tablas, licuaduras, menaje para restaurante</t>
  </si>
  <si>
    <t>Maquinaria principal complementarea</t>
  </si>
  <si>
    <t>Maquinaria pesada</t>
  </si>
  <si>
    <t>Maquinaria pesada y complementaria</t>
  </si>
  <si>
    <t>RICAURTE</t>
  </si>
  <si>
    <t>Canastas, cuchillo, pinza, colador y otros</t>
  </si>
  <si>
    <t>Inversión - Local</t>
  </si>
  <si>
    <t>Acarreos</t>
  </si>
  <si>
    <t>FERRETERIA</t>
  </si>
  <si>
    <t>ENTRADA DE INVENTARIO</t>
  </si>
  <si>
    <t>Estudio del contrato del arriendo</t>
  </si>
  <si>
    <t>ASEO</t>
  </si>
  <si>
    <t>Pintura + otros</t>
  </si>
  <si>
    <t>MO</t>
  </si>
  <si>
    <t>Ducto, adecuaciòn campana y otros</t>
  </si>
  <si>
    <t>Don Oscar</t>
  </si>
  <si>
    <t>Espejo e instalación</t>
  </si>
  <si>
    <t>Mantenimiento Pistones</t>
  </si>
  <si>
    <t>Caldero, colador y Bolsas</t>
  </si>
  <si>
    <t>Gasto - Local</t>
  </si>
  <si>
    <t>Inversión - Invima</t>
  </si>
  <si>
    <t>Cámara de Comercio 2026</t>
  </si>
  <si>
    <t>Pintura de reja y plomeria</t>
  </si>
  <si>
    <t>2 dias</t>
  </si>
  <si>
    <t>Suma de valor2</t>
  </si>
  <si>
    <t>Maquinaria y Equipo</t>
  </si>
  <si>
    <t>Simcard</t>
  </si>
  <si>
    <t>Cerdo, costilla</t>
  </si>
  <si>
    <t>Surticentro, aceites, ingredientes.</t>
  </si>
  <si>
    <t>Distrielectrics - Enchufe</t>
  </si>
  <si>
    <t>Platicos, cubiertos, tenedores, plasticos</t>
  </si>
  <si>
    <t>papa 2 bultos de papa</t>
  </si>
  <si>
    <t>estufa</t>
  </si>
  <si>
    <t>meson cuadrado</t>
  </si>
  <si>
    <t>Software</t>
  </si>
  <si>
    <t>Cáma de Vigilencia interna</t>
  </si>
  <si>
    <t>15 paquetes de arepa (10 arepas)</t>
  </si>
  <si>
    <t>Pila del control</t>
  </si>
  <si>
    <t>Trapero</t>
  </si>
  <si>
    <t>Carne de Res para hamburguesa</t>
  </si>
  <si>
    <t>Aluminio, portacomida, palillos</t>
  </si>
  <si>
    <t>Pan de hamburguesa (12 panes)</t>
  </si>
  <si>
    <t>Coca Cola</t>
  </si>
  <si>
    <t>Agua</t>
  </si>
  <si>
    <t>Postobon</t>
  </si>
  <si>
    <t>Embalajes</t>
  </si>
  <si>
    <t>Precio embalaje</t>
  </si>
  <si>
    <t>Hit</t>
  </si>
  <si>
    <t>Total</t>
  </si>
  <si>
    <t>Subtotal</t>
  </si>
  <si>
    <t>Und</t>
  </si>
  <si>
    <t>Cubiertos, jarra, vjilla, jarra</t>
  </si>
  <si>
    <t>Porcinos Chìa DC SAS</t>
  </si>
  <si>
    <t>Cll 15  No. 9 -22 centro</t>
  </si>
  <si>
    <t>Dispositivo Internet</t>
  </si>
  <si>
    <t>Homecenter</t>
  </si>
  <si>
    <t>SalsamentareA</t>
  </si>
  <si>
    <t>valor billete</t>
  </si>
  <si>
    <t>Q</t>
  </si>
  <si>
    <t>Venta</t>
  </si>
  <si>
    <t>Base</t>
  </si>
  <si>
    <t>Gastos</t>
  </si>
  <si>
    <t>Darwin Casallas</t>
  </si>
  <si>
    <t>Nequi</t>
  </si>
  <si>
    <t>Papá</t>
  </si>
  <si>
    <t>322 381 0697</t>
  </si>
  <si>
    <t>Claudia Arevalo</t>
  </si>
  <si>
    <t>ND</t>
  </si>
  <si>
    <t>DaviPlata</t>
  </si>
  <si>
    <t>Juan Heredia</t>
  </si>
  <si>
    <t>Ori****Rod*****Ma</t>
  </si>
  <si>
    <t>María Torres</t>
  </si>
  <si>
    <t>Jeisson Gutierrez</t>
  </si>
  <si>
    <t>Lucelyz Pelaez</t>
  </si>
  <si>
    <t>Diana Carolina Colorado Penagos</t>
  </si>
  <si>
    <t>telefono</t>
  </si>
  <si>
    <t>nombre_cliente</t>
  </si>
  <si>
    <t>cuenta</t>
  </si>
  <si>
    <t>hora</t>
  </si>
  <si>
    <t>Ok</t>
  </si>
  <si>
    <t>Un cliente pago 3,000 en nequi y 5000 en efectivo</t>
  </si>
  <si>
    <t>Nota crédito</t>
  </si>
  <si>
    <t>Un cliente pago 6,500 en nequi y 1500 en efectivo</t>
  </si>
  <si>
    <t>Nota debito</t>
  </si>
  <si>
    <t>saldo</t>
  </si>
  <si>
    <t>lunes</t>
  </si>
  <si>
    <t>martes</t>
  </si>
  <si>
    <t>miercoles</t>
  </si>
  <si>
    <t>jueves</t>
  </si>
  <si>
    <t>Extracto</t>
  </si>
  <si>
    <t>Suma de entrada</t>
  </si>
  <si>
    <t>Etiquetas de columna</t>
  </si>
  <si>
    <t>Suma de egreso</t>
  </si>
  <si>
    <t>EFECTIVO</t>
  </si>
  <si>
    <t>NEQUI</t>
  </si>
  <si>
    <t>BASE</t>
  </si>
  <si>
    <t>VENTA</t>
  </si>
  <si>
    <t>GASTO</t>
  </si>
  <si>
    <t>RETIRO</t>
  </si>
  <si>
    <t>23-feb</t>
  </si>
  <si>
    <t>24-feb</t>
  </si>
  <si>
    <t>25-feb</t>
  </si>
  <si>
    <t>26-feb</t>
  </si>
  <si>
    <t>nombre_transaccion</t>
  </si>
  <si>
    <t>tipo_cuenta</t>
  </si>
  <si>
    <t>fecha (día)</t>
  </si>
  <si>
    <t>nombre_producto</t>
  </si>
  <si>
    <t>precio_producto</t>
  </si>
  <si>
    <t>cantidad</t>
  </si>
  <si>
    <t>Recuento de id_item</t>
  </si>
  <si>
    <t>Valor factura</t>
  </si>
  <si>
    <t>Valor venta en efectivo</t>
  </si>
  <si>
    <t>Chorizo</t>
  </si>
  <si>
    <t>Coca cola</t>
  </si>
  <si>
    <t>Chori- CRUDO</t>
  </si>
  <si>
    <t>parri tres carnes</t>
  </si>
  <si>
    <t>viernes</t>
  </si>
  <si>
    <t xml:space="preserve">prestamo a jose </t>
  </si>
  <si>
    <t>Diferencia</t>
  </si>
  <si>
    <t>David Aparicio</t>
  </si>
  <si>
    <t>Natalia Bolivar</t>
  </si>
  <si>
    <t>Carlos Gonzalez</t>
  </si>
  <si>
    <t xml:space="preserve">Software </t>
  </si>
  <si>
    <t>Base prestamo José</t>
  </si>
  <si>
    <t>sábado</t>
  </si>
  <si>
    <t>Caja Menor</t>
  </si>
  <si>
    <t>devolución a Nequi</t>
  </si>
  <si>
    <t>Pago de nequi pendiente</t>
  </si>
  <si>
    <t>Valor a favor de Gustavo</t>
  </si>
  <si>
    <t>Consignación a Edwin</t>
  </si>
  <si>
    <t>Mel**** ***Alb Vil***</t>
  </si>
  <si>
    <t>María Barrios</t>
  </si>
  <si>
    <t>Retiro efectivo de la semana</t>
  </si>
  <si>
    <t>315 826 7681</t>
  </si>
  <si>
    <t>321 923 1130</t>
  </si>
  <si>
    <t>Breb-B</t>
  </si>
  <si>
    <t>Error</t>
  </si>
  <si>
    <t>Consignación</t>
  </si>
  <si>
    <t>Prestamo consepto aguacate</t>
  </si>
  <si>
    <t>Valor</t>
  </si>
  <si>
    <t>Hamburguesa: Carne de res, cerdo, ingredientes</t>
  </si>
  <si>
    <t>Publicidad</t>
  </si>
  <si>
    <t>Pago factura del cerdo</t>
  </si>
  <si>
    <t>fact</t>
  </si>
  <si>
    <t>Sopor.</t>
  </si>
  <si>
    <t>Nd-Nc</t>
  </si>
  <si>
    <t>Transferencia interbancos</t>
  </si>
  <si>
    <t>José Isidro Pinzòn Corredor</t>
  </si>
  <si>
    <t>Pago Cerdo para cervicios</t>
  </si>
  <si>
    <t>utencilios, platos, delalntal chia</t>
  </si>
  <si>
    <t xml:space="preserve"> - VARIOS - D1 CHÍA</t>
  </si>
  <si>
    <t>nomina mayerli</t>
  </si>
  <si>
    <t>8*12</t>
  </si>
  <si>
    <t>L21</t>
  </si>
  <si>
    <t>emp. Metalico</t>
  </si>
  <si>
    <t>emp. Bolsa plastica</t>
  </si>
  <si>
    <t>huevos</t>
  </si>
  <si>
    <t>regillas para la losa</t>
  </si>
  <si>
    <t>Filete y pierna de pechuga</t>
  </si>
  <si>
    <t>Districarnes</t>
  </si>
  <si>
    <t>Pago prestamo</t>
  </si>
  <si>
    <t>jabón liquido</t>
  </si>
  <si>
    <t>Cerdo para servicios</t>
  </si>
  <si>
    <t>Propina a Gustavo</t>
  </si>
  <si>
    <t>Coca- Cola</t>
  </si>
  <si>
    <t>imprimir informe</t>
  </si>
  <si>
    <t>se abre multiples ventanas</t>
  </si>
  <si>
    <t>picadas, no hay manera de digitar picadas</t>
  </si>
  <si>
    <t>el visor no es muy pràctico</t>
  </si>
  <si>
    <t>Arepas Guerrero</t>
  </si>
  <si>
    <t>311 206 1929
6800858-6850461</t>
  </si>
  <si>
    <t>Cerdo</t>
  </si>
  <si>
    <t>Cll 135 No 94C 15, Suba - Bogotá</t>
  </si>
  <si>
    <t>no hay ruta rapida de chorizo</t>
  </si>
  <si>
    <t>correir informaciòn del inventario</t>
  </si>
  <si>
    <t>320 595 6611</t>
  </si>
  <si>
    <t>Productos de aseo y desengrasante</t>
  </si>
  <si>
    <t>Sergio Alarcón</t>
  </si>
  <si>
    <t>Willian Gutierrez</t>
  </si>
  <si>
    <t>Recarga desde Bancolomba</t>
  </si>
  <si>
    <t>Gre***Leo***Cor**</t>
  </si>
  <si>
    <t>Edu***loz***Boh**</t>
  </si>
  <si>
    <t>Manuel Fernando Ramirez</t>
  </si>
  <si>
    <t>Leidy Camacho</t>
  </si>
  <si>
    <t>Diego Tijaro</t>
  </si>
  <si>
    <t>Miguel Rodriguez</t>
  </si>
  <si>
    <t>Henry Aguirre</t>
  </si>
  <si>
    <t>Adriana Pinto</t>
  </si>
  <si>
    <t>PENDIENTE</t>
  </si>
  <si>
    <t>Nomina</t>
  </si>
  <si>
    <t>Inventario</t>
  </si>
  <si>
    <t>10 un/paquete de arepa</t>
  </si>
  <si>
    <t>papa</t>
  </si>
  <si>
    <t>Platano, cebolla, cilantro</t>
  </si>
  <si>
    <t>Café</t>
  </si>
  <si>
    <t>un</t>
  </si>
  <si>
    <t>Precio</t>
  </si>
  <si>
    <t>efectivo</t>
  </si>
  <si>
    <t>nequi</t>
  </si>
  <si>
    <t>Efectivo</t>
  </si>
  <si>
    <t>Bancos</t>
  </si>
  <si>
    <t>Cuenta</t>
  </si>
  <si>
    <t>40 carne +gaseosa</t>
  </si>
  <si>
    <t xml:space="preserve"> +3 chorixp y jugo</t>
  </si>
  <si>
    <t>Parrillada</t>
  </si>
  <si>
    <t>chorizo y jugo</t>
  </si>
  <si>
    <t>carne jenesano</t>
  </si>
  <si>
    <t>2 chorizps y hit</t>
  </si>
  <si>
    <t xml:space="preserve">taxi </t>
  </si>
  <si>
    <t>Carne de cerdo -6 libras</t>
  </si>
  <si>
    <t>Carne de res - porciones</t>
  </si>
  <si>
    <t>parrilla</t>
  </si>
  <si>
    <t>mesas</t>
  </si>
  <si>
    <t>Campana</t>
  </si>
  <si>
    <t>motor</t>
  </si>
  <si>
    <t>dispositivo wifi</t>
  </si>
  <si>
    <t>chorizo</t>
  </si>
  <si>
    <t>8 de marzo</t>
  </si>
  <si>
    <t>Detalle</t>
  </si>
  <si>
    <t>HU38</t>
  </si>
  <si>
    <t>Como usuario general requiero abrir la caja para ágilizar el proceso de devolución de vueltas</t>
  </si>
  <si>
    <t>Backlog</t>
  </si>
  <si>
    <t>Done</t>
  </si>
  <si>
    <t>BU001</t>
  </si>
  <si>
    <t>El título de la sección de efectivo no corresponde: "Registro Base" ---&gt; "Registro de entradas y retiros de efectivo"</t>
  </si>
  <si>
    <t>Retiros</t>
  </si>
  <si>
    <t>Chorizo y papa o arepa</t>
  </si>
  <si>
    <t>papa francesa</t>
  </si>
  <si>
    <t>hamburguesa</t>
  </si>
  <si>
    <t>Carnes</t>
  </si>
  <si>
    <t>Empaques</t>
  </si>
  <si>
    <t>322 460 2946</t>
  </si>
  <si>
    <t>Yeimmerson Velandia</t>
  </si>
  <si>
    <t>Papá del 7 de marzo</t>
  </si>
  <si>
    <t>7 kilometros</t>
  </si>
  <si>
    <t>sin membresia</t>
  </si>
  <si>
    <t>Laura Manzera</t>
  </si>
  <si>
    <t>hay un descuento</t>
  </si>
  <si>
    <t>23% comisiòn</t>
  </si>
  <si>
    <t>primer mes</t>
  </si>
  <si>
    <t>pm</t>
  </si>
  <si>
    <t>dar de baja con 90 dias</t>
  </si>
  <si>
    <t>16 al 22</t>
  </si>
  <si>
    <t>Edison Valbuena - Gaseosa</t>
  </si>
  <si>
    <t>Caja Menor JG</t>
  </si>
  <si>
    <t>Caja Menor EA</t>
  </si>
  <si>
    <t>Sandra Patricia</t>
  </si>
  <si>
    <t>314 433 7558</t>
  </si>
  <si>
    <t>Nombre commit</t>
  </si>
  <si>
    <t>BU002</t>
  </si>
  <si>
    <t>Se agrega botón "Abrir Caja", se mejora el dashboard de "Transacciones" para facilitar la consistencia de los datos"</t>
  </si>
  <si>
    <t>BU002: "Usabilidad y consistecia de la información"</t>
  </si>
  <si>
    <t>BU003</t>
  </si>
  <si>
    <t>Se mejora la ordenación del orden de las facturar para validarlas mejor, se agrega el botón "Abrir Caja" en la sección de factura, y se omite desde dashboard para facilitar la seguridad del sistema.</t>
  </si>
  <si>
    <t>BU003: "Usabilidad para el cajero y seguridad"</t>
  </si>
  <si>
    <t>BU004: "Usabilidad el admon y cajero"</t>
  </si>
  <si>
    <t>Cambiar a item por producto y materia prima.
Cambiar el título de "Entradas" por "MP"  de materias primas</t>
  </si>
  <si>
    <t>BU004</t>
  </si>
  <si>
    <t>BU005</t>
  </si>
  <si>
    <t>Crea un warning que diga "No ha guardado los registros, ¿estas seguro que quiere salir?</t>
  </si>
  <si>
    <t>BU006</t>
  </si>
  <si>
    <t>BU005: "Usabilidad cajero - warning"</t>
  </si>
  <si>
    <t>BU006: "Usabilidad y consistencia de la información"</t>
  </si>
  <si>
    <t>No hay diferencia entre las entradas y salidas el efectivo con los egresos en el dashboard
"ADMON: "Consignación"</t>
  </si>
  <si>
    <t>Código</t>
  </si>
  <si>
    <t>DevOps</t>
  </si>
  <si>
    <t>BRIAN SANTANA</t>
  </si>
  <si>
    <t>Consignaciòn DaviPlata</t>
  </si>
  <si>
    <t>Pago de la gaseosa</t>
  </si>
  <si>
    <t>NEL***HER***LOP</t>
  </si>
  <si>
    <t>ALEX SOCARRAS</t>
  </si>
  <si>
    <t>EDISON PENAGOS</t>
  </si>
  <si>
    <t>KATERINE SIERRA</t>
  </si>
  <si>
    <t>JUAN BERMUDEZ</t>
  </si>
  <si>
    <t>SAN***BEN**ROD</t>
  </si>
  <si>
    <t>MAI***JOS**MAI</t>
  </si>
  <si>
    <t>Gloria Rodriguez</t>
  </si>
  <si>
    <t>Marcelo Cespedes</t>
  </si>
  <si>
    <t>ALI***PAT***GUT</t>
  </si>
  <si>
    <t>FLO***ANG***ITA***OR</t>
  </si>
  <si>
    <t>Nequi y DaviPlata deben estar en filas diferentes</t>
  </si>
  <si>
    <t>00095</t>
  </si>
  <si>
    <t>al finalizar el dia la venta del dia suma el acumulado del dia siguiente para Nequi y Daviplata</t>
  </si>
  <si>
    <t>mP</t>
  </si>
  <si>
    <t>Aceite  premium</t>
  </si>
  <si>
    <t>Producido del dia</t>
  </si>
  <si>
    <t>mercado, lechuga, mango…</t>
  </si>
  <si>
    <t>BU007: "Usabilidad y consistencia de la información"</t>
  </si>
  <si>
    <t>BU007</t>
  </si>
  <si>
    <t>JOHN CRISOSTOMO</t>
  </si>
  <si>
    <t>WEN***ALE***PUL</t>
  </si>
  <si>
    <t>JEI***PEN***BEN***</t>
  </si>
  <si>
    <t>Pendiente</t>
  </si>
  <si>
    <t>dia_sem</t>
  </si>
  <si>
    <t>000198</t>
  </si>
  <si>
    <t>000202</t>
  </si>
  <si>
    <t>HU39</t>
  </si>
  <si>
    <t>HU39: Filtrar Medio de pago</t>
  </si>
  <si>
    <t>media carne</t>
  </si>
  <si>
    <t>chorizos</t>
  </si>
  <si>
    <t>carne</t>
  </si>
  <si>
    <t>gaseosa</t>
  </si>
  <si>
    <t>gaseosas</t>
  </si>
  <si>
    <t>chorizo crudos</t>
  </si>
  <si>
    <t>domicilio</t>
  </si>
  <si>
    <t>daviplata</t>
  </si>
  <si>
    <t>chorizos crudos</t>
  </si>
  <si>
    <t>3 chorizos</t>
  </si>
  <si>
    <t>2 para llevar</t>
  </si>
  <si>
    <t>x</t>
  </si>
  <si>
    <t>DaviPLATA</t>
  </si>
  <si>
    <t>JEISON URIBE</t>
  </si>
  <si>
    <t>ANGIE ZUNIGA</t>
  </si>
  <si>
    <t>JUA***PAB***GAL***G</t>
  </si>
  <si>
    <t>LUIS ALBERTO ROMERO CALDERON</t>
  </si>
  <si>
    <t>00217</t>
  </si>
  <si>
    <t>00216</t>
  </si>
  <si>
    <t>00212</t>
  </si>
  <si>
    <t>CXP</t>
  </si>
  <si>
    <t>000196</t>
  </si>
  <si>
    <t>DaviPLATA Acum.</t>
  </si>
  <si>
    <t>NEQUI Acum.</t>
  </si>
  <si>
    <t>CXC</t>
  </si>
  <si>
    <t>Portacomida</t>
  </si>
  <si>
    <t>unidad para domicilio</t>
  </si>
  <si>
    <t>Portacomidas</t>
  </si>
  <si>
    <t>Ferreteria</t>
  </si>
  <si>
    <t>Cubiertos</t>
  </si>
  <si>
    <t>pérdida</t>
  </si>
  <si>
    <t>mercado</t>
  </si>
  <si>
    <t>Transportes</t>
  </si>
  <si>
    <t>16 de marzo</t>
  </si>
  <si>
    <t>15 de marzo</t>
  </si>
  <si>
    <t>17 de marzo</t>
  </si>
  <si>
    <t>JUAN JOYA</t>
  </si>
  <si>
    <t>DANIEL RAMOS</t>
  </si>
  <si>
    <t>FELIPE GUTIERREZ</t>
  </si>
  <si>
    <t>LIDIA CAMACHO CARRERO</t>
  </si>
  <si>
    <t>BRI***STI***SAN***</t>
  </si>
  <si>
    <t>JESUS BOJACA</t>
  </si>
  <si>
    <t>CAROLINA LEON</t>
  </si>
  <si>
    <t>Egreso</t>
  </si>
  <si>
    <t>Pago publicidad - banner y registradora</t>
  </si>
  <si>
    <t>BU008</t>
  </si>
  <si>
    <t>Como cajero, quiero filtrar el medio de pago de las facturas y egresos para facilizar la conciliación bancaria</t>
  </si>
  <si>
    <t>BU008: "Usabilidad y consistencia de la información"</t>
  </si>
  <si>
    <t>Como cajero, quiero poder hacer un descuento a un producto para agilizar el proceso y ser consistente con la información</t>
  </si>
  <si>
    <t>Pago transportes Ed</t>
  </si>
  <si>
    <t>Transferencia del efectivo</t>
  </si>
  <si>
    <t>Pago transportes JG y Ed - 17 de marzo</t>
  </si>
  <si>
    <t>Chorizos el de publicidad</t>
  </si>
  <si>
    <t>Ajuste administrativo, si se tuvo en cuenta en el acumulado</t>
  </si>
  <si>
    <t>00255</t>
  </si>
  <si>
    <t>uni</t>
  </si>
  <si>
    <t>BU009</t>
  </si>
  <si>
    <t>BU009: "Usabilidad y consistencia de la información"</t>
  </si>
  <si>
    <t>BU010</t>
  </si>
  <si>
    <t>meta por mes</t>
  </si>
  <si>
    <t>ingresos free lance</t>
  </si>
  <si>
    <t>vendedores</t>
  </si>
  <si>
    <t>meta equipo</t>
  </si>
  <si>
    <t>ingresos Digilivo una persona</t>
  </si>
  <si>
    <t>Impuesto</t>
  </si>
  <si>
    <t>Servicio de gas</t>
  </si>
  <si>
    <t>Llaves y ganchos</t>
  </si>
  <si>
    <t>BU001: El título de la sección no corresponde</t>
  </si>
  <si>
    <t>HU38: Botón de emergencia</t>
  </si>
  <si>
    <t>Transportes EA y JG</t>
  </si>
  <si>
    <t>BU010: "UX-Design"</t>
  </si>
  <si>
    <t>Como usuaio quiero ver estilo de colores en el dashboard para diferenciar más las transacciones.</t>
  </si>
  <si>
    <t>Hotfix - BU009</t>
  </si>
  <si>
    <t>transacciones: se agrega columna "tipo_venta"
productos: se agrega columna "tipo_producto" y "tipo_unidad"</t>
  </si>
  <si>
    <t>BU011</t>
  </si>
  <si>
    <t>BU011:  "consistencia de la información"</t>
  </si>
  <si>
    <t>BU013</t>
  </si>
  <si>
    <t>Como admin requiero ver el tipo de producto y unidad para discriminar mis costos</t>
  </si>
  <si>
    <t>BU012: "Usabilidad y consistencia de la información"</t>
  </si>
  <si>
    <t>tipo_unidad</t>
  </si>
  <si>
    <t>10 un</t>
  </si>
  <si>
    <t>precio_embalaje</t>
  </si>
  <si>
    <t>unidades_embalaje</t>
  </si>
  <si>
    <t>total</t>
  </si>
  <si>
    <t>precio_unidad</t>
  </si>
  <si>
    <t>Postobon -250ML</t>
  </si>
  <si>
    <t>Agua -600ML</t>
  </si>
  <si>
    <t>Hit-500ML</t>
  </si>
  <si>
    <t>Coca Cola Zero -250ML</t>
  </si>
  <si>
    <t>Coca Cola -237ML</t>
  </si>
  <si>
    <t xml:space="preserve"> Chorizo con papa/arepa</t>
  </si>
  <si>
    <t>BEBIDA - Coca Cola</t>
  </si>
  <si>
    <t>BEBIDA - Postobón</t>
  </si>
  <si>
    <t>BEBIDA - Botella de Agua</t>
  </si>
  <si>
    <t>Ham. sencilla</t>
  </si>
  <si>
    <t>Ham. combo</t>
  </si>
  <si>
    <t>BEBIDA - Jugo Hit</t>
  </si>
  <si>
    <t>z. MP - Arepa</t>
  </si>
  <si>
    <t>Ham. Choriboni</t>
  </si>
  <si>
    <t>Ham. Choriboni - Combo</t>
  </si>
  <si>
    <t>CARNES - Churrasco Gaucho - 30</t>
  </si>
  <si>
    <t>CARNES - Lomo de Cerdo -25</t>
  </si>
  <si>
    <t>CARNES - Pechuga</t>
  </si>
  <si>
    <t>CARNES - Costillas BBQ - 25</t>
  </si>
  <si>
    <t>CARNES - Sobrebarriga - 25</t>
  </si>
  <si>
    <t>z. MP -  Chorizo CRUDO</t>
  </si>
  <si>
    <t>Parrillada de 35</t>
  </si>
  <si>
    <t>Bandeja Choriboni - 25</t>
  </si>
  <si>
    <t>Tinto</t>
  </si>
  <si>
    <t>Parrillada de 48</t>
  </si>
  <si>
    <t>Parrillada de 70</t>
  </si>
  <si>
    <t>Parrillada de 40</t>
  </si>
  <si>
    <t>Bandeja Choriboni - 30</t>
  </si>
  <si>
    <t>z. MP -  Hamb. CRUDA</t>
  </si>
  <si>
    <t>ChoriPan</t>
  </si>
  <si>
    <t>CARNES - Costillas BBQ  - 50</t>
  </si>
  <si>
    <t>Propina - Gustavo</t>
  </si>
  <si>
    <t>Bandeja Choriboni - 35</t>
  </si>
  <si>
    <t>PROMO pedazo de carne</t>
  </si>
  <si>
    <t>PROMO: promo vecino de jenesano</t>
  </si>
  <si>
    <t>Parrillada de 60</t>
  </si>
  <si>
    <t>CARNES - Carne Asada de 40</t>
  </si>
  <si>
    <t>Parrillada de 30</t>
  </si>
  <si>
    <t>z. MP -  papa</t>
  </si>
  <si>
    <t>PORCIÒN - papa francesa</t>
  </si>
  <si>
    <t>Ham. Doble combo - ELIMINAR</t>
  </si>
  <si>
    <t xml:space="preserve"> Chorizo solo</t>
  </si>
  <si>
    <t>CARNES - Media carne</t>
  </si>
  <si>
    <t>CARNES - Carne asada 23</t>
  </si>
  <si>
    <t>CARNES  - Carne asada  - 20</t>
  </si>
  <si>
    <t>Parrillada de 50</t>
  </si>
  <si>
    <t>BEBIDA - Aguila</t>
  </si>
  <si>
    <t>BEBIDA - Club Colombia</t>
  </si>
  <si>
    <t>CARNES - Mojarra</t>
  </si>
  <si>
    <t>BEBIDA - Coca Cola ZERO</t>
  </si>
  <si>
    <t>HU40</t>
  </si>
  <si>
    <t>Como cajero requiero anotar el segundo método de pago para que el cliente tenga la flexibilidad de pagar en caso de no contar con todo el efectivo</t>
  </si>
  <si>
    <t>HU40: Registrar segundo método de pago</t>
  </si>
  <si>
    <t>ALEXA PENA</t>
  </si>
  <si>
    <t>JULIAN NIETO</t>
  </si>
  <si>
    <t>LUI***FER***DIA</t>
  </si>
  <si>
    <t>ENMANUEL LEON</t>
  </si>
  <si>
    <t>LUIS NIETO</t>
  </si>
  <si>
    <t>JUAN DIEGO RODRIGUEZ REY</t>
  </si>
  <si>
    <t>FREDERICH JIMENEZ</t>
  </si>
  <si>
    <t>MAYURI MURCIA</t>
  </si>
  <si>
    <t>Gaseosa</t>
  </si>
  <si>
    <t>LUIS ALBERTO ROMERO CALDERON - TICO</t>
  </si>
  <si>
    <t>HU41</t>
  </si>
  <si>
    <t>HU41: Filtrar fecha de transacciones</t>
  </si>
  <si>
    <t>Como usuario quiero filtrar el día de dashboard transacciones para poder auditar las transacciones realizadas</t>
  </si>
  <si>
    <t>HU42</t>
  </si>
  <si>
    <t>Como cajero quiero filtrar el díade facturación para poder auditar las transacciones realizadas</t>
  </si>
  <si>
    <t>HU42: Filtrar fecha facturas por día</t>
  </si>
  <si>
    <t>el caja se abre cada rato</t>
  </si>
  <si>
    <t>HU43</t>
  </si>
  <si>
    <t>HU43: Guardar la información del valor de la transacción</t>
  </si>
  <si>
    <t>Como SuperAdministrador requiero guardar la información del valor de la transacción de la fecha para analizar la variación del precio de los productos y materias primas en el tiempo</t>
  </si>
  <si>
    <t>HU44</t>
  </si>
  <si>
    <t>HU44: Guardar la información del descuento</t>
  </si>
  <si>
    <t>BU012</t>
  </si>
  <si>
    <t>BU013: "consistencia e integridad de la información"</t>
  </si>
  <si>
    <t>Diferenciar producto terminado de la materia prima</t>
  </si>
  <si>
    <t>NEQUI - venta</t>
  </si>
  <si>
    <t>ZAR***SAH**ARI***OR</t>
  </si>
  <si>
    <t>JAIME RIVERA</t>
  </si>
  <si>
    <t>Transfe</t>
  </si>
  <si>
    <t>Tranferencia de efectivo a nequi</t>
  </si>
  <si>
    <t>TRANSPORTES</t>
  </si>
  <si>
    <t>NEQUI - transfer/egreso</t>
  </si>
  <si>
    <t>Filtrar mejor las transacciones, nequi, suma gastos</t>
  </si>
  <si>
    <t>Categoria</t>
  </si>
  <si>
    <t>BEBIDA</t>
  </si>
  <si>
    <t>MATERIA PRIMA</t>
  </si>
  <si>
    <t>Hamburguesa</t>
  </si>
  <si>
    <t>arepa</t>
  </si>
  <si>
    <t>papa salada</t>
  </si>
  <si>
    <t>Bulto</t>
  </si>
  <si>
    <t>BU014</t>
  </si>
  <si>
    <t>Como usuario admon quiero elegir la información de mp para distinguir entre materia prima y producto terminado</t>
  </si>
  <si>
    <t>BU014: "consistencia de la información - tabla mp"</t>
  </si>
  <si>
    <t>HU45</t>
  </si>
  <si>
    <t>HU44: Asociar materias primas a un producto terminado</t>
  </si>
  <si>
    <t>BU15</t>
  </si>
  <si>
    <t>Ventana máximizada por default</t>
  </si>
  <si>
    <t>BU015: "UX-Design"</t>
  </si>
  <si>
    <t>BU16</t>
  </si>
  <si>
    <t>Como administrador quiero  a sociar materias primas a un producto terminado</t>
  </si>
  <si>
    <t>BU17</t>
  </si>
  <si>
    <t>Corregir la información del stock de inventarios de materias primas - entradas</t>
  </si>
  <si>
    <t>Corregir la información del stock de inventarios de materias primas -  salidas</t>
  </si>
  <si>
    <t>Hotfix (BU016)- HU24:  Dashboard de Inventarios - entradas</t>
  </si>
  <si>
    <t>Hotfix (BU017)- HU24:  Dashboard de Inventarios - salidas</t>
  </si>
  <si>
    <t>Unidades</t>
  </si>
  <si>
    <t>precio por unidad</t>
  </si>
  <si>
    <t>Costo total materias priams</t>
  </si>
  <si>
    <t>costo por unidad de producción</t>
  </si>
  <si>
    <t>venta de producción</t>
  </si>
  <si>
    <t>Margen de Ganancia</t>
  </si>
  <si>
    <t>Venta en punto comercial</t>
  </si>
  <si>
    <t>BU18</t>
  </si>
  <si>
    <t>BU018: "UX-Design - Visualización Inventarios"</t>
  </si>
  <si>
    <t>Mejora la visualización de la ventana de inventarios</t>
  </si>
  <si>
    <t>DARWIN HERRERA</t>
  </si>
  <si>
    <t>BU19</t>
  </si>
  <si>
    <t>BU019: "Disponibilidad de infomración"</t>
  </si>
  <si>
    <t>BU020: "Disponibilidad de información"</t>
  </si>
  <si>
    <t>BU20</t>
  </si>
  <si>
    <t>Acceso al api a la series de  mps y producto-mp
Creación del array de mps y agregar columna de costo</t>
  </si>
  <si>
    <t>Correcto calculo del costo por item</t>
  </si>
  <si>
    <t>id_producto</t>
  </si>
  <si>
    <t>precio</t>
  </si>
  <si>
    <t>BEBIDA - Coca Cola 237ML</t>
  </si>
  <si>
    <t>BEBIDA - Postobon 350ML</t>
  </si>
  <si>
    <t>chorixo solo</t>
  </si>
  <si>
    <t>papa (3 papas)</t>
  </si>
  <si>
    <t>MG</t>
  </si>
  <si>
    <t>%MG</t>
  </si>
  <si>
    <t>patacon</t>
  </si>
  <si>
    <t>guacamole</t>
  </si>
  <si>
    <t>pan choriboni</t>
  </si>
  <si>
    <t>Carne
250 gr</t>
  </si>
  <si>
    <t>Carne
350 gr</t>
  </si>
  <si>
    <t>costo</t>
  </si>
  <si>
    <t>Pan Bimbo</t>
  </si>
  <si>
    <t>Pechuga
250 pg</t>
  </si>
  <si>
    <t>Costillas 
BBQ 
250gr</t>
  </si>
  <si>
    <t>Costillas 
BBQ 
400gr</t>
  </si>
  <si>
    <t>Mojarra</t>
  </si>
  <si>
    <t>Medìa Carne</t>
  </si>
  <si>
    <t>Churrasco</t>
  </si>
  <si>
    <t>lomo cerdo</t>
  </si>
  <si>
    <t>Carne asada
250 gr</t>
  </si>
  <si>
    <t>Carne asada
400 gr</t>
  </si>
  <si>
    <t>kilos</t>
  </si>
  <si>
    <t>entrada</t>
  </si>
  <si>
    <t>25 de marzo</t>
  </si>
  <si>
    <t>Paca</t>
  </si>
  <si>
    <t>CERVEZA CENTRAL</t>
  </si>
  <si>
    <t>VIV***JOH***BUR</t>
  </si>
  <si>
    <t>ALBERTO PEREZ COA</t>
  </si>
  <si>
    <t>HENRY AGUIRRE</t>
  </si>
  <si>
    <t>Cerveza y aguacates</t>
  </si>
  <si>
    <t>BU21</t>
  </si>
  <si>
    <t>Como cajero quiero adelantar la factura (PENDIENTE) para evitar retraso en el momento de pago</t>
  </si>
  <si>
    <t>BU021: "Consistencia de la información y usabilidad"</t>
  </si>
  <si>
    <t>BU022: "Usabilidad"</t>
  </si>
  <si>
    <t>Como cajero quiero ver el valor del ventas del día para información el saldo de venta actual</t>
  </si>
  <si>
    <t>BU22</t>
  </si>
  <si>
    <t>Visor para domicilios</t>
  </si>
  <si>
    <t>CCB</t>
  </si>
  <si>
    <t>Caneca</t>
  </si>
  <si>
    <t>Chorizos</t>
  </si>
  <si>
    <t>Socios</t>
  </si>
  <si>
    <t>Aportes</t>
  </si>
  <si>
    <t>Mitad</t>
  </si>
  <si>
    <t>Medio</t>
  </si>
  <si>
    <t>Aporte</t>
  </si>
  <si>
    <t>Inversión a recuperar</t>
  </si>
  <si>
    <t xml:space="preserve">Carne de Cerdo para hamburguesa </t>
  </si>
  <si>
    <t>PAGADO</t>
  </si>
  <si>
    <t>Aporte Edwin</t>
  </si>
  <si>
    <t>BANCO CAJA SOCIAL</t>
  </si>
  <si>
    <t>Distrigaseosa</t>
  </si>
  <si>
    <t>ARRIENDO</t>
  </si>
  <si>
    <t>SALDO A FAVOR</t>
  </si>
  <si>
    <t>Chorizos - REPOSICIÓN</t>
  </si>
  <si>
    <t>H</t>
  </si>
  <si>
    <t>BRAYAN ARISTISABAL</t>
  </si>
  <si>
    <t>LEIDY PAOLA MAHECHA BUITRAGO</t>
  </si>
  <si>
    <t>Acumulado</t>
  </si>
  <si>
    <t>SIN ARQUEO</t>
  </si>
  <si>
    <t>CERRADO</t>
  </si>
  <si>
    <t>GIRO</t>
  </si>
  <si>
    <t>00247</t>
  </si>
  <si>
    <t>0000</t>
  </si>
  <si>
    <t>00238</t>
  </si>
  <si>
    <t>00240</t>
  </si>
  <si>
    <t>00024</t>
  </si>
  <si>
    <t>Transferencia interbancos -papá</t>
  </si>
  <si>
    <t>NO NEQUI - Hamburguesas para la casa</t>
  </si>
  <si>
    <t>Transferencia interbancos de papa</t>
  </si>
  <si>
    <t>BU023: "Usabilidad"</t>
  </si>
  <si>
    <t>BU23</t>
  </si>
  <si>
    <t>Como Usuario quiero la información ordenada de las transacciones para leer más rápido la información del producido del día</t>
  </si>
  <si>
    <t>Cerdo y costilla</t>
  </si>
  <si>
    <t>PONPILIO ARMANDO MURCIA PINZON</t>
  </si>
  <si>
    <t>TICO</t>
  </si>
  <si>
    <t>ANG***LEO***ARM</t>
  </si>
  <si>
    <t>DAN***BEN***</t>
  </si>
  <si>
    <t>Chorizos de baja</t>
  </si>
  <si>
    <t>Chorizos de degustaciòn</t>
  </si>
  <si>
    <t>Tanda 1</t>
  </si>
  <si>
    <t>Tanda 2</t>
  </si>
  <si>
    <t>Central</t>
  </si>
  <si>
    <t>Tanda 3</t>
  </si>
  <si>
    <t>Club</t>
  </si>
  <si>
    <t>Tanda 4</t>
  </si>
  <si>
    <t>Tanda 5</t>
  </si>
  <si>
    <t>Producto</t>
  </si>
  <si>
    <t>Anguila</t>
  </si>
  <si>
    <t>Estado</t>
  </si>
  <si>
    <t>Libro Aux</t>
  </si>
  <si>
    <t>Omitir abrir caja para transacciones de nequi y daviplata</t>
  </si>
  <si>
    <t>partido colombia-francia</t>
  </si>
  <si>
    <t>Como Usuario cajero, quiero filtrar los egresos por fecha para verificar los pagos realizados.</t>
  </si>
  <si>
    <t>BU24</t>
  </si>
  <si>
    <t>BU023: " Disponibilidad y Usabilidad"</t>
  </si>
  <si>
    <t>HEX***MAL***G</t>
  </si>
  <si>
    <t>JONANYS MORA</t>
  </si>
  <si>
    <t>FREDY USMA</t>
  </si>
  <si>
    <t>VIV***MAR***MON</t>
  </si>
  <si>
    <t>MAU***GON***HI</t>
  </si>
  <si>
    <t>IVA***PLA</t>
  </si>
  <si>
    <t>Recarga Maye</t>
  </si>
  <si>
    <t>HUG***AND***GAM**OL</t>
  </si>
  <si>
    <t>NO REGISTRA EN NEQUI - NOMINA José Gustavo</t>
  </si>
  <si>
    <t>JUEVES SANTO</t>
  </si>
  <si>
    <t>bolsa grande de cerdo</t>
  </si>
  <si>
    <t>Papa francesa grande</t>
  </si>
  <si>
    <t>Papa francesa pequeña</t>
  </si>
  <si>
    <t>bolsa de cerdo varios kilos</t>
  </si>
  <si>
    <t>Nomina transportes Edwin - Día de aseo</t>
  </si>
  <si>
    <t>Casino, Servicios y MPs</t>
  </si>
  <si>
    <t>VIERNES SANTO</t>
  </si>
  <si>
    <t>SÁBADO SANTO</t>
  </si>
  <si>
    <t>DOMINGO SANTO</t>
  </si>
  <si>
    <t>materia_prima</t>
  </si>
  <si>
    <t>dairoc</t>
  </si>
  <si>
    <t>cepeda</t>
  </si>
  <si>
    <t>CLUB COLOMBIA</t>
  </si>
  <si>
    <t>CLUB AGUILA</t>
  </si>
  <si>
    <t>Filete de pechuga</t>
  </si>
  <si>
    <t>kilo</t>
  </si>
  <si>
    <t>unidades</t>
  </si>
  <si>
    <t>six pack</t>
  </si>
  <si>
    <t>canasta</t>
  </si>
  <si>
    <t>doce un.</t>
  </si>
  <si>
    <t>docena</t>
  </si>
  <si>
    <t>unidad</t>
  </si>
  <si>
    <t>2 docenas</t>
  </si>
  <si>
    <t>bolsa</t>
  </si>
  <si>
    <t>unidades_x_embalaje</t>
  </si>
  <si>
    <t>gas</t>
  </si>
  <si>
    <t>muro y coples</t>
  </si>
  <si>
    <t>caja 4</t>
  </si>
  <si>
    <t>coca caola</t>
  </si>
  <si>
    <t>te</t>
  </si>
  <si>
    <t>BU25</t>
  </si>
  <si>
    <t>Como Usuario admin, quiero ver el listado de items para cotegar los registros de inventarios</t>
  </si>
  <si>
    <t>BU025: " Disponibilidad"</t>
  </si>
  <si>
    <t>Como Usuario admin, quiero ver adicionar la información del inventario</t>
  </si>
  <si>
    <t>BU26</t>
  </si>
  <si>
    <t>}</t>
  </si>
  <si>
    <t>BU026: " Disponibilidad y Usabilidad"</t>
  </si>
  <si>
    <t>BEBIDA - AGUA 600 ML</t>
  </si>
  <si>
    <t>BEBIDA - POSTOBON 250ML</t>
  </si>
  <si>
    <t>BEBIDA - COCA COLA 237ML</t>
  </si>
  <si>
    <t>BEBIDA - Cerveza Central</t>
  </si>
  <si>
    <t>BEBIDA - HIT 237ML</t>
  </si>
  <si>
    <t>Pan Perro</t>
  </si>
  <si>
    <t>Pan Hamburguesa</t>
  </si>
  <si>
    <t>Arepa</t>
  </si>
  <si>
    <t>CHORIZO</t>
  </si>
  <si>
    <t>HAMBURGUESA</t>
  </si>
  <si>
    <t>INVIMA</t>
  </si>
  <si>
    <t>Carne 400 gramos</t>
  </si>
  <si>
    <t>Lomo de cerdo</t>
  </si>
  <si>
    <t>Ajuste</t>
  </si>
  <si>
    <t>stock actual</t>
  </si>
  <si>
    <t>BEBIDA - Cerveza Club Colombia</t>
  </si>
  <si>
    <t>comentarios</t>
  </si>
  <si>
    <t>VENCIDO</t>
  </si>
  <si>
    <t>stock real
2 de abril</t>
  </si>
  <si>
    <t>stock real
8 de abril</t>
  </si>
  <si>
    <t>GASEOSA</t>
  </si>
  <si>
    <t>NO SE PUEDE agregar nuevos items al ingresar o retirar inventarios</t>
  </si>
  <si>
    <t>clasificar entrada y salida no es claro</t>
  </si>
  <si>
    <t>SUMARSE EL VALOR DE INVENTARIO</t>
  </si>
  <si>
    <t>BEBIDA - COCA COLA ZERO</t>
  </si>
  <si>
    <t>TIPO</t>
  </si>
  <si>
    <t>|||</t>
  </si>
  <si>
    <t>|</t>
  </si>
  <si>
    <t>||</t>
  </si>
  <si>
    <t>PAPA</t>
  </si>
  <si>
    <t>Costillas BBQ</t>
  </si>
  <si>
    <t>ENTRADAS
7 y 8 abril</t>
  </si>
  <si>
    <t>SALIDAS
7 y 8 abril</t>
  </si>
  <si>
    <t>Pechuga</t>
  </si>
  <si>
    <t>AJUSTE</t>
  </si>
  <si>
    <t>PÉRDIDA</t>
  </si>
  <si>
    <t>Carne 250 gramos</t>
  </si>
  <si>
    <t>mojarra</t>
  </si>
  <si>
    <t>DEGUSTACIÓN</t>
  </si>
  <si>
    <t>NOMINA + CASINO</t>
  </si>
  <si>
    <t>CAR***AND***DIA</t>
  </si>
  <si>
    <t>JAV***ALE***DIA</t>
  </si>
  <si>
    <t>FLOR ACOSTA</t>
  </si>
  <si>
    <t>JUAN BICENTY</t>
  </si>
  <si>
    <t>MARIA RAMIREZ</t>
  </si>
  <si>
    <t>ANGIE DELGADO</t>
  </si>
  <si>
    <t>000395</t>
  </si>
  <si>
    <t>000396</t>
  </si>
  <si>
    <t>000401</t>
  </si>
  <si>
    <t>000404</t>
  </si>
  <si>
    <t>Ham. sencilla - 17</t>
  </si>
  <si>
    <t>Ham. combo - 22</t>
  </si>
  <si>
    <t>Ham. Choriboni -20</t>
  </si>
  <si>
    <t>CARNES - Pechuga - 25</t>
  </si>
  <si>
    <t>CARNES - Media carne - 15</t>
  </si>
  <si>
    <t>BEBIDA - Cerveza Aguila</t>
  </si>
  <si>
    <t>CARNES - Mojarra - 30</t>
  </si>
  <si>
    <t>SERVICIO DE BAÑO</t>
  </si>
  <si>
    <t>ChoriQueso</t>
  </si>
  <si>
    <t>Picada - 15</t>
  </si>
  <si>
    <t>Picada -  20</t>
  </si>
  <si>
    <t>Parrillada de 80</t>
  </si>
  <si>
    <t>CARNES - Media carne - 10</t>
  </si>
  <si>
    <t>CARNES - Carne asada 30</t>
  </si>
  <si>
    <t>casa del antojo</t>
  </si>
  <si>
    <t>choriboni</t>
  </si>
  <si>
    <t>Chorizo con papa/arepa</t>
  </si>
  <si>
    <t>abrir solo cuando hay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</si>
</sst>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#,##0_ ;[Red]\-#,##0\ "/>
    <numFmt numFmtId="167" formatCode="_-&quot;$&quot;\ * #,##0.0_-;\-&quot;$&quot;\ * #,##0.0_-;_-&quot;$&quot;\ * &quot;-&quot;??_-;_-@_-"/>
    <numFmt numFmtId="168" formatCode="0.0"/>
    <numFmt numFmtId="169" formatCode="0_ ;[Red]\-0\ 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indexed="10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 val="singleAccounting"/>
      <sz val="11"/>
      <color rgb="FF9C0006"/>
      <name val="Calibri"/>
      <family val="2"/>
      <scheme val="minor"/>
    </font>
    <font>
      <b/>
      <u val="singleAccounting"/>
      <sz val="11"/>
      <color rgb="FFC000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CC99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4" fillId="3" borderId="0" applyNumberFormat="0" applyBorder="0" applyAlignment="0" applyProtection="0"/>
    <xf numFmtId="0" fontId="6" fillId="5" borderId="0" applyNumberFormat="0" applyBorder="0" applyAlignment="0" applyProtection="0"/>
    <xf numFmtId="0" fontId="8" fillId="8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0">
    <xf numFmtId="0" fontId="0" fillId="0" borderId="0" xfId="0"/>
    <xf numFmtId="0" fontId="0" fillId="2" borderId="0" xfId="0" applyFill="1"/>
    <xf numFmtId="16" fontId="0" fillId="0" borderId="0" xfId="0" applyNumberFormat="1"/>
    <xf numFmtId="164" fontId="0" fillId="0" borderId="0" xfId="1" applyNumberFormat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4" fillId="3" borderId="0" xfId="2" applyNumberFormat="1"/>
    <xf numFmtId="0" fontId="0" fillId="0" borderId="0" xfId="0" pivotButton="1"/>
    <xf numFmtId="0" fontId="0" fillId="0" borderId="0" xfId="0" applyAlignment="1">
      <alignment horizontal="left" indent="1"/>
    </xf>
    <xf numFmtId="164" fontId="0" fillId="0" borderId="0" xfId="0" applyNumberFormat="1"/>
    <xf numFmtId="16" fontId="0" fillId="2" borderId="0" xfId="0" applyNumberFormat="1" applyFill="1"/>
    <xf numFmtId="164" fontId="0" fillId="2" borderId="0" xfId="1" applyNumberFormat="1" applyFont="1" applyFill="1"/>
    <xf numFmtId="164" fontId="0" fillId="0" borderId="0" xfId="1" applyNumberFormat="1" applyFont="1" applyFill="1"/>
    <xf numFmtId="164" fontId="6" fillId="5" borderId="0" xfId="3" applyNumberFormat="1"/>
    <xf numFmtId="164" fontId="0" fillId="6" borderId="0" xfId="1" applyNumberFormat="1" applyFont="1" applyFill="1"/>
    <xf numFmtId="0" fontId="2" fillId="0" borderId="0" xfId="0" applyFont="1"/>
    <xf numFmtId="164" fontId="2" fillId="0" borderId="0" xfId="1" applyNumberFormat="1" applyFont="1"/>
    <xf numFmtId="9" fontId="0" fillId="0" borderId="0" xfId="0" applyNumberFormat="1"/>
    <xf numFmtId="0" fontId="0" fillId="0" borderId="0" xfId="1" applyNumberFormat="1" applyFont="1"/>
    <xf numFmtId="0" fontId="0" fillId="4" borderId="0" xfId="0" applyFill="1"/>
    <xf numFmtId="164" fontId="0" fillId="7" borderId="0" xfId="1" applyNumberFormat="1" applyFont="1" applyFill="1"/>
    <xf numFmtId="164" fontId="0" fillId="0" borderId="1" xfId="1" applyNumberFormat="1" applyFont="1" applyBorder="1"/>
    <xf numFmtId="165" fontId="0" fillId="0" borderId="0" xfId="0" applyNumberFormat="1"/>
    <xf numFmtId="164" fontId="8" fillId="8" borderId="0" xfId="4" applyNumberFormat="1"/>
    <xf numFmtId="164" fontId="0" fillId="2" borderId="0" xfId="0" applyNumberFormat="1" applyFill="1"/>
    <xf numFmtId="0" fontId="0" fillId="9" borderId="0" xfId="0" applyFill="1"/>
    <xf numFmtId="0" fontId="0" fillId="10" borderId="0" xfId="0" applyFill="1"/>
    <xf numFmtId="18" fontId="0" fillId="0" borderId="0" xfId="0" applyNumberFormat="1"/>
    <xf numFmtId="18" fontId="0" fillId="2" borderId="0" xfId="0" applyNumberFormat="1" applyFill="1"/>
    <xf numFmtId="0" fontId="9" fillId="11" borderId="0" xfId="0" applyFont="1" applyFill="1"/>
    <xf numFmtId="164" fontId="9" fillId="11" borderId="0" xfId="1" applyNumberFormat="1" applyFont="1" applyFill="1"/>
    <xf numFmtId="14" fontId="0" fillId="0" borderId="0" xfId="0" applyNumberFormat="1" applyAlignment="1">
      <alignment horizontal="left"/>
    </xf>
    <xf numFmtId="166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10" fillId="11" borderId="0" xfId="1" applyNumberFormat="1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16" fontId="11" fillId="6" borderId="0" xfId="0" applyNumberFormat="1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9" fillId="11" borderId="0" xfId="0" applyFont="1" applyFill="1" applyAlignment="1">
      <alignment horizontal="center"/>
    </xf>
    <xf numFmtId="164" fontId="0" fillId="6" borderId="0" xfId="0" applyNumberFormat="1" applyFill="1"/>
    <xf numFmtId="164" fontId="0" fillId="6" borderId="1" xfId="0" applyNumberFormat="1" applyFill="1" applyBorder="1"/>
    <xf numFmtId="0" fontId="2" fillId="12" borderId="2" xfId="0" applyFont="1" applyFill="1" applyBorder="1"/>
    <xf numFmtId="22" fontId="0" fillId="0" borderId="0" xfId="0" applyNumberFormat="1"/>
    <xf numFmtId="16" fontId="2" fillId="0" borderId="0" xfId="0" applyNumberFormat="1" applyFont="1"/>
    <xf numFmtId="164" fontId="0" fillId="13" borderId="0" xfId="1" applyNumberFormat="1" applyFont="1" applyFill="1"/>
    <xf numFmtId="14" fontId="0" fillId="0" borderId="0" xfId="0" applyNumberFormat="1"/>
    <xf numFmtId="164" fontId="2" fillId="6" borderId="0" xfId="1" applyNumberFormat="1" applyFont="1" applyFill="1"/>
    <xf numFmtId="166" fontId="0" fillId="0" borderId="0" xfId="1" applyNumberFormat="1" applyFont="1"/>
    <xf numFmtId="166" fontId="9" fillId="11" borderId="0" xfId="1" applyNumberFormat="1" applyFont="1" applyFill="1"/>
    <xf numFmtId="166" fontId="0" fillId="6" borderId="0" xfId="1" applyNumberFormat="1" applyFont="1" applyFill="1"/>
    <xf numFmtId="0" fontId="2" fillId="0" borderId="0" xfId="0" applyFont="1" applyAlignment="1">
      <alignment horizontal="right"/>
    </xf>
    <xf numFmtId="164" fontId="0" fillId="0" borderId="2" xfId="0" applyNumberFormat="1" applyBorder="1"/>
    <xf numFmtId="164" fontId="8" fillId="8" borderId="2" xfId="4" applyNumberFormat="1" applyBorder="1"/>
    <xf numFmtId="164" fontId="12" fillId="6" borderId="0" xfId="0" applyNumberFormat="1" applyFont="1" applyFill="1"/>
    <xf numFmtId="14" fontId="0" fillId="2" borderId="0" xfId="0" applyNumberFormat="1" applyFill="1"/>
    <xf numFmtId="164" fontId="13" fillId="6" borderId="0" xfId="0" applyNumberFormat="1" applyFont="1" applyFill="1"/>
    <xf numFmtId="164" fontId="0" fillId="14" borderId="0" xfId="0" applyNumberFormat="1" applyFill="1"/>
    <xf numFmtId="164" fontId="0" fillId="15" borderId="0" xfId="1" applyNumberFormat="1" applyFont="1" applyFill="1"/>
    <xf numFmtId="166" fontId="0" fillId="2" borderId="0" xfId="1" applyNumberFormat="1" applyFont="1" applyFill="1"/>
    <xf numFmtId="0" fontId="12" fillId="0" borderId="0" xfId="0" applyFont="1"/>
    <xf numFmtId="0" fontId="0" fillId="0" borderId="0" xfId="0" applyAlignment="1">
      <alignment wrapText="1"/>
    </xf>
    <xf numFmtId="0" fontId="9" fillId="16" borderId="0" xfId="0" applyFont="1" applyFill="1"/>
    <xf numFmtId="166" fontId="9" fillId="16" borderId="0" xfId="1" applyNumberFormat="1" applyFont="1" applyFill="1"/>
    <xf numFmtId="0" fontId="0" fillId="17" borderId="0" xfId="0" applyFill="1"/>
    <xf numFmtId="166" fontId="0" fillId="17" borderId="0" xfId="1" applyNumberFormat="1" applyFont="1" applyFill="1"/>
    <xf numFmtId="164" fontId="0" fillId="17" borderId="0" xfId="1" applyNumberFormat="1" applyFont="1" applyFill="1"/>
    <xf numFmtId="166" fontId="0" fillId="18" borderId="0" xfId="1" applyNumberFormat="1" applyFont="1" applyFill="1"/>
    <xf numFmtId="164" fontId="0" fillId="18" borderId="0" xfId="1" applyNumberFormat="1" applyFont="1" applyFill="1"/>
    <xf numFmtId="0" fontId="0" fillId="18" borderId="0" xfId="0" applyFill="1"/>
    <xf numFmtId="165" fontId="0" fillId="0" borderId="0" xfId="5" applyNumberFormat="1" applyFont="1"/>
    <xf numFmtId="0" fontId="0" fillId="0" borderId="3" xfId="0" applyBorder="1"/>
    <xf numFmtId="0" fontId="0" fillId="0" borderId="4" xfId="0" applyBorder="1"/>
    <xf numFmtId="166" fontId="6" fillId="5" borderId="0" xfId="3" applyNumberFormat="1"/>
    <xf numFmtId="165" fontId="0" fillId="0" borderId="1" xfId="5" applyNumberFormat="1" applyFont="1" applyBorder="1"/>
    <xf numFmtId="165" fontId="0" fillId="2" borderId="0" xfId="5" applyNumberFormat="1" applyFont="1" applyFill="1"/>
    <xf numFmtId="164" fontId="0" fillId="0" borderId="0" xfId="1" quotePrefix="1" applyNumberFormat="1" applyFont="1"/>
    <xf numFmtId="17" fontId="0" fillId="0" borderId="0" xfId="0" applyNumberFormat="1"/>
    <xf numFmtId="164" fontId="0" fillId="9" borderId="0" xfId="1" applyNumberFormat="1" applyFont="1" applyFill="1"/>
    <xf numFmtId="164" fontId="0" fillId="20" borderId="0" xfId="1" applyNumberFormat="1" applyFont="1" applyFill="1"/>
    <xf numFmtId="164" fontId="13" fillId="2" borderId="0" xfId="0" applyNumberFormat="1" applyFont="1" applyFill="1"/>
    <xf numFmtId="164" fontId="13" fillId="6" borderId="1" xfId="0" applyNumberFormat="1" applyFont="1" applyFill="1" applyBorder="1"/>
    <xf numFmtId="0" fontId="0" fillId="21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0" fillId="19" borderId="3" xfId="0" applyFont="1" applyFill="1" applyBorder="1" applyAlignment="1">
      <alignment vertical="center"/>
    </xf>
    <xf numFmtId="0" fontId="10" fillId="19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0" xfId="1" applyNumberFormat="1" applyFont="1" applyAlignment="1">
      <alignment horizontal="center"/>
    </xf>
    <xf numFmtId="164" fontId="10" fillId="22" borderId="0" xfId="1" applyNumberFormat="1" applyFont="1" applyFill="1" applyAlignment="1">
      <alignment horizontal="center"/>
    </xf>
    <xf numFmtId="0" fontId="10" fillId="22" borderId="0" xfId="1" applyNumberFormat="1" applyFont="1" applyFill="1" applyAlignment="1">
      <alignment horizontal="center"/>
    </xf>
    <xf numFmtId="0" fontId="10" fillId="22" borderId="0" xfId="0" applyFont="1" applyFill="1" applyAlignment="1">
      <alignment horizontal="center"/>
    </xf>
    <xf numFmtId="164" fontId="0" fillId="17" borderId="0" xfId="1" applyNumberFormat="1" applyFont="1" applyFill="1" applyAlignment="1">
      <alignment horizontal="center"/>
    </xf>
    <xf numFmtId="0" fontId="0" fillId="17" borderId="0" xfId="0" applyFill="1" applyAlignment="1">
      <alignment horizontal="center"/>
    </xf>
    <xf numFmtId="166" fontId="0" fillId="0" borderId="0" xfId="1" applyNumberFormat="1" applyFont="1" applyBorder="1"/>
    <xf numFmtId="166" fontId="12" fillId="0" borderId="0" xfId="1" applyNumberFormat="1" applyFont="1"/>
    <xf numFmtId="166" fontId="0" fillId="14" borderId="0" xfId="1" applyNumberFormat="1" applyFont="1" applyFill="1"/>
    <xf numFmtId="0" fontId="0" fillId="0" borderId="5" xfId="0" applyBorder="1"/>
    <xf numFmtId="0" fontId="0" fillId="12" borderId="5" xfId="0" applyFill="1" applyBorder="1"/>
    <xf numFmtId="0" fontId="0" fillId="2" borderId="5" xfId="0" applyFill="1" applyBorder="1"/>
    <xf numFmtId="164" fontId="0" fillId="17" borderId="0" xfId="0" applyNumberFormat="1" applyFill="1"/>
    <xf numFmtId="0" fontId="10" fillId="19" borderId="3" xfId="0" applyFont="1" applyFill="1" applyBorder="1" applyAlignment="1">
      <alignment horizontal="center" vertical="center"/>
    </xf>
    <xf numFmtId="0" fontId="6" fillId="5" borderId="3" xfId="3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" fontId="0" fillId="0" borderId="0" xfId="1" applyNumberFormat="1" applyFont="1"/>
    <xf numFmtId="0" fontId="0" fillId="2" borderId="0" xfId="0" applyFill="1" applyAlignment="1">
      <alignment horizontal="center"/>
    </xf>
    <xf numFmtId="44" fontId="0" fillId="17" borderId="0" xfId="1" applyFont="1" applyFill="1"/>
    <xf numFmtId="164" fontId="0" fillId="4" borderId="0" xfId="1" applyNumberFormat="1" applyFont="1" applyFill="1"/>
    <xf numFmtId="0" fontId="2" fillId="0" borderId="0" xfId="0" applyFont="1" applyAlignment="1">
      <alignment vertical="center" wrapText="1"/>
    </xf>
    <xf numFmtId="164" fontId="9" fillId="19" borderId="0" xfId="1" applyNumberFormat="1" applyFont="1" applyFill="1" applyAlignment="1">
      <alignment vertical="center" wrapText="1"/>
    </xf>
    <xf numFmtId="164" fontId="9" fillId="24" borderId="0" xfId="1" applyNumberFormat="1" applyFont="1" applyFill="1" applyAlignment="1">
      <alignment vertical="center" wrapText="1"/>
    </xf>
    <xf numFmtId="164" fontId="2" fillId="0" borderId="0" xfId="1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4" fontId="0" fillId="0" borderId="0" xfId="1" applyFont="1"/>
    <xf numFmtId="164" fontId="2" fillId="0" borderId="0" xfId="1" applyNumberFormat="1" applyFont="1" applyAlignment="1">
      <alignment horizontal="center" vertical="center" wrapText="1"/>
    </xf>
    <xf numFmtId="9" fontId="0" fillId="0" borderId="0" xfId="6" applyFont="1" applyAlignment="1">
      <alignment horizontal="center"/>
    </xf>
    <xf numFmtId="0" fontId="0" fillId="2" borderId="0" xfId="0" applyFill="1" applyAlignment="1">
      <alignment vertical="center" wrapText="1"/>
    </xf>
    <xf numFmtId="164" fontId="3" fillId="4" borderId="3" xfId="1" applyNumberFormat="1" applyFont="1" applyFill="1" applyBorder="1"/>
    <xf numFmtId="0" fontId="0" fillId="4" borderId="3" xfId="0" applyFill="1" applyBorder="1"/>
    <xf numFmtId="0" fontId="2" fillId="2" borderId="3" xfId="0" applyFont="1" applyFill="1" applyBorder="1" applyAlignment="1">
      <alignment horizontal="center"/>
    </xf>
    <xf numFmtId="164" fontId="3" fillId="0" borderId="0" xfId="1" applyNumberFormat="1" applyFont="1"/>
    <xf numFmtId="164" fontId="0" fillId="0" borderId="3" xfId="1" applyNumberFormat="1" applyFont="1" applyBorder="1"/>
    <xf numFmtId="164" fontId="2" fillId="2" borderId="3" xfId="1" applyNumberFormat="1" applyFont="1" applyFill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4" fontId="0" fillId="0" borderId="0" xfId="1" applyNumberFormat="1" applyFont="1" applyBorder="1"/>
    <xf numFmtId="0" fontId="0" fillId="0" borderId="10" xfId="0" applyBorder="1"/>
    <xf numFmtId="164" fontId="0" fillId="0" borderId="10" xfId="1" applyNumberFormat="1" applyFont="1" applyBorder="1"/>
    <xf numFmtId="164" fontId="0" fillId="0" borderId="0" xfId="1" applyNumberFormat="1" applyFont="1" applyFill="1" applyBorder="1"/>
    <xf numFmtId="164" fontId="0" fillId="2" borderId="0" xfId="1" applyNumberFormat="1" applyFont="1" applyFill="1" applyBorder="1"/>
    <xf numFmtId="164" fontId="1" fillId="0" borderId="0" xfId="1" applyNumberFormat="1" applyFont="1" applyBorder="1" applyAlignment="1">
      <alignment horizontal="center"/>
    </xf>
    <xf numFmtId="164" fontId="4" fillId="3" borderId="0" xfId="2" applyNumberFormat="1" applyBorder="1"/>
    <xf numFmtId="164" fontId="0" fillId="0" borderId="4" xfId="1" applyNumberFormat="1" applyFont="1" applyBorder="1"/>
    <xf numFmtId="0" fontId="0" fillId="0" borderId="12" xfId="0" applyBorder="1"/>
    <xf numFmtId="0" fontId="2" fillId="2" borderId="13" xfId="0" applyFont="1" applyFill="1" applyBorder="1" applyAlignment="1">
      <alignment horizontal="center"/>
    </xf>
    <xf numFmtId="16" fontId="0" fillId="0" borderId="14" xfId="0" applyNumberFormat="1" applyBorder="1" applyAlignment="1">
      <alignment horizontal="center"/>
    </xf>
    <xf numFmtId="16" fontId="0" fillId="0" borderId="15" xfId="0" applyNumberFormat="1" applyBorder="1" applyAlignment="1">
      <alignment horizontal="center"/>
    </xf>
    <xf numFmtId="164" fontId="2" fillId="2" borderId="13" xfId="1" applyNumberFormat="1" applyFont="1" applyFill="1" applyBorder="1" applyAlignment="1">
      <alignment horizontal="center"/>
    </xf>
    <xf numFmtId="164" fontId="0" fillId="0" borderId="14" xfId="1" applyNumberFormat="1" applyFont="1" applyBorder="1"/>
    <xf numFmtId="164" fontId="0" fillId="2" borderId="14" xfId="1" applyNumberFormat="1" applyFont="1" applyFill="1" applyBorder="1"/>
    <xf numFmtId="164" fontId="8" fillId="8" borderId="14" xfId="4" applyNumberFormat="1" applyBorder="1"/>
    <xf numFmtId="164" fontId="6" fillId="5" borderId="14" xfId="3" applyNumberFormat="1" applyBorder="1"/>
    <xf numFmtId="164" fontId="4" fillId="3" borderId="14" xfId="2" applyNumberFormat="1" applyBorder="1"/>
    <xf numFmtId="164" fontId="0" fillId="0" borderId="15" xfId="1" applyNumberFormat="1" applyFont="1" applyBorder="1"/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horizontal="left"/>
    </xf>
    <xf numFmtId="0" fontId="2" fillId="0" borderId="14" xfId="0" applyFont="1" applyBorder="1"/>
    <xf numFmtId="0" fontId="2" fillId="0" borderId="14" xfId="0" applyFont="1" applyBorder="1" applyAlignment="1">
      <alignment horizontal="left"/>
    </xf>
    <xf numFmtId="0" fontId="0" fillId="2" borderId="14" xfId="0" applyFill="1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8" fillId="4" borderId="3" xfId="0" applyFont="1" applyFill="1" applyBorder="1"/>
    <xf numFmtId="164" fontId="2" fillId="4" borderId="0" xfId="1" applyNumberFormat="1" applyFont="1" applyFill="1"/>
    <xf numFmtId="0" fontId="0" fillId="25" borderId="3" xfId="0" applyFill="1" applyBorder="1"/>
    <xf numFmtId="164" fontId="0" fillId="25" borderId="3" xfId="1" applyNumberFormat="1" applyFont="1" applyFill="1" applyBorder="1"/>
    <xf numFmtId="164" fontId="2" fillId="25" borderId="3" xfId="1" applyNumberFormat="1" applyFont="1" applyFill="1" applyBorder="1"/>
    <xf numFmtId="0" fontId="0" fillId="20" borderId="3" xfId="0" applyFill="1" applyBorder="1"/>
    <xf numFmtId="164" fontId="2" fillId="20" borderId="3" xfId="1" applyNumberFormat="1" applyFont="1" applyFill="1" applyBorder="1"/>
    <xf numFmtId="164" fontId="2" fillId="0" borderId="0" xfId="1" applyNumberFormat="1" applyFont="1" applyFill="1"/>
    <xf numFmtId="0" fontId="0" fillId="17" borderId="3" xfId="0" applyFill="1" applyBorder="1"/>
    <xf numFmtId="164" fontId="0" fillId="17" borderId="3" xfId="1" applyNumberFormat="1" applyFont="1" applyFill="1" applyBorder="1"/>
    <xf numFmtId="164" fontId="0" fillId="0" borderId="10" xfId="1" applyNumberFormat="1" applyFont="1" applyBorder="1" applyAlignment="1">
      <alignment horizontal="left" indent="15"/>
    </xf>
    <xf numFmtId="164" fontId="0" fillId="0" borderId="12" xfId="1" applyNumberFormat="1" applyFont="1" applyBorder="1" applyAlignment="1">
      <alignment horizontal="left" indent="15"/>
    </xf>
    <xf numFmtId="164" fontId="18" fillId="4" borderId="3" xfId="0" applyNumberFormat="1" applyFont="1" applyFill="1" applyBorder="1" applyAlignment="1">
      <alignment horizontal="left" indent="15"/>
    </xf>
    <xf numFmtId="0" fontId="0" fillId="9" borderId="3" xfId="0" applyFill="1" applyBorder="1" applyAlignment="1">
      <alignment horizontal="center"/>
    </xf>
    <xf numFmtId="0" fontId="19" fillId="25" borderId="3" xfId="0" applyFont="1" applyFill="1" applyBorder="1" applyAlignment="1">
      <alignment horizontal="center"/>
    </xf>
    <xf numFmtId="0" fontId="2" fillId="2" borderId="0" xfId="0" applyFont="1" applyFill="1"/>
    <xf numFmtId="164" fontId="21" fillId="23" borderId="3" xfId="1" applyNumberFormat="1" applyFont="1" applyFill="1" applyBorder="1"/>
    <xf numFmtId="164" fontId="21" fillId="23" borderId="0" xfId="0" applyNumberFormat="1" applyFont="1" applyFill="1"/>
    <xf numFmtId="0" fontId="0" fillId="26" borderId="0" xfId="0" applyFill="1"/>
    <xf numFmtId="166" fontId="0" fillId="26" borderId="0" xfId="1" applyNumberFormat="1" applyFont="1" applyFill="1"/>
    <xf numFmtId="164" fontId="2" fillId="17" borderId="0" xfId="1" applyNumberFormat="1" applyFont="1" applyFill="1"/>
    <xf numFmtId="164" fontId="2" fillId="17" borderId="0" xfId="0" applyNumberFormat="1" applyFont="1" applyFill="1"/>
    <xf numFmtId="164" fontId="4" fillId="3" borderId="1" xfId="2" applyNumberFormat="1" applyBorder="1"/>
    <xf numFmtId="164" fontId="8" fillId="8" borderId="1" xfId="4" applyNumberFormat="1" applyBorder="1"/>
    <xf numFmtId="164" fontId="19" fillId="6" borderId="0" xfId="0" applyNumberFormat="1" applyFont="1" applyFill="1"/>
    <xf numFmtId="164" fontId="22" fillId="6" borderId="0" xfId="0" applyNumberFormat="1" applyFont="1" applyFill="1"/>
    <xf numFmtId="0" fontId="6" fillId="5" borderId="0" xfId="3" applyAlignment="1">
      <alignment horizontal="center"/>
    </xf>
    <xf numFmtId="166" fontId="0" fillId="0" borderId="0" xfId="1" applyNumberFormat="1" applyFont="1" applyFill="1"/>
    <xf numFmtId="164" fontId="24" fillId="9" borderId="0" xfId="1" applyNumberFormat="1" applyFont="1" applyFill="1"/>
    <xf numFmtId="16" fontId="0" fillId="0" borderId="0" xfId="0" applyNumberFormat="1" applyAlignment="1">
      <alignment horizontal="center"/>
    </xf>
    <xf numFmtId="165" fontId="0" fillId="26" borderId="8" xfId="5" applyNumberFormat="1" applyFont="1" applyFill="1" applyBorder="1"/>
    <xf numFmtId="165" fontId="0" fillId="26" borderId="10" xfId="5" applyNumberFormat="1" applyFont="1" applyFill="1" applyBorder="1"/>
    <xf numFmtId="166" fontId="0" fillId="26" borderId="10" xfId="1" applyNumberFormat="1" applyFont="1" applyFill="1" applyBorder="1"/>
    <xf numFmtId="165" fontId="0" fillId="26" borderId="12" xfId="5" applyNumberFormat="1" applyFont="1" applyFill="1" applyBorder="1"/>
    <xf numFmtId="0" fontId="0" fillId="0" borderId="6" xfId="0" applyBorder="1"/>
    <xf numFmtId="16" fontId="0" fillId="0" borderId="7" xfId="0" applyNumberFormat="1" applyBorder="1"/>
    <xf numFmtId="0" fontId="0" fillId="26" borderId="7" xfId="0" applyFill="1" applyBorder="1"/>
    <xf numFmtId="0" fontId="0" fillId="0" borderId="7" xfId="0" applyBorder="1"/>
    <xf numFmtId="166" fontId="0" fillId="0" borderId="7" xfId="1" applyNumberFormat="1" applyFont="1" applyBorder="1"/>
    <xf numFmtId="0" fontId="0" fillId="0" borderId="9" xfId="0" applyBorder="1"/>
    <xf numFmtId="0" fontId="0" fillId="0" borderId="11" xfId="0" applyBorder="1"/>
    <xf numFmtId="16" fontId="0" fillId="0" borderId="4" xfId="0" applyNumberFormat="1" applyBorder="1"/>
    <xf numFmtId="0" fontId="0" fillId="26" borderId="4" xfId="0" applyFill="1" applyBorder="1"/>
    <xf numFmtId="166" fontId="0" fillId="0" borderId="4" xfId="1" applyNumberFormat="1" applyFont="1" applyBorder="1"/>
    <xf numFmtId="164" fontId="0" fillId="27" borderId="3" xfId="1" applyNumberFormat="1" applyFont="1" applyFill="1" applyBorder="1"/>
    <xf numFmtId="0" fontId="2" fillId="0" borderId="3" xfId="0" applyFont="1" applyBorder="1"/>
    <xf numFmtId="0" fontId="2" fillId="28" borderId="0" xfId="0" applyFont="1" applyFill="1"/>
    <xf numFmtId="0" fontId="25" fillId="3" borderId="0" xfId="2" applyFont="1"/>
    <xf numFmtId="164" fontId="2" fillId="0" borderId="3" xfId="1" applyNumberFormat="1" applyFont="1" applyFill="1" applyBorder="1"/>
    <xf numFmtId="0" fontId="2" fillId="27" borderId="3" xfId="0" applyFont="1" applyFill="1" applyBorder="1"/>
    <xf numFmtId="0" fontId="0" fillId="27" borderId="3" xfId="0" applyFill="1" applyBorder="1"/>
    <xf numFmtId="164" fontId="2" fillId="27" borderId="3" xfId="1" applyNumberFormat="1" applyFont="1" applyFill="1" applyBorder="1"/>
    <xf numFmtId="164" fontId="9" fillId="29" borderId="3" xfId="1" applyNumberFormat="1" applyFont="1" applyFill="1" applyBorder="1"/>
    <xf numFmtId="0" fontId="2" fillId="4" borderId="3" xfId="0" applyFont="1" applyFill="1" applyBorder="1"/>
    <xf numFmtId="164" fontId="2" fillId="4" borderId="3" xfId="1" applyNumberFormat="1" applyFont="1" applyFill="1" applyBorder="1"/>
    <xf numFmtId="16" fontId="0" fillId="0" borderId="0" xfId="0" applyNumberFormat="1" applyAlignment="1">
      <alignment horizontal="left"/>
    </xf>
    <xf numFmtId="0" fontId="2" fillId="17" borderId="3" xfId="0" applyFont="1" applyFill="1" applyBorder="1"/>
    <xf numFmtId="164" fontId="2" fillId="17" borderId="3" xfId="1" applyNumberFormat="1" applyFont="1" applyFill="1" applyBorder="1"/>
    <xf numFmtId="164" fontId="0" fillId="0" borderId="3" xfId="1" applyNumberFormat="1" applyFont="1" applyFill="1" applyBorder="1"/>
    <xf numFmtId="0" fontId="0" fillId="30" borderId="0" xfId="0" applyFill="1"/>
    <xf numFmtId="166" fontId="6" fillId="0" borderId="0" xfId="3" applyNumberFormat="1" applyFill="1"/>
    <xf numFmtId="164" fontId="0" fillId="7" borderId="0" xfId="1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167" fontId="0" fillId="7" borderId="0" xfId="1" applyNumberFormat="1" applyFont="1" applyFill="1"/>
    <xf numFmtId="0" fontId="0" fillId="7" borderId="0" xfId="1" applyNumberFormat="1" applyFont="1" applyFill="1" applyAlignment="1">
      <alignment horizontal="center"/>
    </xf>
    <xf numFmtId="0" fontId="0" fillId="7" borderId="0" xfId="0" applyFill="1"/>
    <xf numFmtId="14" fontId="0" fillId="4" borderId="0" xfId="0" applyNumberFormat="1" applyFill="1"/>
    <xf numFmtId="164" fontId="0" fillId="4" borderId="0" xfId="1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1" applyNumberFormat="1" applyFont="1" applyFill="1" applyAlignment="1">
      <alignment horizontal="center"/>
    </xf>
    <xf numFmtId="14" fontId="0" fillId="20" borderId="0" xfId="0" applyNumberFormat="1" applyFill="1"/>
    <xf numFmtId="0" fontId="0" fillId="20" borderId="0" xfId="0" applyFill="1"/>
    <xf numFmtId="164" fontId="0" fillId="20" borderId="0" xfId="1" applyNumberFormat="1" applyFont="1" applyFill="1" applyAlignment="1">
      <alignment horizontal="center"/>
    </xf>
    <xf numFmtId="0" fontId="0" fillId="20" borderId="0" xfId="0" applyFill="1" applyAlignment="1">
      <alignment horizontal="center"/>
    </xf>
    <xf numFmtId="0" fontId="0" fillId="20" borderId="0" xfId="1" applyNumberFormat="1" applyFont="1" applyFill="1" applyAlignment="1">
      <alignment horizontal="center"/>
    </xf>
    <xf numFmtId="14" fontId="0" fillId="7" borderId="0" xfId="0" applyNumberFormat="1" applyFill="1"/>
    <xf numFmtId="0" fontId="2" fillId="7" borderId="0" xfId="0" applyFont="1" applyFill="1"/>
    <xf numFmtId="0" fontId="17" fillId="7" borderId="0" xfId="0" applyFont="1" applyFill="1"/>
    <xf numFmtId="0" fontId="16" fillId="7" borderId="0" xfId="0" applyFont="1" applyFill="1"/>
    <xf numFmtId="0" fontId="15" fillId="7" borderId="0" xfId="0" applyFont="1" applyFill="1"/>
    <xf numFmtId="14" fontId="0" fillId="25" borderId="0" xfId="0" applyNumberFormat="1" applyFill="1"/>
    <xf numFmtId="0" fontId="2" fillId="25" borderId="0" xfId="0" applyFont="1" applyFill="1"/>
    <xf numFmtId="0" fontId="0" fillId="25" borderId="0" xfId="0" applyFill="1"/>
    <xf numFmtId="164" fontId="0" fillId="25" borderId="0" xfId="1" applyNumberFormat="1" applyFont="1" applyFill="1" applyAlignment="1">
      <alignment horizontal="center"/>
    </xf>
    <xf numFmtId="0" fontId="0" fillId="25" borderId="0" xfId="0" applyFill="1" applyAlignment="1">
      <alignment horizontal="center"/>
    </xf>
    <xf numFmtId="164" fontId="0" fillId="25" borderId="0" xfId="1" applyNumberFormat="1" applyFont="1" applyFill="1"/>
    <xf numFmtId="44" fontId="0" fillId="25" borderId="0" xfId="1" applyFont="1" applyFill="1"/>
    <xf numFmtId="0" fontId="0" fillId="25" borderId="0" xfId="1" applyNumberFormat="1" applyFont="1" applyFill="1" applyAlignment="1">
      <alignment horizontal="center"/>
    </xf>
    <xf numFmtId="0" fontId="17" fillId="25" borderId="0" xfId="0" applyFont="1" applyFill="1"/>
    <xf numFmtId="0" fontId="16" fillId="25" borderId="0" xfId="0" applyFont="1" applyFill="1"/>
    <xf numFmtId="0" fontId="15" fillId="25" borderId="0" xfId="0" applyFont="1" applyFill="1"/>
    <xf numFmtId="168" fontId="0" fillId="17" borderId="0" xfId="0" applyNumberFormat="1" applyFill="1" applyAlignment="1">
      <alignment horizontal="center"/>
    </xf>
    <xf numFmtId="2" fontId="0" fillId="17" borderId="0" xfId="1" applyNumberFormat="1" applyFont="1" applyFill="1" applyAlignment="1">
      <alignment horizontal="center"/>
    </xf>
    <xf numFmtId="20" fontId="0" fillId="0" borderId="0" xfId="0" applyNumberFormat="1"/>
    <xf numFmtId="14" fontId="0" fillId="18" borderId="0" xfId="0" applyNumberFormat="1" applyFill="1"/>
    <xf numFmtId="164" fontId="0" fillId="18" borderId="0" xfId="1" applyNumberFormat="1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18" borderId="0" xfId="1" applyNumberFormat="1" applyFont="1" applyFill="1" applyAlignment="1">
      <alignment horizontal="center"/>
    </xf>
    <xf numFmtId="14" fontId="0" fillId="33" borderId="0" xfId="0" applyNumberFormat="1" applyFill="1"/>
    <xf numFmtId="0" fontId="0" fillId="33" borderId="0" xfId="0" applyFill="1"/>
    <xf numFmtId="164" fontId="0" fillId="33" borderId="0" xfId="1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4" fontId="0" fillId="33" borderId="0" xfId="1" applyNumberFormat="1" applyFont="1" applyFill="1"/>
    <xf numFmtId="44" fontId="0" fillId="33" borderId="0" xfId="1" applyFont="1" applyFill="1"/>
    <xf numFmtId="0" fontId="10" fillId="32" borderId="0" xfId="0" applyFont="1" applyFill="1" applyAlignment="1">
      <alignment horizontal="center"/>
    </xf>
    <xf numFmtId="0" fontId="10" fillId="31" borderId="0" xfId="0" applyFont="1" applyFill="1" applyAlignment="1">
      <alignment horizontal="center"/>
    </xf>
    <xf numFmtId="164" fontId="13" fillId="21" borderId="14" xfId="4" applyNumberFormat="1" applyFont="1" applyFill="1" applyBorder="1"/>
    <xf numFmtId="0" fontId="27" fillId="29" borderId="0" xfId="0" applyFont="1" applyFill="1" applyAlignment="1">
      <alignment horizontal="center" vertical="center" wrapText="1"/>
    </xf>
    <xf numFmtId="0" fontId="27" fillId="34" borderId="0" xfId="0" applyFont="1" applyFill="1" applyAlignment="1">
      <alignment horizontal="center" vertical="center" wrapText="1"/>
    </xf>
    <xf numFmtId="0" fontId="28" fillId="14" borderId="0" xfId="0" applyFont="1" applyFill="1" applyAlignment="1">
      <alignment horizontal="center" vertical="center" wrapText="1"/>
    </xf>
    <xf numFmtId="169" fontId="0" fillId="25" borderId="0" xfId="0" applyNumberFormat="1" applyFill="1" applyAlignment="1">
      <alignment horizontal="center"/>
    </xf>
    <xf numFmtId="0" fontId="2" fillId="25" borderId="0" xfId="0" applyFont="1" applyFill="1" applyAlignment="1">
      <alignment horizontal="center"/>
    </xf>
    <xf numFmtId="169" fontId="2" fillId="25" borderId="0" xfId="0" applyNumberFormat="1" applyFont="1" applyFill="1" applyAlignment="1">
      <alignment horizontal="center"/>
    </xf>
    <xf numFmtId="165" fontId="0" fillId="0" borderId="0" xfId="5" applyNumberFormat="1" applyFont="1" applyAlignment="1">
      <alignment horizontal="left" indent="4"/>
    </xf>
    <xf numFmtId="0" fontId="12" fillId="7" borderId="0" xfId="0" applyFont="1" applyFill="1" applyAlignment="1">
      <alignment horizontal="center"/>
    </xf>
    <xf numFmtId="0" fontId="2" fillId="35" borderId="0" xfId="0" applyFont="1" applyFill="1"/>
    <xf numFmtId="0" fontId="0" fillId="35" borderId="0" xfId="0" applyFill="1" applyAlignment="1">
      <alignment horizontal="center"/>
    </xf>
    <xf numFmtId="169" fontId="0" fillId="18" borderId="0" xfId="0" applyNumberFormat="1" applyFill="1" applyAlignment="1">
      <alignment horizontal="center"/>
    </xf>
    <xf numFmtId="0" fontId="18" fillId="30" borderId="0" xfId="0" applyFont="1" applyFill="1" applyAlignment="1">
      <alignment horizontal="center"/>
    </xf>
    <xf numFmtId="0" fontId="2" fillId="35" borderId="0" xfId="0" applyFont="1" applyFill="1" applyAlignment="1">
      <alignment horizontal="center"/>
    </xf>
    <xf numFmtId="169" fontId="0" fillId="7" borderId="0" xfId="0" applyNumberFormat="1" applyFill="1" applyAlignment="1">
      <alignment horizontal="center"/>
    </xf>
    <xf numFmtId="164" fontId="26" fillId="8" borderId="0" xfId="4" applyNumberFormat="1" applyFont="1" applyAlignment="1">
      <alignment horizontal="center" vertical="center" wrapText="1"/>
    </xf>
    <xf numFmtId="164" fontId="26" fillId="8" borderId="1" xfId="4" applyNumberFormat="1" applyFont="1" applyBorder="1" applyAlignment="1">
      <alignment horizontal="center" vertical="center" wrapText="1"/>
    </xf>
    <xf numFmtId="164" fontId="4" fillId="3" borderId="0" xfId="2" applyNumberFormat="1" applyAlignment="1">
      <alignment horizontal="center" vertical="center" wrapText="1"/>
    </xf>
    <xf numFmtId="164" fontId="4" fillId="3" borderId="1" xfId="2" applyNumberFormat="1" applyBorder="1" applyAlignment="1">
      <alignment horizontal="center" vertical="center" wrapText="1"/>
    </xf>
    <xf numFmtId="164" fontId="8" fillId="8" borderId="0" xfId="4" applyNumberFormat="1" applyAlignment="1">
      <alignment horizontal="center" vertical="center" wrapText="1"/>
    </xf>
    <xf numFmtId="164" fontId="8" fillId="8" borderId="1" xfId="4" applyNumberFormat="1" applyBorder="1" applyAlignment="1">
      <alignment horizontal="center" vertical="center" wrapText="1"/>
    </xf>
    <xf numFmtId="164" fontId="23" fillId="8" borderId="0" xfId="4" applyNumberFormat="1" applyFont="1" applyAlignment="1">
      <alignment horizontal="center" vertical="center" wrapText="1"/>
    </xf>
    <xf numFmtId="164" fontId="23" fillId="8" borderId="1" xfId="4" applyNumberFormat="1" applyFont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0" fontId="9" fillId="29" borderId="3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7" borderId="3" xfId="0" applyFill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0" borderId="15" xfId="1" applyNumberFormat="1" applyFont="1" applyBorder="1" applyAlignment="1">
      <alignment horizontal="center" vertical="center"/>
    </xf>
    <xf numFmtId="0" fontId="29" fillId="29" borderId="0" xfId="0" applyFont="1" applyFill="1"/>
    <xf numFmtId="164" fontId="29" fillId="29" borderId="0" xfId="1" applyNumberFormat="1" applyFont="1" applyFill="1"/>
    <xf numFmtId="164" fontId="30" fillId="31" borderId="0" xfId="1" applyNumberFormat="1" applyFont="1" applyFill="1"/>
    <xf numFmtId="164" fontId="11" fillId="14" borderId="0" xfId="1" applyNumberFormat="1" applyFont="1" applyFill="1"/>
  </cellXfs>
  <cellStyles count="7">
    <cellStyle name="Bueno" xfId="3" builtinId="26"/>
    <cellStyle name="Incorrecto" xfId="4" builtinId="27"/>
    <cellStyle name="Millares" xfId="5" builtinId="3"/>
    <cellStyle name="Moneda" xfId="1" builtinId="4"/>
    <cellStyle name="Neutral" xfId="2" builtinId="28"/>
    <cellStyle name="Normal" xfId="0" builtinId="0"/>
    <cellStyle name="Porcentaje" xfId="6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8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1F2"/>
          <bgColor rgb="FF000000"/>
        </patternFill>
      </fill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64" formatCode="_-&quot;$&quot;\ * #,##0_-;\-&quot;$&quot;\ * #,##0_-;_-&quot;$&quot;\ * &quot;-&quot;??_-;_-@_-"/>
    </dxf>
    <dxf>
      <numFmt numFmtId="167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67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colors>
    <mruColors>
      <color rgb="FF9966FF"/>
      <color rgb="FFCCCCFF"/>
      <color rgb="FFCC99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5.xml"/><Relationship Id="rId47" Type="http://schemas.openxmlformats.org/officeDocument/2006/relationships/styles" Target="styles.xml"/><Relationship Id="rId50" Type="http://schemas.openxmlformats.org/officeDocument/2006/relationships/powerPivotData" Target="model/item.data"/><Relationship Id="rId55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1.xml"/><Relationship Id="rId46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pivotCacheDefinition" Target="pivotCache/pivotCacheDefinition4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pivotCacheDefinition" Target="pivotCache/pivotCacheDefinition3.xml"/><Relationship Id="rId45" Type="http://schemas.openxmlformats.org/officeDocument/2006/relationships/theme" Target="theme/theme1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eetMetadata" Target="metadata.xml"/><Relationship Id="rId57" Type="http://schemas.openxmlformats.org/officeDocument/2006/relationships/customXml" Target="../customXml/item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7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6.xml"/><Relationship Id="rId48" Type="http://schemas.openxmlformats.org/officeDocument/2006/relationships/sharedStrings" Target="sharedStrings.xml"/><Relationship Id="rId56" Type="http://schemas.openxmlformats.org/officeDocument/2006/relationships/customXml" Target="../customXml/item5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shboard%20Choriboni%20Parril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"/>
      <sheetName val="facturas"/>
      <sheetName val="transacciones_NOMINA"/>
      <sheetName val="transacciones_PATRI-SERVICIOS"/>
      <sheetName val="transacciones_GASTOS"/>
      <sheetName val="transacciones_EGRESO"/>
      <sheetName val="inf_Libro Auxiliar"/>
      <sheetName val="entradas"/>
      <sheetName val="Informe"/>
      <sheetName val="historial de venta"/>
      <sheetName val="Informe_ventas"/>
      <sheetName val="Informe_dto"/>
      <sheetName val="Informe_dto_dia"/>
      <sheetName val="url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fecha</v>
          </cell>
        </row>
        <row r="4">
          <cell r="A4">
            <v>46076</v>
          </cell>
        </row>
        <row r="5">
          <cell r="A5">
            <v>46077</v>
          </cell>
          <cell r="G5">
            <v>41500</v>
          </cell>
        </row>
        <row r="6">
          <cell r="A6">
            <v>46078</v>
          </cell>
          <cell r="G6">
            <v>88000</v>
          </cell>
        </row>
        <row r="7">
          <cell r="A7">
            <v>46079</v>
          </cell>
          <cell r="G7">
            <v>213000</v>
          </cell>
        </row>
        <row r="8">
          <cell r="A8">
            <v>46080</v>
          </cell>
          <cell r="G8">
            <v>258000</v>
          </cell>
        </row>
        <row r="9">
          <cell r="A9">
            <v>46081</v>
          </cell>
          <cell r="G9">
            <v>538000</v>
          </cell>
        </row>
        <row r="10">
          <cell r="A10">
            <v>46081</v>
          </cell>
          <cell r="G10">
            <v>585000</v>
          </cell>
        </row>
        <row r="11">
          <cell r="A11">
            <v>46084</v>
          </cell>
          <cell r="G11">
            <v>-34850</v>
          </cell>
        </row>
        <row r="12">
          <cell r="A12">
            <v>46084</v>
          </cell>
          <cell r="G12">
            <v>45150</v>
          </cell>
        </row>
        <row r="13">
          <cell r="A13">
            <v>46085</v>
          </cell>
          <cell r="G13">
            <v>162150</v>
          </cell>
        </row>
        <row r="14">
          <cell r="A14">
            <v>46086</v>
          </cell>
          <cell r="G14">
            <v>293650</v>
          </cell>
        </row>
        <row r="15">
          <cell r="A15">
            <v>46088</v>
          </cell>
          <cell r="G15">
            <v>364650</v>
          </cell>
        </row>
        <row r="16">
          <cell r="A16">
            <v>46089</v>
          </cell>
          <cell r="G16">
            <v>502650</v>
          </cell>
        </row>
        <row r="17">
          <cell r="A17">
            <v>46091</v>
          </cell>
          <cell r="G17">
            <v>592650</v>
          </cell>
        </row>
        <row r="18">
          <cell r="A18">
            <v>46091</v>
          </cell>
          <cell r="G18">
            <v>180650</v>
          </cell>
        </row>
        <row r="19">
          <cell r="A19">
            <v>46091</v>
          </cell>
          <cell r="G19">
            <v>221650</v>
          </cell>
        </row>
        <row r="20">
          <cell r="A20">
            <v>46092</v>
          </cell>
          <cell r="G20">
            <v>334650</v>
          </cell>
        </row>
        <row r="21">
          <cell r="A21">
            <v>46093</v>
          </cell>
          <cell r="G21">
            <v>404650</v>
          </cell>
        </row>
        <row r="22">
          <cell r="A22">
            <v>46095</v>
          </cell>
          <cell r="G22">
            <v>497650</v>
          </cell>
        </row>
        <row r="23">
          <cell r="A23">
            <v>46096</v>
          </cell>
          <cell r="G23">
            <v>552650</v>
          </cell>
        </row>
        <row r="24">
          <cell r="A24">
            <v>46097</v>
          </cell>
          <cell r="G24">
            <v>573650</v>
          </cell>
        </row>
        <row r="25">
          <cell r="A25">
            <v>46098</v>
          </cell>
          <cell r="G25">
            <v>581650</v>
          </cell>
        </row>
        <row r="26">
          <cell r="A26">
            <v>46098</v>
          </cell>
          <cell r="G26">
            <v>521650</v>
          </cell>
        </row>
        <row r="27">
          <cell r="A27">
            <v>46098</v>
          </cell>
          <cell r="G27">
            <v>623650</v>
          </cell>
        </row>
        <row r="28">
          <cell r="A28">
            <v>46099</v>
          </cell>
          <cell r="G28">
            <v>968600</v>
          </cell>
        </row>
        <row r="29">
          <cell r="A29">
            <v>46099</v>
          </cell>
          <cell r="G29">
            <v>960100</v>
          </cell>
        </row>
        <row r="30">
          <cell r="A30">
            <v>46099</v>
          </cell>
          <cell r="G30">
            <v>890100</v>
          </cell>
        </row>
        <row r="31">
          <cell r="A31">
            <v>46099</v>
          </cell>
          <cell r="G31">
            <v>870100</v>
          </cell>
        </row>
        <row r="32">
          <cell r="A32">
            <v>46099</v>
          </cell>
          <cell r="G32">
            <v>850100</v>
          </cell>
        </row>
        <row r="33">
          <cell r="A33">
            <v>46099</v>
          </cell>
          <cell r="G33">
            <v>830100</v>
          </cell>
        </row>
        <row r="34">
          <cell r="A34">
            <v>46099</v>
          </cell>
          <cell r="G34">
            <v>824100</v>
          </cell>
        </row>
        <row r="35">
          <cell r="A35">
            <v>46099</v>
          </cell>
          <cell r="G35">
            <v>708100</v>
          </cell>
        </row>
        <row r="36">
          <cell r="A36">
            <v>46099</v>
          </cell>
          <cell r="G36">
            <v>779100</v>
          </cell>
        </row>
        <row r="37">
          <cell r="A37">
            <v>46100</v>
          </cell>
          <cell r="G37">
            <v>375100</v>
          </cell>
        </row>
        <row r="38">
          <cell r="A38">
            <v>46100</v>
          </cell>
          <cell r="G38">
            <v>345100</v>
          </cell>
        </row>
        <row r="39">
          <cell r="A39">
            <v>46100</v>
          </cell>
          <cell r="G39">
            <v>325100</v>
          </cell>
        </row>
        <row r="40">
          <cell r="A40">
            <v>46100</v>
          </cell>
          <cell r="G40">
            <v>494900</v>
          </cell>
        </row>
        <row r="41">
          <cell r="A41">
            <v>46101</v>
          </cell>
          <cell r="G41">
            <v>724900</v>
          </cell>
        </row>
        <row r="42">
          <cell r="A42">
            <v>46101</v>
          </cell>
          <cell r="G42">
            <v>716900</v>
          </cell>
        </row>
        <row r="43">
          <cell r="A43">
            <v>46101</v>
          </cell>
          <cell r="G43">
            <v>703900</v>
          </cell>
        </row>
        <row r="44">
          <cell r="A44">
            <v>46101</v>
          </cell>
          <cell r="G44">
            <v>769600</v>
          </cell>
        </row>
        <row r="45">
          <cell r="A45">
            <v>46102</v>
          </cell>
          <cell r="G45">
            <v>780600</v>
          </cell>
        </row>
        <row r="46">
          <cell r="A46">
            <v>46105</v>
          </cell>
          <cell r="G46">
            <v>907600</v>
          </cell>
        </row>
        <row r="47">
          <cell r="A47">
            <v>46106</v>
          </cell>
          <cell r="G47">
            <v>793600</v>
          </cell>
        </row>
        <row r="48">
          <cell r="A48">
            <v>46106</v>
          </cell>
          <cell r="G48">
            <v>753600</v>
          </cell>
        </row>
        <row r="49">
          <cell r="A49">
            <v>46106</v>
          </cell>
          <cell r="G49">
            <v>801600</v>
          </cell>
        </row>
        <row r="50">
          <cell r="A50">
            <v>46107</v>
          </cell>
        </row>
        <row r="51">
          <cell r="A51">
            <v>46109</v>
          </cell>
        </row>
        <row r="52">
          <cell r="A52">
            <v>46110</v>
          </cell>
        </row>
        <row r="53">
          <cell r="A53">
            <v>46110</v>
          </cell>
        </row>
        <row r="54">
          <cell r="A54">
            <v>46110</v>
          </cell>
        </row>
        <row r="55">
          <cell r="A55">
            <v>46110</v>
          </cell>
        </row>
        <row r="56">
          <cell r="A56">
            <v>46110</v>
          </cell>
        </row>
        <row r="57">
          <cell r="A57">
            <v>46110</v>
          </cell>
        </row>
        <row r="58">
          <cell r="A58">
            <v>46110</v>
          </cell>
        </row>
        <row r="59">
          <cell r="A59">
            <v>46110</v>
          </cell>
        </row>
        <row r="60">
          <cell r="A60">
            <v>46110</v>
          </cell>
        </row>
        <row r="61">
          <cell r="A61">
            <v>46110</v>
          </cell>
        </row>
        <row r="62">
          <cell r="A62">
            <v>46110</v>
          </cell>
        </row>
        <row r="63">
          <cell r="A63">
            <v>46111</v>
          </cell>
        </row>
        <row r="64">
          <cell r="A64">
            <v>46113</v>
          </cell>
        </row>
        <row r="65">
          <cell r="A65">
            <v>46113</v>
          </cell>
        </row>
        <row r="66">
          <cell r="A66">
            <v>46113</v>
          </cell>
        </row>
        <row r="67">
          <cell r="A67">
            <v>46113</v>
          </cell>
        </row>
        <row r="68">
          <cell r="A68">
            <v>46113</v>
          </cell>
        </row>
        <row r="69">
          <cell r="A69">
            <v>46113</v>
          </cell>
        </row>
        <row r="70">
          <cell r="A70">
            <v>46113</v>
          </cell>
        </row>
        <row r="71">
          <cell r="A71">
            <v>46113</v>
          </cell>
        </row>
        <row r="72">
          <cell r="A72">
            <v>46113</v>
          </cell>
        </row>
        <row r="73">
          <cell r="A73">
            <v>46113</v>
          </cell>
        </row>
        <row r="74">
          <cell r="A74">
            <v>46114</v>
          </cell>
        </row>
        <row r="75">
          <cell r="A75">
            <v>46114</v>
          </cell>
        </row>
        <row r="76">
          <cell r="A76">
            <v>46119</v>
          </cell>
        </row>
        <row r="77">
          <cell r="A77">
            <v>46120</v>
          </cell>
        </row>
        <row r="78">
          <cell r="A78">
            <v>46121</v>
          </cell>
        </row>
        <row r="79">
          <cell r="A79">
            <v>46122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73.923448263886" createdVersion="6" refreshedVersion="8" minRefreshableVersion="3" recordCount="50">
  <cacheSource type="worksheet">
    <worksheetSource ref="C23:I1048576" sheet="choriboni"/>
  </cacheSource>
  <cacheFields count="7">
    <cacheField name="fecha" numFmtId="0">
      <sharedItems containsNonDate="0" containsDate="1" containsString="0" containsBlank="1" minDate="2026-01-26T00:00:00" maxDate="2026-02-21T00:00:00"/>
    </cacheField>
    <cacheField name="valor" numFmtId="164">
      <sharedItems containsString="0" containsBlank="1" containsNumber="1" containsInteger="1" minValue="15000" maxValue="5950000"/>
    </cacheField>
    <cacheField name="tipo" numFmtId="164">
      <sharedItems containsBlank="1" count="10">
        <s v="Patrimonio"/>
        <s v="Inversión - Local"/>
        <s v="Inversión - Invima"/>
        <s v="Gasto"/>
        <s v="Costo"/>
        <m/>
        <s v="Gasto - Local" u="1"/>
        <s v="Gasto - mant" u="1"/>
        <s v="Patrimonio - local" u="1"/>
        <s v="Por pagar" u="1"/>
      </sharedItems>
    </cacheField>
    <cacheField name="Equipo" numFmtId="164">
      <sharedItems containsBlank="1" count="8">
        <s v="Maquina"/>
        <s v="Maquinaria y Equipo"/>
        <s v="Utencilios"/>
        <m/>
        <s v="Gasto - Local"/>
        <s v="MO"/>
        <s v="Maquinanaria y Equipo" u="1"/>
        <s v="x" u="1"/>
      </sharedItems>
    </cacheField>
    <cacheField name="Responsable" numFmtId="0">
      <sharedItems containsBlank="1"/>
    </cacheField>
    <cacheField name="Consepto" numFmtId="0">
      <sharedItems containsBlank="1" count="78">
        <s v="Parrilla para segundo Negocio"/>
        <s v="Nevera y Vitrina"/>
        <s v="Parrilla - Chepes"/>
        <s v="2 Grameras"/>
        <s v="Bascula electrónica verde"/>
        <s v="Despostador"/>
        <s v="Campana con extractor a mujer bonita"/>
        <s v="Tabla de Picar"/>
        <s v="Candados"/>
        <s v="Mesas y sillas"/>
        <s v="Canastas de aseo º Redeban"/>
        <s v="Extractores de la 19"/>
        <s v="Canastas, cuchillo, pinza, colador y otros"/>
        <s v="Canastas , cuchillos , piedra y pinzas"/>
        <s v="Certi. Tradición y libertad"/>
        <s v="Acarreos"/>
        <s v="Curso Invima - INVIMA"/>
        <s v="Instalación de gas - contador"/>
        <s v="FERRETERIA"/>
        <s v="ASEO"/>
        <s v="Cámara de Comercio 2026"/>
        <s v="TV y Parlantes"/>
        <s v="Caldero, colador y Bolsas"/>
        <s v="Sistma POS"/>
        <s v="Estudio del contrato del arriendo"/>
        <s v="Arriendo - 16feb-15mar"/>
        <s v="Ducto, adecuaciòn campana y otros"/>
        <s v="Pintura de reja y plomeria"/>
        <s v="Pintura + otros"/>
        <s v="Espejo e instalación"/>
        <s v="Aviso -choriboni"/>
        <s v="Licuadora + colador n acero"/>
        <s v="2 canecas + charon"/>
        <s v="Mantenimiento Pistones"/>
        <s v="papa 2 bultos de papa"/>
        <s v="ENTRADA DE INVENTARIO"/>
        <s v="Acarreo &quot;Chorizos&quot;"/>
        <s v="Simcard"/>
        <s v="Cerdo, costilla"/>
        <s v="Surticentro, aceites, ingredientes."/>
        <s v="Distrielectrics - Enchufe"/>
        <s v="Platicos, cubiertos, tenedores, plasticos"/>
        <s v="Distrogaseora"/>
        <s v="Cáma de Vigilencia interna"/>
        <m/>
        <s v="papa" u="1"/>
        <s v="Pintura de reja y plomria" u="1"/>
        <s v="Varios" u="1"/>
        <s v="Cámara de Comercio" u="1"/>
        <s v="Intalación de gas - contador" u="1"/>
        <s v="Ducto, adcuaciòn campana y otros" u="1"/>
        <s v="Pimtura de reja y plomria" u="1"/>
        <s v="Ferretria - 3 facturas" u="1"/>
        <s v="Campana a mujer bonita" u="1"/>
        <s v="Sonten TV y parlants" u="1"/>
        <s v="Estudio del contrato del arrindo" u="1"/>
        <s v="acarreo" u="1"/>
        <s v="Instalaciòn espejo e instalaciòn" u="1"/>
        <s v="Patrimonio" u="1"/>
        <s v="Basscula electrónica y despostador" u="1"/>
        <s v="Canastas , cuchillos , pidra y pinzas" u="1"/>
        <s v="prestamo acarreo" u="1"/>
        <s v=" grameras" u="1"/>
        <s v="Renovación camara de comercio" u="1"/>
        <s v="Nequi acarreo" u="1"/>
        <s v="Mantenimiento" u="1"/>
        <s v="acarreo  - parrillla" u="1"/>
        <s v="Pintura +otros" u="1"/>
        <s v="acarreo parrilla donde papá" u="1"/>
        <s v="Instalación de gas" u="1"/>
        <s v="Giro a nequi" u="1"/>
        <s v="Barra y 3 sillas" u="1"/>
        <s v="Campana a mujr bonita" u="1"/>
        <s v="Parrilla" u="1"/>
        <s v="Estudios Salud" u="1"/>
        <s v="Arriendo 15feb 14-mar" u="1"/>
        <s v="Nequi accarreo" u="1"/>
        <s v="Nevera y varios de cocina" u="1"/>
      </sharedItems>
    </cacheField>
    <cacheField name="Provee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DMIN" refreshedDate="46080.494079050928" backgroundQuery="1" createdVersion="8" refreshedVersion="8" minRefreshableVersion="3" recordCount="0" supportSubquery="1" supportAdvancedDrill="1">
  <cacheSource type="external" connectionId="19"/>
  <cacheFields count="6">
    <cacheField name="[transacciones].[fecha].[fecha]" caption="fecha" numFmtId="0" hierarchy="16" level="1">
      <sharedItems containsSemiMixedTypes="0" containsNonDate="0" containsDate="1" containsString="0" minDate="2026-02-23T16:02:00" maxDate="2026-02-23T20:59:11" count="28">
        <d v="2026-02-23T16:02:00"/>
        <d v="2026-02-23T16:21:25"/>
        <d v="2026-02-23T17:08:04"/>
        <d v="2026-02-23T19:37:14"/>
        <d v="2026-02-23T20:59:11"/>
        <d v="2026-02-23T20:56:39"/>
        <d v="2026-02-23T20:29:34"/>
        <d v="2026-02-23T16:08:57"/>
        <d v="2026-02-23T16:11:01"/>
        <d v="2026-02-23T16:28:54"/>
        <d v="2026-02-23T16:34:46"/>
        <d v="2026-02-23T16:36:36"/>
        <d v="2026-02-23T17:01:56"/>
        <d v="2026-02-23T17:09:08"/>
        <d v="2026-02-23T17:13:01"/>
        <d v="2026-02-23T17:17:29"/>
        <d v="2026-02-23T17:53:51"/>
        <d v="2026-02-23T17:56:13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</sharedItems>
      <extLst>
        <ext xmlns:x15="http://schemas.microsoft.com/office/spreadsheetml/2010/11/main" uri="{4F2E5C28-24EA-4eb8-9CBF-B6C8F9C3D259}">
          <x15:cachedUniqueNames>
            <x15:cachedUniqueName index="0" name="[transacciones].[fecha].&amp;[2026-02-23T16:01:59.743333]"/>
            <x15:cachedUniqueName index="1" name="[transacciones].[fecha].&amp;[2026-02-23T16:21:24.986667]"/>
            <x15:cachedUniqueName index="2" name="[transacciones].[fecha].&amp;[2026-02-23T17:08:04.19]"/>
            <x15:cachedUniqueName index="3" name="[transacciones].[fecha].&amp;[2026-02-23T19:37:14.483333]"/>
            <x15:cachedUniqueName index="4" name="[transacciones].[fecha].&amp;[2026-02-23T20:59:10.583333]"/>
            <x15:cachedUniqueName index="5" name="[transacciones].[fecha].&amp;[2026-02-23T20:56:39.043333]"/>
            <x15:cachedUniqueName index="6" name="[transacciones].[fecha].&amp;[2026-02-23T20:29:33.99]"/>
            <x15:cachedUniqueName index="7" name="[transacciones].[fecha].&amp;[2026-02-23T16:08:56.71]"/>
            <x15:cachedUniqueName index="8" name="[transacciones].[fecha].&amp;[2026-02-23T16:11:01.45]"/>
            <x15:cachedUniqueName index="9" name="[transacciones].[fecha].&amp;[2026-02-23T16:28:53.97]"/>
            <x15:cachedUniqueName index="10" name="[transacciones].[fecha].&amp;[2026-02-23T16:34:46.396667]"/>
            <x15:cachedUniqueName index="11" name="[transacciones].[fecha].&amp;[2026-02-23T16:36:35.866667]"/>
            <x15:cachedUniqueName index="12" name="[transacciones].[fecha].&amp;[2026-02-23T17:01:55.816667]"/>
            <x15:cachedUniqueName index="13" name="[transacciones].[fecha].&amp;[2026-02-23T17:09:07.906667]"/>
            <x15:cachedUniqueName index="14" name="[transacciones].[fecha].&amp;[2026-02-23T17:13:00.56]"/>
            <x15:cachedUniqueName index="15" name="[transacciones].[fecha].&amp;[2026-02-23T17:17:29.466667]"/>
            <x15:cachedUniqueName index="16" name="[transacciones].[fecha].&amp;[2026-02-23T17:53:51.05]"/>
            <x15:cachedUniqueName index="17" name="[transacciones].[fecha].&amp;[2026-02-23T17:56:13.433333]"/>
            <x15:cachedUniqueName index="18" name="[transacciones].[fecha].&amp;[2026-02-23T18:00:25.296667]"/>
            <x15:cachedUniqueName index="19" name="[transacciones].[fecha].&amp;[2026-02-23T18:02:50.156667]"/>
            <x15:cachedUniqueName index="20" name="[transacciones].[fecha].&amp;[2026-02-23T18:53:36.25]"/>
            <x15:cachedUniqueName index="21" name="[transacciones].[fecha].&amp;[2026-02-23T19:05:29.056667]"/>
            <x15:cachedUniqueName index="22" name="[transacciones].[fecha].&amp;[2026-02-23T19:38:19.86]"/>
            <x15:cachedUniqueName index="23" name="[transacciones].[fecha].&amp;[2026-02-23T20:11:57.673333]"/>
            <x15:cachedUniqueName index="24" name="[transacciones].[fecha].&amp;[2026-02-23T20:15:09.25]"/>
            <x15:cachedUniqueName index="25" name="[transacciones].[fecha].&amp;[2026-02-23T20:17:44.503333]"/>
            <x15:cachedUniqueName index="26" name="[transacciones].[fecha].&amp;[2026-02-23T20:24:20.71]"/>
            <x15:cachedUniqueName index="27" name="[transacciones].[fecha].&amp;[2026-02-23T20:27:48.96]"/>
          </x15:cachedUniqueNames>
        </ext>
      </extLst>
    </cacheField>
    <cacheField name="[transacciones].[fecha (día)].[fecha (día)]" caption="fecha (día)" numFmtId="0" hierarchy="20" level="1">
      <sharedItems count="4">
        <s v="23-feb"/>
        <s v="24-feb"/>
        <s v="25-feb"/>
        <s v="26-feb"/>
      </sharedItems>
    </cacheField>
    <cacheField name="[transacciones].[nombre_transaccion].[nombre_transaccion]" caption="nombre_transaccion" numFmtId="0" hierarchy="12" level="1">
      <sharedItems count="4">
        <s v="BASE"/>
        <s v="GASTO"/>
        <s v="RETIRO"/>
        <s v="VENTA"/>
      </sharedItems>
    </cacheField>
    <cacheField name="[transacciones].[tipo_cuenta].[tipo_cuenta]" caption="tipo_cuenta" numFmtId="0" hierarchy="13" level="1">
      <sharedItems count="2">
        <s v="EFECTIVO"/>
        <s v="NEQUI"/>
      </sharedItems>
    </cacheField>
    <cacheField name="[transacciones].[detalle_transaccion].[detalle_transaccion]" caption="detalle_transaccion" numFmtId="0" hierarchy="15" level="1">
      <sharedItems count="4">
        <s v="Base del día"/>
        <s v="nomina mayerli"/>
        <s v="vecino dijo traia los 2000 - PENDIENTE"/>
        <s v="Venta"/>
      </sharedItems>
    </cacheField>
    <cacheField name="[Measures].[Suma de egreso]" caption="Suma de egreso" numFmtId="0" hierarchy="56" level="32767"/>
  </cacheFields>
  <cacheHierarchies count="70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2" memberValueDatatype="130" unbalanced="0">
      <fieldsUsage count="2">
        <fieldUsage x="-1"/>
        <fieldUsage x="4"/>
      </fieldsUsage>
    </cacheHierarchy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0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1].[id_transaccion]" caption="id_transaccion" attribute="1" defaultMemberUniqueName="[transacciones1].[id_transaccion].[All]" allUniqueName="[transacciones1].[id_transaccion].[All]" dimensionUniqueName="[transacciones1]" displayFolder="" count="0" memberValueDatatype="20" unbalanced="0"/>
    <cacheHierarchy uniqueName="[transacciones1].[nombre_transaccion]" caption="nombre_transaccion" attribute="1" defaultMemberUniqueName="[transacciones1].[nombre_transaccion].[All]" allUniqueName="[transacciones1].[nombre_transaccion].[All]" dimensionUniqueName="[transacciones1]" displayFolder="" count="0" memberValueDatatype="130" unbalanced="0"/>
    <cacheHierarchy uniqueName="[transacciones1].[tipo_cuenta]" caption="tipo_cuenta" attribute="1" defaultMemberUniqueName="[transacciones1].[tipo_cuenta].[All]" allUniqueName="[transacciones1].[tipo_cuenta].[All]" dimensionUniqueName="[transacciones1]" displayFolder="" count="0" memberValueDatatype="130" unbalanced="0"/>
    <cacheHierarchy uniqueName="[transacciones1].[id_factura]" caption="id_factura" attribute="1" defaultMemberUniqueName="[transacciones1].[id_factura].[All]" allUniqueName="[transacciones1].[id_factura].[All]" dimensionUniqueName="[transacciones1]" displayFolder="" count="0" memberValueDatatype="20" unbalanced="0"/>
    <cacheHierarchy uniqueName="[transacciones1].[detalle_transaccion]" caption="detalle_transaccion" attribute="1" defaultMemberUniqueName="[transacciones1].[detalle_transaccion].[All]" allUniqueName="[transacciones1].[detalle_transaccion].[All]" dimensionUniqueName="[transacciones1]" displayFolder="" count="0" memberValueDatatype="130" unbalanced="0"/>
    <cacheHierarchy uniqueName="[transacciones1].[fecha]" caption="fecha" attribute="1" time="1" defaultMemberUniqueName="[transacciones1].[fecha].[All]" allUniqueName="[transacciones1].[fecha].[All]" dimensionUniqueName="[transacciones1]" displayFolder="" count="0" memberValueDatatype="7" unbalanced="0"/>
    <cacheHierarchy uniqueName="[transacciones1].[entrada]" caption="entrada" attribute="1" defaultMemberUniqueName="[transacciones1].[entrada].[All]" allUniqueName="[transacciones1].[entrada].[All]" dimensionUniqueName="[transacciones1]" displayFolder="" count="0" memberValueDatatype="5" unbalanced="0"/>
    <cacheHierarchy uniqueName="[transacciones1].[egreso]" caption="egreso" attribute="1" defaultMemberUniqueName="[transacciones1].[egreso].[All]" allUniqueName="[transacciones1].[egreso].[All]" dimensionUniqueName="[transacciones1]" displayFolder="" count="0" memberValueDatatype="5" unbalanced="0"/>
    <cacheHierarchy uniqueName="[transacciones1].[id_usuario]" caption="id_usuario" attribute="1" defaultMemberUniqueName="[transacciones1].[id_usuario].[All]" allUniqueName="[transacciones1].[id_usuario].[All]" dimensionUniqueName="[transacciones1]" displayFolder="" count="0" memberValueDatatype="5" unbalanced="0"/>
    <cacheHierarchy uniqueName="[transacciones1].[fecha (día)]" caption="fecha (día)" attribute="1" defaultMemberUniqueName="[transacciones1].[fecha (día)].[All]" allUniqueName="[transacciones1].[fecha (día)].[All]" dimensionUniqueName="[transacciones1]" displayFolder="" count="0" memberValueDatatype="130" unbalanced="0"/>
    <cacheHierarchy uniqueName="[transacciones1].[fecha (hora)]" caption="fecha (hora)" attribute="1" defaultMemberUniqueName="[transacciones1].[fecha (hora)].[All]" allUniqueName="[transacciones1].[fecha (hora)].[All]" dimensionUniqueName="[transacciones1]" displayFolder="" count="0" memberValueDatatype="130" unbalanced="0"/>
    <cacheHierarchy uniqueName="[transacciones1].[fecha (minuto)]" caption="fecha (minuto)" attribute="1" defaultMemberUniqueName="[transacciones1].[fecha (minuto)].[All]" allUniqueName="[transacciones1].[fecha (minuto)].[All]" dimensionUniqueName="[transacciones1]" displayFolder="" count="0" memberValueDatatype="130" unbalanced="0"/>
    <cacheHierarchy uniqueName="[transacciones1].[fecha (segundo)]" caption="fecha (segundo)" attribute="1" defaultMemberUniqueName="[transacciones1].[fecha (segundo)].[All]" allUniqueName="[transacciones1].[fecha (segundo)].[All]" dimensionUniqueName="[transacciones1]" displayFolder="" count="0" memberValueDatatype="130" unbalanced="0"/>
    <cacheHierarchy uniqueName="[transacciones1].[nombre_usuario]" caption="nombre_usuario" attribute="1" defaultMemberUniqueName="[transacciones1].[nombre_usuario].[All]" allUniqueName="[transacciones1].[nombre_usuario].[All]" dimensionUniqueName="[transacciones1]" displayFolder="" count="0" memberValueDatatype="2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usuarios1].[id_usuario]" caption="id_usuario" attribute="1" defaultMemberUniqueName="[usuarios1].[id_usuario].[All]" allUniqueName="[usuarios1].[id_usuario].[All]" dimensionUniqueName="[usuarios1]" displayFolder="" count="0" memberValueDatatype="20" unbalanced="0"/>
    <cacheHierarchy uniqueName="[usuarios1].[nombre_usuario]" caption="nombre_usuario" attribute="1" defaultMemberUniqueName="[usuarios1].[nombre_usuario].[All]" allUniqueName="[usuarios1].[nombre_usuario].[All]" dimensionUniqueName="[usuarios1]" displayFolder="" count="0" memberValueDatatype="130" unbalanced="0"/>
    <cacheHierarchy uniqueName="[usuarios1].[rol]" caption="rol" attribute="1" defaultMemberUniqueName="[usuarios1].[rol].[All]" allUniqueName="[usuarios1].[rol].[All]" dimensionUniqueName="[usuarios1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1].[fecha (índice de días)]" caption="fecha (índice de días)" attribute="1" defaultMemberUniqueName="[transacciones1].[fecha (índice de días)].[All]" allUniqueName="[transacciones1].[fecha (índice de días)].[All]" dimensionUniqueName="[transacciones1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usuarios]" caption="__XL_Count usuarios" measure="1" displayFolder="" measureGroup="usuarios" count="0" hidden="1"/>
    <cacheHierarchy uniqueName="[Measures].[__XL_Count transacciones1]" caption="__XL_Count transacciones1" measure="1" displayFolder="" measureGroup="transacciones1" count="0" hidden="1"/>
    <cacheHierarchy uniqueName="[Measures].[__XL_Count usuarios1]" caption="__XL_Count usuarios1" measure="1" displayFolder="" measureGroup="usuarios1" count="0" hidden="1"/>
    <cacheHierarchy uniqueName="[Measures].[__XL_Count productos]" caption="__XL_Count productos" measure="1" displayFolder="" measureGroup="productos" count="0" hidden="1"/>
    <cacheHierarchy uniqueName="[Measures].[__XL_Count items]" caption="__XL_Count items" measure="1" displayFolder="" measureGroup="item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ada 2]" caption="Suma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tipo_cuenta 2]" caption="Recuento de tipo_cuent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egreso 2]" caption="Suma de egreso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 2]" caption="Suma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id_transaccion 2]" caption="Recuento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id_transaccion 3]" caption="Suma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3]" caption="Recuento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 2]" caption="Recuento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transacciones1" uniqueName="[transacciones1]" caption="transacciones1"/>
    <dimension name="usuarios" uniqueName="[usuarios]" caption="usuarios"/>
    <dimension name="usuarios1" uniqueName="[usuarios1]" caption="usuarios1"/>
  </dimensions>
  <measureGroups count="6">
    <measureGroup name="items" caption="items"/>
    <measureGroup name="productos" caption="productos"/>
    <measureGroup name="transacciones" caption="transacciones"/>
    <measureGroup name="transacciones1" caption="transacciones1"/>
    <measureGroup name="usuarios" caption="usuarios"/>
    <measureGroup name="usuarios1" caption="usuarios1"/>
  </measureGroups>
  <maps count="11">
    <map measureGroup="0" dimension="0"/>
    <map measureGroup="0" dimension="2"/>
    <map measureGroup="0" dimension="4"/>
    <map measureGroup="0" dimension="6"/>
    <map measureGroup="1" dimension="2"/>
    <map measureGroup="2" dimension="3"/>
    <map measureGroup="2" dimension="5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DMIN" refreshedDate="46080.489722916667" backgroundQuery="1" createdVersion="8" refreshedVersion="8" minRefreshableVersion="3" recordCount="0" supportSubquery="1" supportAdvancedDrill="1">
  <cacheSource type="external" connectionId="19"/>
  <cacheFields count="8">
    <cacheField name="[transacciones1].[nombre_transaccion].[nombre_transaccion]" caption="nombre_transaccion" numFmtId="0" hierarchy="26" level="1">
      <sharedItems count="1">
        <s v="VENTA"/>
      </sharedItems>
    </cacheField>
    <cacheField name="[transacciones1].[tipo_cuenta].[tipo_cuenta]" caption="tipo_cuenta" numFmtId="0" hierarchy="27" level="1">
      <sharedItems containsSemiMixedTypes="0" containsNonDate="0" containsString="0"/>
    </cacheField>
    <cacheField name="[Measures].[Recuento de id_item]" caption="Recuento de id_item" numFmtId="0" hierarchy="69" level="32767"/>
    <cacheField name="[transacciones1].[fecha].[fecha]" caption="fecha" numFmtId="0" hierarchy="30" level="1">
      <sharedItems containsSemiMixedTypes="0" containsNonDate="0" containsDate="1" containsString="0" minDate="2026-02-23T16:36:36" maxDate="2026-02-26T20:15:00" count="51">
        <d v="2026-02-23T16:36:36"/>
        <d v="2026-02-23T17:13:01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  <d v="2026-02-24T15:34:06"/>
        <d v="2026-02-24T15:35:04"/>
        <d v="2026-02-24T17:45:39"/>
        <d v="2026-02-24T18:13:50"/>
        <d v="2026-02-24T18:34:49"/>
        <d v="2026-02-24T18:36:16"/>
        <d v="2026-02-24T18:42:31"/>
        <d v="2026-02-24T19:07:54"/>
        <d v="2026-02-24T20:05:06"/>
        <d v="2026-02-24T20:19:42"/>
        <d v="2026-02-24T20:23:49"/>
        <d v="2026-02-24T20:49:21"/>
        <d v="2026-02-25T13:52:23"/>
        <d v="2026-02-25T13:55:04"/>
        <d v="2026-02-25T14:05:11"/>
        <d v="2026-02-25T14:11:36"/>
        <d v="2026-02-25T14:24:55"/>
        <d v="2026-02-25T14:25:49"/>
        <d v="2026-02-25T16:40:06"/>
        <d v="2026-02-25T18:17:29"/>
        <d v="2026-02-25T18:20:12"/>
        <d v="2026-02-25T18:26:28"/>
        <d v="2026-02-25T18:34:12"/>
        <d v="2026-02-25T18:34:55"/>
        <d v="2026-02-25T18:39:59"/>
        <d v="2026-02-25T19:12:43"/>
        <d v="2026-02-25T19:39:17"/>
        <d v="2026-02-25T19:40:30"/>
        <d v="2026-02-25T19:58:51"/>
        <d v="2026-02-25T20:06:51"/>
        <d v="2026-02-25T20:21:11"/>
        <d v="2026-02-26T13:22:07"/>
        <d v="2026-02-26T13:27:22"/>
        <d v="2026-02-26T18:04:10"/>
        <d v="2026-02-26T18:20:14"/>
        <d v="2026-02-26T19:04:18"/>
        <d v="2026-02-26T19:31:31"/>
        <d v="2026-02-26T19:33:12"/>
        <d v="2026-02-26T20:15:00"/>
      </sharedItems>
      <extLst>
        <ext xmlns:x15="http://schemas.microsoft.com/office/spreadsheetml/2010/11/main" uri="{4F2E5C28-24EA-4eb8-9CBF-B6C8F9C3D259}">
          <x15:cachedUniqueNames>
            <x15:cachedUniqueName index="0" name="[transacciones1].[fecha].&amp;[2026-02-23T16:36:35.866667]"/>
            <x15:cachedUniqueName index="1" name="[transacciones1].[fecha].&amp;[2026-02-23T17:13:00.56]"/>
            <x15:cachedUniqueName index="2" name="[transacciones1].[fecha].&amp;[2026-02-23T18:00:25.296667]"/>
            <x15:cachedUniqueName index="3" name="[transacciones1].[fecha].&amp;[2026-02-23T18:02:50.156667]"/>
            <x15:cachedUniqueName index="4" name="[transacciones1].[fecha].&amp;[2026-02-23T18:53:36.25]"/>
            <x15:cachedUniqueName index="5" name="[transacciones1].[fecha].&amp;[2026-02-23T19:05:29.056667]"/>
            <x15:cachedUniqueName index="6" name="[transacciones1].[fecha].&amp;[2026-02-23T19:38:19.86]"/>
            <x15:cachedUniqueName index="7" name="[transacciones1].[fecha].&amp;[2026-02-23T20:11:57.673333]"/>
            <x15:cachedUniqueName index="8" name="[transacciones1].[fecha].&amp;[2026-02-23T20:15:09.25]"/>
            <x15:cachedUniqueName index="9" name="[transacciones1].[fecha].&amp;[2026-02-23T20:17:44.503333]"/>
            <x15:cachedUniqueName index="10" name="[transacciones1].[fecha].&amp;[2026-02-23T20:24:20.71]"/>
            <x15:cachedUniqueName index="11" name="[transacciones1].[fecha].&amp;[2026-02-23T20:27:48.96]"/>
            <x15:cachedUniqueName index="12" name="[transacciones1].[fecha].&amp;[2026-02-24T15:34:06.146667]"/>
            <x15:cachedUniqueName index="13" name="[transacciones1].[fecha].&amp;[2026-02-24T15:35:03.62]"/>
            <x15:cachedUniqueName index="14" name="[transacciones1].[fecha].&amp;[2026-02-24T17:45:39.456667]"/>
            <x15:cachedUniqueName index="15" name="[transacciones1].[fecha].&amp;[2026-02-24T18:13:50.206667]"/>
            <x15:cachedUniqueName index="16" name="[transacciones1].[fecha].&amp;[2026-02-24T18:34:48.72]"/>
            <x15:cachedUniqueName index="17" name="[transacciones1].[fecha].&amp;[2026-02-24T18:36:15.69]"/>
            <x15:cachedUniqueName index="18" name="[transacciones1].[fecha].&amp;[2026-02-24T18:42:30.956667]"/>
            <x15:cachedUniqueName index="19" name="[transacciones1].[fecha].&amp;[2026-02-24T19:07:53.706667]"/>
            <x15:cachedUniqueName index="20" name="[transacciones1].[fecha].&amp;[2026-02-24T20:05:05.64]"/>
            <x15:cachedUniqueName index="21" name="[transacciones1].[fecha].&amp;[2026-02-24T20:19:41.79]"/>
            <x15:cachedUniqueName index="22" name="[transacciones1].[fecha].&amp;[2026-02-24T20:23:48.64]"/>
            <x15:cachedUniqueName index="23" name="[transacciones1].[fecha].&amp;[2026-02-24T20:49:21.27]"/>
            <x15:cachedUniqueName index="24" name="[transacciones1].[fecha].&amp;[2026-02-25T13:52:22.706667]"/>
            <x15:cachedUniqueName index="25" name="[transacciones1].[fecha].&amp;[2026-02-25T13:55:03.656667]"/>
            <x15:cachedUniqueName index="26" name="[transacciones1].[fecha].&amp;[2026-02-25T14:05:11.346667]"/>
            <x15:cachedUniqueName index="27" name="[transacciones1].[fecha].&amp;[2026-02-25T14:11:36.29]"/>
            <x15:cachedUniqueName index="28" name="[transacciones1].[fecha].&amp;[2026-02-25T14:24:54.56]"/>
            <x15:cachedUniqueName index="29" name="[transacciones1].[fecha].&amp;[2026-02-25T14:25:49.376667]"/>
            <x15:cachedUniqueName index="30" name="[transacciones1].[fecha].&amp;[2026-02-25T16:40:06.296667]"/>
            <x15:cachedUniqueName index="31" name="[transacciones1].[fecha].&amp;[2026-02-25T18:17:29.126667]"/>
            <x15:cachedUniqueName index="32" name="[transacciones1].[fecha].&amp;[2026-02-25T18:20:11.623333]"/>
            <x15:cachedUniqueName index="33" name="[transacciones1].[fecha].&amp;[2026-02-25T18:26:27.92]"/>
            <x15:cachedUniqueName index="34" name="[transacciones1].[fecha].&amp;[2026-02-25T18:34:11.783333]"/>
            <x15:cachedUniqueName index="35" name="[transacciones1].[fecha].&amp;[2026-02-25T18:34:55.243333]"/>
            <x15:cachedUniqueName index="36" name="[transacciones1].[fecha].&amp;[2026-02-25T18:39:59.116667]"/>
            <x15:cachedUniqueName index="37" name="[transacciones1].[fecha].&amp;[2026-02-25T19:12:42.98]"/>
            <x15:cachedUniqueName index="38" name="[transacciones1].[fecha].&amp;[2026-02-25T19:39:17.01]"/>
            <x15:cachedUniqueName index="39" name="[transacciones1].[fecha].&amp;[2026-02-25T19:40:29.633333]"/>
            <x15:cachedUniqueName index="40" name="[transacciones1].[fecha].&amp;[2026-02-25T19:58:50.843333]"/>
            <x15:cachedUniqueName index="41" name="[transacciones1].[fecha].&amp;[2026-02-25T20:06:51.046667]"/>
            <x15:cachedUniqueName index="42" name="[transacciones1].[fecha].&amp;[2026-02-25T20:21:11.203333]"/>
            <x15:cachedUniqueName index="43" name="[transacciones1].[fecha].&amp;[2026-02-26T13:22:07.446667]"/>
            <x15:cachedUniqueName index="44" name="[transacciones1].[fecha].&amp;[2026-02-26T13:27:21.903333]"/>
            <x15:cachedUniqueName index="45" name="[transacciones1].[fecha].&amp;[2026-02-26T18:04:10.47]"/>
            <x15:cachedUniqueName index="46" name="[transacciones1].[fecha].&amp;[2026-02-26T18:20:13.746667]"/>
            <x15:cachedUniqueName index="47" name="[transacciones1].[fecha].&amp;[2026-02-26T19:04:18.39]"/>
            <x15:cachedUniqueName index="48" name="[transacciones1].[fecha].&amp;[2026-02-26T19:31:30.646667]"/>
            <x15:cachedUniqueName index="49" name="[transacciones1].[fecha].&amp;[2026-02-26T19:33:11.836667]"/>
            <x15:cachedUniqueName index="50" name="[transacciones1].[fecha].&amp;[2026-02-26T20:14:59.84]"/>
          </x15:cachedUniqueNames>
        </ext>
      </extLst>
    </cacheField>
    <cacheField name="[productos].[nombre_producto].[nombre_producto]" caption="nombre_producto" numFmtId="0" hierarchy="8" level="1">
      <sharedItems count="6">
        <s v="Chorizo"/>
        <s v="Coca cola"/>
        <s v="Agua"/>
        <s v="Postobon"/>
        <s v="Chori- CRUDO"/>
        <s v="parri tres carnes"/>
      </sharedItems>
    </cacheField>
    <cacheField name="[items].[cantidad].[cantidad]" caption="cantidad" numFmtId="0" hierarchy="1" level="1">
      <sharedItems containsSemiMixedTypes="0" containsString="0" containsNumber="1" containsInteger="1" minValue="1" maxValue="5" count="5">
        <n v="2"/>
        <n v="1"/>
        <n v="3"/>
        <n v="5"/>
        <n v="4"/>
      </sharedItems>
      <extLst>
        <ext xmlns:x15="http://schemas.microsoft.com/office/spreadsheetml/2010/11/main" uri="{4F2E5C28-24EA-4eb8-9CBF-B6C8F9C3D259}">
          <x15:cachedUniqueNames>
            <x15:cachedUniqueName index="0" name="[items].[cantidad].&amp;[2]"/>
            <x15:cachedUniqueName index="1" name="[items].[cantidad].&amp;[1]"/>
            <x15:cachedUniqueName index="2" name="[items].[cantidad].&amp;[3]"/>
            <x15:cachedUniqueName index="3" name="[items].[cantidad].&amp;[5]"/>
            <x15:cachedUniqueName index="4" name="[items].[cantidad].&amp;[4]"/>
          </x15:cachedUniqueNames>
        </ext>
      </extLst>
    </cacheField>
    <cacheField name="[items].[precio_producto].[precio_producto]" caption="precio_producto" numFmtId="0" hierarchy="5" level="1">
      <sharedItems containsSemiMixedTypes="0" containsString="0" containsNumber="1" containsInteger="1" minValue="3000" maxValue="35000" count="4">
        <n v="8000"/>
        <n v="3000"/>
        <n v="4500"/>
        <n v="35000"/>
      </sharedItems>
    </cacheField>
    <cacheField name="[transacciones1].[fecha (día)].[fecha (día)]" caption="fecha (día)" numFmtId="0" hierarchy="34" level="1">
      <sharedItems count="4">
        <s v="23-feb"/>
        <s v="24-feb"/>
        <s v="25-feb"/>
        <s v="26-feb"/>
      </sharedItems>
    </cacheField>
  </cacheFields>
  <cacheHierarchies count="70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2" memberValueDatatype="20" unbalanced="0">
      <fieldsUsage count="2">
        <fieldUsage x="-1"/>
        <fieldUsage x="5"/>
      </fieldsUsage>
    </cacheHierarchy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2" memberValueDatatype="5" unbalanced="0">
      <fieldsUsage count="2">
        <fieldUsage x="-1"/>
        <fieldUsage x="6"/>
      </fieldsUsage>
    </cacheHierarchy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2" memberValueDatatype="130" unbalanced="0">
      <fieldsUsage count="2">
        <fieldUsage x="-1"/>
        <fieldUsage x="4"/>
      </fieldsUsage>
    </cacheHierarchy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0" memberValueDatatype="130" unbalanced="0"/>
    <cacheHierarchy uniqueName="[transacciones].[tipo_cuenta]" caption="tipo_cuenta" attribute="1" defaultMemberUniqueName="[transacciones].[tipo_cuenta].[All]" allUniqueName="[transacciones].[tipo_cuenta].[All]" dimensionUniqueName="[transacciones]" displayFolder="" count="0" memberValueDatatype="130" unbalanced="0"/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0" memberValueDatatype="130" unbalanced="0"/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1].[id_transaccion]" caption="id_transaccion" attribute="1" defaultMemberUniqueName="[transacciones1].[id_transaccion].[All]" allUniqueName="[transacciones1].[id_transaccion].[All]" dimensionUniqueName="[transacciones1]" displayFolder="" count="0" memberValueDatatype="20" unbalanced="0"/>
    <cacheHierarchy uniqueName="[transacciones1].[nombre_transaccion]" caption="nombre_transaccion" attribute="1" defaultMemberUniqueName="[transacciones1].[nombre_transaccion].[All]" allUniqueName="[transacciones1].[nombre_transaccion].[All]" dimensionUniqueName="[transacciones1]" displayFolder="" count="2" memberValueDatatype="130" unbalanced="0">
      <fieldsUsage count="2">
        <fieldUsage x="-1"/>
        <fieldUsage x="0"/>
      </fieldsUsage>
    </cacheHierarchy>
    <cacheHierarchy uniqueName="[transacciones1].[tipo_cuenta]" caption="tipo_cuenta" attribute="1" defaultMemberUniqueName="[transacciones1].[tipo_cuenta].[All]" allUniqueName="[transacciones1].[tipo_cuenta].[All]" dimensionUniqueName="[transacciones1]" displayFolder="" count="2" memberValueDatatype="130" unbalanced="0">
      <fieldsUsage count="2">
        <fieldUsage x="-1"/>
        <fieldUsage x="1"/>
      </fieldsUsage>
    </cacheHierarchy>
    <cacheHierarchy uniqueName="[transacciones1].[id_factura]" caption="id_factura" attribute="1" defaultMemberUniqueName="[transacciones1].[id_factura].[All]" allUniqueName="[transacciones1].[id_factura].[All]" dimensionUniqueName="[transacciones1]" displayFolder="" count="0" memberValueDatatype="20" unbalanced="0"/>
    <cacheHierarchy uniqueName="[transacciones1].[detalle_transaccion]" caption="detalle_transaccion" attribute="1" defaultMemberUniqueName="[transacciones1].[detalle_transaccion].[All]" allUniqueName="[transacciones1].[detalle_transaccion].[All]" dimensionUniqueName="[transacciones1]" displayFolder="" count="0" memberValueDatatype="130" unbalanced="0"/>
    <cacheHierarchy uniqueName="[transacciones1].[fecha]" caption="fecha" attribute="1" time="1" defaultMemberUniqueName="[transacciones1].[fecha].[All]" allUniqueName="[transacciones1].[fecha].[All]" dimensionUniqueName="[transacciones1]" displayFolder="" count="2" memberValueDatatype="7" unbalanced="0">
      <fieldsUsage count="2">
        <fieldUsage x="-1"/>
        <fieldUsage x="3"/>
      </fieldsUsage>
    </cacheHierarchy>
    <cacheHierarchy uniqueName="[transacciones1].[entrada]" caption="entrada" attribute="1" defaultMemberUniqueName="[transacciones1].[entrada].[All]" allUniqueName="[transacciones1].[entrada].[All]" dimensionUniqueName="[transacciones1]" displayFolder="" count="0" memberValueDatatype="5" unbalanced="0"/>
    <cacheHierarchy uniqueName="[transacciones1].[egreso]" caption="egreso" attribute="1" defaultMemberUniqueName="[transacciones1].[egreso].[All]" allUniqueName="[transacciones1].[egreso].[All]" dimensionUniqueName="[transacciones1]" displayFolder="" count="0" memberValueDatatype="5" unbalanced="0"/>
    <cacheHierarchy uniqueName="[transacciones1].[id_usuario]" caption="id_usuario" attribute="1" defaultMemberUniqueName="[transacciones1].[id_usuario].[All]" allUniqueName="[transacciones1].[id_usuario].[All]" dimensionUniqueName="[transacciones1]" displayFolder="" count="0" memberValueDatatype="5" unbalanced="0"/>
    <cacheHierarchy uniqueName="[transacciones1].[fecha (día)]" caption="fecha (día)" attribute="1" defaultMemberUniqueName="[transacciones1].[fecha (día)].[All]" allUniqueName="[transacciones1].[fecha (día)].[All]" dimensionUniqueName="[transacciones1]" displayFolder="" count="2" memberValueDatatype="130" unbalanced="0">
      <fieldsUsage count="2">
        <fieldUsage x="-1"/>
        <fieldUsage x="7"/>
      </fieldsUsage>
    </cacheHierarchy>
    <cacheHierarchy uniqueName="[transacciones1].[fecha (hora)]" caption="fecha (hora)" attribute="1" defaultMemberUniqueName="[transacciones1].[fecha (hora)].[All]" allUniqueName="[transacciones1].[fecha (hora)].[All]" dimensionUniqueName="[transacciones1]" displayFolder="" count="0" memberValueDatatype="130" unbalanced="0"/>
    <cacheHierarchy uniqueName="[transacciones1].[fecha (minuto)]" caption="fecha (minuto)" attribute="1" defaultMemberUniqueName="[transacciones1].[fecha (minuto)].[All]" allUniqueName="[transacciones1].[fecha (minuto)].[All]" dimensionUniqueName="[transacciones1]" displayFolder="" count="0" memberValueDatatype="130" unbalanced="0"/>
    <cacheHierarchy uniqueName="[transacciones1].[fecha (segundo)]" caption="fecha (segundo)" attribute="1" defaultMemberUniqueName="[transacciones1].[fecha (segundo)].[All]" allUniqueName="[transacciones1].[fecha (segundo)].[All]" dimensionUniqueName="[transacciones1]" displayFolder="" count="0" memberValueDatatype="130" unbalanced="0"/>
    <cacheHierarchy uniqueName="[transacciones1].[nombre_usuario]" caption="nombre_usuario" attribute="1" defaultMemberUniqueName="[transacciones1].[nombre_usuario].[All]" allUniqueName="[transacciones1].[nombre_usuario].[All]" dimensionUniqueName="[transacciones1]" displayFolder="" count="0" memberValueDatatype="2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usuarios1].[id_usuario]" caption="id_usuario" attribute="1" defaultMemberUniqueName="[usuarios1].[id_usuario].[All]" allUniqueName="[usuarios1].[id_usuario].[All]" dimensionUniqueName="[usuarios1]" displayFolder="" count="0" memberValueDatatype="20" unbalanced="0"/>
    <cacheHierarchy uniqueName="[usuarios1].[nombre_usuario]" caption="nombre_usuario" attribute="1" defaultMemberUniqueName="[usuarios1].[nombre_usuario].[All]" allUniqueName="[usuarios1].[nombre_usuario].[All]" dimensionUniqueName="[usuarios1]" displayFolder="" count="0" memberValueDatatype="130" unbalanced="0"/>
    <cacheHierarchy uniqueName="[usuarios1].[rol]" caption="rol" attribute="1" defaultMemberUniqueName="[usuarios1].[rol].[All]" allUniqueName="[usuarios1].[rol].[All]" dimensionUniqueName="[usuarios1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1].[fecha (índice de días)]" caption="fecha (índice de días)" attribute="1" defaultMemberUniqueName="[transacciones1].[fecha (índice de días)].[All]" allUniqueName="[transacciones1].[fecha (índice de días)].[All]" dimensionUniqueName="[transacciones1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usuarios]" caption="__XL_Count usuarios" measure="1" displayFolder="" measureGroup="usuarios" count="0" hidden="1"/>
    <cacheHierarchy uniqueName="[Measures].[__XL_Count transacciones1]" caption="__XL_Count transacciones1" measure="1" displayFolder="" measureGroup="transacciones1" count="0" hidden="1"/>
    <cacheHierarchy uniqueName="[Measures].[__XL_Count usuarios1]" caption="__XL_Count usuarios1" measure="1" displayFolder="" measureGroup="usuarios1" count="0" hidden="1"/>
    <cacheHierarchy uniqueName="[Measures].[__XL_Count productos]" caption="__XL_Count productos" measure="1" displayFolder="" measureGroup="productos" count="0" hidden="1"/>
    <cacheHierarchy uniqueName="[Measures].[__XL_Count items]" caption="__XL_Count items" measure="1" displayFolder="" measureGroup="item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ada 2]" caption="Suma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tipo_cuenta 2]" caption="Recuento de tipo_cuent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egreso 2]" caption="Suma de egreso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 2]" caption="Suma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id_transaccion 2]" caption="Recuento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id_transaccion 3]" caption="Suma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3]" caption="Recuento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 2]" caption="Recuento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_item]" caption="Recuento de id_item" measure="1" displayFolder="" measureGroup="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transacciones1" uniqueName="[transacciones1]" caption="transacciones1"/>
    <dimension name="usuarios" uniqueName="[usuarios]" caption="usuarios"/>
    <dimension name="usuarios1" uniqueName="[usuarios1]" caption="usuarios1"/>
  </dimensions>
  <measureGroups count="6">
    <measureGroup name="items" caption="items"/>
    <measureGroup name="productos" caption="productos"/>
    <measureGroup name="transacciones" caption="transacciones"/>
    <measureGroup name="transacciones1" caption="transacciones1"/>
    <measureGroup name="usuarios" caption="usuarios"/>
    <measureGroup name="usuarios1" caption="usuarios1"/>
  </measureGroups>
  <maps count="11">
    <map measureGroup="0" dimension="0"/>
    <map measureGroup="0" dimension="2"/>
    <map measureGroup="0" dimension="4"/>
    <map measureGroup="0" dimension="6"/>
    <map measureGroup="1" dimension="2"/>
    <map measureGroup="2" dimension="3"/>
    <map measureGroup="2" dimension="5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DMIN" refreshedDate="46080.501817245371" backgroundQuery="1" createdVersion="8" refreshedVersion="8" minRefreshableVersion="3" recordCount="0" supportSubquery="1" supportAdvancedDrill="1">
  <cacheSource type="external" connectionId="19"/>
  <cacheFields count="6">
    <cacheField name="[transacciones].[fecha].[fecha]" caption="fecha" numFmtId="0" hierarchy="16" level="1">
      <sharedItems containsSemiMixedTypes="0" containsNonDate="0" containsDate="1" containsString="0" minDate="2026-02-23T16:02:00" maxDate="2026-02-23T20:59:11" count="28">
        <d v="2026-02-23T16:02:00"/>
        <d v="2026-02-23T16:21:25"/>
        <d v="2026-02-23T17:08:04"/>
        <d v="2026-02-23T19:37:14"/>
        <d v="2026-02-23T20:59:11"/>
        <d v="2026-02-23T20:56:39"/>
        <d v="2026-02-23T20:29:34"/>
        <d v="2026-02-23T16:08:57"/>
        <d v="2026-02-23T16:11:01"/>
        <d v="2026-02-23T16:28:54"/>
        <d v="2026-02-23T16:34:46"/>
        <d v="2026-02-23T16:36:36"/>
        <d v="2026-02-23T17:01:56"/>
        <d v="2026-02-23T17:09:08"/>
        <d v="2026-02-23T17:13:01"/>
        <d v="2026-02-23T17:17:29"/>
        <d v="2026-02-23T17:53:51"/>
        <d v="2026-02-23T17:56:13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</sharedItems>
      <extLst>
        <ext xmlns:x15="http://schemas.microsoft.com/office/spreadsheetml/2010/11/main" uri="{4F2E5C28-24EA-4eb8-9CBF-B6C8F9C3D259}">
          <x15:cachedUniqueNames>
            <x15:cachedUniqueName index="0" name="[transacciones].[fecha].&amp;[2026-02-23T16:01:59.743333]"/>
            <x15:cachedUniqueName index="1" name="[transacciones].[fecha].&amp;[2026-02-23T16:21:24.986667]"/>
            <x15:cachedUniqueName index="2" name="[transacciones].[fecha].&amp;[2026-02-23T17:08:04.19]"/>
            <x15:cachedUniqueName index="3" name="[transacciones].[fecha].&amp;[2026-02-23T19:37:14.483333]"/>
            <x15:cachedUniqueName index="4" name="[transacciones].[fecha].&amp;[2026-02-23T20:59:10.583333]"/>
            <x15:cachedUniqueName index="5" name="[transacciones].[fecha].&amp;[2026-02-23T20:56:39.043333]"/>
            <x15:cachedUniqueName index="6" name="[transacciones].[fecha].&amp;[2026-02-23T20:29:33.99]"/>
            <x15:cachedUniqueName index="7" name="[transacciones].[fecha].&amp;[2026-02-23T16:08:56.71]"/>
            <x15:cachedUniqueName index="8" name="[transacciones].[fecha].&amp;[2026-02-23T16:11:01.45]"/>
            <x15:cachedUniqueName index="9" name="[transacciones].[fecha].&amp;[2026-02-23T16:28:53.97]"/>
            <x15:cachedUniqueName index="10" name="[transacciones].[fecha].&amp;[2026-02-23T16:34:46.396667]"/>
            <x15:cachedUniqueName index="11" name="[transacciones].[fecha].&amp;[2026-02-23T16:36:35.866667]"/>
            <x15:cachedUniqueName index="12" name="[transacciones].[fecha].&amp;[2026-02-23T17:01:55.816667]"/>
            <x15:cachedUniqueName index="13" name="[transacciones].[fecha].&amp;[2026-02-23T17:09:07.906667]"/>
            <x15:cachedUniqueName index="14" name="[transacciones].[fecha].&amp;[2026-02-23T17:13:00.56]"/>
            <x15:cachedUniqueName index="15" name="[transacciones].[fecha].&amp;[2026-02-23T17:17:29.466667]"/>
            <x15:cachedUniqueName index="16" name="[transacciones].[fecha].&amp;[2026-02-23T17:53:51.05]"/>
            <x15:cachedUniqueName index="17" name="[transacciones].[fecha].&amp;[2026-02-23T17:56:13.433333]"/>
            <x15:cachedUniqueName index="18" name="[transacciones].[fecha].&amp;[2026-02-23T18:00:25.296667]"/>
            <x15:cachedUniqueName index="19" name="[transacciones].[fecha].&amp;[2026-02-23T18:02:50.156667]"/>
            <x15:cachedUniqueName index="20" name="[transacciones].[fecha].&amp;[2026-02-23T18:53:36.25]"/>
            <x15:cachedUniqueName index="21" name="[transacciones].[fecha].&amp;[2026-02-23T19:05:29.056667]"/>
            <x15:cachedUniqueName index="22" name="[transacciones].[fecha].&amp;[2026-02-23T19:38:19.86]"/>
            <x15:cachedUniqueName index="23" name="[transacciones].[fecha].&amp;[2026-02-23T20:11:57.673333]"/>
            <x15:cachedUniqueName index="24" name="[transacciones].[fecha].&amp;[2026-02-23T20:15:09.25]"/>
            <x15:cachedUniqueName index="25" name="[transacciones].[fecha].&amp;[2026-02-23T20:17:44.503333]"/>
            <x15:cachedUniqueName index="26" name="[transacciones].[fecha].&amp;[2026-02-23T20:24:20.71]"/>
            <x15:cachedUniqueName index="27" name="[transacciones].[fecha].&amp;[2026-02-23T20:27:48.96]"/>
          </x15:cachedUniqueNames>
        </ext>
      </extLst>
    </cacheField>
    <cacheField name="[transacciones].[fecha (día)].[fecha (día)]" caption="fecha (día)" numFmtId="0" hierarchy="20" level="1">
      <sharedItems count="4">
        <s v="23-feb"/>
        <s v="24-feb"/>
        <s v="25-feb"/>
        <s v="26-feb"/>
      </sharedItems>
    </cacheField>
    <cacheField name="[Measures].[Suma de entrada]" caption="Suma de entrada" numFmtId="0" hierarchy="54" level="32767"/>
    <cacheField name="[transacciones].[nombre_transaccion].[nombre_transaccion]" caption="nombre_transaccion" numFmtId="0" hierarchy="12" level="1">
      <sharedItems count="2">
        <s v="BASE"/>
        <s v="VENTA"/>
      </sharedItems>
    </cacheField>
    <cacheField name="[transacciones].[tipo_cuenta].[tipo_cuenta]" caption="tipo_cuenta" numFmtId="0" hierarchy="13" level="1">
      <sharedItems count="1">
        <s v="EFECTIVO"/>
      </sharedItems>
    </cacheField>
    <cacheField name="[transacciones].[detalle_transaccion].[detalle_transaccion]" caption="detalle_transaccion" numFmtId="0" hierarchy="15" level="1">
      <sharedItems count="4">
        <s v="Base del día"/>
        <s v="nomina mayerli"/>
        <s v="vecino dijo traia los 2000 - PENDIENTE"/>
        <s v="Venta"/>
      </sharedItems>
    </cacheField>
  </cacheFields>
  <cacheHierarchies count="70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4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2" memberValueDatatype="130" unbalanced="0">
      <fieldsUsage count="2">
        <fieldUsage x="-1"/>
        <fieldUsage x="5"/>
      </fieldsUsage>
    </cacheHierarchy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0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1].[id_transaccion]" caption="id_transaccion" attribute="1" defaultMemberUniqueName="[transacciones1].[id_transaccion].[All]" allUniqueName="[transacciones1].[id_transaccion].[All]" dimensionUniqueName="[transacciones1]" displayFolder="" count="0" memberValueDatatype="20" unbalanced="0"/>
    <cacheHierarchy uniqueName="[transacciones1].[nombre_transaccion]" caption="nombre_transaccion" attribute="1" defaultMemberUniqueName="[transacciones1].[nombre_transaccion].[All]" allUniqueName="[transacciones1].[nombre_transaccion].[All]" dimensionUniqueName="[transacciones1]" displayFolder="" count="0" memberValueDatatype="130" unbalanced="0"/>
    <cacheHierarchy uniqueName="[transacciones1].[tipo_cuenta]" caption="tipo_cuenta" attribute="1" defaultMemberUniqueName="[transacciones1].[tipo_cuenta].[All]" allUniqueName="[transacciones1].[tipo_cuenta].[All]" dimensionUniqueName="[transacciones1]" displayFolder="" count="0" memberValueDatatype="130" unbalanced="0"/>
    <cacheHierarchy uniqueName="[transacciones1].[id_factura]" caption="id_factura" attribute="1" defaultMemberUniqueName="[transacciones1].[id_factura].[All]" allUniqueName="[transacciones1].[id_factura].[All]" dimensionUniqueName="[transacciones1]" displayFolder="" count="0" memberValueDatatype="20" unbalanced="0"/>
    <cacheHierarchy uniqueName="[transacciones1].[detalle_transaccion]" caption="detalle_transaccion" attribute="1" defaultMemberUniqueName="[transacciones1].[detalle_transaccion].[All]" allUniqueName="[transacciones1].[detalle_transaccion].[All]" dimensionUniqueName="[transacciones1]" displayFolder="" count="0" memberValueDatatype="130" unbalanced="0"/>
    <cacheHierarchy uniqueName="[transacciones1].[fecha]" caption="fecha" attribute="1" time="1" defaultMemberUniqueName="[transacciones1].[fecha].[All]" allUniqueName="[transacciones1].[fecha].[All]" dimensionUniqueName="[transacciones1]" displayFolder="" count="0" memberValueDatatype="7" unbalanced="0"/>
    <cacheHierarchy uniqueName="[transacciones1].[entrada]" caption="entrada" attribute="1" defaultMemberUniqueName="[transacciones1].[entrada].[All]" allUniqueName="[transacciones1].[entrada].[All]" dimensionUniqueName="[transacciones1]" displayFolder="" count="0" memberValueDatatype="5" unbalanced="0"/>
    <cacheHierarchy uniqueName="[transacciones1].[egreso]" caption="egreso" attribute="1" defaultMemberUniqueName="[transacciones1].[egreso].[All]" allUniqueName="[transacciones1].[egreso].[All]" dimensionUniqueName="[transacciones1]" displayFolder="" count="0" memberValueDatatype="5" unbalanced="0"/>
    <cacheHierarchy uniqueName="[transacciones1].[id_usuario]" caption="id_usuario" attribute="1" defaultMemberUniqueName="[transacciones1].[id_usuario].[All]" allUniqueName="[transacciones1].[id_usuario].[All]" dimensionUniqueName="[transacciones1]" displayFolder="" count="0" memberValueDatatype="5" unbalanced="0"/>
    <cacheHierarchy uniqueName="[transacciones1].[fecha (día)]" caption="fecha (día)" attribute="1" defaultMemberUniqueName="[transacciones1].[fecha (día)].[All]" allUniqueName="[transacciones1].[fecha (día)].[All]" dimensionUniqueName="[transacciones1]" displayFolder="" count="0" memberValueDatatype="130" unbalanced="0"/>
    <cacheHierarchy uniqueName="[transacciones1].[fecha (hora)]" caption="fecha (hora)" attribute="1" defaultMemberUniqueName="[transacciones1].[fecha (hora)].[All]" allUniqueName="[transacciones1].[fecha (hora)].[All]" dimensionUniqueName="[transacciones1]" displayFolder="" count="0" memberValueDatatype="130" unbalanced="0"/>
    <cacheHierarchy uniqueName="[transacciones1].[fecha (minuto)]" caption="fecha (minuto)" attribute="1" defaultMemberUniqueName="[transacciones1].[fecha (minuto)].[All]" allUniqueName="[transacciones1].[fecha (minuto)].[All]" dimensionUniqueName="[transacciones1]" displayFolder="" count="0" memberValueDatatype="130" unbalanced="0"/>
    <cacheHierarchy uniqueName="[transacciones1].[fecha (segundo)]" caption="fecha (segundo)" attribute="1" defaultMemberUniqueName="[transacciones1].[fecha (segundo)].[All]" allUniqueName="[transacciones1].[fecha (segundo)].[All]" dimensionUniqueName="[transacciones1]" displayFolder="" count="0" memberValueDatatype="130" unbalanced="0"/>
    <cacheHierarchy uniqueName="[transacciones1].[nombre_usuario]" caption="nombre_usuario" attribute="1" defaultMemberUniqueName="[transacciones1].[nombre_usuario].[All]" allUniqueName="[transacciones1].[nombre_usuario].[All]" dimensionUniqueName="[transacciones1]" displayFolder="" count="0" memberValueDatatype="2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usuarios1].[id_usuario]" caption="id_usuario" attribute="1" defaultMemberUniqueName="[usuarios1].[id_usuario].[All]" allUniqueName="[usuarios1].[id_usuario].[All]" dimensionUniqueName="[usuarios1]" displayFolder="" count="0" memberValueDatatype="20" unbalanced="0"/>
    <cacheHierarchy uniqueName="[usuarios1].[nombre_usuario]" caption="nombre_usuario" attribute="1" defaultMemberUniqueName="[usuarios1].[nombre_usuario].[All]" allUniqueName="[usuarios1].[nombre_usuario].[All]" dimensionUniqueName="[usuarios1]" displayFolder="" count="0" memberValueDatatype="130" unbalanced="0"/>
    <cacheHierarchy uniqueName="[usuarios1].[rol]" caption="rol" attribute="1" defaultMemberUniqueName="[usuarios1].[rol].[All]" allUniqueName="[usuarios1].[rol].[All]" dimensionUniqueName="[usuarios1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1].[fecha (índice de días)]" caption="fecha (índice de días)" attribute="1" defaultMemberUniqueName="[transacciones1].[fecha (índice de días)].[All]" allUniqueName="[transacciones1].[fecha (índice de días)].[All]" dimensionUniqueName="[transacciones1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usuarios]" caption="__XL_Count usuarios" measure="1" displayFolder="" measureGroup="usuarios" count="0" hidden="1"/>
    <cacheHierarchy uniqueName="[Measures].[__XL_Count transacciones1]" caption="__XL_Count transacciones1" measure="1" displayFolder="" measureGroup="transacciones1" count="0" hidden="1"/>
    <cacheHierarchy uniqueName="[Measures].[__XL_Count usuarios1]" caption="__XL_Count usuarios1" measure="1" displayFolder="" measureGroup="usuarios1" count="0" hidden="1"/>
    <cacheHierarchy uniqueName="[Measures].[__XL_Count productos]" caption="__XL_Count productos" measure="1" displayFolder="" measureGroup="productos" count="0" hidden="1"/>
    <cacheHierarchy uniqueName="[Measures].[__XL_Count items]" caption="__XL_Count items" measure="1" displayFolder="" measureGroup="item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ada 2]" caption="Suma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tipo_cuenta 2]" caption="Recuento de tipo_cuent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egreso 2]" caption="Suma de egreso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 2]" caption="Suma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id_transaccion 2]" caption="Recuento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id_transaccion 3]" caption="Suma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3]" caption="Recuento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 2]" caption="Recuento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transacciones1" uniqueName="[transacciones1]" caption="transacciones1"/>
    <dimension name="usuarios" uniqueName="[usuarios]" caption="usuarios"/>
    <dimension name="usuarios1" uniqueName="[usuarios1]" caption="usuarios1"/>
  </dimensions>
  <measureGroups count="6">
    <measureGroup name="items" caption="items"/>
    <measureGroup name="productos" caption="productos"/>
    <measureGroup name="transacciones" caption="transacciones"/>
    <measureGroup name="transacciones1" caption="transacciones1"/>
    <measureGroup name="usuarios" caption="usuarios"/>
    <measureGroup name="usuarios1" caption="usuarios1"/>
  </measureGroups>
  <maps count="11">
    <map measureGroup="0" dimension="0"/>
    <map measureGroup="0" dimension="2"/>
    <map measureGroup="0" dimension="4"/>
    <map measureGroup="0" dimension="6"/>
    <map measureGroup="1" dimension="2"/>
    <map measureGroup="2" dimension="3"/>
    <map measureGroup="2" dimension="5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ADMIN" refreshedDate="46080.508252430554" backgroundQuery="1" createdVersion="8" refreshedVersion="8" minRefreshableVersion="3" recordCount="0" supportSubquery="1" supportAdvancedDrill="1">
  <cacheSource type="external" connectionId="19"/>
  <cacheFields count="6">
    <cacheField name="[transacciones].[fecha].[fecha]" caption="fecha" numFmtId="0" hierarchy="16" level="1">
      <sharedItems containsSemiMixedTypes="0" containsNonDate="0" containsDate="1" containsString="0" minDate="2026-02-23T16:02:00" maxDate="2026-02-23T20:59:11" count="28">
        <d v="2026-02-23T16:02:00"/>
        <d v="2026-02-23T16:21:25"/>
        <d v="2026-02-23T17:08:04"/>
        <d v="2026-02-23T19:37:14"/>
        <d v="2026-02-23T20:59:11"/>
        <d v="2026-02-23T20:56:39"/>
        <d v="2026-02-23T20:29:34"/>
        <d v="2026-02-23T16:08:57"/>
        <d v="2026-02-23T16:11:01"/>
        <d v="2026-02-23T16:28:54"/>
        <d v="2026-02-23T16:34:46"/>
        <d v="2026-02-23T16:36:36"/>
        <d v="2026-02-23T17:01:56"/>
        <d v="2026-02-23T17:09:08"/>
        <d v="2026-02-23T17:13:01"/>
        <d v="2026-02-23T17:17:29"/>
        <d v="2026-02-23T17:53:51"/>
        <d v="2026-02-23T17:56:13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</sharedItems>
      <extLst>
        <ext xmlns:x15="http://schemas.microsoft.com/office/spreadsheetml/2010/11/main" uri="{4F2E5C28-24EA-4eb8-9CBF-B6C8F9C3D259}">
          <x15:cachedUniqueNames>
            <x15:cachedUniqueName index="0" name="[transacciones].[fecha].&amp;[2026-02-23T16:01:59.743333]"/>
            <x15:cachedUniqueName index="1" name="[transacciones].[fecha].&amp;[2026-02-23T16:21:24.986667]"/>
            <x15:cachedUniqueName index="2" name="[transacciones].[fecha].&amp;[2026-02-23T17:08:04.19]"/>
            <x15:cachedUniqueName index="3" name="[transacciones].[fecha].&amp;[2026-02-23T19:37:14.483333]"/>
            <x15:cachedUniqueName index="4" name="[transacciones].[fecha].&amp;[2026-02-23T20:59:10.583333]"/>
            <x15:cachedUniqueName index="5" name="[transacciones].[fecha].&amp;[2026-02-23T20:56:39.043333]"/>
            <x15:cachedUniqueName index="6" name="[transacciones].[fecha].&amp;[2026-02-23T20:29:33.99]"/>
            <x15:cachedUniqueName index="7" name="[transacciones].[fecha].&amp;[2026-02-23T16:08:56.71]"/>
            <x15:cachedUniqueName index="8" name="[transacciones].[fecha].&amp;[2026-02-23T16:11:01.45]"/>
            <x15:cachedUniqueName index="9" name="[transacciones].[fecha].&amp;[2026-02-23T16:28:53.97]"/>
            <x15:cachedUniqueName index="10" name="[transacciones].[fecha].&amp;[2026-02-23T16:34:46.396667]"/>
            <x15:cachedUniqueName index="11" name="[transacciones].[fecha].&amp;[2026-02-23T16:36:35.866667]"/>
            <x15:cachedUniqueName index="12" name="[transacciones].[fecha].&amp;[2026-02-23T17:01:55.816667]"/>
            <x15:cachedUniqueName index="13" name="[transacciones].[fecha].&amp;[2026-02-23T17:09:07.906667]"/>
            <x15:cachedUniqueName index="14" name="[transacciones].[fecha].&amp;[2026-02-23T17:13:00.56]"/>
            <x15:cachedUniqueName index="15" name="[transacciones].[fecha].&amp;[2026-02-23T17:17:29.466667]"/>
            <x15:cachedUniqueName index="16" name="[transacciones].[fecha].&amp;[2026-02-23T17:53:51.05]"/>
            <x15:cachedUniqueName index="17" name="[transacciones].[fecha].&amp;[2026-02-23T17:56:13.433333]"/>
            <x15:cachedUniqueName index="18" name="[transacciones].[fecha].&amp;[2026-02-23T18:00:25.296667]"/>
            <x15:cachedUniqueName index="19" name="[transacciones].[fecha].&amp;[2026-02-23T18:02:50.156667]"/>
            <x15:cachedUniqueName index="20" name="[transacciones].[fecha].&amp;[2026-02-23T18:53:36.25]"/>
            <x15:cachedUniqueName index="21" name="[transacciones].[fecha].&amp;[2026-02-23T19:05:29.056667]"/>
            <x15:cachedUniqueName index="22" name="[transacciones].[fecha].&amp;[2026-02-23T19:38:19.86]"/>
            <x15:cachedUniqueName index="23" name="[transacciones].[fecha].&amp;[2026-02-23T20:11:57.673333]"/>
            <x15:cachedUniqueName index="24" name="[transacciones].[fecha].&amp;[2026-02-23T20:15:09.25]"/>
            <x15:cachedUniqueName index="25" name="[transacciones].[fecha].&amp;[2026-02-23T20:17:44.503333]"/>
            <x15:cachedUniqueName index="26" name="[transacciones].[fecha].&amp;[2026-02-23T20:24:20.71]"/>
            <x15:cachedUniqueName index="27" name="[transacciones].[fecha].&amp;[2026-02-23T20:27:48.96]"/>
          </x15:cachedUniqueNames>
        </ext>
      </extLst>
    </cacheField>
    <cacheField name="[transacciones].[fecha (día)].[fecha (día)]" caption="fecha (día)" numFmtId="0" hierarchy="20" level="1">
      <sharedItems count="4">
        <s v="23-feb"/>
        <s v="24-feb"/>
        <s v="25-feb"/>
        <s v="26-feb"/>
      </sharedItems>
    </cacheField>
    <cacheField name="[Measures].[Suma de entrada]" caption="Suma de entrada" numFmtId="0" hierarchy="54" level="32767"/>
    <cacheField name="[transacciones].[nombre_transaccion].[nombre_transaccion]" caption="nombre_transaccion" numFmtId="0" hierarchy="12" level="1">
      <sharedItems count="1">
        <s v="VENTA"/>
      </sharedItems>
    </cacheField>
    <cacheField name="[transacciones].[tipo_cuenta].[tipo_cuenta]" caption="tipo_cuenta" numFmtId="0" hierarchy="13" level="1">
      <sharedItems count="2">
        <s v="EFECTIVO"/>
        <s v="NEQUI"/>
      </sharedItems>
    </cacheField>
    <cacheField name="[transacciones].[detalle_transaccion].[detalle_transaccion]" caption="detalle_transaccion" numFmtId="0" hierarchy="15" level="1">
      <sharedItems count="4">
        <s v="Base del día"/>
        <s v="nomina mayerli"/>
        <s v="vecino dijo traia los 2000 - PENDIENTE"/>
        <s v="Venta"/>
      </sharedItems>
    </cacheField>
  </cacheFields>
  <cacheHierarchies count="70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4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2" memberValueDatatype="130" unbalanced="0">
      <fieldsUsage count="2">
        <fieldUsage x="-1"/>
        <fieldUsage x="5"/>
      </fieldsUsage>
    </cacheHierarchy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0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1].[id_transaccion]" caption="id_transaccion" attribute="1" defaultMemberUniqueName="[transacciones1].[id_transaccion].[All]" allUniqueName="[transacciones1].[id_transaccion].[All]" dimensionUniqueName="[transacciones1]" displayFolder="" count="0" memberValueDatatype="20" unbalanced="0"/>
    <cacheHierarchy uniqueName="[transacciones1].[nombre_transaccion]" caption="nombre_transaccion" attribute="1" defaultMemberUniqueName="[transacciones1].[nombre_transaccion].[All]" allUniqueName="[transacciones1].[nombre_transaccion].[All]" dimensionUniqueName="[transacciones1]" displayFolder="" count="0" memberValueDatatype="130" unbalanced="0"/>
    <cacheHierarchy uniqueName="[transacciones1].[tipo_cuenta]" caption="tipo_cuenta" attribute="1" defaultMemberUniqueName="[transacciones1].[tipo_cuenta].[All]" allUniqueName="[transacciones1].[tipo_cuenta].[All]" dimensionUniqueName="[transacciones1]" displayFolder="" count="0" memberValueDatatype="130" unbalanced="0"/>
    <cacheHierarchy uniqueName="[transacciones1].[id_factura]" caption="id_factura" attribute="1" defaultMemberUniqueName="[transacciones1].[id_factura].[All]" allUniqueName="[transacciones1].[id_factura].[All]" dimensionUniqueName="[transacciones1]" displayFolder="" count="0" memberValueDatatype="20" unbalanced="0"/>
    <cacheHierarchy uniqueName="[transacciones1].[detalle_transaccion]" caption="detalle_transaccion" attribute="1" defaultMemberUniqueName="[transacciones1].[detalle_transaccion].[All]" allUniqueName="[transacciones1].[detalle_transaccion].[All]" dimensionUniqueName="[transacciones1]" displayFolder="" count="0" memberValueDatatype="130" unbalanced="0"/>
    <cacheHierarchy uniqueName="[transacciones1].[fecha]" caption="fecha" attribute="1" time="1" defaultMemberUniqueName="[transacciones1].[fecha].[All]" allUniqueName="[transacciones1].[fecha].[All]" dimensionUniqueName="[transacciones1]" displayFolder="" count="0" memberValueDatatype="7" unbalanced="0"/>
    <cacheHierarchy uniqueName="[transacciones1].[entrada]" caption="entrada" attribute="1" defaultMemberUniqueName="[transacciones1].[entrada].[All]" allUniqueName="[transacciones1].[entrada].[All]" dimensionUniqueName="[transacciones1]" displayFolder="" count="0" memberValueDatatype="5" unbalanced="0"/>
    <cacheHierarchy uniqueName="[transacciones1].[egreso]" caption="egreso" attribute="1" defaultMemberUniqueName="[transacciones1].[egreso].[All]" allUniqueName="[transacciones1].[egreso].[All]" dimensionUniqueName="[transacciones1]" displayFolder="" count="0" memberValueDatatype="5" unbalanced="0"/>
    <cacheHierarchy uniqueName="[transacciones1].[id_usuario]" caption="id_usuario" attribute="1" defaultMemberUniqueName="[transacciones1].[id_usuario].[All]" allUniqueName="[transacciones1].[id_usuario].[All]" dimensionUniqueName="[transacciones1]" displayFolder="" count="0" memberValueDatatype="5" unbalanced="0"/>
    <cacheHierarchy uniqueName="[transacciones1].[fecha (día)]" caption="fecha (día)" attribute="1" defaultMemberUniqueName="[transacciones1].[fecha (día)].[All]" allUniqueName="[transacciones1].[fecha (día)].[All]" dimensionUniqueName="[transacciones1]" displayFolder="" count="0" memberValueDatatype="130" unbalanced="0"/>
    <cacheHierarchy uniqueName="[transacciones1].[fecha (hora)]" caption="fecha (hora)" attribute="1" defaultMemberUniqueName="[transacciones1].[fecha (hora)].[All]" allUniqueName="[transacciones1].[fecha (hora)].[All]" dimensionUniqueName="[transacciones1]" displayFolder="" count="0" memberValueDatatype="130" unbalanced="0"/>
    <cacheHierarchy uniqueName="[transacciones1].[fecha (minuto)]" caption="fecha (minuto)" attribute="1" defaultMemberUniqueName="[transacciones1].[fecha (minuto)].[All]" allUniqueName="[transacciones1].[fecha (minuto)].[All]" dimensionUniqueName="[transacciones1]" displayFolder="" count="0" memberValueDatatype="130" unbalanced="0"/>
    <cacheHierarchy uniqueName="[transacciones1].[fecha (segundo)]" caption="fecha (segundo)" attribute="1" defaultMemberUniqueName="[transacciones1].[fecha (segundo)].[All]" allUniqueName="[transacciones1].[fecha (segundo)].[All]" dimensionUniqueName="[transacciones1]" displayFolder="" count="0" memberValueDatatype="130" unbalanced="0"/>
    <cacheHierarchy uniqueName="[transacciones1].[nombre_usuario]" caption="nombre_usuario" attribute="1" defaultMemberUniqueName="[transacciones1].[nombre_usuario].[All]" allUniqueName="[transacciones1].[nombre_usuario].[All]" dimensionUniqueName="[transacciones1]" displayFolder="" count="0" memberValueDatatype="2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usuarios1].[id_usuario]" caption="id_usuario" attribute="1" defaultMemberUniqueName="[usuarios1].[id_usuario].[All]" allUniqueName="[usuarios1].[id_usuario].[All]" dimensionUniqueName="[usuarios1]" displayFolder="" count="0" memberValueDatatype="20" unbalanced="0"/>
    <cacheHierarchy uniqueName="[usuarios1].[nombre_usuario]" caption="nombre_usuario" attribute="1" defaultMemberUniqueName="[usuarios1].[nombre_usuario].[All]" allUniqueName="[usuarios1].[nombre_usuario].[All]" dimensionUniqueName="[usuarios1]" displayFolder="" count="0" memberValueDatatype="130" unbalanced="0"/>
    <cacheHierarchy uniqueName="[usuarios1].[rol]" caption="rol" attribute="1" defaultMemberUniqueName="[usuarios1].[rol].[All]" allUniqueName="[usuarios1].[rol].[All]" dimensionUniqueName="[usuarios1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1].[fecha (índice de días)]" caption="fecha (índice de días)" attribute="1" defaultMemberUniqueName="[transacciones1].[fecha (índice de días)].[All]" allUniqueName="[transacciones1].[fecha (índice de días)].[All]" dimensionUniqueName="[transacciones1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usuarios]" caption="__XL_Count usuarios" measure="1" displayFolder="" measureGroup="usuarios" count="0" hidden="1"/>
    <cacheHierarchy uniqueName="[Measures].[__XL_Count transacciones1]" caption="__XL_Count transacciones1" measure="1" displayFolder="" measureGroup="transacciones1" count="0" hidden="1"/>
    <cacheHierarchy uniqueName="[Measures].[__XL_Count usuarios1]" caption="__XL_Count usuarios1" measure="1" displayFolder="" measureGroup="usuarios1" count="0" hidden="1"/>
    <cacheHierarchy uniqueName="[Measures].[__XL_Count productos]" caption="__XL_Count productos" measure="1" displayFolder="" measureGroup="productos" count="0" hidden="1"/>
    <cacheHierarchy uniqueName="[Measures].[__XL_Count items]" caption="__XL_Count items" measure="1" displayFolder="" measureGroup="item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ada 2]" caption="Suma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tipo_cuenta 2]" caption="Recuento de tipo_cuent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egreso 2]" caption="Suma de egreso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 2]" caption="Suma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id_transaccion 2]" caption="Recuento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id_transaccion 3]" caption="Suma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3]" caption="Recuento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 2]" caption="Recuento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transacciones1" uniqueName="[transacciones1]" caption="transacciones1"/>
    <dimension name="usuarios" uniqueName="[usuarios]" caption="usuarios"/>
    <dimension name="usuarios1" uniqueName="[usuarios1]" caption="usuarios1"/>
  </dimensions>
  <measureGroups count="6">
    <measureGroup name="items" caption="items"/>
    <measureGroup name="productos" caption="productos"/>
    <measureGroup name="transacciones" caption="transacciones"/>
    <measureGroup name="transacciones1" caption="transacciones1"/>
    <measureGroup name="usuarios" caption="usuarios"/>
    <measureGroup name="usuarios1" caption="usuarios1"/>
  </measureGroups>
  <maps count="11">
    <map measureGroup="0" dimension="0"/>
    <map measureGroup="0" dimension="2"/>
    <map measureGroup="0" dimension="4"/>
    <map measureGroup="0" dimension="6"/>
    <map measureGroup="1" dimension="2"/>
    <map measureGroup="2" dimension="3"/>
    <map measureGroup="2" dimension="5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PC" refreshedDate="46081.862336342594" createdVersion="8" refreshedVersion="6" minRefreshableVersion="3" recordCount="21">
  <cacheSource type="worksheet">
    <worksheetSource ref="R25" sheet="Extracto"/>
  </cacheSource>
  <cacheFields count="5">
    <cacheField name="fecha" numFmtId="0">
      <sharedItems containsNonDate="0" containsDate="1" containsString="0" containsBlank="1" minDate="2026-02-23T00:00:00" maxDate="2026-03-01T00:00:00" count="7">
        <d v="2026-02-23T00:00:00"/>
        <d v="2026-02-24T00:00:00"/>
        <d v="2026-02-25T00:00:00"/>
        <d v="2026-02-26T00:00:00"/>
        <d v="2026-02-27T00:00:00"/>
        <d v="2026-02-28T00:00:00"/>
        <m/>
      </sharedItems>
    </cacheField>
    <cacheField name="dia_semana" numFmtId="0">
      <sharedItems containsBlank="1"/>
    </cacheField>
    <cacheField name="hora" numFmtId="0">
      <sharedItems containsNonDate="0" containsDate="1" containsString="0" containsBlank="1" minDate="1899-12-30T13:33:00" maxDate="1899-12-30T20:17:00"/>
    </cacheField>
    <cacheField name="valor" numFmtId="164">
      <sharedItems containsString="0" containsBlank="1" containsNumber="1" containsInteger="1" minValue="3000" maxValue="280000"/>
    </cacheField>
    <cacheField name="cuenta" numFmtId="0">
      <sharedItems containsBlank="1" count="3">
        <s v="Nequi"/>
        <s v="DaviPlat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DMIN" refreshedDate="46121.381358564817" createdVersion="8" refreshedVersion="8" minRefreshableVersion="3" recordCount="128">
  <cacheSource type="worksheet">
    <worksheetSource ref="A6:J134" sheet="Extracto"/>
  </cacheSource>
  <cacheFields count="10">
    <cacheField name="fecha" numFmtId="16">
      <sharedItems containsSemiMixedTypes="0" containsNonDate="0" containsDate="1" containsString="0" minDate="2026-02-23T00:00:00" maxDate="2026-03-29T00:00:00" count="27">
        <d v="2026-02-23T00:00:00"/>
        <d v="2026-02-24T00:00:00"/>
        <d v="2026-02-25T00:00:00"/>
        <d v="2026-02-26T00:00:00"/>
        <d v="2026-02-27T00:00:00"/>
        <d v="2026-02-28T00:00:00"/>
        <d v="2026-03-03T00:00:00"/>
        <d v="2026-03-04T00:00:00"/>
        <d v="2026-03-05T00:00:00"/>
        <d v="2026-03-07T00:00:00"/>
        <d v="2026-03-08T00:00:00"/>
        <d v="2026-03-10T00:00:00"/>
        <d v="2026-03-11T00:00:00"/>
        <d v="2026-03-09T00:00:00"/>
        <d v="2026-03-12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4T00:00:00"/>
        <d v="2026-03-25T00:00:00"/>
        <d v="2026-03-26T00:00:00"/>
        <d v="2026-03-28T00:00:00"/>
      </sharedItems>
    </cacheField>
    <cacheField name="dia_sem" numFmtId="16">
      <sharedItems/>
    </cacheField>
    <cacheField name="hora" numFmtId="0">
      <sharedItems containsNonDate="0" containsDate="1" containsString="0" containsBlank="1" minDate="1899-12-30T13:33:00" maxDate="1899-12-30T20:23:00"/>
    </cacheField>
    <cacheField name="valor" numFmtId="166">
      <sharedItems containsSemiMixedTypes="0" containsString="0" containsNumber="1" containsInteger="1" minValue="-619850" maxValue="344950"/>
    </cacheField>
    <cacheField name="Sopor." numFmtId="164">
      <sharedItems containsBlank="1"/>
    </cacheField>
    <cacheField name="fact" numFmtId="0">
      <sharedItems containsBlank="1" containsMixedTypes="1" containsNumber="1" containsInteger="1" minValue="268" maxValue="286"/>
    </cacheField>
    <cacheField name="Estado" numFmtId="164">
      <sharedItems containsBlank="1"/>
    </cacheField>
    <cacheField name="cuenta" numFmtId="0">
      <sharedItems count="2">
        <s v="Nequi"/>
        <s v="DaviPlata"/>
      </sharedItems>
    </cacheField>
    <cacheField name="nombre_cliente" numFmtId="0">
      <sharedItems containsBlank="1"/>
    </cacheField>
    <cacheField name="telefon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6-01-27T00:00:00"/>
    <n v="1500000"/>
    <x v="0"/>
    <x v="0"/>
    <s v="José Gustavo"/>
    <x v="0"/>
    <s v="Comercializadora Las Brumas"/>
  </r>
  <r>
    <d v="2026-01-27T00:00:00"/>
    <n v="4300000"/>
    <x v="0"/>
    <x v="0"/>
    <s v="José Gustavo"/>
    <x v="1"/>
    <s v="Compra y Venta El Dorado"/>
  </r>
  <r>
    <d v="2026-02-03T00:00:00"/>
    <n v="5950000"/>
    <x v="0"/>
    <x v="0"/>
    <s v="José Gustavo"/>
    <x v="2"/>
    <s v="Muebles y Enseres CHEPE"/>
  </r>
  <r>
    <d v="2026-02-03T00:00:00"/>
    <n v="80000"/>
    <x v="0"/>
    <x v="1"/>
    <s v="José Gustavo"/>
    <x v="3"/>
    <s v="El Cubo"/>
  </r>
  <r>
    <d v="2026-02-03T00:00:00"/>
    <n v="100000"/>
    <x v="0"/>
    <x v="1"/>
    <s v="José Gustavo"/>
    <x v="4"/>
    <s v="Dussan"/>
  </r>
  <r>
    <d v="2026-02-03T00:00:00"/>
    <n v="30000"/>
    <x v="0"/>
    <x v="2"/>
    <s v="José Gustavo"/>
    <x v="5"/>
    <s v="Dussan"/>
  </r>
  <r>
    <d v="2026-02-07T00:00:00"/>
    <n v="200000"/>
    <x v="0"/>
    <x v="1"/>
    <s v="José Gustavo"/>
    <x v="6"/>
    <s v="Compra y Venta D.C."/>
  </r>
  <r>
    <d v="2026-02-07T00:00:00"/>
    <n v="110000"/>
    <x v="0"/>
    <x v="1"/>
    <s v="José Gustavo"/>
    <x v="7"/>
    <s v="LICICOL"/>
  </r>
  <r>
    <d v="2026-02-07T00:00:00"/>
    <n v="62000"/>
    <x v="0"/>
    <x v="0"/>
    <s v="José Gustavo"/>
    <x v="8"/>
    <s v="RICAURTE"/>
  </r>
  <r>
    <d v="2026-02-03T00:00:00"/>
    <n v="2400000"/>
    <x v="0"/>
    <x v="1"/>
    <s v="José Gustavo"/>
    <x v="9"/>
    <s v="Muebles y montajes"/>
  </r>
  <r>
    <d v="2026-02-03T00:00:00"/>
    <n v="108150"/>
    <x v="0"/>
    <x v="1"/>
    <s v="José Gustavo"/>
    <x v="10"/>
    <s v="RICAURTE"/>
  </r>
  <r>
    <d v="2026-02-03T00:00:00"/>
    <n v="180000"/>
    <x v="0"/>
    <x v="3"/>
    <s v="José Gustavo"/>
    <x v="11"/>
    <s v="La av 19"/>
  </r>
  <r>
    <d v="2026-01-28T00:00:00"/>
    <n v="135400"/>
    <x v="0"/>
    <x v="2"/>
    <s v="José Gustavo"/>
    <x v="12"/>
    <m/>
  </r>
  <r>
    <d v="2026-01-29T00:00:00"/>
    <n v="122000"/>
    <x v="0"/>
    <x v="2"/>
    <s v="José Gustavo"/>
    <x v="13"/>
    <m/>
  </r>
  <r>
    <d v="2026-01-29T00:00:00"/>
    <n v="21900"/>
    <x v="1"/>
    <x v="4"/>
    <s v="Edwin"/>
    <x v="14"/>
    <m/>
  </r>
  <r>
    <d v="2026-01-29T00:00:00"/>
    <n v="380000"/>
    <x v="1"/>
    <x v="4"/>
    <s v="José Gustavo"/>
    <x v="15"/>
    <m/>
  </r>
  <r>
    <d v="2026-01-29T00:00:00"/>
    <n v="100000"/>
    <x v="1"/>
    <x v="4"/>
    <s v="Edwin"/>
    <x v="15"/>
    <m/>
  </r>
  <r>
    <d v="2026-01-29T00:00:00"/>
    <n v="30000"/>
    <x v="1"/>
    <x v="4"/>
    <s v="Edwin"/>
    <x v="15"/>
    <m/>
  </r>
  <r>
    <d v="2026-02-07T00:00:00"/>
    <n v="50000"/>
    <x v="1"/>
    <x v="4"/>
    <s v="Edwin"/>
    <x v="15"/>
    <m/>
  </r>
  <r>
    <d v="2026-02-13T00:00:00"/>
    <n v="70000"/>
    <x v="1"/>
    <x v="4"/>
    <s v="José Gustavo"/>
    <x v="15"/>
    <m/>
  </r>
  <r>
    <d v="2026-02-04T00:00:00"/>
    <n v="490000"/>
    <x v="2"/>
    <x v="3"/>
    <s v="Edwin"/>
    <x v="16"/>
    <m/>
  </r>
  <r>
    <d v="2026-02-09T00:00:00"/>
    <n v="1700000"/>
    <x v="1"/>
    <x v="3"/>
    <s v="José Gustavo"/>
    <x v="17"/>
    <s v="Fabiola Parra "/>
  </r>
  <r>
    <d v="2026-02-12T00:00:00"/>
    <n v="258615"/>
    <x v="1"/>
    <x v="3"/>
    <s v="José Gustavo"/>
    <x v="18"/>
    <m/>
  </r>
  <r>
    <d v="2026-02-12T00:00:00"/>
    <n v="115450"/>
    <x v="1"/>
    <x v="3"/>
    <s v="José Gustavo"/>
    <x v="19"/>
    <m/>
  </r>
  <r>
    <d v="2026-02-17T00:00:00"/>
    <n v="60000"/>
    <x v="3"/>
    <x v="3"/>
    <s v="Edwin"/>
    <x v="20"/>
    <m/>
  </r>
  <r>
    <d v="2026-02-18T00:00:00"/>
    <n v="1545000"/>
    <x v="0"/>
    <x v="1"/>
    <s v="José Gustavo"/>
    <x v="21"/>
    <s v="Ktronix"/>
  </r>
  <r>
    <d v="2026-02-18T00:00:00"/>
    <n v="151300"/>
    <x v="1"/>
    <x v="2"/>
    <s v="José Gustavo"/>
    <x v="22"/>
    <s v="Fontanar"/>
  </r>
  <r>
    <d v="2026-02-19T00:00:00"/>
    <n v="300000"/>
    <x v="0"/>
    <x v="1"/>
    <s v="José Gustavo"/>
    <x v="23"/>
    <m/>
  </r>
  <r>
    <d v="2026-01-26T00:00:00"/>
    <n v="150000"/>
    <x v="1"/>
    <x v="3"/>
    <s v="José Gustavo"/>
    <x v="24"/>
    <m/>
  </r>
  <r>
    <d v="2026-01-26T00:00:00"/>
    <n v="750000"/>
    <x v="3"/>
    <x v="3"/>
    <s v="José Gustavo"/>
    <x v="25"/>
    <m/>
  </r>
  <r>
    <d v="2026-02-16T00:00:00"/>
    <n v="900000"/>
    <x v="3"/>
    <x v="3"/>
    <s v="Edwin"/>
    <x v="25"/>
    <m/>
  </r>
  <r>
    <d v="2026-02-17T00:00:00"/>
    <n v="730000"/>
    <x v="1"/>
    <x v="5"/>
    <s v="José Gustavo"/>
    <x v="26"/>
    <s v="Don Oscar"/>
  </r>
  <r>
    <d v="2026-02-17T00:00:00"/>
    <n v="420000"/>
    <x v="1"/>
    <x v="5"/>
    <s v="José Gustavo"/>
    <x v="27"/>
    <s v="Libardo Ospina"/>
  </r>
  <r>
    <d v="2026-02-17T00:00:00"/>
    <n v="300000"/>
    <x v="1"/>
    <x v="3"/>
    <s v="José Gustavo"/>
    <x v="28"/>
    <m/>
  </r>
  <r>
    <d v="2026-02-17T00:00:00"/>
    <n v="140000"/>
    <x v="1"/>
    <x v="3"/>
    <s v="José Gustavo"/>
    <x v="29"/>
    <m/>
  </r>
  <r>
    <d v="2026-02-17T00:00:00"/>
    <n v="550000"/>
    <x v="0"/>
    <x v="1"/>
    <s v="José Gustavo"/>
    <x v="30"/>
    <m/>
  </r>
  <r>
    <d v="2026-02-17T00:00:00"/>
    <n v="464000"/>
    <x v="0"/>
    <x v="1"/>
    <s v="José Gustavo"/>
    <x v="31"/>
    <m/>
  </r>
  <r>
    <d v="2026-02-17T00:00:00"/>
    <n v="131000"/>
    <x v="0"/>
    <x v="1"/>
    <s v="José Gustavo"/>
    <x v="32"/>
    <m/>
  </r>
  <r>
    <d v="2026-02-19T00:00:00"/>
    <n v="40000"/>
    <x v="4"/>
    <x v="3"/>
    <s v="José Gustavo"/>
    <x v="33"/>
    <m/>
  </r>
  <r>
    <d v="2026-02-19T00:00:00"/>
    <n v="140000"/>
    <x v="4"/>
    <x v="3"/>
    <s v="José Gustavo"/>
    <x v="34"/>
    <m/>
  </r>
  <r>
    <d v="2026-02-19T00:00:00"/>
    <n v="2030000"/>
    <x v="4"/>
    <x v="3"/>
    <s v="José Gustavo"/>
    <x v="35"/>
    <m/>
  </r>
  <r>
    <d v="2026-02-17T00:00:00"/>
    <n v="40000"/>
    <x v="4"/>
    <x v="3"/>
    <s v="José Gustavo"/>
    <x v="36"/>
    <m/>
  </r>
  <r>
    <d v="2026-02-20T00:00:00"/>
    <n v="15000"/>
    <x v="0"/>
    <x v="1"/>
    <s v="Edwin"/>
    <x v="37"/>
    <m/>
  </r>
  <r>
    <d v="2026-02-20T00:00:00"/>
    <n v="619850"/>
    <x v="4"/>
    <x v="3"/>
    <s v="José Gustavo"/>
    <x v="38"/>
    <m/>
  </r>
  <r>
    <d v="2026-02-20T00:00:00"/>
    <n v="90000"/>
    <x v="4"/>
    <x v="3"/>
    <s v="José Gustavo"/>
    <x v="39"/>
    <m/>
  </r>
  <r>
    <d v="2026-02-20T00:00:00"/>
    <n v="20000"/>
    <x v="1"/>
    <x v="3"/>
    <s v="José Gustavo"/>
    <x v="40"/>
    <m/>
  </r>
  <r>
    <d v="2026-02-20T00:00:00"/>
    <n v="260100"/>
    <x v="0"/>
    <x v="2"/>
    <s v="José Gustavo"/>
    <x v="41"/>
    <m/>
  </r>
  <r>
    <d v="2026-02-20T00:00:00"/>
    <n v="412000"/>
    <x v="4"/>
    <x v="3"/>
    <s v="José Gustavo"/>
    <x v="42"/>
    <m/>
  </r>
  <r>
    <d v="2026-02-20T00:00:00"/>
    <n v="80000"/>
    <x v="0"/>
    <x v="3"/>
    <s v="Edwin"/>
    <x v="43"/>
    <m/>
  </r>
  <r>
    <m/>
    <m/>
    <x v="5"/>
    <x v="3"/>
    <m/>
    <x v="4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s v="lun"/>
    <d v="1899-12-30T17:31:00"/>
    <n v="6500"/>
    <x v="0"/>
  </r>
  <r>
    <x v="0"/>
    <s v="lun"/>
    <m/>
    <n v="24000"/>
    <x v="0"/>
  </r>
  <r>
    <x v="1"/>
    <s v="mar"/>
    <d v="1899-12-30T19:03:00"/>
    <n v="3000"/>
    <x v="0"/>
  </r>
  <r>
    <x v="1"/>
    <s v="mar"/>
    <d v="1899-12-30T19:52:00"/>
    <n v="8000"/>
    <x v="0"/>
  </r>
  <r>
    <x v="2"/>
    <s v="mié"/>
    <d v="1899-12-30T16:40:00"/>
    <n v="8000"/>
    <x v="0"/>
  </r>
  <r>
    <x v="2"/>
    <s v="mié"/>
    <d v="1899-12-30T19:04:00"/>
    <n v="8000"/>
    <x v="0"/>
  </r>
  <r>
    <x v="2"/>
    <s v="mié"/>
    <d v="1899-12-30T19:22:00"/>
    <n v="22500"/>
    <x v="0"/>
  </r>
  <r>
    <x v="2"/>
    <s v="mié"/>
    <d v="1899-12-30T20:09:00"/>
    <n v="8000"/>
    <x v="0"/>
  </r>
  <r>
    <x v="2"/>
    <s v="mié"/>
    <d v="1899-12-30T19:03:00"/>
    <n v="16000"/>
    <x v="1"/>
  </r>
  <r>
    <x v="3"/>
    <s v="jue"/>
    <d v="1899-12-30T13:33:00"/>
    <n v="25000"/>
    <x v="0"/>
  </r>
  <r>
    <x v="3"/>
    <s v="jue"/>
    <d v="1899-12-30T20:17:00"/>
    <n v="51000"/>
    <x v="0"/>
  </r>
  <r>
    <x v="3"/>
    <s v="jue"/>
    <d v="1899-12-30T17:28:00"/>
    <n v="49000"/>
    <x v="0"/>
  </r>
  <r>
    <x v="4"/>
    <s v="vie"/>
    <d v="1899-12-30T19:45:00"/>
    <n v="11000"/>
    <x v="1"/>
  </r>
  <r>
    <x v="4"/>
    <s v="vie"/>
    <d v="1899-12-30T20:13:00"/>
    <n v="10000"/>
    <x v="0"/>
  </r>
  <r>
    <x v="4"/>
    <s v="vie"/>
    <d v="1899-12-30T18:19:00"/>
    <n v="24000"/>
    <x v="0"/>
  </r>
  <r>
    <x v="4"/>
    <s v="vie"/>
    <d v="1899-12-30T18:14:00"/>
    <n v="11000"/>
    <x v="0"/>
  </r>
  <r>
    <x v="5"/>
    <s v="sáb"/>
    <m/>
    <n v="280000"/>
    <x v="0"/>
  </r>
  <r>
    <x v="5"/>
    <s v="sáb"/>
    <d v="1899-12-30T19:02:00"/>
    <n v="18000"/>
    <x v="0"/>
  </r>
  <r>
    <x v="5"/>
    <s v="sáb"/>
    <d v="1899-12-30T15:39:00"/>
    <n v="16000"/>
    <x v="0"/>
  </r>
  <r>
    <x v="5"/>
    <s v="sáb"/>
    <d v="1899-12-30T15:38:00"/>
    <n v="13000"/>
    <x v="0"/>
  </r>
  <r>
    <x v="6"/>
    <m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x v="0"/>
    <s v="lun"/>
    <d v="1899-12-30T17:31:00"/>
    <n v="6500"/>
    <s v="fact"/>
    <m/>
    <m/>
    <x v="0"/>
    <s v="Papá"/>
    <s v="Error"/>
  </r>
  <r>
    <x v="0"/>
    <s v="lun"/>
    <m/>
    <n v="24000"/>
    <s v="fact"/>
    <m/>
    <m/>
    <x v="0"/>
    <s v="Diana Carolina Colorado Penagos"/>
    <m/>
  </r>
  <r>
    <x v="1"/>
    <s v="mar"/>
    <d v="1899-12-30T19:03:00"/>
    <n v="3000"/>
    <s v="fact"/>
    <s v="00024"/>
    <m/>
    <x v="0"/>
    <s v="Lucelyz Pelaez"/>
    <m/>
  </r>
  <r>
    <x v="1"/>
    <s v="mar"/>
    <d v="1899-12-30T19:52:00"/>
    <n v="8000"/>
    <s v="fact"/>
    <s v="00024"/>
    <m/>
    <x v="0"/>
    <s v="Jeisson Gutierrez"/>
    <m/>
  </r>
  <r>
    <x v="2"/>
    <s v="mié"/>
    <d v="1899-12-30T16:40:00"/>
    <n v="8000"/>
    <s v="fact"/>
    <m/>
    <m/>
    <x v="0"/>
    <s v="María Torres"/>
    <m/>
  </r>
  <r>
    <x v="2"/>
    <s v="mié"/>
    <d v="1899-12-30T19:04:00"/>
    <n v="8000"/>
    <s v="fact"/>
    <m/>
    <m/>
    <x v="0"/>
    <s v="Ori****Rod*****Ma"/>
    <s v="Breb-B"/>
  </r>
  <r>
    <x v="2"/>
    <s v="mié"/>
    <d v="1899-12-30T19:22:00"/>
    <n v="22500"/>
    <s v="fact"/>
    <m/>
    <m/>
    <x v="0"/>
    <s v="Papá"/>
    <s v="Error"/>
  </r>
  <r>
    <x v="2"/>
    <s v="mié"/>
    <d v="1899-12-30T20:09:00"/>
    <n v="8000"/>
    <s v="fact"/>
    <m/>
    <m/>
    <x v="0"/>
    <s v="Juan Heredia"/>
    <m/>
  </r>
  <r>
    <x v="2"/>
    <s v="mié"/>
    <d v="1899-12-30T19:03:00"/>
    <n v="16000"/>
    <s v="fact"/>
    <m/>
    <m/>
    <x v="1"/>
    <s v="ND"/>
    <s v="DaviPlata"/>
  </r>
  <r>
    <x v="3"/>
    <s v="jue"/>
    <d v="1899-12-30T13:33:00"/>
    <n v="25000"/>
    <s v="fact"/>
    <m/>
    <m/>
    <x v="0"/>
    <s v="Claudia Arevalo"/>
    <s v="322 381 0697"/>
  </r>
  <r>
    <x v="3"/>
    <s v="jue"/>
    <d v="1899-12-30T20:17:00"/>
    <n v="51000"/>
    <s v="fact"/>
    <m/>
    <m/>
    <x v="0"/>
    <s v="Papá"/>
    <s v="Error"/>
  </r>
  <r>
    <x v="3"/>
    <s v="jue"/>
    <d v="1899-12-30T17:28:00"/>
    <n v="49000"/>
    <s v="fact"/>
    <m/>
    <m/>
    <x v="0"/>
    <s v="Darwin Casallas"/>
    <m/>
  </r>
  <r>
    <x v="4"/>
    <s v="vie"/>
    <d v="1899-12-30T19:45:00"/>
    <n v="11000"/>
    <s v="fact"/>
    <m/>
    <m/>
    <x v="1"/>
    <s v="ND"/>
    <s v="DaviPlata"/>
  </r>
  <r>
    <x v="4"/>
    <s v="vie"/>
    <d v="1899-12-30T20:13:00"/>
    <n v="10000"/>
    <s v="fact"/>
    <m/>
    <m/>
    <x v="0"/>
    <s v="David Aparicio"/>
    <m/>
  </r>
  <r>
    <x v="4"/>
    <s v="vie"/>
    <d v="1899-12-30T18:19:00"/>
    <n v="24000"/>
    <s v="fact"/>
    <m/>
    <m/>
    <x v="0"/>
    <s v="Natalia Bolivar"/>
    <m/>
  </r>
  <r>
    <x v="4"/>
    <s v="vie"/>
    <d v="1899-12-30T18:14:00"/>
    <n v="11000"/>
    <s v="fact"/>
    <m/>
    <m/>
    <x v="0"/>
    <s v="Carlos Gonzalez"/>
    <m/>
  </r>
  <r>
    <x v="5"/>
    <s v="sáb"/>
    <m/>
    <n v="280000"/>
    <s v="fact"/>
    <m/>
    <m/>
    <x v="0"/>
    <s v="Consignación a Edwin"/>
    <s v="Consignación"/>
  </r>
  <r>
    <x v="5"/>
    <s v="sáb"/>
    <d v="1899-12-30T19:02:00"/>
    <n v="18000"/>
    <s v="fact"/>
    <m/>
    <m/>
    <x v="0"/>
    <s v="Mel**** ***Alb Vil***"/>
    <s v="Breb-B"/>
  </r>
  <r>
    <x v="5"/>
    <s v="sáb"/>
    <d v="1899-12-30T15:39:00"/>
    <n v="16000"/>
    <s v="fact"/>
    <m/>
    <m/>
    <x v="0"/>
    <s v="María Barrios"/>
    <s v="315 826 7681"/>
  </r>
  <r>
    <x v="5"/>
    <s v="sáb"/>
    <d v="1899-12-30T15:38:00"/>
    <n v="13000"/>
    <s v="fact"/>
    <m/>
    <m/>
    <x v="0"/>
    <s v="David Aparicio"/>
    <s v="321 923 1130"/>
  </r>
  <r>
    <x v="6"/>
    <s v="mar"/>
    <m/>
    <n v="-27000"/>
    <s v="Nd-Nc"/>
    <m/>
    <m/>
    <x v="1"/>
    <s v="Transferencia interbancos"/>
    <m/>
  </r>
  <r>
    <x v="6"/>
    <s v="mar"/>
    <m/>
    <n v="27000"/>
    <s v="fact"/>
    <m/>
    <m/>
    <x v="0"/>
    <s v="Transferencia interbancos -papá"/>
    <m/>
  </r>
  <r>
    <x v="6"/>
    <s v="mar"/>
    <m/>
    <n v="20000"/>
    <s v="fact"/>
    <m/>
    <m/>
    <x v="0"/>
    <s v="NO NEQUI - Hamburguesas para la casa"/>
    <m/>
  </r>
  <r>
    <x v="6"/>
    <s v="mar"/>
    <m/>
    <n v="33000"/>
    <s v="fact"/>
    <m/>
    <m/>
    <x v="0"/>
    <s v="José Isidro Pinzòn Corredor"/>
    <m/>
  </r>
  <r>
    <x v="6"/>
    <s v="mar"/>
    <m/>
    <n v="-619850"/>
    <s v="Nd-Nc"/>
    <m/>
    <m/>
    <x v="0"/>
    <s v="Pago factura del cerdo"/>
    <m/>
  </r>
  <r>
    <x v="7"/>
    <s v="mié"/>
    <m/>
    <n v="19000"/>
    <s v="fact"/>
    <m/>
    <m/>
    <x v="0"/>
    <s v="Edu***loz***Boh**"/>
    <m/>
  </r>
  <r>
    <x v="7"/>
    <s v="mié"/>
    <m/>
    <n v="8000"/>
    <s v="fact"/>
    <m/>
    <m/>
    <x v="0"/>
    <s v="Gre***Leo***Cor**"/>
    <m/>
  </r>
  <r>
    <x v="7"/>
    <s v="mié"/>
    <m/>
    <n v="18000"/>
    <s v="fact"/>
    <m/>
    <m/>
    <x v="0"/>
    <s v="Recarga desde Bancolomba"/>
    <m/>
  </r>
  <r>
    <x v="7"/>
    <s v="mié"/>
    <m/>
    <n v="8000"/>
    <s v="fact"/>
    <m/>
    <m/>
    <x v="0"/>
    <s v="Willian Gutierrez"/>
    <m/>
  </r>
  <r>
    <x v="7"/>
    <s v="mié"/>
    <m/>
    <n v="64000"/>
    <s v="fact"/>
    <m/>
    <m/>
    <x v="0"/>
    <s v="Sergio Alarcón"/>
    <m/>
  </r>
  <r>
    <x v="8"/>
    <s v="jue"/>
    <m/>
    <n v="30000"/>
    <s v="fact"/>
    <m/>
    <m/>
    <x v="0"/>
    <s v="Henry Aguirre"/>
    <m/>
  </r>
  <r>
    <x v="8"/>
    <s v="jue"/>
    <m/>
    <n v="11000"/>
    <s v="fact"/>
    <m/>
    <m/>
    <x v="0"/>
    <s v="Miguel Rodriguez"/>
    <m/>
  </r>
  <r>
    <x v="8"/>
    <s v="jue"/>
    <m/>
    <n v="16000"/>
    <s v="fact"/>
    <m/>
    <m/>
    <x v="0"/>
    <s v="Diego Tijaro"/>
    <m/>
  </r>
  <r>
    <x v="8"/>
    <s v="jue"/>
    <m/>
    <n v="39500"/>
    <s v="fact"/>
    <m/>
    <m/>
    <x v="0"/>
    <s v="Leidy Camacho"/>
    <m/>
  </r>
  <r>
    <x v="8"/>
    <s v="jue"/>
    <m/>
    <n v="35000"/>
    <s v="fact"/>
    <m/>
    <m/>
    <x v="0"/>
    <s v="Manuel Fernando Ramirez"/>
    <m/>
  </r>
  <r>
    <x v="9"/>
    <s v="sáb"/>
    <m/>
    <n v="28000"/>
    <s v="fact"/>
    <m/>
    <m/>
    <x v="0"/>
    <s v="Yeimmerson Velandia"/>
    <m/>
  </r>
  <r>
    <x v="9"/>
    <s v="sáb"/>
    <m/>
    <n v="43000"/>
    <s v="fact"/>
    <m/>
    <m/>
    <x v="0"/>
    <s v="Adriana Pinto"/>
    <m/>
  </r>
  <r>
    <x v="10"/>
    <s v="dom"/>
    <m/>
    <n v="30000"/>
    <s v="fact"/>
    <m/>
    <m/>
    <x v="0"/>
    <s v="Gloria Rodriguez"/>
    <m/>
  </r>
  <r>
    <x v="10"/>
    <s v="dom"/>
    <m/>
    <n v="54000"/>
    <s v="fact"/>
    <m/>
    <m/>
    <x v="0"/>
    <s v="ALI***PAT***GUT"/>
    <m/>
  </r>
  <r>
    <x v="10"/>
    <s v="dom"/>
    <m/>
    <n v="8000"/>
    <s v="fact"/>
    <m/>
    <m/>
    <x v="0"/>
    <s v="Marcelo Cespedes"/>
    <m/>
  </r>
  <r>
    <x v="10"/>
    <s v="dom"/>
    <m/>
    <n v="30000"/>
    <s v="fact"/>
    <m/>
    <m/>
    <x v="0"/>
    <s v="FLO***ANG***ITA***OR"/>
    <m/>
  </r>
  <r>
    <x v="10"/>
    <s v="dom"/>
    <m/>
    <n v="16000"/>
    <s v="fact"/>
    <m/>
    <m/>
    <x v="0"/>
    <s v="Papá del 7 de marzo"/>
    <m/>
  </r>
  <r>
    <x v="11"/>
    <s v="mar"/>
    <m/>
    <n v="90000"/>
    <s v="fact"/>
    <m/>
    <m/>
    <x v="0"/>
    <s v="Consignaciòn DaviPlata"/>
    <m/>
  </r>
  <r>
    <x v="11"/>
    <s v="mar"/>
    <m/>
    <n v="-412000"/>
    <m/>
    <m/>
    <m/>
    <x v="0"/>
    <s v="Pago de la gaseosa"/>
    <m/>
  </r>
  <r>
    <x v="11"/>
    <s v="mar"/>
    <m/>
    <n v="30000"/>
    <s v="fact"/>
    <m/>
    <m/>
    <x v="0"/>
    <s v="NEL***HER***LOP"/>
    <m/>
  </r>
  <r>
    <x v="11"/>
    <s v="mar"/>
    <m/>
    <n v="11000"/>
    <s v="fact"/>
    <m/>
    <m/>
    <x v="0"/>
    <s v="BRIAN SANTANA"/>
    <m/>
  </r>
  <r>
    <x v="12"/>
    <s v="mié"/>
    <m/>
    <n v="8000"/>
    <s v="fact"/>
    <m/>
    <m/>
    <x v="0"/>
    <s v="ALEX SOCARRAS"/>
    <m/>
  </r>
  <r>
    <x v="12"/>
    <s v="mié"/>
    <m/>
    <n v="24000"/>
    <s v="fact"/>
    <m/>
    <m/>
    <x v="0"/>
    <s v="EDISON PENAGOS"/>
    <m/>
  </r>
  <r>
    <x v="12"/>
    <s v="mié"/>
    <m/>
    <n v="22000"/>
    <s v="fact"/>
    <m/>
    <m/>
    <x v="0"/>
    <s v="BRIAN SANTANA"/>
    <m/>
  </r>
  <r>
    <x v="12"/>
    <s v="mié"/>
    <m/>
    <n v="8000"/>
    <s v="fact"/>
    <m/>
    <m/>
    <x v="0"/>
    <s v="KATERINE SIERRA"/>
    <m/>
  </r>
  <r>
    <x v="12"/>
    <s v="mié"/>
    <m/>
    <n v="32000"/>
    <s v="fact"/>
    <m/>
    <m/>
    <x v="0"/>
    <s v="MAI***JOS**MAI"/>
    <m/>
  </r>
  <r>
    <x v="12"/>
    <s v="mié"/>
    <m/>
    <n v="8000"/>
    <s v="fact"/>
    <m/>
    <m/>
    <x v="0"/>
    <s v="JUAN BERMUDEZ"/>
    <m/>
  </r>
  <r>
    <x v="12"/>
    <s v="mié"/>
    <m/>
    <n v="11000"/>
    <s v="fact"/>
    <m/>
    <m/>
    <x v="0"/>
    <s v="SAN***BEN**ROD"/>
    <m/>
  </r>
  <r>
    <x v="6"/>
    <s v="mar"/>
    <m/>
    <n v="11000"/>
    <s v="fact"/>
    <m/>
    <m/>
    <x v="1"/>
    <m/>
    <m/>
  </r>
  <r>
    <x v="10"/>
    <s v="dom"/>
    <m/>
    <n v="3000"/>
    <s v="fact"/>
    <m/>
    <m/>
    <x v="1"/>
    <m/>
    <m/>
  </r>
  <r>
    <x v="13"/>
    <s v="lun"/>
    <m/>
    <n v="76000"/>
    <s v="GIRO"/>
    <m/>
    <m/>
    <x v="1"/>
    <s v="Transferencia interbancos de papa"/>
    <m/>
  </r>
  <r>
    <x v="11"/>
    <s v="mar"/>
    <m/>
    <n v="-90000"/>
    <s v="Nd-Nc"/>
    <m/>
    <m/>
    <x v="1"/>
    <m/>
    <m/>
  </r>
  <r>
    <x v="12"/>
    <s v="mié"/>
    <m/>
    <n v="1000"/>
    <s v="fact"/>
    <m/>
    <m/>
    <x v="1"/>
    <m/>
    <m/>
  </r>
  <r>
    <x v="12"/>
    <s v="mié"/>
    <m/>
    <n v="22000"/>
    <s v="fact"/>
    <m/>
    <m/>
    <x v="1"/>
    <m/>
    <m/>
  </r>
  <r>
    <x v="14"/>
    <s v="jue"/>
    <m/>
    <n v="82000"/>
    <s v="fact"/>
    <s v="00095"/>
    <m/>
    <x v="1"/>
    <m/>
    <m/>
  </r>
  <r>
    <x v="14"/>
    <s v="jue"/>
    <d v="1899-12-30T17:33:00"/>
    <n v="11000"/>
    <s v="fact"/>
    <s v="000198"/>
    <m/>
    <x v="0"/>
    <s v="BRIAN SANTANA"/>
    <m/>
  </r>
  <r>
    <x v="14"/>
    <s v="jue"/>
    <d v="1899-12-30T18:52:00"/>
    <n v="24000"/>
    <s v="fact"/>
    <s v="000202"/>
    <m/>
    <x v="0"/>
    <s v="JOHN CRISOSTOMO"/>
    <m/>
  </r>
  <r>
    <x v="14"/>
    <s v="jue"/>
    <m/>
    <n v="24000"/>
    <s v="fact"/>
    <s v="000196"/>
    <m/>
    <x v="0"/>
    <s v="WEN***ALE***PUL"/>
    <m/>
  </r>
  <r>
    <x v="14"/>
    <s v="jue"/>
    <m/>
    <n v="11000"/>
    <s v="fact"/>
    <m/>
    <m/>
    <x v="0"/>
    <s v="JEI***PEN***BEN***"/>
    <m/>
  </r>
  <r>
    <x v="15"/>
    <s v="sáb"/>
    <m/>
    <n v="23000"/>
    <s v="fact"/>
    <s v="00095"/>
    <m/>
    <x v="1"/>
    <m/>
    <m/>
  </r>
  <r>
    <x v="15"/>
    <s v="sáb"/>
    <m/>
    <n v="11000"/>
    <s v="fact"/>
    <s v="00212"/>
    <m/>
    <x v="0"/>
    <s v="JEISON URIBE"/>
    <m/>
  </r>
  <r>
    <x v="15"/>
    <s v="sáb"/>
    <m/>
    <n v="11000"/>
    <s v="fact"/>
    <s v="00216"/>
    <m/>
    <x v="0"/>
    <s v="ANGIE ZUNIGA"/>
    <m/>
  </r>
  <r>
    <x v="15"/>
    <s v="sáb"/>
    <m/>
    <n v="57500"/>
    <s v="fact"/>
    <m/>
    <m/>
    <x v="0"/>
    <s v="JUA***PAB***GAL***G"/>
    <m/>
  </r>
  <r>
    <x v="15"/>
    <s v="sáb"/>
    <m/>
    <n v="13500"/>
    <s v="fact"/>
    <s v="00217"/>
    <m/>
    <x v="0"/>
    <s v="LUIS ALBERTO ROMERO CALDERON"/>
    <m/>
  </r>
  <r>
    <x v="16"/>
    <s v="dom"/>
    <m/>
    <n v="19000"/>
    <s v="fact"/>
    <m/>
    <m/>
    <x v="0"/>
    <s v="JUAN JOYA"/>
    <m/>
  </r>
  <r>
    <x v="16"/>
    <s v="dom"/>
    <d v="1899-12-30T18:55:00"/>
    <n v="36000"/>
    <s v="fact"/>
    <m/>
    <m/>
    <x v="0"/>
    <s v="LUIS ALBERTO ROMERO CALDERON"/>
    <m/>
  </r>
  <r>
    <x v="17"/>
    <s v="lun"/>
    <m/>
    <n v="10000"/>
    <s v="fact"/>
    <m/>
    <m/>
    <x v="0"/>
    <s v="DANIEL RAMOS"/>
    <m/>
  </r>
  <r>
    <x v="17"/>
    <s v="lun"/>
    <m/>
    <n v="11000"/>
    <s v="fact"/>
    <m/>
    <m/>
    <x v="0"/>
    <s v="FELIPE GUTIERREZ"/>
    <m/>
  </r>
  <r>
    <x v="18"/>
    <s v="mar"/>
    <m/>
    <n v="8000"/>
    <s v="fact"/>
    <m/>
    <m/>
    <x v="1"/>
    <m/>
    <m/>
  </r>
  <r>
    <x v="18"/>
    <s v="mar"/>
    <m/>
    <n v="15000"/>
    <s v="fact"/>
    <m/>
    <m/>
    <x v="1"/>
    <m/>
    <m/>
  </r>
  <r>
    <x v="18"/>
    <s v="mar"/>
    <d v="1899-12-30T15:51:00"/>
    <n v="50000"/>
    <s v="fact"/>
    <s v="00240"/>
    <m/>
    <x v="0"/>
    <s v="LIDIA CAMACHO CARRERO"/>
    <m/>
  </r>
  <r>
    <x v="18"/>
    <s v="mar"/>
    <m/>
    <n v="11000"/>
    <s v="fact"/>
    <s v="00238"/>
    <m/>
    <x v="0"/>
    <s v="BRI***STI***SAN***"/>
    <m/>
  </r>
  <r>
    <x v="18"/>
    <s v="mar"/>
    <m/>
    <n v="8000"/>
    <s v="fact"/>
    <s v="0000"/>
    <m/>
    <x v="0"/>
    <s v="JESUS BOJACA"/>
    <m/>
  </r>
  <r>
    <x v="18"/>
    <s v="mar"/>
    <m/>
    <n v="9000"/>
    <s v="fact"/>
    <s v="00247"/>
    <m/>
    <x v="0"/>
    <s v="CAROLINA LEON"/>
    <m/>
  </r>
  <r>
    <x v="18"/>
    <s v="mar"/>
    <m/>
    <n v="-60000"/>
    <s v="Egreso"/>
    <m/>
    <m/>
    <x v="0"/>
    <s v="Pago publicidad - banner y registradora"/>
    <m/>
  </r>
  <r>
    <x v="19"/>
    <s v="mié"/>
    <m/>
    <n v="344950"/>
    <s v="Base"/>
    <m/>
    <m/>
    <x v="0"/>
    <s v="Transferencia del efectivo"/>
    <m/>
  </r>
  <r>
    <x v="18"/>
    <s v="mar"/>
    <m/>
    <n v="24000"/>
    <s v="fact"/>
    <s v="uni"/>
    <s v="Pendiente"/>
    <x v="0"/>
    <s v="Chorizos el de publicidad"/>
    <m/>
  </r>
  <r>
    <x v="18"/>
    <s v="mar"/>
    <m/>
    <n v="-24000"/>
    <s v="fact"/>
    <s v="uni"/>
    <s v="Pendiente"/>
    <x v="0"/>
    <s v="Ajuste administrativo, si se tuvo en cuenta en el acumulado"/>
    <m/>
  </r>
  <r>
    <x v="18"/>
    <s v="mar"/>
    <m/>
    <n v="32000"/>
    <s v="fact"/>
    <s v="00255"/>
    <s v="Pendiente"/>
    <x v="0"/>
    <s v="Chorizos el de publicidad"/>
    <m/>
  </r>
  <r>
    <x v="19"/>
    <s v="mié"/>
    <m/>
    <n v="-40000"/>
    <s v="Egreso"/>
    <m/>
    <m/>
    <x v="0"/>
    <s v="Pago transportes Ed"/>
    <m/>
  </r>
  <r>
    <x v="19"/>
    <s v="mié"/>
    <m/>
    <n v="-40000"/>
    <s v="Egreso"/>
    <m/>
    <m/>
    <x v="0"/>
    <s v="Pago transportes JG y Ed - 17 de marzo"/>
    <m/>
  </r>
  <r>
    <x v="19"/>
    <s v="mié"/>
    <m/>
    <n v="-116000"/>
    <s v="Egreso"/>
    <m/>
    <m/>
    <x v="0"/>
    <s v="Servicio de gas"/>
    <m/>
  </r>
  <r>
    <x v="19"/>
    <s v="mié"/>
    <m/>
    <n v="-14500"/>
    <s v="Egreso"/>
    <m/>
    <m/>
    <x v="0"/>
    <s v="Llaves y ganchos"/>
    <m/>
  </r>
  <r>
    <x v="19"/>
    <s v="mié"/>
    <m/>
    <n v="-50000"/>
    <s v="Egreso"/>
    <m/>
    <m/>
    <x v="0"/>
    <s v="Transportes EA y JG"/>
    <m/>
  </r>
  <r>
    <x v="19"/>
    <s v="mié"/>
    <m/>
    <n v="38000"/>
    <s v="fact"/>
    <m/>
    <m/>
    <x v="0"/>
    <m/>
    <m/>
  </r>
  <r>
    <x v="19"/>
    <s v="mié"/>
    <m/>
    <n v="16000"/>
    <s v="fact"/>
    <m/>
    <m/>
    <x v="0"/>
    <m/>
    <m/>
  </r>
  <r>
    <x v="19"/>
    <s v="mié"/>
    <m/>
    <n v="8000"/>
    <s v="fact"/>
    <m/>
    <m/>
    <x v="0"/>
    <m/>
    <m/>
  </r>
  <r>
    <x v="19"/>
    <s v="mié"/>
    <m/>
    <n v="9000"/>
    <s v="fact"/>
    <m/>
    <m/>
    <x v="0"/>
    <m/>
    <m/>
  </r>
  <r>
    <x v="20"/>
    <s v="jue"/>
    <m/>
    <n v="11000"/>
    <s v="fact"/>
    <m/>
    <m/>
    <x v="1"/>
    <m/>
    <m/>
  </r>
  <r>
    <x v="20"/>
    <s v="jue"/>
    <m/>
    <n v="8000"/>
    <s v="fact"/>
    <n v="268"/>
    <m/>
    <x v="0"/>
    <s v="ALEXA PENA"/>
    <m/>
  </r>
  <r>
    <x v="20"/>
    <s v="jue"/>
    <m/>
    <n v="40000"/>
    <s v="fact"/>
    <n v="285"/>
    <m/>
    <x v="0"/>
    <s v="MAYURI MURCIA"/>
    <m/>
  </r>
  <r>
    <x v="20"/>
    <s v="jue"/>
    <m/>
    <n v="8000"/>
    <s v="fact"/>
    <n v="270"/>
    <m/>
    <x v="0"/>
    <s v="JULIAN NIETO"/>
    <m/>
  </r>
  <r>
    <x v="20"/>
    <s v="jue"/>
    <m/>
    <n v="2800"/>
    <s v="fact"/>
    <n v="286"/>
    <m/>
    <x v="0"/>
    <s v="JULIAN NIETO"/>
    <m/>
  </r>
  <r>
    <x v="20"/>
    <s v="jue"/>
    <m/>
    <n v="16000"/>
    <s v="fact"/>
    <n v="278"/>
    <m/>
    <x v="0"/>
    <s v="LUIS NIETO"/>
    <m/>
  </r>
  <r>
    <x v="20"/>
    <s v="jue"/>
    <m/>
    <n v="16000"/>
    <s v="fact"/>
    <n v="279"/>
    <m/>
    <x v="0"/>
    <s v="JUAN DIEGO RODRIGUEZ REY"/>
    <m/>
  </r>
  <r>
    <x v="20"/>
    <s v="jue"/>
    <m/>
    <n v="19000"/>
    <s v="fact"/>
    <n v="272"/>
    <m/>
    <x v="0"/>
    <s v="ENMANUEL LEON"/>
    <m/>
  </r>
  <r>
    <x v="20"/>
    <s v="jue"/>
    <m/>
    <n v="30000"/>
    <s v="fact"/>
    <n v="271"/>
    <m/>
    <x v="0"/>
    <s v="LUI***FER***DIA"/>
    <m/>
  </r>
  <r>
    <x v="20"/>
    <s v="jue"/>
    <d v="1899-12-30T19:00:00"/>
    <n v="8000"/>
    <s v="fact"/>
    <n v="282"/>
    <m/>
    <x v="0"/>
    <s v="FREDERICH JIMENEZ"/>
    <m/>
  </r>
  <r>
    <x v="20"/>
    <s v="jue"/>
    <m/>
    <n v="14000"/>
    <s v="fact"/>
    <n v="270"/>
    <m/>
    <x v="0"/>
    <s v="JULIAN NIETO"/>
    <m/>
  </r>
  <r>
    <x v="20"/>
    <s v="jue"/>
    <d v="1899-12-30T20:23:00"/>
    <n v="8000"/>
    <s v="fact"/>
    <m/>
    <m/>
    <x v="0"/>
    <s v="LUIS ALBERTO ROMERO CALDERON - TICO"/>
    <m/>
  </r>
  <r>
    <x v="20"/>
    <s v="jue"/>
    <m/>
    <n v="-50000"/>
    <s v="Egreso"/>
    <m/>
    <m/>
    <x v="0"/>
    <s v="Transportes"/>
    <m/>
  </r>
  <r>
    <x v="20"/>
    <s v="jue"/>
    <m/>
    <n v="-404000"/>
    <s v="fact"/>
    <m/>
    <m/>
    <x v="0"/>
    <s v="Gaseosa"/>
    <m/>
  </r>
  <r>
    <x v="21"/>
    <s v="vie"/>
    <m/>
    <n v="33000"/>
    <s v="fact"/>
    <m/>
    <m/>
    <x v="0"/>
    <s v="JAIME RIVERA"/>
    <m/>
  </r>
  <r>
    <x v="21"/>
    <s v="vie"/>
    <m/>
    <n v="32700"/>
    <s v="fact"/>
    <m/>
    <m/>
    <x v="0"/>
    <s v="ZAR***SAH**ARI***OR"/>
    <m/>
  </r>
  <r>
    <x v="21"/>
    <s v="vie"/>
    <m/>
    <n v="230000"/>
    <s v="Transfe"/>
    <m/>
    <m/>
    <x v="0"/>
    <s v="Tranferencia de efectivo a nequi"/>
    <m/>
  </r>
  <r>
    <x v="21"/>
    <s v="vie"/>
    <m/>
    <n v="-21000"/>
    <s v="Egreso"/>
    <m/>
    <m/>
    <x v="0"/>
    <s v="TRANSPORTES"/>
    <m/>
  </r>
  <r>
    <x v="22"/>
    <s v="sáb"/>
    <m/>
    <n v="11000"/>
    <s v="fact"/>
    <m/>
    <m/>
    <x v="0"/>
    <s v="DARWIN HERRERA"/>
    <m/>
  </r>
  <r>
    <x v="23"/>
    <s v="mar"/>
    <m/>
    <n v="27000"/>
    <s v="fact"/>
    <m/>
    <m/>
    <x v="1"/>
    <m/>
    <m/>
  </r>
  <r>
    <x v="23"/>
    <s v="mar"/>
    <m/>
    <n v="13000"/>
    <s v="fact"/>
    <m/>
    <m/>
    <x v="0"/>
    <m/>
    <m/>
  </r>
  <r>
    <x v="23"/>
    <s v="mar"/>
    <m/>
    <n v="10000"/>
    <s v="fact"/>
    <m/>
    <m/>
    <x v="0"/>
    <m/>
    <m/>
  </r>
  <r>
    <x v="23"/>
    <s v="mar"/>
    <m/>
    <n v="16000"/>
    <s v="fact"/>
    <m/>
    <m/>
    <x v="0"/>
    <m/>
    <m/>
  </r>
  <r>
    <x v="23"/>
    <s v="mar"/>
    <m/>
    <n v="88000"/>
    <s v="fact"/>
    <m/>
    <m/>
    <x v="0"/>
    <m/>
    <m/>
  </r>
  <r>
    <x v="24"/>
    <s v="mié"/>
    <m/>
    <n v="11000"/>
    <s v="fact"/>
    <m/>
    <m/>
    <x v="1"/>
    <m/>
    <m/>
  </r>
  <r>
    <x v="24"/>
    <s v="mié"/>
    <m/>
    <n v="4000"/>
    <s v="fact"/>
    <m/>
    <m/>
    <x v="0"/>
    <s v="ALBERTO PEREZ COA"/>
    <m/>
  </r>
  <r>
    <x v="24"/>
    <s v="mié"/>
    <m/>
    <n v="11000"/>
    <s v="fact"/>
    <m/>
    <m/>
    <x v="0"/>
    <s v="VIV***JOH***BUR"/>
    <m/>
  </r>
  <r>
    <x v="24"/>
    <s v="mié"/>
    <m/>
    <n v="33000"/>
    <s v="fact"/>
    <m/>
    <m/>
    <x v="0"/>
    <s v="HENRY AGUIRRE"/>
    <m/>
  </r>
  <r>
    <x v="24"/>
    <s v="mié"/>
    <m/>
    <n v="-154000"/>
    <s v="Egreso"/>
    <m/>
    <m/>
    <x v="0"/>
    <s v="Cerveza y aguacates"/>
    <m/>
  </r>
  <r>
    <x v="25"/>
    <s v="jue"/>
    <d v="1899-12-30T18:31:00"/>
    <n v="16000"/>
    <s v="fact"/>
    <m/>
    <m/>
    <x v="0"/>
    <s v="LEIDY PAOLA MAHECHA BUITRAGO"/>
    <m/>
  </r>
  <r>
    <x v="25"/>
    <s v="jue"/>
    <d v="1899-12-30T18:40:00"/>
    <n v="8000"/>
    <s v="fact"/>
    <m/>
    <m/>
    <x v="0"/>
    <s v="BRAYAN ARISTISABAL"/>
    <m/>
  </r>
  <r>
    <x v="26"/>
    <s v="sáb"/>
    <m/>
    <n v="30000"/>
    <s v="fact"/>
    <m/>
    <m/>
    <x v="0"/>
    <s v="PONPILIO ARMANDO MURCIA PINZON"/>
    <m/>
  </r>
  <r>
    <x v="26"/>
    <s v="sáb"/>
    <m/>
    <n v="24000"/>
    <s v="fact"/>
    <m/>
    <m/>
    <x v="0"/>
    <s v="DAN***BEN***"/>
    <m/>
  </r>
  <r>
    <x v="26"/>
    <s v="sáb"/>
    <m/>
    <n v="16000"/>
    <s v="fact"/>
    <m/>
    <m/>
    <x v="0"/>
    <s v="ANG***LEO***ARM"/>
    <m/>
  </r>
  <r>
    <x v="26"/>
    <s v="sáb"/>
    <m/>
    <n v="16000"/>
    <s v="fact"/>
    <m/>
    <m/>
    <x v="0"/>
    <s v="TIC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10">
    <pivotField axis="axisRow" numFmtId="16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dataField="1" numFmtId="166"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pageFields count="1">
    <pageField fld="7" hier="-1"/>
  </pageFields>
  <dataFields count="1">
    <dataField name="Suma de valor" fld="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D3:F9" firstHeaderRow="0" firstDataRow="1" firstDataCol="1" rowPageCount="1" colPageCount="1"/>
  <pivotFields count="7">
    <pivotField showAll="0"/>
    <pivotField dataField="1" showAll="0"/>
    <pivotField axis="axisRow" showAll="0" sortType="descending">
      <items count="11">
        <item x="4"/>
        <item x="3"/>
        <item x="0"/>
        <item m="1" x="8"/>
        <item m="1" x="9"/>
        <item h="1" x="5"/>
        <item m="1" x="7"/>
        <item x="1"/>
        <item m="1"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 defaultSubtotal="0">
      <items count="8">
        <item m="1" x="7"/>
        <item x="3"/>
        <item x="0"/>
        <item m="1" x="6"/>
        <item x="2"/>
        <item x="5"/>
        <item x="4"/>
        <item x="1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6">
    <i>
      <x v="2"/>
    </i>
    <i>
      <x v="7"/>
    </i>
    <i>
      <x/>
    </i>
    <i>
      <x v="1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a de valor" fld="1" baseField="4" baseItem="9" numFmtId="164"/>
    <dataField name="Suma de valor2" fld="1" showDataAs="percentOfTotal" baseField="2" baseItem="7" numFmtId="9"/>
  </dataFields>
  <formats count="5"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outline="0" fieldPosition="0">
        <references count="1">
          <reference field="4294967294" count="1"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17" firstHeaderRow="1" firstDataRow="1" firstDataCol="1" rowPageCount="1" colPageCount="1"/>
  <pivotFields count="7">
    <pivotField showAll="0"/>
    <pivotField dataField="1" showAll="0"/>
    <pivotField axis="axisRow" showAll="0" sortType="descending">
      <items count="11">
        <item h="1" x="4"/>
        <item h="1" x="3"/>
        <item h="1" x="0"/>
        <item h="1" m="1" x="8"/>
        <item h="1" m="1" x="9"/>
        <item h="1" x="5"/>
        <item h="1" m="1" x="7"/>
        <item x="1"/>
        <item h="1" m="1" x="6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 defaultSubtotal="0">
      <items count="8">
        <item m="1" x="7"/>
        <item x="3"/>
        <item x="0"/>
        <item m="1" x="6"/>
        <item x="2"/>
        <item x="5"/>
        <item x="4"/>
        <item x="1"/>
      </items>
    </pivotField>
    <pivotField showAll="0"/>
    <pivotField axis="axisRow" showAll="0" sortType="descending">
      <items count="79">
        <item x="32"/>
        <item m="1" x="56"/>
        <item m="1" x="66"/>
        <item x="36"/>
        <item x="25"/>
        <item m="1" x="75"/>
        <item x="19"/>
        <item x="30"/>
        <item m="1" x="71"/>
        <item m="1" x="72"/>
        <item m="1" x="60"/>
        <item x="8"/>
        <item x="14"/>
        <item x="16"/>
        <item m="1" x="50"/>
        <item m="1" x="74"/>
        <item x="11"/>
        <item m="1" x="52"/>
        <item m="1" x="70"/>
        <item m="1" x="69"/>
        <item m="1" x="57"/>
        <item m="1" x="49"/>
        <item x="31"/>
        <item x="9"/>
        <item m="1" x="76"/>
        <item m="1" x="77"/>
        <item m="1" x="73"/>
        <item x="0"/>
        <item m="1" x="58"/>
        <item m="1" x="51"/>
        <item m="1" x="61"/>
        <item m="1" x="63"/>
        <item x="23"/>
        <item m="1" x="54"/>
        <item x="21"/>
        <item m="1" x="47"/>
        <item x="44"/>
        <item m="1" x="45"/>
        <item x="1"/>
        <item x="2"/>
        <item x="10"/>
        <item m="1" x="59"/>
        <item x="7"/>
        <item m="1" x="62"/>
        <item m="1" x="53"/>
        <item m="1" x="55"/>
        <item m="1" x="65"/>
        <item m="1" x="67"/>
        <item m="1" x="68"/>
        <item m="1" x="64"/>
        <item x="3"/>
        <item x="4"/>
        <item x="5"/>
        <item x="6"/>
        <item x="12"/>
        <item x="13"/>
        <item x="15"/>
        <item x="17"/>
        <item x="18"/>
        <item m="1" x="48"/>
        <item x="22"/>
        <item x="24"/>
        <item x="26"/>
        <item m="1" x="46"/>
        <item x="28"/>
        <item x="29"/>
        <item x="33"/>
        <item x="35"/>
        <item x="20"/>
        <item x="27"/>
        <item x="34"/>
        <item x="37"/>
        <item x="38"/>
        <item x="39"/>
        <item x="40"/>
        <item x="41"/>
        <item x="42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2"/>
    <field x="5"/>
  </rowFields>
  <rowItems count="14">
    <i>
      <x v="7"/>
    </i>
    <i r="1">
      <x v="57"/>
    </i>
    <i r="1">
      <x v="62"/>
    </i>
    <i r="1">
      <x v="56"/>
    </i>
    <i r="1">
      <x v="69"/>
    </i>
    <i r="1">
      <x v="64"/>
    </i>
    <i r="1">
      <x v="58"/>
    </i>
    <i r="1">
      <x v="60"/>
    </i>
    <i r="1">
      <x v="61"/>
    </i>
    <i r="1">
      <x v="65"/>
    </i>
    <i r="1">
      <x v="6"/>
    </i>
    <i r="1">
      <x v="12"/>
    </i>
    <i r="1">
      <x v="74"/>
    </i>
    <i t="grand">
      <x/>
    </i>
  </rowItems>
  <colItems count="1">
    <i/>
  </colItems>
  <pageFields count="1">
    <pageField fld="3" hier="-1"/>
  </pageFields>
  <dataFields count="1">
    <dataField name="Suma de valor" fld="1" baseField="4" baseItem="9" numFmtId="164"/>
  </dataFields>
  <formats count="3"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aDinámica5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15:D22" firstHeaderRow="1" firstDataRow="2" firstDataCol="1"/>
  <pivotFields count="5">
    <pivotField axis="axisRow" showAll="0">
      <items count="8">
        <item x="0"/>
        <item x="1"/>
        <item x="2"/>
        <item x="3"/>
        <item x="4"/>
        <item h="1" x="6"/>
        <item h="1" x="5"/>
        <item t="default"/>
      </items>
    </pivotField>
    <pivotField showAll="0"/>
    <pivotField showAll="0"/>
    <pivotField dataField="1" showAll="0"/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valor" fld="3" baseField="0" baseItem="0" numFmtId="164"/>
  </dataFields>
  <formats count="1">
    <format dxfId="23">
      <pivotArea outline="0" collapsedLevelsAreSubtotals="1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aDiná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3:B10" firstHeaderRow="1" firstDataRow="1" firstDataCol="1"/>
  <pivotFields count="5">
    <pivotField axis="axisRow" showAll="0">
      <items count="8">
        <item x="0"/>
        <item x="1"/>
        <item x="2"/>
        <item x="3"/>
        <item x="4"/>
        <item h="1" x="6"/>
        <item x="5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Suma de valor" fld="3" baseField="0" baseItem="0" numFmtId="164"/>
  </dataFields>
  <formats count="1">
    <format dxfId="24">
      <pivotArea outline="0" collapsedLevelsAreSubtotals="1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tag="24a3d8ae-fd27-4bfc-95e5-9de02ba0fc04" updatedVersion="8" minRefreshableVersion="3" useAutoFormatting="1" subtotalHiddenItems="1" itemPrintTitles="1" createdVersion="8" indent="0" outline="1" outlineData="1" multipleFieldFilters="0">
  <location ref="F3:L10" firstHeaderRow="1" firstDataRow="3" firstDataCol="1"/>
  <pivotFields count="6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name="edwin"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3">
    <field x="1"/>
    <field x="4"/>
    <field x="0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2"/>
  </colFields>
  <colItems count="6">
    <i>
      <x/>
      <x/>
    </i>
    <i r="1">
      <x v="1"/>
    </i>
    <i r="1">
      <x v="2"/>
    </i>
    <i r="1">
      <x v="3"/>
    </i>
    <i>
      <x v="1"/>
      <x v="3"/>
    </i>
    <i t="grand">
      <x/>
    </i>
  </colItems>
  <dataFields count="1">
    <dataField name="Suma de egreso" fld="5" baseField="0" baseItem="0"/>
  </dataFields>
  <formats count="1">
    <format dxfId="20">
      <pivotArea outline="0" collapsedLevelsAreSubtotals="1" fieldPosition="0"/>
    </format>
  </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0"/>
    <rowHierarchyUsage hierarchyUsage="15"/>
    <rowHierarchyUsage hierarchyUsage="16"/>
  </rowHierarchiesUsage>
  <colHierarchiesUsage count="2">
    <colHierarchyUsage hierarchyUsage="13"/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name="TablaDinámica4" cacheId="4" applyNumberFormats="0" applyBorderFormats="0" applyFontFormats="0" applyPatternFormats="0" applyAlignmentFormats="0" applyWidthHeightFormats="1" dataCaption="Valores" tag="1e779586-e469-4335-b09b-521d382f2a93" updatedVersion="8" minRefreshableVersion="3" useAutoFormatting="1" subtotalHiddenItems="1" itemPrintTitles="1" createdVersion="8" indent="0" outline="1" outlineData="1" multipleFieldFilters="0">
  <location ref="A16:D22" firstHeaderRow="1" firstDataRow="2" firstDataCol="1" rowPageCount="1" colPageCount="1"/>
  <pivotFields count="6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  <pivotField name="nombre_transaccion" axis="axisPage"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1"/>
    <field x="5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3" hier="12" name="[transacciones].[nombre_transaccion].&amp;[VENTA]" cap="VENTA"/>
  </pageFields>
  <dataFields count="1">
    <dataField name="Suma de entrada" fld="2" baseField="0" baseItem="0" numFmtId="164"/>
  </dataFields>
  <formats count="1">
    <format dxfId="21">
      <pivotArea outline="0" collapsedLevelsAreSubtotals="1" fieldPosition="0"/>
    </format>
  </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0"/>
    <rowHierarchyUsage hierarchyUsage="15"/>
    <rowHierarchyUsage hierarchyUsage="16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name="TablaDinámica2" cacheId="3" applyNumberFormats="0" applyBorderFormats="0" applyFontFormats="0" applyPatternFormats="0" applyAlignmentFormats="0" applyWidthHeightFormats="1" dataCaption="Valores" tag="17195d19-f644-4940-a03d-baa4d59330eb" updatedVersion="8" minRefreshableVersion="3" useAutoFormatting="1" subtotalHiddenItems="1" itemPrintTitles="1" createdVersion="8" indent="0" outline="1" outlineData="1" multipleFieldFilters="0">
  <location ref="A3:D10" firstHeaderRow="1" firstDataRow="3" firstDataCol="1"/>
  <pivotFields count="6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  <pivotField name="edwin" axis="axisCol" allDrilled="1" subtotalTop="0" showAll="0" dataSourceSort="1" defaultSubtotal="0" defaultAttributeDrillState="1">
      <items count="2">
        <item s="1" x="0"/>
        <item s="1" x="1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1"/>
    <field x="5"/>
    <field x="0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3"/>
  </colFields>
  <colItems count="3">
    <i>
      <x/>
      <x/>
    </i>
    <i r="1">
      <x v="1"/>
    </i>
    <i t="grand">
      <x/>
    </i>
  </colItems>
  <dataFields count="1">
    <dataField name="Suma de entrada" fld="2" baseField="0" baseItem="0" numFmtId="164"/>
  </dataFields>
  <formats count="1">
    <format dxfId="22">
      <pivotArea outline="0" collapsedLevelsAreSubtotals="1" fieldPosition="0"/>
    </format>
  </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>
      <members count="4" level="1">
        <member name=""/>
        <member name=""/>
        <member name="[transacciones].[nombre_transaccion].&amp;[SALIDA_INV]"/>
        <member name="[transacciones].[nombre_transaccion].&amp;[ENTRADA_INV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0"/>
    <rowHierarchyUsage hierarchyUsage="15"/>
    <rowHierarchyUsage hierarchyUsage="16"/>
  </rowHierarchiesUsage>
  <colHierarchiesUsage count="2">
    <colHierarchyUsage hierarchyUsage="13"/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name="TablaDinámica3" cacheId="2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colGrandTotals="0" itemPrintTitles="1" createdVersion="8" indent="0" compact="0" compactData="0" multipleFieldFilters="0">
  <location ref="A4:F69" firstHeaderRow="1" firstDataRow="1" firstDataCol="5" rowPageCount="2" colPageCount="1"/>
  <pivotFields count="8">
    <pivotField name="nombre_transaccion" axis="axisPage" compact="0" allDrilled="1" outline="0" subtotalTop="0" showAll="0" dataSourceSort="1" defaultSubtotal="0" defaultAttributeDrillState="1">
      <items count="1">
        <item s="1" x="0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7"/>
    <field x="3"/>
    <field x="4"/>
    <field x="6"/>
    <field x="5"/>
  </rowFields>
  <rowItems count="65">
    <i>
      <x/>
      <x/>
      <x/>
      <x/>
      <x/>
    </i>
    <i r="1">
      <x v="1"/>
      <x/>
      <x/>
      <x/>
    </i>
    <i r="2">
      <x v="1"/>
      <x v="1"/>
      <x/>
    </i>
    <i r="1">
      <x v="2"/>
      <x v="2"/>
      <x v="1"/>
      <x/>
    </i>
    <i r="2">
      <x/>
      <x/>
      <x/>
    </i>
    <i r="1">
      <x v="3"/>
      <x/>
      <x/>
      <x/>
    </i>
    <i r="2">
      <x v="3"/>
      <x v="1"/>
      <x v="1"/>
    </i>
    <i r="1">
      <x v="4"/>
      <x/>
      <x/>
      <x v="1"/>
    </i>
    <i r="1">
      <x v="5"/>
      <x/>
      <x/>
      <x/>
    </i>
    <i r="2">
      <x v="1"/>
      <x v="1"/>
      <x/>
    </i>
    <i r="1">
      <x v="6"/>
      <x/>
      <x/>
      <x v="2"/>
    </i>
    <i r="1">
      <x v="7"/>
      <x/>
      <x/>
      <x v="1"/>
    </i>
    <i r="1">
      <x v="8"/>
      <x/>
      <x/>
      <x v="1"/>
    </i>
    <i r="1">
      <x v="9"/>
      <x/>
      <x/>
      <x v="1"/>
    </i>
    <i r="2">
      <x v="3"/>
      <x v="1"/>
      <x v="1"/>
    </i>
    <i r="1">
      <x v="10"/>
      <x/>
      <x/>
      <x v="2"/>
    </i>
    <i r="1">
      <x v="11"/>
      <x/>
      <x/>
      <x v="1"/>
    </i>
    <i>
      <x v="1"/>
      <x v="12"/>
      <x/>
      <x/>
      <x v="3"/>
    </i>
    <i r="1">
      <x v="13"/>
      <x/>
      <x/>
      <x v="2"/>
    </i>
    <i r="1">
      <x v="14"/>
      <x/>
      <x/>
      <x v="1"/>
    </i>
    <i r="1">
      <x v="15"/>
      <x/>
      <x/>
      <x v="1"/>
    </i>
    <i r="1">
      <x v="16"/>
      <x/>
      <x/>
      <x/>
    </i>
    <i r="1">
      <x v="17"/>
      <x/>
      <x/>
      <x v="1"/>
    </i>
    <i r="1">
      <x v="18"/>
      <x v="4"/>
      <x v="2"/>
      <x/>
    </i>
    <i r="2">
      <x/>
      <x/>
      <x v="1"/>
    </i>
    <i r="1">
      <x v="19"/>
      <x/>
      <x/>
      <x v="1"/>
    </i>
    <i r="1">
      <x v="20"/>
      <x/>
      <x/>
      <x v="1"/>
    </i>
    <i r="1">
      <x v="21"/>
      <x v="2"/>
      <x v="1"/>
      <x v="1"/>
    </i>
    <i r="2">
      <x/>
      <x/>
      <x v="2"/>
    </i>
    <i r="2">
      <x v="3"/>
      <x v="1"/>
      <x v="1"/>
    </i>
    <i r="1">
      <x v="22"/>
      <x/>
      <x/>
      <x v="4"/>
    </i>
    <i r="2">
      <x v="1"/>
      <x v="1"/>
      <x/>
    </i>
    <i r="1">
      <x v="23"/>
      <x/>
      <x/>
      <x v="1"/>
    </i>
    <i>
      <x v="2"/>
      <x v="24"/>
      <x/>
      <x/>
      <x v="1"/>
    </i>
    <i r="1">
      <x v="25"/>
      <x/>
      <x/>
      <x v="1"/>
    </i>
    <i r="1">
      <x v="26"/>
      <x/>
      <x/>
      <x v="1"/>
    </i>
    <i r="1">
      <x v="27"/>
      <x v="5"/>
      <x v="3"/>
      <x v="1"/>
    </i>
    <i r="1">
      <x v="28"/>
      <x v="5"/>
      <x v="3"/>
      <x v="1"/>
    </i>
    <i r="1">
      <x v="29"/>
      <x/>
      <x/>
      <x/>
    </i>
    <i r="1">
      <x v="30"/>
      <x/>
      <x/>
      <x v="1"/>
    </i>
    <i r="1">
      <x v="31"/>
      <x/>
      <x/>
      <x v="1"/>
    </i>
    <i r="1">
      <x v="32"/>
      <x/>
      <x/>
      <x v="1"/>
    </i>
    <i r="1">
      <x v="33"/>
      <x/>
      <x/>
      <x v="1"/>
    </i>
    <i r="1">
      <x v="34"/>
      <x/>
      <x/>
      <x v="3"/>
    </i>
    <i r="1">
      <x v="35"/>
      <x v="1"/>
      <x v="1"/>
      <x/>
    </i>
    <i r="2">
      <x v="3"/>
      <x v="1"/>
      <x v="1"/>
    </i>
    <i r="1">
      <x v="36"/>
      <x/>
      <x/>
      <x v="2"/>
    </i>
    <i r="1">
      <x v="37"/>
      <x/>
      <x/>
      <x v="1"/>
    </i>
    <i r="2">
      <x v="1"/>
      <x v="1"/>
      <x v="1"/>
    </i>
    <i r="1">
      <x v="38"/>
      <x v="5"/>
      <x v="3"/>
      <x v="1"/>
    </i>
    <i r="2">
      <x v="3"/>
      <x v="1"/>
      <x v="1"/>
    </i>
    <i r="1">
      <x v="39"/>
      <x/>
      <x/>
      <x/>
    </i>
    <i r="1">
      <x v="40"/>
      <x/>
      <x/>
      <x/>
    </i>
    <i r="1">
      <x v="41"/>
      <x/>
      <x/>
      <x v="4"/>
    </i>
    <i r="1">
      <x v="42"/>
      <x/>
      <x/>
      <x/>
    </i>
    <i>
      <x v="3"/>
      <x v="43"/>
      <x v="4"/>
      <x v="2"/>
      <x/>
    </i>
    <i r="1">
      <x v="44"/>
      <x/>
      <x/>
      <x/>
    </i>
    <i r="1">
      <x v="45"/>
      <x/>
      <x/>
      <x v="1"/>
    </i>
    <i r="1">
      <x v="46"/>
      <x/>
      <x/>
      <x v="1"/>
    </i>
    <i r="1">
      <x v="47"/>
      <x/>
      <x/>
      <x/>
    </i>
    <i r="1">
      <x v="48"/>
      <x/>
      <x/>
      <x v="1"/>
    </i>
    <i r="1">
      <x v="49"/>
      <x/>
      <x/>
      <x v="1"/>
    </i>
    <i r="1">
      <x v="50"/>
      <x/>
      <x/>
      <x v="1"/>
    </i>
    <i r="2">
      <x v="3"/>
      <x v="1"/>
      <x v="1"/>
    </i>
    <i t="grand">
      <x/>
    </i>
  </rowItems>
  <colItems count="1">
    <i/>
  </colItems>
  <pageFields count="2">
    <pageField fld="0" hier="26" name="[transacciones1].[nombre_transaccion].&amp;[VENTA]" cap="VENTA"/>
    <pageField fld="1" hier="27" name="[transacciones1].[tipo_cuenta].&amp;[EFECTIVO]" cap="EFECTIVO"/>
  </pageFields>
  <dataFields count="1">
    <dataField name="Recuento de id_item" fld="2" subtotal="count" baseField="0" baseItem="0"/>
  </dataFields>
  <formats count="1">
    <format dxfId="19">
      <pivotArea outline="0" collapsedLevelsAreSubtotals="1" fieldPosition="0"/>
    </format>
  </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>
      <members count="1" level="1">
        <member name="[transacciones1].[tipo_cuenta].&amp;[EFECTIV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</pivotHierarchies>
  <pivotTableStyleInfo name="PivotStyleLight16" showRowHeaders="1" showColHeaders="1" showRowStripes="0" showColStripes="0" showLastColumn="1"/>
  <rowHierarchiesUsage count="5">
    <rowHierarchyUsage hierarchyUsage="34"/>
    <rowHierarchyUsage hierarchyUsage="30"/>
    <rowHierarchyUsage hierarchyUsage="8"/>
    <rowHierarchyUsage hierarchyUsage="5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1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1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6:B7"/>
  <sheetViews>
    <sheetView workbookViewId="0">
      <selection activeCell="D8" sqref="D8"/>
    </sheetView>
  </sheetViews>
  <sheetFormatPr baseColWidth="10" defaultRowHeight="15" x14ac:dyDescent="0.25"/>
  <sheetData>
    <row r="6" spans="1:2" x14ac:dyDescent="0.25">
      <c r="A6">
        <v>3500</v>
      </c>
    </row>
    <row r="7" spans="1:2" x14ac:dyDescent="0.25">
      <c r="A7">
        <v>2600</v>
      </c>
      <c r="B7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 filterMode="1">
    <tabColor rgb="FF92D050"/>
  </sheetPr>
  <dimension ref="B2:M87"/>
  <sheetViews>
    <sheetView showGridLines="0" zoomScale="70" zoomScaleNormal="70" workbookViewId="0">
      <selection activeCell="E18" sqref="E18"/>
    </sheetView>
  </sheetViews>
  <sheetFormatPr baseColWidth="10" defaultRowHeight="15" outlineLevelRow="1" x14ac:dyDescent="0.25"/>
  <cols>
    <col min="1" max="1" width="2.5703125" customWidth="1"/>
    <col min="2" max="2" width="4.28515625" bestFit="1" customWidth="1"/>
    <col min="3" max="3" width="12.42578125" bestFit="1" customWidth="1"/>
    <col min="4" max="4" width="19.28515625" style="3" bestFit="1" customWidth="1"/>
    <col min="5" max="5" width="26.7109375" style="3" bestFit="1" customWidth="1"/>
    <col min="6" max="6" width="21" style="3" bestFit="1" customWidth="1"/>
    <col min="7" max="7" width="21.42578125" bestFit="1" customWidth="1"/>
    <col min="8" max="8" width="37.85546875" bestFit="1" customWidth="1"/>
    <col min="9" max="9" width="33.28515625" bestFit="1" customWidth="1"/>
    <col min="11" max="11" width="3.42578125" customWidth="1"/>
    <col min="12" max="13" width="15.42578125" bestFit="1" customWidth="1"/>
  </cols>
  <sheetData>
    <row r="2" spans="3:12" outlineLevel="1" x14ac:dyDescent="0.25">
      <c r="C2" s="127" t="s">
        <v>624</v>
      </c>
      <c r="D2" s="127" t="s">
        <v>625</v>
      </c>
      <c r="E2"/>
      <c r="F2"/>
      <c r="G2" s="130" t="s">
        <v>7</v>
      </c>
      <c r="H2" s="130" t="s">
        <v>628</v>
      </c>
    </row>
    <row r="3" spans="3:12" outlineLevel="1" x14ac:dyDescent="0.25">
      <c r="C3" s="170" t="s">
        <v>10</v>
      </c>
      <c r="D3" s="171">
        <f>+SUMIF(G:G,C3,D:D)</f>
        <v>27808267</v>
      </c>
      <c r="F3"/>
      <c r="G3" s="149" t="s">
        <v>9</v>
      </c>
      <c r="H3" s="175">
        <f>+SUMIF($E$23:$E$87,G3,$D$23:$D$87)</f>
        <v>19944350</v>
      </c>
    </row>
    <row r="4" spans="3:12" outlineLevel="1" x14ac:dyDescent="0.25">
      <c r="C4" s="167" t="s">
        <v>2</v>
      </c>
      <c r="D4" s="169">
        <f>+SUMIF(G:G,C4,D:D)</f>
        <v>3198300</v>
      </c>
      <c r="F4"/>
      <c r="G4" s="153" t="s">
        <v>22</v>
      </c>
      <c r="H4" s="175">
        <f>+SUMIF($E$23:$E$87,G4,$D$23:$D$87)</f>
        <v>3683750</v>
      </c>
    </row>
    <row r="5" spans="3:12" ht="17.25" outlineLevel="1" x14ac:dyDescent="0.4">
      <c r="C5" s="126" t="s">
        <v>121</v>
      </c>
      <c r="D5" s="125">
        <f>+D3+D4</f>
        <v>31006567</v>
      </c>
      <c r="G5" s="151" t="s">
        <v>629</v>
      </c>
      <c r="H5" s="175">
        <f>+SUMIF($E$23:$E$87,G5,$D$23:$D$87)</f>
        <v>4345965</v>
      </c>
    </row>
    <row r="6" spans="3:12" outlineLevel="1" x14ac:dyDescent="0.25">
      <c r="G6" s="271" t="s">
        <v>736</v>
      </c>
      <c r="H6" s="175">
        <f>+SUMIF($E$23:$E$87,G6,$D$23:$D$87)</f>
        <v>490000</v>
      </c>
    </row>
    <row r="7" spans="3:12" ht="17.25" outlineLevel="1" x14ac:dyDescent="0.4">
      <c r="C7" s="15" t="s">
        <v>626</v>
      </c>
      <c r="D7" s="128">
        <f>+D5/2+16.6</f>
        <v>15503300.1</v>
      </c>
      <c r="G7" s="154" t="s">
        <v>8</v>
      </c>
      <c r="H7" s="176">
        <f>+SUMIF($E$23:$E$87,G7,$D$23:$D$87)</f>
        <v>2542502</v>
      </c>
    </row>
    <row r="8" spans="3:12" ht="18" customHeight="1" outlineLevel="1" x14ac:dyDescent="0.25">
      <c r="G8" s="165" t="s">
        <v>121</v>
      </c>
      <c r="H8" s="177">
        <f>+SUM(H3:H7)</f>
        <v>31006567</v>
      </c>
    </row>
    <row r="9" spans="3:12" outlineLevel="1" x14ac:dyDescent="0.25">
      <c r="C9" s="127" t="s">
        <v>5</v>
      </c>
      <c r="D9" s="130" t="s">
        <v>628</v>
      </c>
      <c r="E9" s="130" t="s">
        <v>627</v>
      </c>
    </row>
    <row r="10" spans="3:12" ht="16.5" customHeight="1" outlineLevel="1" x14ac:dyDescent="0.25">
      <c r="C10" s="131">
        <v>46062</v>
      </c>
      <c r="D10" s="129">
        <v>300000</v>
      </c>
      <c r="E10" s="178" t="s">
        <v>167</v>
      </c>
    </row>
    <row r="11" spans="3:12" ht="16.5" customHeight="1" outlineLevel="1" x14ac:dyDescent="0.25">
      <c r="C11" s="131">
        <v>46073</v>
      </c>
      <c r="D11" s="129">
        <v>1000000</v>
      </c>
      <c r="E11" s="178" t="s">
        <v>167</v>
      </c>
    </row>
    <row r="12" spans="3:12" ht="16.5" customHeight="1" outlineLevel="1" x14ac:dyDescent="0.25">
      <c r="C12" s="131">
        <v>46073</v>
      </c>
      <c r="D12" s="129">
        <v>3000000</v>
      </c>
      <c r="E12" s="179" t="s">
        <v>633</v>
      </c>
    </row>
    <row r="13" spans="3:12" ht="16.5" customHeight="1" outlineLevel="1" x14ac:dyDescent="0.25">
      <c r="C13" s="131">
        <v>46080</v>
      </c>
      <c r="D13" s="129">
        <v>1000000</v>
      </c>
      <c r="E13" s="178" t="s">
        <v>167</v>
      </c>
    </row>
    <row r="14" spans="3:12" ht="16.5" customHeight="1" outlineLevel="1" x14ac:dyDescent="0.25">
      <c r="C14" s="131">
        <v>46084</v>
      </c>
      <c r="D14" s="129">
        <v>1500000</v>
      </c>
      <c r="E14" s="178" t="s">
        <v>167</v>
      </c>
    </row>
    <row r="15" spans="3:12" ht="16.5" customHeight="1" outlineLevel="1" x14ac:dyDescent="0.25">
      <c r="C15" s="131">
        <v>46086</v>
      </c>
      <c r="D15" s="181">
        <v>3855000</v>
      </c>
      <c r="E15" s="179" t="s">
        <v>633</v>
      </c>
      <c r="F15" s="3">
        <f>+D19-D7</f>
        <v>-9.999999962747097E-2</v>
      </c>
      <c r="G15" s="182">
        <f>3855000-SUM(L64,L71,L67)/2</f>
        <v>2324075</v>
      </c>
      <c r="H15" s="15" t="s">
        <v>636</v>
      </c>
      <c r="I15" s="9"/>
      <c r="L15" s="3">
        <f>+SUM(L64,L71,L67)/2</f>
        <v>1530925</v>
      </c>
    </row>
    <row r="16" spans="3:12" outlineLevel="1" x14ac:dyDescent="0.25">
      <c r="C16" s="131">
        <v>46098</v>
      </c>
      <c r="D16" s="129">
        <v>1650000</v>
      </c>
      <c r="E16" s="132" t="s">
        <v>635</v>
      </c>
    </row>
    <row r="17" spans="2:9" outlineLevel="1" x14ac:dyDescent="0.25">
      <c r="C17" s="167" t="s">
        <v>261</v>
      </c>
      <c r="D17" s="168">
        <f>+SUM(D10:D16)</f>
        <v>12305000</v>
      </c>
    </row>
    <row r="18" spans="2:9" outlineLevel="1" x14ac:dyDescent="0.25">
      <c r="C18" s="173" t="s">
        <v>631</v>
      </c>
      <c r="D18" s="174">
        <v>3198300</v>
      </c>
    </row>
    <row r="19" spans="2:9" outlineLevel="1" x14ac:dyDescent="0.25">
      <c r="C19" s="15" t="s">
        <v>626</v>
      </c>
      <c r="D19" s="172">
        <f>+D17+D18</f>
        <v>15503300</v>
      </c>
      <c r="E19" s="16" t="s">
        <v>632</v>
      </c>
    </row>
    <row r="20" spans="2:9" outlineLevel="1" x14ac:dyDescent="0.25"/>
    <row r="21" spans="2:9" x14ac:dyDescent="0.25">
      <c r="C21" s="15" t="s">
        <v>121</v>
      </c>
      <c r="D21" s="166">
        <f>+SUBTOTAL(9,D24:D1048576)</f>
        <v>4345965</v>
      </c>
      <c r="F21" s="3" t="s">
        <v>0</v>
      </c>
      <c r="G21" s="9"/>
    </row>
    <row r="22" spans="2:9" x14ac:dyDescent="0.25">
      <c r="D22"/>
    </row>
    <row r="23" spans="2:9" x14ac:dyDescent="0.25">
      <c r="B23" s="133" t="s">
        <v>65</v>
      </c>
      <c r="C23" s="145" t="s">
        <v>5</v>
      </c>
      <c r="D23" s="134" t="s">
        <v>6</v>
      </c>
      <c r="E23" s="148" t="s">
        <v>7</v>
      </c>
      <c r="F23" s="134" t="s">
        <v>35</v>
      </c>
      <c r="G23" s="145" t="s">
        <v>1</v>
      </c>
      <c r="H23" s="145" t="s">
        <v>3</v>
      </c>
      <c r="I23" s="135" t="s">
        <v>15</v>
      </c>
    </row>
    <row r="24" spans="2:9" hidden="1" x14ac:dyDescent="0.25">
      <c r="B24" s="161">
        <v>1</v>
      </c>
      <c r="C24" s="146">
        <v>46049</v>
      </c>
      <c r="D24" s="136">
        <f>1350000+150000</f>
        <v>1500000</v>
      </c>
      <c r="E24" s="149" t="s">
        <v>9</v>
      </c>
      <c r="F24" s="136" t="s">
        <v>66</v>
      </c>
      <c r="G24" s="163" t="s">
        <v>10</v>
      </c>
      <c r="H24" s="155" t="s">
        <v>19</v>
      </c>
      <c r="I24" s="137" t="s">
        <v>20</v>
      </c>
    </row>
    <row r="25" spans="2:9" hidden="1" x14ac:dyDescent="0.25">
      <c r="B25" s="161">
        <v>2</v>
      </c>
      <c r="C25" s="146">
        <v>46049</v>
      </c>
      <c r="D25" s="136">
        <f>2500000+1400000+400000</f>
        <v>4300000</v>
      </c>
      <c r="E25" s="149" t="s">
        <v>9</v>
      </c>
      <c r="F25" s="136" t="s">
        <v>66</v>
      </c>
      <c r="G25" s="163" t="s">
        <v>10</v>
      </c>
      <c r="H25" s="157" t="s">
        <v>36</v>
      </c>
      <c r="I25" s="137" t="s">
        <v>58</v>
      </c>
    </row>
    <row r="26" spans="2:9" hidden="1" x14ac:dyDescent="0.25">
      <c r="B26" s="161">
        <v>3</v>
      </c>
      <c r="C26" s="146">
        <v>46056</v>
      </c>
      <c r="D26" s="136">
        <f>5400000+500000+(25000*2)</f>
        <v>5950000</v>
      </c>
      <c r="E26" s="149" t="s">
        <v>9</v>
      </c>
      <c r="F26" s="136" t="s">
        <v>66</v>
      </c>
      <c r="G26" s="163" t="s">
        <v>10</v>
      </c>
      <c r="H26" s="157" t="s">
        <v>39</v>
      </c>
      <c r="I26" s="138" t="s">
        <v>51</v>
      </c>
    </row>
    <row r="27" spans="2:9" hidden="1" x14ac:dyDescent="0.25">
      <c r="B27" s="161">
        <v>4</v>
      </c>
      <c r="C27" s="146">
        <v>46056</v>
      </c>
      <c r="D27" s="136">
        <v>80000</v>
      </c>
      <c r="E27" s="149" t="s">
        <v>9</v>
      </c>
      <c r="F27" s="136" t="s">
        <v>98</v>
      </c>
      <c r="G27" s="163" t="s">
        <v>10</v>
      </c>
      <c r="H27" s="157" t="s">
        <v>68</v>
      </c>
      <c r="I27" s="138" t="s">
        <v>69</v>
      </c>
    </row>
    <row r="28" spans="2:9" hidden="1" x14ac:dyDescent="0.25">
      <c r="B28" s="161">
        <v>5</v>
      </c>
      <c r="C28" s="146">
        <v>46056</v>
      </c>
      <c r="D28" s="136">
        <v>100000</v>
      </c>
      <c r="E28" s="149" t="s">
        <v>9</v>
      </c>
      <c r="F28" s="136" t="s">
        <v>98</v>
      </c>
      <c r="G28" s="163" t="s">
        <v>10</v>
      </c>
      <c r="H28" s="157" t="s">
        <v>44</v>
      </c>
      <c r="I28" s="137" t="s">
        <v>40</v>
      </c>
    </row>
    <row r="29" spans="2:9" hidden="1" x14ac:dyDescent="0.25">
      <c r="B29" s="161">
        <v>6</v>
      </c>
      <c r="C29" s="146">
        <v>46056</v>
      </c>
      <c r="D29" s="136">
        <v>30000</v>
      </c>
      <c r="E29" s="149" t="s">
        <v>9</v>
      </c>
      <c r="F29" s="136" t="s">
        <v>43</v>
      </c>
      <c r="G29" s="163" t="s">
        <v>10</v>
      </c>
      <c r="H29" s="157" t="s">
        <v>45</v>
      </c>
      <c r="I29" s="137" t="s">
        <v>40</v>
      </c>
    </row>
    <row r="30" spans="2:9" hidden="1" x14ac:dyDescent="0.25">
      <c r="B30" s="161">
        <v>7</v>
      </c>
      <c r="C30" s="146">
        <v>46060</v>
      </c>
      <c r="D30" s="136">
        <v>200000</v>
      </c>
      <c r="E30" s="149" t="s">
        <v>9</v>
      </c>
      <c r="F30" s="136" t="s">
        <v>98</v>
      </c>
      <c r="G30" s="163" t="s">
        <v>10</v>
      </c>
      <c r="H30" s="155" t="s">
        <v>54</v>
      </c>
      <c r="I30" s="137" t="s">
        <v>55</v>
      </c>
    </row>
    <row r="31" spans="2:9" hidden="1" x14ac:dyDescent="0.25">
      <c r="B31" s="161">
        <v>8</v>
      </c>
      <c r="C31" s="146">
        <v>46060</v>
      </c>
      <c r="D31" s="136">
        <v>110000</v>
      </c>
      <c r="E31" s="149" t="s">
        <v>9</v>
      </c>
      <c r="F31" s="136" t="s">
        <v>98</v>
      </c>
      <c r="G31" s="163" t="s">
        <v>10</v>
      </c>
      <c r="H31" s="157" t="s">
        <v>41</v>
      </c>
      <c r="I31" s="137" t="s">
        <v>63</v>
      </c>
    </row>
    <row r="32" spans="2:9" hidden="1" x14ac:dyDescent="0.25">
      <c r="B32" s="161">
        <v>9</v>
      </c>
      <c r="C32" s="146">
        <v>46060</v>
      </c>
      <c r="D32" s="136">
        <f>27000+35000</f>
        <v>62000</v>
      </c>
      <c r="E32" s="149" t="s">
        <v>9</v>
      </c>
      <c r="F32" s="136" t="s">
        <v>66</v>
      </c>
      <c r="G32" s="163" t="s">
        <v>10</v>
      </c>
      <c r="H32" s="155" t="s">
        <v>16</v>
      </c>
      <c r="I32" s="138" t="s">
        <v>77</v>
      </c>
    </row>
    <row r="33" spans="2:9" hidden="1" x14ac:dyDescent="0.25">
      <c r="B33" s="161">
        <v>10</v>
      </c>
      <c r="C33" s="146">
        <v>46056</v>
      </c>
      <c r="D33" s="136">
        <v>2400000</v>
      </c>
      <c r="E33" s="149" t="s">
        <v>9</v>
      </c>
      <c r="F33" s="136" t="s">
        <v>98</v>
      </c>
      <c r="G33" s="163" t="s">
        <v>10</v>
      </c>
      <c r="H33" s="155" t="s">
        <v>14</v>
      </c>
      <c r="I33" s="138" t="s">
        <v>38</v>
      </c>
    </row>
    <row r="34" spans="2:9" hidden="1" x14ac:dyDescent="0.25">
      <c r="B34" s="161">
        <v>11</v>
      </c>
      <c r="C34" s="146">
        <v>46056</v>
      </c>
      <c r="D34" s="136">
        <v>108150</v>
      </c>
      <c r="E34" s="149" t="s">
        <v>9</v>
      </c>
      <c r="F34" s="136" t="s">
        <v>98</v>
      </c>
      <c r="G34" s="163" t="s">
        <v>10</v>
      </c>
      <c r="H34" s="157" t="s">
        <v>42</v>
      </c>
      <c r="I34" s="138" t="s">
        <v>77</v>
      </c>
    </row>
    <row r="35" spans="2:9" hidden="1" x14ac:dyDescent="0.25">
      <c r="B35" s="161">
        <v>11</v>
      </c>
      <c r="C35" s="146">
        <v>46056</v>
      </c>
      <c r="D35" s="136">
        <v>180000</v>
      </c>
      <c r="E35" s="149" t="s">
        <v>9</v>
      </c>
      <c r="F35" s="136"/>
      <c r="G35" s="163" t="s">
        <v>10</v>
      </c>
      <c r="H35" s="155" t="s">
        <v>23</v>
      </c>
      <c r="I35" s="137" t="s">
        <v>24</v>
      </c>
    </row>
    <row r="36" spans="2:9" hidden="1" x14ac:dyDescent="0.25">
      <c r="B36" s="161">
        <v>13</v>
      </c>
      <c r="C36" s="146">
        <v>46050</v>
      </c>
      <c r="D36" s="139">
        <v>135400</v>
      </c>
      <c r="E36" s="150" t="s">
        <v>9</v>
      </c>
      <c r="F36" s="136" t="s">
        <v>43</v>
      </c>
      <c r="G36" s="163" t="s">
        <v>10</v>
      </c>
      <c r="H36" s="155" t="s">
        <v>78</v>
      </c>
      <c r="I36" s="137"/>
    </row>
    <row r="37" spans="2:9" hidden="1" x14ac:dyDescent="0.25">
      <c r="B37" s="161">
        <v>13</v>
      </c>
      <c r="C37" s="146">
        <v>46051</v>
      </c>
      <c r="D37" s="136">
        <f>50000+40000+10000+22000</f>
        <v>122000</v>
      </c>
      <c r="E37" s="149" t="s">
        <v>9</v>
      </c>
      <c r="F37" s="136" t="s">
        <v>43</v>
      </c>
      <c r="G37" s="163" t="s">
        <v>10</v>
      </c>
      <c r="H37" s="155" t="s">
        <v>61</v>
      </c>
      <c r="I37" s="137"/>
    </row>
    <row r="38" spans="2:9" x14ac:dyDescent="0.25">
      <c r="B38" s="161">
        <v>14</v>
      </c>
      <c r="C38" s="146">
        <v>46051</v>
      </c>
      <c r="D38" s="136">
        <v>21900</v>
      </c>
      <c r="E38" s="151" t="s">
        <v>629</v>
      </c>
      <c r="F38" s="136" t="s">
        <v>92</v>
      </c>
      <c r="G38" s="163" t="s">
        <v>2</v>
      </c>
      <c r="H38" s="157" t="s">
        <v>4</v>
      </c>
      <c r="I38" s="137"/>
    </row>
    <row r="39" spans="2:9" x14ac:dyDescent="0.25">
      <c r="B39" s="161">
        <v>15</v>
      </c>
      <c r="C39" s="146">
        <v>46051</v>
      </c>
      <c r="D39" s="136">
        <v>380000</v>
      </c>
      <c r="E39" s="151" t="s">
        <v>629</v>
      </c>
      <c r="F39" s="136" t="s">
        <v>92</v>
      </c>
      <c r="G39" s="163" t="s">
        <v>10</v>
      </c>
      <c r="H39" s="157" t="s">
        <v>80</v>
      </c>
      <c r="I39" s="137"/>
    </row>
    <row r="40" spans="2:9" x14ac:dyDescent="0.25">
      <c r="B40" s="161">
        <v>16</v>
      </c>
      <c r="C40" s="146">
        <v>46051</v>
      </c>
      <c r="D40" s="136">
        <v>100000</v>
      </c>
      <c r="E40" s="151" t="s">
        <v>629</v>
      </c>
      <c r="F40" s="136" t="s">
        <v>92</v>
      </c>
      <c r="G40" s="163" t="s">
        <v>2</v>
      </c>
      <c r="H40" s="157" t="s">
        <v>80</v>
      </c>
      <c r="I40" s="137"/>
    </row>
    <row r="41" spans="2:9" x14ac:dyDescent="0.25">
      <c r="B41" s="161">
        <v>17</v>
      </c>
      <c r="C41" s="146">
        <v>46051</v>
      </c>
      <c r="D41" s="136">
        <v>30000</v>
      </c>
      <c r="E41" s="151" t="s">
        <v>629</v>
      </c>
      <c r="F41" s="136" t="s">
        <v>92</v>
      </c>
      <c r="G41" s="163" t="s">
        <v>2</v>
      </c>
      <c r="H41" s="157" t="s">
        <v>80</v>
      </c>
      <c r="I41" s="137"/>
    </row>
    <row r="42" spans="2:9" x14ac:dyDescent="0.25">
      <c r="B42" s="161">
        <v>18</v>
      </c>
      <c r="C42" s="146">
        <v>46060</v>
      </c>
      <c r="D42" s="136">
        <v>50000</v>
      </c>
      <c r="E42" s="151" t="s">
        <v>629</v>
      </c>
      <c r="F42" s="136" t="s">
        <v>92</v>
      </c>
      <c r="G42" s="163" t="s">
        <v>2</v>
      </c>
      <c r="H42" s="157" t="s">
        <v>80</v>
      </c>
      <c r="I42" s="137"/>
    </row>
    <row r="43" spans="2:9" x14ac:dyDescent="0.25">
      <c r="B43" s="161">
        <v>19</v>
      </c>
      <c r="C43" s="146">
        <v>46066</v>
      </c>
      <c r="D43" s="136">
        <v>70000</v>
      </c>
      <c r="E43" s="151" t="s">
        <v>629</v>
      </c>
      <c r="F43" s="136" t="s">
        <v>92</v>
      </c>
      <c r="G43" s="163" t="s">
        <v>10</v>
      </c>
      <c r="H43" s="155" t="s">
        <v>80</v>
      </c>
      <c r="I43" s="137"/>
    </row>
    <row r="44" spans="2:9" hidden="1" x14ac:dyDescent="0.25">
      <c r="B44" s="161">
        <v>20</v>
      </c>
      <c r="C44" s="146">
        <v>46057</v>
      </c>
      <c r="D44" s="136">
        <v>490000</v>
      </c>
      <c r="E44" s="271" t="s">
        <v>736</v>
      </c>
      <c r="F44" s="136"/>
      <c r="G44" s="163" t="s">
        <v>2</v>
      </c>
      <c r="H44" s="157" t="s">
        <v>13</v>
      </c>
      <c r="I44" s="137"/>
    </row>
    <row r="45" spans="2:9" x14ac:dyDescent="0.25">
      <c r="B45" s="161">
        <v>22</v>
      </c>
      <c r="C45" s="146">
        <v>46062</v>
      </c>
      <c r="D45" s="136">
        <f>1650000+50000</f>
        <v>1700000</v>
      </c>
      <c r="E45" s="151" t="s">
        <v>629</v>
      </c>
      <c r="F45" s="136"/>
      <c r="G45" s="163" t="s">
        <v>10</v>
      </c>
      <c r="H45" s="157" t="s">
        <v>62</v>
      </c>
      <c r="I45" s="137" t="s">
        <v>18</v>
      </c>
    </row>
    <row r="46" spans="2:9" x14ac:dyDescent="0.25">
      <c r="B46" s="161">
        <v>23</v>
      </c>
      <c r="C46" s="146">
        <v>46065</v>
      </c>
      <c r="D46" s="139">
        <f>15500+49000+14400+83115+4900+47200+44500</f>
        <v>258615</v>
      </c>
      <c r="E46" s="151" t="s">
        <v>629</v>
      </c>
      <c r="F46" s="139"/>
      <c r="G46" s="163" t="s">
        <v>10</v>
      </c>
      <c r="H46" s="155" t="s">
        <v>81</v>
      </c>
      <c r="I46" s="137"/>
    </row>
    <row r="47" spans="2:9" x14ac:dyDescent="0.25">
      <c r="B47" s="161">
        <v>24</v>
      </c>
      <c r="C47" s="146">
        <v>46065</v>
      </c>
      <c r="D47" s="139">
        <f>38050+47400+30000</f>
        <v>115450</v>
      </c>
      <c r="E47" s="151" t="s">
        <v>629</v>
      </c>
      <c r="F47" s="139"/>
      <c r="G47" s="163" t="s">
        <v>10</v>
      </c>
      <c r="H47" s="155" t="s">
        <v>84</v>
      </c>
      <c r="I47" s="137"/>
    </row>
    <row r="48" spans="2:9" hidden="1" x14ac:dyDescent="0.25">
      <c r="B48" s="161">
        <v>25</v>
      </c>
      <c r="C48" s="146">
        <v>46070</v>
      </c>
      <c r="D48" s="136">
        <v>60000</v>
      </c>
      <c r="E48" s="149" t="s">
        <v>8</v>
      </c>
      <c r="F48" s="136"/>
      <c r="G48" s="163" t="s">
        <v>2</v>
      </c>
      <c r="H48" s="158" t="s">
        <v>94</v>
      </c>
      <c r="I48" s="137"/>
    </row>
    <row r="49" spans="2:13" hidden="1" x14ac:dyDescent="0.25">
      <c r="B49" s="161">
        <v>26</v>
      </c>
      <c r="C49" s="146">
        <v>46071</v>
      </c>
      <c r="D49" s="136">
        <f>1345000+200000</f>
        <v>1545000</v>
      </c>
      <c r="E49" s="149" t="s">
        <v>9</v>
      </c>
      <c r="F49" s="136" t="s">
        <v>98</v>
      </c>
      <c r="G49" s="163" t="s">
        <v>10</v>
      </c>
      <c r="H49" s="155" t="s">
        <v>27</v>
      </c>
      <c r="I49" s="137" t="s">
        <v>26</v>
      </c>
    </row>
    <row r="50" spans="2:13" hidden="1" x14ac:dyDescent="0.25">
      <c r="B50" s="161">
        <v>27</v>
      </c>
      <c r="C50" s="146">
        <v>46071</v>
      </c>
      <c r="D50" s="136">
        <v>151300</v>
      </c>
      <c r="E50" s="149" t="s">
        <v>9</v>
      </c>
      <c r="F50" s="136" t="s">
        <v>43</v>
      </c>
      <c r="G50" s="163" t="s">
        <v>10</v>
      </c>
      <c r="H50" s="155" t="s">
        <v>91</v>
      </c>
      <c r="I50" s="137" t="s">
        <v>25</v>
      </c>
    </row>
    <row r="51" spans="2:13" hidden="1" x14ac:dyDescent="0.25">
      <c r="B51" s="161">
        <v>28</v>
      </c>
      <c r="C51" s="146">
        <v>46072</v>
      </c>
      <c r="D51" s="136">
        <v>300000</v>
      </c>
      <c r="E51" s="149" t="s">
        <v>9</v>
      </c>
      <c r="F51" s="136" t="s">
        <v>98</v>
      </c>
      <c r="G51" s="163" t="s">
        <v>10</v>
      </c>
      <c r="H51" s="155" t="s">
        <v>28</v>
      </c>
      <c r="I51" s="137"/>
    </row>
    <row r="52" spans="2:13" x14ac:dyDescent="0.25">
      <c r="B52" s="161">
        <v>29</v>
      </c>
      <c r="C52" s="146">
        <v>46048</v>
      </c>
      <c r="D52" s="136">
        <v>150000</v>
      </c>
      <c r="E52" s="151" t="s">
        <v>629</v>
      </c>
      <c r="F52" s="136"/>
      <c r="G52" s="163" t="s">
        <v>10</v>
      </c>
      <c r="H52" s="159" t="s">
        <v>83</v>
      </c>
      <c r="I52" s="137"/>
    </row>
    <row r="53" spans="2:13" hidden="1" x14ac:dyDescent="0.25">
      <c r="B53" s="161">
        <v>30</v>
      </c>
      <c r="C53" s="146">
        <v>46048</v>
      </c>
      <c r="D53" s="141">
        <v>750000</v>
      </c>
      <c r="E53" s="149" t="s">
        <v>8</v>
      </c>
      <c r="F53" s="136"/>
      <c r="G53" s="163" t="s">
        <v>10</v>
      </c>
      <c r="H53" s="159" t="s">
        <v>11</v>
      </c>
      <c r="I53" s="137"/>
    </row>
    <row r="54" spans="2:13" hidden="1" x14ac:dyDescent="0.25">
      <c r="B54" s="161">
        <v>31</v>
      </c>
      <c r="C54" s="146">
        <v>46069</v>
      </c>
      <c r="D54" s="136">
        <v>900000</v>
      </c>
      <c r="E54" s="149" t="s">
        <v>8</v>
      </c>
      <c r="F54" s="136"/>
      <c r="G54" s="163" t="s">
        <v>2</v>
      </c>
      <c r="H54" s="159" t="s">
        <v>11</v>
      </c>
      <c r="I54" s="137"/>
    </row>
    <row r="55" spans="2:13" x14ac:dyDescent="0.25">
      <c r="B55" s="161">
        <v>32</v>
      </c>
      <c r="C55" s="146">
        <v>46070</v>
      </c>
      <c r="D55" s="136">
        <v>730000</v>
      </c>
      <c r="E55" s="151" t="s">
        <v>629</v>
      </c>
      <c r="F55" s="136" t="s">
        <v>86</v>
      </c>
      <c r="G55" s="163" t="s">
        <v>10</v>
      </c>
      <c r="H55" s="155" t="s">
        <v>87</v>
      </c>
      <c r="I55" s="137" t="s">
        <v>88</v>
      </c>
    </row>
    <row r="56" spans="2:13" x14ac:dyDescent="0.25">
      <c r="B56" s="161">
        <v>33</v>
      </c>
      <c r="C56" s="146">
        <v>46070</v>
      </c>
      <c r="D56" s="136">
        <v>420000</v>
      </c>
      <c r="E56" s="151" t="s">
        <v>629</v>
      </c>
      <c r="F56" s="136" t="s">
        <v>86</v>
      </c>
      <c r="G56" s="163" t="s">
        <v>10</v>
      </c>
      <c r="H56" s="155" t="s">
        <v>95</v>
      </c>
      <c r="I56" s="137" t="s">
        <v>21</v>
      </c>
    </row>
    <row r="57" spans="2:13" x14ac:dyDescent="0.25">
      <c r="B57" s="161">
        <v>34</v>
      </c>
      <c r="C57" s="146">
        <v>46070</v>
      </c>
      <c r="D57" s="136">
        <v>300000</v>
      </c>
      <c r="E57" s="151" t="s">
        <v>629</v>
      </c>
      <c r="F57" s="136"/>
      <c r="G57" s="163" t="s">
        <v>10</v>
      </c>
      <c r="H57" s="157" t="s">
        <v>85</v>
      </c>
      <c r="I57" s="137"/>
    </row>
    <row r="58" spans="2:13" hidden="1" x14ac:dyDescent="0.25">
      <c r="B58" s="161">
        <v>35</v>
      </c>
      <c r="C58" s="146">
        <v>46070</v>
      </c>
      <c r="D58" s="136">
        <v>140000</v>
      </c>
      <c r="E58" s="152" t="s">
        <v>9</v>
      </c>
      <c r="F58" s="136"/>
      <c r="G58" s="163" t="s">
        <v>10</v>
      </c>
      <c r="H58" s="157" t="s">
        <v>89</v>
      </c>
      <c r="I58" s="137"/>
    </row>
    <row r="59" spans="2:13" hidden="1" x14ac:dyDescent="0.25">
      <c r="B59" s="161">
        <v>36</v>
      </c>
      <c r="C59" s="146">
        <v>46070</v>
      </c>
      <c r="D59" s="136">
        <v>550000</v>
      </c>
      <c r="E59" s="152" t="s">
        <v>9</v>
      </c>
      <c r="F59" s="136" t="s">
        <v>98</v>
      </c>
      <c r="G59" s="163" t="s">
        <v>10</v>
      </c>
      <c r="H59" s="155" t="s">
        <v>29</v>
      </c>
      <c r="I59" s="137"/>
    </row>
    <row r="60" spans="2:13" hidden="1" x14ac:dyDescent="0.25">
      <c r="B60" s="161">
        <v>37</v>
      </c>
      <c r="C60" s="146">
        <v>46070</v>
      </c>
      <c r="D60" s="136">
        <f>415000+49000</f>
        <v>464000</v>
      </c>
      <c r="E60" s="149" t="s">
        <v>9</v>
      </c>
      <c r="F60" s="136" t="s">
        <v>98</v>
      </c>
      <c r="G60" s="163" t="s">
        <v>10</v>
      </c>
      <c r="H60" s="155" t="s">
        <v>31</v>
      </c>
      <c r="I60" s="137"/>
    </row>
    <row r="61" spans="2:13" hidden="1" x14ac:dyDescent="0.25">
      <c r="B61" s="161">
        <v>38</v>
      </c>
      <c r="C61" s="146">
        <v>46070</v>
      </c>
      <c r="D61" s="140">
        <f>30000+101000</f>
        <v>131000</v>
      </c>
      <c r="E61" s="149" t="s">
        <v>9</v>
      </c>
      <c r="F61" s="136" t="s">
        <v>98</v>
      </c>
      <c r="G61" s="163" t="s">
        <v>10</v>
      </c>
      <c r="H61" s="155" t="s">
        <v>30</v>
      </c>
      <c r="I61" s="137"/>
    </row>
    <row r="62" spans="2:13" hidden="1" x14ac:dyDescent="0.25">
      <c r="B62" s="161">
        <v>40</v>
      </c>
      <c r="C62" s="146">
        <v>46072</v>
      </c>
      <c r="D62" s="136">
        <v>40000</v>
      </c>
      <c r="E62" s="153" t="s">
        <v>22</v>
      </c>
      <c r="F62" s="142"/>
      <c r="G62" s="163" t="s">
        <v>10</v>
      </c>
      <c r="H62" s="155" t="s">
        <v>90</v>
      </c>
      <c r="I62" s="137"/>
    </row>
    <row r="63" spans="2:13" hidden="1" x14ac:dyDescent="0.25">
      <c r="B63" s="161">
        <v>41</v>
      </c>
      <c r="C63" s="146">
        <v>46072</v>
      </c>
      <c r="D63" s="139">
        <v>140000</v>
      </c>
      <c r="E63" s="153" t="s">
        <v>22</v>
      </c>
      <c r="F63" s="142"/>
      <c r="G63" s="163" t="s">
        <v>10</v>
      </c>
      <c r="H63" s="155" t="s">
        <v>104</v>
      </c>
      <c r="I63" s="137"/>
    </row>
    <row r="64" spans="2:13" hidden="1" x14ac:dyDescent="0.25">
      <c r="B64" s="161">
        <v>42</v>
      </c>
      <c r="C64" s="146">
        <v>46072</v>
      </c>
      <c r="D64" s="140">
        <f>+L64</f>
        <v>2030000</v>
      </c>
      <c r="E64" s="153" t="s">
        <v>22</v>
      </c>
      <c r="F64" s="142"/>
      <c r="G64" s="163" t="s">
        <v>10</v>
      </c>
      <c r="H64" s="160" t="s">
        <v>82</v>
      </c>
      <c r="I64" s="137"/>
      <c r="L64" s="140">
        <f>3500*580</f>
        <v>2030000</v>
      </c>
      <c r="M64" s="3">
        <f>+L64/2</f>
        <v>1015000</v>
      </c>
    </row>
    <row r="65" spans="2:13" hidden="1" x14ac:dyDescent="0.25">
      <c r="B65" s="161">
        <v>43</v>
      </c>
      <c r="C65" s="146">
        <v>46070</v>
      </c>
      <c r="D65" s="139">
        <v>40000</v>
      </c>
      <c r="E65" s="153" t="s">
        <v>22</v>
      </c>
      <c r="F65" s="142"/>
      <c r="G65" s="163" t="s">
        <v>10</v>
      </c>
      <c r="H65" s="155" t="s">
        <v>17</v>
      </c>
      <c r="I65" s="137"/>
      <c r="M65" s="3"/>
    </row>
    <row r="66" spans="2:13" hidden="1" x14ac:dyDescent="0.25">
      <c r="B66" s="161">
        <v>44</v>
      </c>
      <c r="C66" s="146">
        <v>46073</v>
      </c>
      <c r="D66" s="136">
        <v>15000</v>
      </c>
      <c r="E66" s="149" t="s">
        <v>9</v>
      </c>
      <c r="F66" s="136" t="s">
        <v>98</v>
      </c>
      <c r="G66" s="163" t="s">
        <v>2</v>
      </c>
      <c r="H66" s="149" t="s">
        <v>99</v>
      </c>
      <c r="I66" s="137"/>
    </row>
    <row r="67" spans="2:13" hidden="1" x14ac:dyDescent="0.25">
      <c r="B67" s="161">
        <v>45</v>
      </c>
      <c r="C67" s="146">
        <v>46073</v>
      </c>
      <c r="D67" s="140">
        <f>+L67</f>
        <v>619850</v>
      </c>
      <c r="E67" s="153" t="s">
        <v>22</v>
      </c>
      <c r="F67" s="136"/>
      <c r="G67" s="163" t="s">
        <v>10</v>
      </c>
      <c r="H67" s="155" t="s">
        <v>100</v>
      </c>
      <c r="I67" s="137"/>
      <c r="L67" s="140">
        <v>619850</v>
      </c>
      <c r="M67" s="3">
        <f>+L67/2</f>
        <v>309925</v>
      </c>
    </row>
    <row r="68" spans="2:13" hidden="1" x14ac:dyDescent="0.25">
      <c r="B68" s="161">
        <v>46</v>
      </c>
      <c r="C68" s="146">
        <v>46073</v>
      </c>
      <c r="D68" s="136">
        <v>90000</v>
      </c>
      <c r="E68" s="153" t="s">
        <v>22</v>
      </c>
      <c r="F68" s="136"/>
      <c r="G68" s="163" t="s">
        <v>10</v>
      </c>
      <c r="H68" s="155" t="s">
        <v>101</v>
      </c>
      <c r="I68" s="137"/>
      <c r="M68" s="3"/>
    </row>
    <row r="69" spans="2:13" x14ac:dyDescent="0.25">
      <c r="B69" s="161">
        <v>47</v>
      </c>
      <c r="C69" s="146">
        <v>46073</v>
      </c>
      <c r="D69" s="136">
        <v>20000</v>
      </c>
      <c r="E69" s="151" t="s">
        <v>629</v>
      </c>
      <c r="F69" s="136"/>
      <c r="G69" s="163" t="s">
        <v>10</v>
      </c>
      <c r="H69" s="155" t="s">
        <v>102</v>
      </c>
      <c r="I69" s="137"/>
    </row>
    <row r="70" spans="2:13" hidden="1" x14ac:dyDescent="0.25">
      <c r="B70" s="161">
        <v>48</v>
      </c>
      <c r="C70" s="146">
        <v>46073</v>
      </c>
      <c r="D70" s="136">
        <v>260100</v>
      </c>
      <c r="E70" s="149" t="s">
        <v>9</v>
      </c>
      <c r="F70" s="136" t="s">
        <v>43</v>
      </c>
      <c r="G70" s="163" t="s">
        <v>10</v>
      </c>
      <c r="H70" s="155" t="s">
        <v>103</v>
      </c>
      <c r="I70" s="137"/>
    </row>
    <row r="71" spans="2:13" hidden="1" x14ac:dyDescent="0.25">
      <c r="B71" s="161">
        <v>49</v>
      </c>
      <c r="C71" s="146">
        <v>46073</v>
      </c>
      <c r="D71" s="140">
        <f>+L71</f>
        <v>412000</v>
      </c>
      <c r="E71" s="153" t="s">
        <v>22</v>
      </c>
      <c r="F71" s="136"/>
      <c r="G71" s="163" t="s">
        <v>10</v>
      </c>
      <c r="H71" s="160" t="s">
        <v>634</v>
      </c>
      <c r="I71" s="137"/>
      <c r="L71" s="140">
        <v>412000</v>
      </c>
      <c r="M71" s="3">
        <f>+L71/2</f>
        <v>206000</v>
      </c>
    </row>
    <row r="72" spans="2:13" hidden="1" x14ac:dyDescent="0.25">
      <c r="B72" s="161">
        <v>50</v>
      </c>
      <c r="C72" s="146">
        <v>46073</v>
      </c>
      <c r="D72" s="136">
        <v>80000</v>
      </c>
      <c r="E72" s="149" t="s">
        <v>9</v>
      </c>
      <c r="F72" s="136"/>
      <c r="G72" s="163" t="s">
        <v>2</v>
      </c>
      <c r="H72" s="155" t="s">
        <v>108</v>
      </c>
      <c r="I72" s="137"/>
    </row>
    <row r="73" spans="2:13" hidden="1" x14ac:dyDescent="0.25">
      <c r="B73" s="161">
        <v>51</v>
      </c>
      <c r="C73" s="146">
        <v>46074</v>
      </c>
      <c r="D73" s="136">
        <v>57000</v>
      </c>
      <c r="E73" s="153" t="s">
        <v>22</v>
      </c>
      <c r="F73" s="136"/>
      <c r="G73" s="163" t="s">
        <v>10</v>
      </c>
      <c r="H73" s="155" t="s">
        <v>109</v>
      </c>
      <c r="I73" s="137"/>
    </row>
    <row r="74" spans="2:13" hidden="1" x14ac:dyDescent="0.25">
      <c r="B74" s="161">
        <v>52</v>
      </c>
      <c r="C74" s="146">
        <v>46074</v>
      </c>
      <c r="D74" s="136">
        <v>5600</v>
      </c>
      <c r="E74" s="149" t="s">
        <v>8</v>
      </c>
      <c r="F74" s="136"/>
      <c r="G74" s="163" t="s">
        <v>10</v>
      </c>
      <c r="H74" s="155" t="s">
        <v>110</v>
      </c>
      <c r="I74" s="137"/>
    </row>
    <row r="75" spans="2:13" hidden="1" x14ac:dyDescent="0.25">
      <c r="B75" s="161">
        <v>53</v>
      </c>
      <c r="C75" s="146">
        <v>46074</v>
      </c>
      <c r="D75" s="136">
        <v>15000</v>
      </c>
      <c r="E75" s="149" t="s">
        <v>9</v>
      </c>
      <c r="F75" s="136"/>
      <c r="G75" s="163" t="s">
        <v>10</v>
      </c>
      <c r="H75" s="155" t="s">
        <v>111</v>
      </c>
      <c r="I75" s="137"/>
    </row>
    <row r="76" spans="2:13" hidden="1" x14ac:dyDescent="0.25">
      <c r="B76" s="161">
        <v>54</v>
      </c>
      <c r="C76" s="146">
        <v>46076</v>
      </c>
      <c r="D76" s="136">
        <v>58200</v>
      </c>
      <c r="E76" s="149" t="s">
        <v>8</v>
      </c>
      <c r="F76" s="136"/>
      <c r="G76" s="163" t="s">
        <v>10</v>
      </c>
      <c r="H76" s="155" t="s">
        <v>129</v>
      </c>
      <c r="I76" s="137"/>
    </row>
    <row r="77" spans="2:13" hidden="1" x14ac:dyDescent="0.25">
      <c r="B77" s="161">
        <v>55</v>
      </c>
      <c r="C77" s="146">
        <v>46076</v>
      </c>
      <c r="D77" s="136">
        <v>63202</v>
      </c>
      <c r="E77" s="149" t="s">
        <v>8</v>
      </c>
      <c r="F77" s="136"/>
      <c r="G77" s="163" t="s">
        <v>10</v>
      </c>
      <c r="H77" s="155" t="s">
        <v>113</v>
      </c>
      <c r="I77" s="137"/>
    </row>
    <row r="78" spans="2:13" hidden="1" x14ac:dyDescent="0.25">
      <c r="B78" s="161">
        <v>56</v>
      </c>
      <c r="C78" s="146">
        <v>46076</v>
      </c>
      <c r="D78" s="136">
        <f>8200+1300</f>
        <v>9500</v>
      </c>
      <c r="E78" s="149" t="s">
        <v>8</v>
      </c>
      <c r="F78" s="136"/>
      <c r="G78" s="163" t="s">
        <v>10</v>
      </c>
      <c r="H78" s="155" t="s">
        <v>12</v>
      </c>
      <c r="I78" s="137"/>
    </row>
    <row r="79" spans="2:13" hidden="1" x14ac:dyDescent="0.25">
      <c r="B79" s="161">
        <v>57</v>
      </c>
      <c r="C79" s="146">
        <v>46076</v>
      </c>
      <c r="D79" s="136">
        <v>20400</v>
      </c>
      <c r="E79" s="153" t="s">
        <v>22</v>
      </c>
      <c r="F79" s="136"/>
      <c r="G79" s="163" t="s">
        <v>10</v>
      </c>
      <c r="H79" s="155" t="s">
        <v>114</v>
      </c>
      <c r="I79" s="137"/>
    </row>
    <row r="80" spans="2:13" hidden="1" x14ac:dyDescent="0.25">
      <c r="B80" s="161">
        <v>58</v>
      </c>
      <c r="C80" s="146">
        <v>46076</v>
      </c>
      <c r="D80" s="136">
        <v>42500</v>
      </c>
      <c r="E80" s="153" t="s">
        <v>22</v>
      </c>
      <c r="F80" s="136"/>
      <c r="G80" s="163" t="s">
        <v>10</v>
      </c>
      <c r="H80" s="155" t="s">
        <v>630</v>
      </c>
      <c r="I80" s="137"/>
    </row>
    <row r="81" spans="2:9" hidden="1" x14ac:dyDescent="0.25">
      <c r="B81" s="161">
        <v>59</v>
      </c>
      <c r="C81" s="146">
        <v>46076</v>
      </c>
      <c r="D81" s="136">
        <v>192000</v>
      </c>
      <c r="E81" s="153" t="s">
        <v>22</v>
      </c>
      <c r="F81" s="136"/>
      <c r="G81" s="163" t="s">
        <v>10</v>
      </c>
      <c r="H81" s="155" t="s">
        <v>112</v>
      </c>
      <c r="I81" s="137"/>
    </row>
    <row r="82" spans="2:9" hidden="1" x14ac:dyDescent="0.25">
      <c r="B82" s="161">
        <v>60</v>
      </c>
      <c r="C82" s="146">
        <v>46076</v>
      </c>
      <c r="D82" s="136">
        <v>260000</v>
      </c>
      <c r="E82" s="149" t="s">
        <v>9</v>
      </c>
      <c r="F82" s="136"/>
      <c r="G82" s="163" t="s">
        <v>10</v>
      </c>
      <c r="H82" s="155" t="s">
        <v>124</v>
      </c>
      <c r="I82" s="137"/>
    </row>
    <row r="83" spans="2:9" hidden="1" x14ac:dyDescent="0.25">
      <c r="B83" s="161">
        <v>61</v>
      </c>
      <c r="C83" s="146">
        <v>46076</v>
      </c>
      <c r="D83" s="140">
        <v>30000</v>
      </c>
      <c r="E83" s="149" t="s">
        <v>9</v>
      </c>
      <c r="F83" s="136"/>
      <c r="G83" s="163" t="s">
        <v>2</v>
      </c>
      <c r="H83" s="155" t="s">
        <v>127</v>
      </c>
      <c r="I83" s="137"/>
    </row>
    <row r="84" spans="2:9" hidden="1" x14ac:dyDescent="0.25">
      <c r="B84" s="161">
        <v>62</v>
      </c>
      <c r="C84" s="146">
        <v>46076</v>
      </c>
      <c r="D84" s="140">
        <v>615000</v>
      </c>
      <c r="E84" s="149" t="s">
        <v>8</v>
      </c>
      <c r="F84" s="136"/>
      <c r="G84" s="163" t="s">
        <v>2</v>
      </c>
      <c r="H84" s="155" t="s">
        <v>128</v>
      </c>
      <c r="I84" s="137"/>
    </row>
    <row r="85" spans="2:9" hidden="1" x14ac:dyDescent="0.25">
      <c r="B85" s="161">
        <v>63</v>
      </c>
      <c r="C85" s="146">
        <v>46076</v>
      </c>
      <c r="D85" s="136">
        <v>81000</v>
      </c>
      <c r="E85" s="149" t="s">
        <v>8</v>
      </c>
      <c r="F85" s="136"/>
      <c r="G85" s="163" t="s">
        <v>2</v>
      </c>
      <c r="H85" s="155" t="s">
        <v>223</v>
      </c>
      <c r="I85" s="137"/>
    </row>
    <row r="86" spans="2:9" hidden="1" x14ac:dyDescent="0.25">
      <c r="B86" s="161">
        <v>64</v>
      </c>
      <c r="C86" s="146">
        <v>46084</v>
      </c>
      <c r="D86" s="136">
        <v>395000</v>
      </c>
      <c r="E86" s="149" t="s">
        <v>9</v>
      </c>
      <c r="F86" s="136"/>
      <c r="G86" s="163" t="s">
        <v>2</v>
      </c>
      <c r="H86" s="155" t="s">
        <v>214</v>
      </c>
      <c r="I86" s="137"/>
    </row>
    <row r="87" spans="2:9" hidden="1" x14ac:dyDescent="0.25">
      <c r="B87" s="162">
        <v>65</v>
      </c>
      <c r="C87" s="147">
        <v>46083</v>
      </c>
      <c r="D87" s="143">
        <v>330400</v>
      </c>
      <c r="E87" s="154" t="s">
        <v>9</v>
      </c>
      <c r="F87" s="143"/>
      <c r="G87" s="164" t="s">
        <v>2</v>
      </c>
      <c r="H87" s="156" t="s">
        <v>222</v>
      </c>
      <c r="I87" s="144"/>
    </row>
  </sheetData>
  <autoFilter ref="C23:I87">
    <filterColumn colId="2">
      <filters>
        <filter val="Inversión a recuperar"/>
      </filters>
    </filterColumn>
  </autoFilter>
  <conditionalFormatting sqref="D19:D20">
    <cfRule type="containsText" dxfId="17" priority="5" operator="containsText" text="Patrimonio">
      <formula>NOT(ISERROR(SEARCH("Patrimonio",D19)))</formula>
    </cfRule>
    <cfRule type="containsText" dxfId="16" priority="6" operator="containsText" text="Por Pagar">
      <formula>NOT(ISERROR(SEARCH("Por Pagar",D19)))</formula>
    </cfRule>
  </conditionalFormatting>
  <conditionalFormatting sqref="D2:F2 E5:F13 E14 E15:F18 E19 E20:F1048576 I24:I35 D30:D35 I41:I43 D42:D43 H56 H66">
    <cfRule type="containsText" dxfId="15" priority="27" operator="containsText" text="Patrimonio">
      <formula>NOT(ISERROR(SEARCH("Patrimonio",D2)))</formula>
    </cfRule>
    <cfRule type="containsText" dxfId="14" priority="28" operator="containsText" text="Por Pagar">
      <formula>NOT(ISERROR(SEARCH("Por Pagar",D2)))</formula>
    </cfRule>
  </conditionalFormatting>
  <conditionalFormatting sqref="G2:G7">
    <cfRule type="containsText" dxfId="13" priority="1" operator="containsText" text="Patrimonio">
      <formula>NOT(ISERROR(SEARCH("Patrimonio",G2)))</formula>
    </cfRule>
    <cfRule type="containsText" dxfId="12" priority="2" operator="containsText" text="Por Pagar">
      <formula>NOT(ISERROR(SEARCH("Por Pagar",G2)))</formula>
    </cfRule>
  </conditionalFormatting>
  <conditionalFormatting sqref="H2">
    <cfRule type="containsText" dxfId="11" priority="3" operator="containsText" text="Patrimonio">
      <formula>NOT(ISERROR(SEARCH("Patrimonio",H2)))</formula>
    </cfRule>
    <cfRule type="containsText" dxfId="10" priority="4" operator="containsText" text="Por Pagar">
      <formula>NOT(ISERROR(SEARCH("Por Pagar",H2)))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G9"/>
  <sheetViews>
    <sheetView workbookViewId="0">
      <selection activeCell="F20" sqref="F20"/>
    </sheetView>
  </sheetViews>
  <sheetFormatPr baseColWidth="10" defaultRowHeight="15" x14ac:dyDescent="0.25"/>
  <cols>
    <col min="2" max="2" width="13.28515625" bestFit="1" customWidth="1"/>
    <col min="3" max="3" width="12" style="3" bestFit="1" customWidth="1"/>
  </cols>
  <sheetData>
    <row r="1" spans="2:7" x14ac:dyDescent="0.25">
      <c r="B1" t="s">
        <v>714</v>
      </c>
      <c r="C1" s="3">
        <v>1800000</v>
      </c>
    </row>
    <row r="2" spans="2:7" x14ac:dyDescent="0.25">
      <c r="B2" t="s">
        <v>715</v>
      </c>
      <c r="C2" s="3">
        <v>500000</v>
      </c>
    </row>
    <row r="7" spans="2:7" x14ac:dyDescent="0.25">
      <c r="F7" t="s">
        <v>716</v>
      </c>
    </row>
    <row r="8" spans="2:7" x14ac:dyDescent="0.25">
      <c r="F8">
        <v>4</v>
      </c>
      <c r="G8" t="s">
        <v>717</v>
      </c>
    </row>
    <row r="9" spans="2:7" x14ac:dyDescent="0.25">
      <c r="G9" t="s">
        <v>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2:C11"/>
  <sheetViews>
    <sheetView workbookViewId="0">
      <selection activeCell="C1" sqref="C1:C1048576"/>
    </sheetView>
  </sheetViews>
  <sheetFormatPr baseColWidth="10" defaultRowHeight="15" x14ac:dyDescent="0.25"/>
  <cols>
    <col min="2" max="2" width="13" bestFit="1" customWidth="1"/>
  </cols>
  <sheetData>
    <row r="2" spans="1:3" x14ac:dyDescent="0.25">
      <c r="B2" s="110">
        <v>1600</v>
      </c>
      <c r="C2" t="s">
        <v>564</v>
      </c>
    </row>
    <row r="3" spans="1:3" x14ac:dyDescent="0.25">
      <c r="B3" s="3">
        <v>3700000</v>
      </c>
      <c r="C3" t="s">
        <v>566</v>
      </c>
    </row>
    <row r="4" spans="1:3" x14ac:dyDescent="0.25">
      <c r="B4" s="71">
        <f>+B3/B2</f>
        <v>2312.5</v>
      </c>
      <c r="C4" t="s">
        <v>567</v>
      </c>
    </row>
    <row r="6" spans="1:3" x14ac:dyDescent="0.25">
      <c r="B6" s="3">
        <v>3500</v>
      </c>
      <c r="C6" t="s">
        <v>565</v>
      </c>
    </row>
    <row r="7" spans="1:3" x14ac:dyDescent="0.25">
      <c r="B7" s="3">
        <f>+B6*B2</f>
        <v>5600000</v>
      </c>
      <c r="C7" t="s">
        <v>568</v>
      </c>
    </row>
    <row r="8" spans="1:3" x14ac:dyDescent="0.25">
      <c r="B8" s="22">
        <f>+B7-B3</f>
        <v>1900000</v>
      </c>
      <c r="C8" t="s">
        <v>569</v>
      </c>
    </row>
    <row r="10" spans="1:3" x14ac:dyDescent="0.25">
      <c r="A10" t="s">
        <v>290</v>
      </c>
      <c r="B10" s="3">
        <f>7000*B2</f>
        <v>11200000</v>
      </c>
      <c r="C10" t="s">
        <v>570</v>
      </c>
    </row>
    <row r="11" spans="1:3" x14ac:dyDescent="0.25">
      <c r="B11" s="22">
        <f>+B10-B3</f>
        <v>7500000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>
    <tabColor rgb="FFFFFF00"/>
  </sheetPr>
  <dimension ref="A1:H25"/>
  <sheetViews>
    <sheetView showGridLines="0" topLeftCell="A5" zoomScale="70" zoomScaleNormal="70" workbookViewId="0">
      <selection activeCell="E32" sqref="E32"/>
    </sheetView>
  </sheetViews>
  <sheetFormatPr baseColWidth="10" defaultRowHeight="15" x14ac:dyDescent="0.25"/>
  <cols>
    <col min="1" max="1" width="6.7109375" bestFit="1" customWidth="1"/>
    <col min="2" max="2" width="8.28515625" bestFit="1" customWidth="1"/>
    <col min="3" max="3" width="14.5703125" bestFit="1" customWidth="1"/>
    <col min="4" max="4" width="21.28515625" bestFit="1" customWidth="1"/>
    <col min="5" max="5" width="19.7109375" style="49" bestFit="1" customWidth="1"/>
    <col min="6" max="6" width="19.85546875" bestFit="1" customWidth="1"/>
    <col min="12" max="12" width="15.5703125" bestFit="1" customWidth="1"/>
  </cols>
  <sheetData>
    <row r="1" spans="2:8" hidden="1" x14ac:dyDescent="0.25">
      <c r="F1" s="3">
        <v>1200000</v>
      </c>
      <c r="G1" t="s">
        <v>105</v>
      </c>
    </row>
    <row r="2" spans="2:8" hidden="1" x14ac:dyDescent="0.25">
      <c r="G2" t="s">
        <v>106</v>
      </c>
    </row>
    <row r="3" spans="2:8" hidden="1" x14ac:dyDescent="0.25">
      <c r="G3" t="s">
        <v>107</v>
      </c>
    </row>
    <row r="4" spans="2:8" hidden="1" x14ac:dyDescent="0.25"/>
    <row r="5" spans="2:8" x14ac:dyDescent="0.25">
      <c r="E5" t="str">
        <f>+IF(E6&gt;0,"Saldo a favor de papá","Saldo a favor a Edwin")</f>
        <v>Saldo a favor a Edwin</v>
      </c>
      <c r="F5" t="str">
        <f>+IF(F6&gt;0,"Saldo a favor de papá","Saldo a favor a Edwin")</f>
        <v>Saldo a favor a Edwin</v>
      </c>
    </row>
    <row r="6" spans="2:8" x14ac:dyDescent="0.25">
      <c r="B6" s="1" t="s">
        <v>5</v>
      </c>
      <c r="C6" s="1" t="s">
        <v>1</v>
      </c>
      <c r="D6" s="180" t="s">
        <v>121</v>
      </c>
      <c r="E6" s="60">
        <f>+SUM(E7:E1048576)</f>
        <v>-581250</v>
      </c>
      <c r="F6" s="60">
        <f>+SUM(F7:F1048576)</f>
        <v>-355925</v>
      </c>
      <c r="H6" s="32">
        <f>+E6+F6</f>
        <v>-937175</v>
      </c>
    </row>
    <row r="7" spans="2:8" x14ac:dyDescent="0.25">
      <c r="B7" s="2">
        <v>46089</v>
      </c>
      <c r="C7" s="183" t="str">
        <f>+IF(E7&gt;1," Jose","Edwin")</f>
        <v xml:space="preserve"> Jose</v>
      </c>
      <c r="D7" t="s">
        <v>105</v>
      </c>
      <c r="E7" s="184">
        <v>1300000</v>
      </c>
    </row>
    <row r="8" spans="2:8" x14ac:dyDescent="0.25">
      <c r="B8" s="2">
        <v>46089</v>
      </c>
      <c r="C8" s="183" t="str">
        <f t="shared" ref="C8:C14" si="0">+IF(E8&gt;1," Jose","Edwin")</f>
        <v>Edwin</v>
      </c>
      <c r="D8" t="s">
        <v>284</v>
      </c>
      <c r="E8" s="184">
        <v>-1350000</v>
      </c>
    </row>
    <row r="9" spans="2:8" x14ac:dyDescent="0.25">
      <c r="B9" s="2">
        <v>46089</v>
      </c>
      <c r="C9" s="183" t="str">
        <f t="shared" si="0"/>
        <v>Edwin</v>
      </c>
      <c r="D9" s="1" t="s">
        <v>285</v>
      </c>
      <c r="E9" s="184">
        <v>-400000</v>
      </c>
    </row>
    <row r="10" spans="2:8" x14ac:dyDescent="0.25">
      <c r="B10" s="2">
        <v>46089</v>
      </c>
      <c r="C10" s="183" t="str">
        <f t="shared" si="0"/>
        <v>Edwin</v>
      </c>
      <c r="D10" t="s">
        <v>286</v>
      </c>
      <c r="E10" s="184">
        <f>-500000/2</f>
        <v>-250000</v>
      </c>
    </row>
    <row r="11" spans="2:8" x14ac:dyDescent="0.25">
      <c r="B11" s="2">
        <v>46089</v>
      </c>
      <c r="C11" s="183" t="str">
        <f t="shared" si="0"/>
        <v>Edwin</v>
      </c>
      <c r="D11" t="s">
        <v>287</v>
      </c>
      <c r="E11" s="184">
        <f>-180000/2</f>
        <v>-90000</v>
      </c>
    </row>
    <row r="12" spans="2:8" x14ac:dyDescent="0.25">
      <c r="B12" s="2">
        <v>46089</v>
      </c>
      <c r="C12" s="183" t="str">
        <f t="shared" si="0"/>
        <v>Edwin</v>
      </c>
      <c r="D12" t="s">
        <v>288</v>
      </c>
      <c r="E12" s="184">
        <v>-30000</v>
      </c>
    </row>
    <row r="13" spans="2:8" x14ac:dyDescent="0.25">
      <c r="B13" s="2">
        <v>46076</v>
      </c>
      <c r="C13" s="183" t="str">
        <f t="shared" si="0"/>
        <v xml:space="preserve"> Jose</v>
      </c>
      <c r="D13" t="s">
        <v>289</v>
      </c>
      <c r="E13" s="184">
        <f>((550-185)*3500)/2</f>
        <v>638750</v>
      </c>
    </row>
    <row r="14" spans="2:8" x14ac:dyDescent="0.25">
      <c r="B14" s="2">
        <v>46089</v>
      </c>
      <c r="C14" s="183" t="str">
        <f t="shared" si="0"/>
        <v>Edwin</v>
      </c>
      <c r="D14" t="s">
        <v>107</v>
      </c>
      <c r="E14" s="184">
        <f>-800000/2</f>
        <v>-400000</v>
      </c>
    </row>
    <row r="16" spans="2:8" x14ac:dyDescent="0.25">
      <c r="B16" s="2">
        <v>46097</v>
      </c>
      <c r="C16" s="183" t="str">
        <f>+IF(F16&gt;1," Jose","Edwin")</f>
        <v>Edwin</v>
      </c>
      <c r="D16" t="s">
        <v>622</v>
      </c>
      <c r="F16" s="184">
        <v>-50000</v>
      </c>
    </row>
    <row r="17" spans="1:8" x14ac:dyDescent="0.25">
      <c r="B17" s="2">
        <v>46097</v>
      </c>
      <c r="C17" s="183" t="str">
        <f>+IF(F17&gt;1," Jose","Edwin")</f>
        <v>Edwin</v>
      </c>
      <c r="D17" t="s">
        <v>621</v>
      </c>
      <c r="F17" s="184">
        <f>-60000/2</f>
        <v>-30000</v>
      </c>
    </row>
    <row r="18" spans="1:8" x14ac:dyDescent="0.25">
      <c r="A18" s="199"/>
      <c r="B18" s="200">
        <v>46089</v>
      </c>
      <c r="C18" s="201" t="str">
        <f t="shared" ref="C18:C22" si="1">+IF(F18&gt;1," Jose","Edwin")</f>
        <v xml:space="preserve"> Jose</v>
      </c>
      <c r="D18" s="202" t="s">
        <v>623</v>
      </c>
      <c r="E18" s="203"/>
      <c r="F18" s="195">
        <f>(500*3500)/2</f>
        <v>875000</v>
      </c>
      <c r="G18">
        <f>+H18/2</f>
        <v>250</v>
      </c>
      <c r="H18" s="1">
        <v>500</v>
      </c>
    </row>
    <row r="19" spans="1:8" x14ac:dyDescent="0.25">
      <c r="A19" s="204"/>
      <c r="B19" s="2">
        <v>46106</v>
      </c>
      <c r="C19" s="183" t="str">
        <f t="shared" si="1"/>
        <v xml:space="preserve"> Jose</v>
      </c>
      <c r="D19" t="s">
        <v>623</v>
      </c>
      <c r="E19" s="97"/>
      <c r="F19" s="196">
        <f>(230*3500)/2</f>
        <v>402500</v>
      </c>
      <c r="G19">
        <f t="shared" ref="G19:G21" si="2">+H19/2</f>
        <v>115</v>
      </c>
      <c r="H19" s="1">
        <v>230</v>
      </c>
    </row>
    <row r="20" spans="1:8" x14ac:dyDescent="0.25">
      <c r="A20" s="204"/>
      <c r="B20" s="2">
        <v>46106</v>
      </c>
      <c r="C20" s="183" t="str">
        <f t="shared" si="1"/>
        <v>Edwin</v>
      </c>
      <c r="D20" t="s">
        <v>661</v>
      </c>
      <c r="E20" s="97"/>
      <c r="F20" s="197">
        <f>-(50*3500)/2</f>
        <v>-87500</v>
      </c>
      <c r="G20">
        <f t="shared" si="2"/>
        <v>-25</v>
      </c>
      <c r="H20" s="1">
        <v>-50</v>
      </c>
    </row>
    <row r="21" spans="1:8" x14ac:dyDescent="0.25">
      <c r="A21" s="205"/>
      <c r="B21" s="206">
        <v>46106</v>
      </c>
      <c r="C21" s="207" t="str">
        <f t="shared" si="1"/>
        <v xml:space="preserve"> Jose</v>
      </c>
      <c r="D21" s="73" t="s">
        <v>662</v>
      </c>
      <c r="E21" s="208"/>
      <c r="F21" s="198">
        <f>(20*3500)/2</f>
        <v>35000</v>
      </c>
      <c r="G21">
        <f t="shared" si="2"/>
        <v>10</v>
      </c>
      <c r="H21" s="1">
        <v>20</v>
      </c>
    </row>
    <row r="22" spans="1:8" x14ac:dyDescent="0.25">
      <c r="B22" s="2">
        <v>46107</v>
      </c>
      <c r="C22" s="183" t="str">
        <f t="shared" si="1"/>
        <v xml:space="preserve"> Jose</v>
      </c>
      <c r="D22" t="s">
        <v>288</v>
      </c>
      <c r="F22" s="184">
        <v>30000</v>
      </c>
    </row>
    <row r="23" spans="1:8" x14ac:dyDescent="0.25">
      <c r="A23" s="194">
        <v>46072</v>
      </c>
      <c r="B23" s="2">
        <v>46089</v>
      </c>
      <c r="C23" s="183" t="str">
        <f t="shared" ref="C23:C25" si="3">+IF(F23&gt;1," Jose","Edwin")</f>
        <v>Edwin</v>
      </c>
      <c r="D23" t="s">
        <v>637</v>
      </c>
      <c r="F23" s="184">
        <f>-choriboni!$M$64</f>
        <v>-1015000</v>
      </c>
      <c r="G23">
        <v>290</v>
      </c>
    </row>
    <row r="24" spans="1:8" x14ac:dyDescent="0.25">
      <c r="A24" s="194">
        <v>46073</v>
      </c>
      <c r="B24" s="194">
        <v>46084</v>
      </c>
      <c r="C24" s="183" t="str">
        <f t="shared" si="3"/>
        <v>Edwin</v>
      </c>
      <c r="D24" t="s">
        <v>656</v>
      </c>
      <c r="F24" s="184">
        <f>-choriboni!$M$67</f>
        <v>-309925</v>
      </c>
    </row>
    <row r="25" spans="1:8" x14ac:dyDescent="0.25">
      <c r="A25" s="194">
        <v>46073</v>
      </c>
      <c r="B25" s="2">
        <v>46107</v>
      </c>
      <c r="C25" s="183" t="str">
        <f t="shared" si="3"/>
        <v>Edwin</v>
      </c>
      <c r="D25" t="s">
        <v>517</v>
      </c>
      <c r="F25" s="184">
        <f>-choriboni!$M$71</f>
        <v>-206000</v>
      </c>
    </row>
  </sheetData>
  <autoFilter ref="C6:M15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CS45"/>
  <sheetViews>
    <sheetView showGridLines="0" tabSelected="1" zoomScaleNormal="10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C20" sqref="C20"/>
    </sheetView>
  </sheetViews>
  <sheetFormatPr baseColWidth="10" defaultRowHeight="15" outlineLevelRow="1" x14ac:dyDescent="0.25"/>
  <cols>
    <col min="1" max="1" width="23.85546875" style="3" bestFit="1" customWidth="1"/>
    <col min="2" max="2" width="3.140625" bestFit="1" customWidth="1" collapsed="1"/>
    <col min="3" max="3" width="13" bestFit="1" customWidth="1"/>
    <col min="4" max="4" width="3.140625" bestFit="1" customWidth="1" collapsed="1"/>
    <col min="5" max="5" width="13" bestFit="1" customWidth="1"/>
    <col min="6" max="6" width="3.140625" bestFit="1" customWidth="1" collapsed="1"/>
    <col min="7" max="7" width="13" bestFit="1" customWidth="1"/>
    <col min="8" max="8" width="3.140625" bestFit="1" customWidth="1" collapsed="1"/>
    <col min="9" max="9" width="13" bestFit="1" customWidth="1"/>
    <col min="10" max="10" width="3.140625" bestFit="1" customWidth="1" collapsed="1"/>
    <col min="11" max="11" width="13" bestFit="1" customWidth="1"/>
    <col min="12" max="12" width="3.140625" bestFit="1" customWidth="1" collapsed="1"/>
    <col min="13" max="13" width="13" bestFit="1" customWidth="1"/>
    <col min="14" max="14" width="3.140625" bestFit="1" customWidth="1" collapsed="1"/>
    <col min="15" max="15" width="13" bestFit="1" customWidth="1"/>
    <col min="16" max="16" width="3.140625" bestFit="1" customWidth="1" collapsed="1"/>
    <col min="17" max="17" width="13" bestFit="1" customWidth="1"/>
    <col min="18" max="18" width="3.140625" bestFit="1" customWidth="1" collapsed="1"/>
    <col min="19" max="19" width="13" bestFit="1" customWidth="1"/>
    <col min="20" max="20" width="3.140625" bestFit="1" customWidth="1" collapsed="1"/>
    <col min="21" max="21" width="13" bestFit="1" customWidth="1"/>
    <col min="22" max="22" width="3.140625" bestFit="1" customWidth="1" collapsed="1"/>
    <col min="23" max="23" width="13" bestFit="1" customWidth="1"/>
    <col min="24" max="24" width="3.140625" bestFit="1" customWidth="1" collapsed="1"/>
    <col min="25" max="25" width="13" bestFit="1" customWidth="1"/>
    <col min="26" max="26" width="3.140625" bestFit="1" customWidth="1" collapsed="1"/>
    <col min="27" max="27" width="13" bestFit="1" customWidth="1"/>
    <col min="28" max="28" width="3.140625" bestFit="1" customWidth="1" collapsed="1"/>
    <col min="29" max="29" width="13" bestFit="1" customWidth="1"/>
    <col min="30" max="30" width="3.140625" bestFit="1" customWidth="1" collapsed="1"/>
    <col min="31" max="31" width="13" bestFit="1" customWidth="1"/>
    <col min="32" max="32" width="3.140625" bestFit="1" customWidth="1" collapsed="1"/>
    <col min="33" max="33" width="13" bestFit="1" customWidth="1"/>
    <col min="34" max="34" width="3.140625" customWidth="1" collapsed="1"/>
    <col min="35" max="35" width="13" customWidth="1"/>
    <col min="36" max="36" width="3.140625" customWidth="1" collapsed="1"/>
    <col min="37" max="37" width="13" customWidth="1"/>
    <col min="38" max="38" width="3.140625" customWidth="1" collapsed="1"/>
    <col min="39" max="39" width="13" customWidth="1"/>
    <col min="40" max="40" width="3.140625" customWidth="1" collapsed="1"/>
    <col min="41" max="41" width="13" customWidth="1"/>
    <col min="42" max="42" width="3.140625" customWidth="1" collapsed="1"/>
    <col min="43" max="43" width="13" customWidth="1"/>
    <col min="44" max="44" width="3.140625" customWidth="1" collapsed="1"/>
    <col min="45" max="45" width="12" customWidth="1"/>
    <col min="46" max="46" width="3.140625" customWidth="1" collapsed="1"/>
    <col min="47" max="47" width="12" customWidth="1"/>
    <col min="48" max="48" width="3.140625" customWidth="1" collapsed="1"/>
    <col min="49" max="49" width="12" customWidth="1"/>
    <col min="50" max="50" width="3.140625" customWidth="1" collapsed="1"/>
    <col min="51" max="51" width="12" customWidth="1"/>
    <col min="52" max="52" width="3.140625" customWidth="1" collapsed="1"/>
    <col min="53" max="53" width="12" customWidth="1"/>
    <col min="54" max="54" width="3.140625" customWidth="1" collapsed="1"/>
    <col min="55" max="55" width="12" customWidth="1"/>
    <col min="56" max="56" width="3.140625" customWidth="1" collapsed="1"/>
    <col min="57" max="57" width="12" customWidth="1"/>
    <col min="58" max="58" width="3.140625" customWidth="1" collapsed="1"/>
    <col min="59" max="59" width="12" customWidth="1"/>
    <col min="60" max="60" width="3.140625" customWidth="1" collapsed="1"/>
    <col min="61" max="61" width="12.42578125" customWidth="1"/>
    <col min="62" max="62" width="3.140625" customWidth="1" collapsed="1"/>
    <col min="63" max="63" width="12" customWidth="1"/>
    <col min="64" max="64" width="3.140625" customWidth="1" collapsed="1"/>
    <col min="65" max="65" width="12" customWidth="1"/>
    <col min="66" max="66" width="3.140625" customWidth="1" collapsed="1"/>
    <col min="67" max="67" width="12" customWidth="1"/>
    <col min="68" max="68" width="3.140625" customWidth="1" collapsed="1"/>
    <col min="69" max="69" width="12" customWidth="1"/>
    <col min="70" max="70" width="3.140625" customWidth="1" collapsed="1"/>
    <col min="71" max="71" width="12" customWidth="1"/>
    <col min="72" max="72" width="3.140625" customWidth="1" collapsed="1"/>
    <col min="73" max="73" width="12" customWidth="1"/>
    <col min="74" max="74" width="3.140625" customWidth="1"/>
    <col min="75" max="75" width="12" customWidth="1"/>
    <col min="76" max="76" width="3.140625" customWidth="1" collapsed="1"/>
    <col min="77" max="77" width="12" customWidth="1"/>
    <col min="78" max="78" width="3.140625" customWidth="1" collapsed="1"/>
    <col min="79" max="79" width="11.42578125" customWidth="1"/>
    <col min="80" max="80" width="3.140625" customWidth="1" collapsed="1"/>
    <col min="81" max="81" width="11.42578125" customWidth="1"/>
    <col min="82" max="82" width="3.140625" customWidth="1" collapsed="1"/>
    <col min="83" max="83" width="11.42578125" customWidth="1"/>
    <col min="84" max="84" width="3.140625" customWidth="1"/>
    <col min="86" max="86" width="3.140625" customWidth="1"/>
    <col min="87" max="87" width="11.42578125" customWidth="1"/>
    <col min="88" max="88" width="3.140625" customWidth="1"/>
    <col min="89" max="89" width="11.42578125" customWidth="1"/>
    <col min="90" max="90" width="3.140625" customWidth="1"/>
    <col min="91" max="91" width="11.42578125" customWidth="1"/>
    <col min="92" max="92" width="3.140625" customWidth="1"/>
    <col min="93" max="93" width="11.42578125" customWidth="1"/>
    <col min="94" max="94" width="3.42578125" style="3" customWidth="1"/>
    <col min="95" max="95" width="11.42578125" customWidth="1"/>
    <col min="96" max="96" width="4.28515625" customWidth="1"/>
    <col min="97" max="97" width="13" style="3" customWidth="1"/>
  </cols>
  <sheetData>
    <row r="1" spans="1:97" x14ac:dyDescent="0.25">
      <c r="A1" s="33" t="s">
        <v>0</v>
      </c>
      <c r="B1" s="34"/>
      <c r="C1" s="191" t="str">
        <f>+TEXT(C2,"ddd")</f>
        <v>sáb</v>
      </c>
      <c r="D1" s="34"/>
      <c r="E1" s="191" t="str">
        <f>+TEXT(E2,"ddd")</f>
        <v>vie</v>
      </c>
      <c r="F1" s="34"/>
      <c r="G1" s="191" t="str">
        <f>+TEXT(G2,"ddd")</f>
        <v>jue</v>
      </c>
      <c r="H1" s="34"/>
      <c r="I1" s="191" t="str">
        <f>+TEXT(I2,"ddd")</f>
        <v>mié</v>
      </c>
      <c r="J1" s="34"/>
      <c r="K1" s="191" t="str">
        <f>+TEXT(K2,"ddd")</f>
        <v>mar</v>
      </c>
      <c r="L1" s="34"/>
      <c r="M1" s="191" t="str">
        <f>+TEXT(M2,"ddd")</f>
        <v>lun</v>
      </c>
      <c r="N1" s="34"/>
      <c r="O1" s="191" t="str">
        <f>+TEXT(O2,"ddd")</f>
        <v>dom</v>
      </c>
      <c r="P1" s="34"/>
      <c r="Q1" s="191" t="str">
        <f>+TEXT(Q2,"ddd")</f>
        <v>sáb</v>
      </c>
      <c r="R1" s="34"/>
      <c r="S1" s="191" t="str">
        <f>+TEXT(S2,"ddd")</f>
        <v>vie</v>
      </c>
      <c r="T1" s="34"/>
      <c r="U1" s="191" t="str">
        <f>+TEXT(U2,"ddd")</f>
        <v>jue</v>
      </c>
      <c r="V1" s="34"/>
      <c r="W1" s="191" t="str">
        <f>+TEXT(W2,"ddd")</f>
        <v>mié</v>
      </c>
      <c r="X1" s="34"/>
      <c r="Y1" s="191" t="str">
        <f>+TEXT(Y2,"ddd")</f>
        <v>mar</v>
      </c>
      <c r="Z1" s="34"/>
      <c r="AA1" s="191" t="str">
        <f>+TEXT(AA2,"ddd")</f>
        <v>lun</v>
      </c>
      <c r="AB1" s="34"/>
      <c r="AC1" s="191" t="str">
        <f>+TEXT(AC2,"ddd")</f>
        <v>dom</v>
      </c>
      <c r="AD1" s="34"/>
      <c r="AE1" s="191" t="str">
        <f>+TEXT(AE2,"ddd")</f>
        <v>sáb</v>
      </c>
      <c r="AF1" s="34"/>
      <c r="AG1" s="191" t="str">
        <f>+TEXT(AG2,"ddd")</f>
        <v>vie</v>
      </c>
      <c r="AH1" s="34"/>
      <c r="AI1" s="191" t="str">
        <f>+TEXT(AI2,"ddd")</f>
        <v>jue</v>
      </c>
      <c r="AJ1" s="34"/>
      <c r="AK1" s="191" t="str">
        <f>+TEXT(AK2,"ddd")</f>
        <v>mié</v>
      </c>
      <c r="AL1" s="34"/>
      <c r="AM1" s="191" t="str">
        <f>+TEXT(AM2,"ddd")</f>
        <v>mar</v>
      </c>
      <c r="AN1" s="34"/>
      <c r="AO1" s="191" t="str">
        <f>+TEXT(AO2,"ddd")</f>
        <v>lun</v>
      </c>
      <c r="AP1" s="34"/>
      <c r="AQ1" s="191" t="str">
        <f>+TEXT(AQ2,"ddd")</f>
        <v>dom</v>
      </c>
      <c r="AR1" s="34"/>
      <c r="AS1" s="191" t="str">
        <f>+TEXT(AS2,"ddd")</f>
        <v>sáb</v>
      </c>
      <c r="AT1" s="34"/>
      <c r="AU1" s="191" t="str">
        <f>+TEXT(AU2,"ddd")</f>
        <v>vie</v>
      </c>
      <c r="AV1" s="34"/>
      <c r="AW1" s="191" t="str">
        <f>+TEXT(AW2,"ddd")</f>
        <v>jue</v>
      </c>
      <c r="AX1" s="34"/>
      <c r="AY1" s="191" t="str">
        <f>+TEXT(AY2,"ddd")</f>
        <v>mié</v>
      </c>
      <c r="AZ1" s="34"/>
      <c r="BA1" s="191" t="str">
        <f>+TEXT(BA2,"ddd")</f>
        <v>mar</v>
      </c>
      <c r="BB1" s="34"/>
      <c r="BC1" s="191" t="str">
        <f>+TEXT(BC2,"ddd")</f>
        <v>lun</v>
      </c>
      <c r="BD1" s="34"/>
      <c r="BE1" s="191" t="str">
        <f>+TEXT(BE2,"ddd")</f>
        <v>dom</v>
      </c>
      <c r="BF1" s="34"/>
      <c r="BG1" s="191" t="str">
        <f>+TEXT(BG2,"ddd")</f>
        <v>sáb</v>
      </c>
      <c r="BH1" s="34"/>
      <c r="BI1" s="191" t="str">
        <f>+TEXT(BI2,"ddd")</f>
        <v>vie</v>
      </c>
      <c r="BJ1" s="34"/>
      <c r="BK1" s="191" t="str">
        <f>+TEXT(BK2,"ddd")</f>
        <v>jue</v>
      </c>
      <c r="BL1" s="34"/>
      <c r="BM1" s="191" t="str">
        <f>+TEXT(BM2,"ddd")</f>
        <v>mié</v>
      </c>
      <c r="BN1" s="34"/>
      <c r="BO1" s="191" t="str">
        <f>+TEXT(BO2,"ddd")</f>
        <v>mar</v>
      </c>
      <c r="BP1" s="34"/>
      <c r="BQ1" s="34" t="str">
        <f>+TEXT(BQ2,"ddd")</f>
        <v>lun</v>
      </c>
      <c r="BR1" s="34"/>
      <c r="BS1" s="111" t="str">
        <f>+TEXT(BS2,"ddd")</f>
        <v>dom</v>
      </c>
      <c r="BT1" s="34"/>
      <c r="BU1" s="34" t="str">
        <f>+TEXT(BU2,"ddd")</f>
        <v>sáb</v>
      </c>
      <c r="BW1" s="34" t="str">
        <f>+TEXT(BW2,"ddd")</f>
        <v>vie</v>
      </c>
      <c r="BX1" s="34"/>
      <c r="BY1" s="34" t="str">
        <f>+TEXT(BY2,"ddd")</f>
        <v>jue</v>
      </c>
      <c r="BZ1" s="34"/>
      <c r="CA1" s="111" t="str">
        <f>+TEXT(CA2,"ddd")</f>
        <v>mié</v>
      </c>
      <c r="CB1" s="34"/>
      <c r="CC1" s="34" t="str">
        <f>+TEXT(CC2,"ddd")</f>
        <v>mar</v>
      </c>
      <c r="CD1" s="34"/>
      <c r="CE1" s="34" t="str">
        <f>+TEXT(CE2,"ddd")</f>
        <v>lun</v>
      </c>
      <c r="CG1" s="34" t="str">
        <f>+TEXT(CG2,"ddd")</f>
        <v>dom</v>
      </c>
      <c r="CI1" s="34" t="str">
        <f>+TEXT(CI2,"ddd")</f>
        <v>sáb</v>
      </c>
      <c r="CK1" s="34" t="str">
        <f>+TEXT(CK2,"ddd")</f>
        <v>vie</v>
      </c>
      <c r="CM1" s="34" t="str">
        <f>+TEXT(CM2,"ddd")</f>
        <v>jue</v>
      </c>
      <c r="CN1" s="34"/>
      <c r="CO1" s="34" t="str">
        <f>+TEXT(CO2,"ddd")</f>
        <v>mié</v>
      </c>
      <c r="CP1" s="33"/>
      <c r="CQ1" s="34" t="str">
        <f>+TEXT(CQ2,"ddd")</f>
        <v>mar</v>
      </c>
      <c r="CS1" s="34" t="str">
        <f>+TEXT(CS2,"ddd")</f>
        <v>lun</v>
      </c>
    </row>
    <row r="2" spans="1:97" x14ac:dyDescent="0.25">
      <c r="A2" s="35" t="s">
        <v>130</v>
      </c>
      <c r="B2" s="36" t="s">
        <v>131</v>
      </c>
      <c r="C2" s="37">
        <f>+E2+1</f>
        <v>46123</v>
      </c>
      <c r="D2" s="36" t="s">
        <v>131</v>
      </c>
      <c r="E2" s="37">
        <f>+G2+1</f>
        <v>46122</v>
      </c>
      <c r="F2" s="36" t="s">
        <v>131</v>
      </c>
      <c r="G2" s="37">
        <f>+I2+1</f>
        <v>46121</v>
      </c>
      <c r="H2" s="36" t="s">
        <v>131</v>
      </c>
      <c r="I2" s="37">
        <f>+K2+1</f>
        <v>46120</v>
      </c>
      <c r="J2" s="36" t="s">
        <v>131</v>
      </c>
      <c r="K2" s="37">
        <f>+M2+1</f>
        <v>46119</v>
      </c>
      <c r="L2" s="36" t="s">
        <v>131</v>
      </c>
      <c r="M2" s="37">
        <f>+O2+1</f>
        <v>46118</v>
      </c>
      <c r="N2" s="36" t="s">
        <v>131</v>
      </c>
      <c r="O2" s="37">
        <f>+Q2+1</f>
        <v>46117</v>
      </c>
      <c r="P2" s="36" t="s">
        <v>131</v>
      </c>
      <c r="Q2" s="37">
        <f>+S2+1</f>
        <v>46116</v>
      </c>
      <c r="R2" s="36" t="s">
        <v>131</v>
      </c>
      <c r="S2" s="37">
        <f>+U2+1</f>
        <v>46115</v>
      </c>
      <c r="T2" s="36" t="s">
        <v>131</v>
      </c>
      <c r="U2" s="37">
        <f>+W2+1</f>
        <v>46114</v>
      </c>
      <c r="V2" s="36" t="s">
        <v>131</v>
      </c>
      <c r="W2" s="37">
        <f>+Y2+1</f>
        <v>46113</v>
      </c>
      <c r="X2" s="36" t="s">
        <v>131</v>
      </c>
      <c r="Y2" s="37">
        <f>+AA2+1</f>
        <v>46112</v>
      </c>
      <c r="Z2" s="36" t="s">
        <v>131</v>
      </c>
      <c r="AA2" s="37">
        <f>+AC2+1</f>
        <v>46111</v>
      </c>
      <c r="AB2" s="36" t="s">
        <v>131</v>
      </c>
      <c r="AC2" s="37">
        <f>+AE2+1</f>
        <v>46110</v>
      </c>
      <c r="AD2" s="36" t="s">
        <v>131</v>
      </c>
      <c r="AE2" s="37">
        <f>+AG2+1</f>
        <v>46109</v>
      </c>
      <c r="AF2" s="36" t="s">
        <v>131</v>
      </c>
      <c r="AG2" s="37">
        <f>+AI2+1</f>
        <v>46108</v>
      </c>
      <c r="AH2" s="36" t="s">
        <v>131</v>
      </c>
      <c r="AI2" s="37">
        <f>+AK2+1</f>
        <v>46107</v>
      </c>
      <c r="AJ2" s="36" t="s">
        <v>131</v>
      </c>
      <c r="AK2" s="37">
        <f>+AM2+1</f>
        <v>46106</v>
      </c>
      <c r="AL2" s="36" t="s">
        <v>131</v>
      </c>
      <c r="AM2" s="37">
        <f>+AO2+1</f>
        <v>46105</v>
      </c>
      <c r="AN2" s="36" t="s">
        <v>131</v>
      </c>
      <c r="AO2" s="37">
        <f>+AQ2+1</f>
        <v>46104</v>
      </c>
      <c r="AP2" s="36" t="s">
        <v>131</v>
      </c>
      <c r="AQ2" s="37">
        <f>+AS2+1</f>
        <v>46103</v>
      </c>
      <c r="AR2" s="36" t="s">
        <v>131</v>
      </c>
      <c r="AS2" s="37">
        <f>+AU2+1</f>
        <v>46102</v>
      </c>
      <c r="AT2" s="36" t="s">
        <v>131</v>
      </c>
      <c r="AU2" s="37">
        <f>+AW2+1</f>
        <v>46101</v>
      </c>
      <c r="AV2" s="36" t="s">
        <v>131</v>
      </c>
      <c r="AW2" s="37">
        <f>+AY2+1</f>
        <v>46100</v>
      </c>
      <c r="AX2" s="36" t="s">
        <v>131</v>
      </c>
      <c r="AY2" s="37">
        <f>+BA2+1</f>
        <v>46099</v>
      </c>
      <c r="AZ2" s="36" t="s">
        <v>131</v>
      </c>
      <c r="BA2" s="37">
        <f>+BC2+1</f>
        <v>46098</v>
      </c>
      <c r="BB2" s="36" t="s">
        <v>131</v>
      </c>
      <c r="BC2" s="37">
        <f>+BE2+1</f>
        <v>46097</v>
      </c>
      <c r="BD2" s="36" t="s">
        <v>131</v>
      </c>
      <c r="BE2" s="37">
        <v>46096</v>
      </c>
      <c r="BF2" s="36" t="s">
        <v>131</v>
      </c>
      <c r="BG2" s="37">
        <v>46095</v>
      </c>
      <c r="BH2" s="36" t="s">
        <v>131</v>
      </c>
      <c r="BI2" s="37">
        <v>46094</v>
      </c>
      <c r="BJ2" s="36" t="s">
        <v>131</v>
      </c>
      <c r="BK2" s="37">
        <v>46093</v>
      </c>
      <c r="BL2" s="36" t="s">
        <v>131</v>
      </c>
      <c r="BM2" s="37">
        <v>46092</v>
      </c>
      <c r="BN2" s="36" t="s">
        <v>131</v>
      </c>
      <c r="BO2" s="37">
        <v>46091</v>
      </c>
      <c r="BP2" s="36" t="s">
        <v>131</v>
      </c>
      <c r="BQ2" s="37">
        <v>46090</v>
      </c>
      <c r="BR2" s="36" t="s">
        <v>131</v>
      </c>
      <c r="BS2" s="37">
        <v>46089</v>
      </c>
      <c r="BT2" s="36" t="s">
        <v>131</v>
      </c>
      <c r="BU2" s="37">
        <v>46088</v>
      </c>
      <c r="BV2" s="36" t="s">
        <v>131</v>
      </c>
      <c r="BW2" s="37">
        <f>+BY2+1</f>
        <v>46087</v>
      </c>
      <c r="BX2" s="36" t="s">
        <v>131</v>
      </c>
      <c r="BY2" s="37">
        <v>46086</v>
      </c>
      <c r="BZ2" s="36" t="s">
        <v>131</v>
      </c>
      <c r="CA2" s="37">
        <v>46085</v>
      </c>
      <c r="CB2" s="36" t="s">
        <v>131</v>
      </c>
      <c r="CC2" s="37">
        <v>46084</v>
      </c>
      <c r="CD2" s="36" t="s">
        <v>131</v>
      </c>
      <c r="CE2" s="37">
        <v>46083</v>
      </c>
      <c r="CF2" s="36" t="s">
        <v>131</v>
      </c>
      <c r="CG2" s="37">
        <v>46082</v>
      </c>
      <c r="CH2" s="36" t="s">
        <v>131</v>
      </c>
      <c r="CI2" s="37">
        <v>46081</v>
      </c>
      <c r="CJ2" s="36" t="s">
        <v>131</v>
      </c>
      <c r="CK2" s="37">
        <v>46080</v>
      </c>
      <c r="CL2" s="36" t="s">
        <v>131</v>
      </c>
      <c r="CM2" s="37">
        <v>46079</v>
      </c>
      <c r="CN2" s="36" t="s">
        <v>131</v>
      </c>
      <c r="CO2" s="37">
        <v>46078</v>
      </c>
      <c r="CP2" s="36" t="s">
        <v>131</v>
      </c>
      <c r="CQ2" s="37">
        <v>46077</v>
      </c>
      <c r="CR2" s="36" t="s">
        <v>131</v>
      </c>
      <c r="CS2" s="37">
        <v>46076</v>
      </c>
    </row>
    <row r="3" spans="1:97" outlineLevel="1" x14ac:dyDescent="0.25">
      <c r="A3" s="20">
        <v>100000</v>
      </c>
      <c r="B3" s="1">
        <v>0</v>
      </c>
      <c r="C3" s="3">
        <f t="shared" ref="C3:C13" si="0">+$A3*B3</f>
        <v>0</v>
      </c>
      <c r="D3" s="1">
        <v>0</v>
      </c>
      <c r="E3" s="286" t="s">
        <v>643</v>
      </c>
      <c r="F3" s="1">
        <v>0</v>
      </c>
      <c r="G3" s="288" t="s">
        <v>642</v>
      </c>
      <c r="H3" s="1">
        <v>0</v>
      </c>
      <c r="I3" s="288" t="s">
        <v>642</v>
      </c>
      <c r="J3" s="1">
        <v>0</v>
      </c>
      <c r="K3" s="288" t="s">
        <v>642</v>
      </c>
      <c r="L3" s="1">
        <v>0</v>
      </c>
      <c r="M3" s="286" t="s">
        <v>643</v>
      </c>
      <c r="N3" s="1">
        <v>0</v>
      </c>
      <c r="O3" s="286" t="s">
        <v>697</v>
      </c>
      <c r="P3" s="1">
        <v>0</v>
      </c>
      <c r="Q3" s="286" t="s">
        <v>696</v>
      </c>
      <c r="R3" s="1">
        <v>0</v>
      </c>
      <c r="S3" s="286" t="s">
        <v>695</v>
      </c>
      <c r="T3" s="1">
        <v>0</v>
      </c>
      <c r="U3" s="286" t="s">
        <v>688</v>
      </c>
      <c r="V3" s="1">
        <v>0</v>
      </c>
      <c r="W3" s="3">
        <f t="shared" ref="W3:W13" si="1">+$A3*V3</f>
        <v>0</v>
      </c>
      <c r="X3" s="1">
        <v>0</v>
      </c>
      <c r="Y3" s="290" t="s">
        <v>642</v>
      </c>
      <c r="Z3" s="1">
        <v>0</v>
      </c>
      <c r="AA3" s="290" t="s">
        <v>642</v>
      </c>
      <c r="AB3" s="1">
        <v>0</v>
      </c>
      <c r="AC3" s="3">
        <f t="shared" ref="AC3:AC13" si="2">+$A3*AB3</f>
        <v>0</v>
      </c>
      <c r="AD3" s="1">
        <v>0</v>
      </c>
      <c r="AE3" s="3">
        <f t="shared" ref="AE3:AE13" si="3">+$A3*AD3</f>
        <v>0</v>
      </c>
      <c r="AF3" s="1">
        <v>0</v>
      </c>
      <c r="AG3" s="3">
        <f t="shared" ref="AG3:AG13" si="4">+$A3*AF3</f>
        <v>0</v>
      </c>
      <c r="AH3" s="1">
        <v>0</v>
      </c>
      <c r="AI3" s="290" t="s">
        <v>642</v>
      </c>
      <c r="AJ3" s="1">
        <v>0</v>
      </c>
      <c r="AK3" s="290" t="s">
        <v>642</v>
      </c>
      <c r="AL3" s="1">
        <v>0</v>
      </c>
      <c r="AM3" s="3">
        <f t="shared" ref="AM3:AM13" si="5">+$A3*AL3</f>
        <v>0</v>
      </c>
      <c r="AN3" s="1">
        <v>0</v>
      </c>
      <c r="AO3" s="292" t="s">
        <v>643</v>
      </c>
      <c r="AP3" s="1">
        <v>0</v>
      </c>
      <c r="AQ3" s="292" t="s">
        <v>643</v>
      </c>
      <c r="AR3" s="1">
        <v>0</v>
      </c>
      <c r="AS3" s="3">
        <f t="shared" ref="AS3:AS13" si="6">+$A3*AR3</f>
        <v>0</v>
      </c>
      <c r="AT3" s="1">
        <v>0</v>
      </c>
      <c r="AU3" s="3">
        <f t="shared" ref="AU3:AU13" si="7">+$A3*AT3</f>
        <v>0</v>
      </c>
      <c r="AV3" s="1">
        <v>1</v>
      </c>
      <c r="AW3" s="3">
        <f t="shared" ref="AW3:AW13" si="8">+$A3*AV3</f>
        <v>100000</v>
      </c>
      <c r="AX3" s="1">
        <v>0</v>
      </c>
      <c r="AY3" s="3">
        <f t="shared" ref="AY3:AY13" si="9">+$A3*AX3</f>
        <v>0</v>
      </c>
      <c r="AZ3" s="1">
        <v>0</v>
      </c>
      <c r="BA3" s="3">
        <f t="shared" ref="BA3:BA13" si="10">+$A3*AZ3</f>
        <v>0</v>
      </c>
      <c r="BB3" s="1"/>
      <c r="BC3" s="290" t="s">
        <v>642</v>
      </c>
      <c r="BD3" s="1">
        <v>0</v>
      </c>
      <c r="BE3" s="3">
        <f t="shared" ref="BE3:BE13" si="11">+$A3*BD3</f>
        <v>0</v>
      </c>
      <c r="BF3" s="1">
        <v>0</v>
      </c>
      <c r="BG3" s="3">
        <f t="shared" ref="BG3:BG13" si="12">+$A3*BF3</f>
        <v>0</v>
      </c>
      <c r="BH3" s="1"/>
      <c r="BI3" s="290" t="s">
        <v>642</v>
      </c>
      <c r="BJ3" s="1">
        <v>0</v>
      </c>
      <c r="BK3" s="3">
        <f t="shared" ref="BK3:BK13" si="13">+$A3*BJ3</f>
        <v>0</v>
      </c>
      <c r="BL3" s="1">
        <v>0</v>
      </c>
      <c r="BM3" s="3">
        <f t="shared" ref="BM3:BM13" si="14">+$A3*BL3</f>
        <v>0</v>
      </c>
      <c r="BN3" s="1">
        <v>0</v>
      </c>
      <c r="BO3" s="3">
        <f t="shared" ref="BO3:BO13" si="15">+$A3*BN3</f>
        <v>0</v>
      </c>
      <c r="BP3" s="1">
        <v>2</v>
      </c>
      <c r="BQ3" s="6">
        <f t="shared" ref="BQ3:BQ13" si="16">+$A3*BP3</f>
        <v>200000</v>
      </c>
      <c r="BR3" s="1">
        <v>0</v>
      </c>
      <c r="BS3" s="3">
        <v>0</v>
      </c>
      <c r="BT3" s="1">
        <v>0</v>
      </c>
      <c r="BU3" s="3">
        <v>0</v>
      </c>
      <c r="BV3" s="19"/>
      <c r="BW3" s="292" t="s">
        <v>643</v>
      </c>
      <c r="BX3" s="1">
        <v>0</v>
      </c>
      <c r="BY3" s="3">
        <v>0</v>
      </c>
      <c r="BZ3" s="19">
        <v>0</v>
      </c>
      <c r="CA3" s="3">
        <v>0</v>
      </c>
      <c r="CB3" s="19">
        <v>0</v>
      </c>
      <c r="CC3" s="290" t="s">
        <v>642</v>
      </c>
      <c r="CD3" s="19">
        <v>0</v>
      </c>
      <c r="CE3" s="3">
        <f t="shared" ref="CE3:CE13" si="17">+$A3*CD3</f>
        <v>0</v>
      </c>
      <c r="CF3" s="19"/>
      <c r="CG3" s="292" t="s">
        <v>643</v>
      </c>
      <c r="CH3" s="19"/>
      <c r="CI3" s="3">
        <f t="shared" ref="CI3:CI13" si="18">+$A3*CH3</f>
        <v>0</v>
      </c>
      <c r="CJ3" s="19">
        <v>1</v>
      </c>
      <c r="CK3" s="23">
        <f t="shared" ref="CK3:CK13" si="19">+$A3*CJ3</f>
        <v>100000</v>
      </c>
      <c r="CL3" s="19">
        <v>0</v>
      </c>
      <c r="CM3" s="23">
        <f t="shared" ref="CM3:CM13" si="20">+$A3*CL3</f>
        <v>0</v>
      </c>
      <c r="CN3" s="19">
        <v>0</v>
      </c>
      <c r="CO3" s="290" t="s">
        <v>642</v>
      </c>
      <c r="CP3" s="19">
        <v>0</v>
      </c>
      <c r="CQ3" s="6">
        <f t="shared" ref="CQ3:CQ13" si="21">+$A3*CP3</f>
        <v>0</v>
      </c>
      <c r="CR3" s="19">
        <v>0</v>
      </c>
      <c r="CS3" s="3">
        <f>+$A3*CR3</f>
        <v>0</v>
      </c>
    </row>
    <row r="4" spans="1:97" outlineLevel="1" x14ac:dyDescent="0.25">
      <c r="A4" s="20">
        <v>50000</v>
      </c>
      <c r="B4" s="1">
        <v>3</v>
      </c>
      <c r="C4" s="3">
        <f t="shared" si="0"/>
        <v>150000</v>
      </c>
      <c r="D4" s="1">
        <v>0</v>
      </c>
      <c r="E4" s="286"/>
      <c r="F4" s="1">
        <v>0</v>
      </c>
      <c r="G4" s="288"/>
      <c r="H4" s="1">
        <v>0</v>
      </c>
      <c r="I4" s="288"/>
      <c r="J4" s="1">
        <v>0</v>
      </c>
      <c r="K4" s="288"/>
      <c r="L4" s="1">
        <v>0</v>
      </c>
      <c r="M4" s="286"/>
      <c r="N4" s="1">
        <v>0</v>
      </c>
      <c r="O4" s="286"/>
      <c r="P4" s="1">
        <v>0</v>
      </c>
      <c r="Q4" s="286"/>
      <c r="R4" s="1">
        <v>0</v>
      </c>
      <c r="S4" s="286"/>
      <c r="T4" s="1">
        <v>0</v>
      </c>
      <c r="U4" s="286"/>
      <c r="V4" s="1">
        <v>0</v>
      </c>
      <c r="W4" s="3">
        <f t="shared" si="1"/>
        <v>0</v>
      </c>
      <c r="X4" s="1">
        <v>0</v>
      </c>
      <c r="Y4" s="290"/>
      <c r="Z4" s="1">
        <v>0</v>
      </c>
      <c r="AA4" s="290"/>
      <c r="AB4" s="1">
        <v>0</v>
      </c>
      <c r="AC4" s="3">
        <f t="shared" si="2"/>
        <v>0</v>
      </c>
      <c r="AD4" s="1">
        <v>3</v>
      </c>
      <c r="AE4" s="3">
        <f t="shared" si="3"/>
        <v>150000</v>
      </c>
      <c r="AF4" s="1">
        <v>0</v>
      </c>
      <c r="AG4" s="3">
        <f t="shared" si="4"/>
        <v>0</v>
      </c>
      <c r="AH4" s="1">
        <v>0</v>
      </c>
      <c r="AI4" s="290"/>
      <c r="AJ4" s="1">
        <v>0</v>
      </c>
      <c r="AK4" s="290"/>
      <c r="AL4" s="1">
        <v>0</v>
      </c>
      <c r="AM4" s="3">
        <f t="shared" si="5"/>
        <v>0</v>
      </c>
      <c r="AN4" s="1">
        <v>0</v>
      </c>
      <c r="AO4" s="292"/>
      <c r="AP4" s="1">
        <v>0</v>
      </c>
      <c r="AQ4" s="292"/>
      <c r="AR4" s="1">
        <v>0</v>
      </c>
      <c r="AS4" s="3">
        <f t="shared" si="6"/>
        <v>0</v>
      </c>
      <c r="AT4" s="1">
        <v>0</v>
      </c>
      <c r="AU4" s="3">
        <f t="shared" si="7"/>
        <v>0</v>
      </c>
      <c r="AV4" s="1">
        <v>2</v>
      </c>
      <c r="AW4" s="3">
        <f t="shared" si="8"/>
        <v>100000</v>
      </c>
      <c r="AX4" s="1">
        <v>0</v>
      </c>
      <c r="AY4" s="3">
        <f t="shared" si="9"/>
        <v>0</v>
      </c>
      <c r="AZ4" s="1">
        <v>0</v>
      </c>
      <c r="BA4" s="3">
        <f t="shared" si="10"/>
        <v>0</v>
      </c>
      <c r="BB4" s="1"/>
      <c r="BC4" s="290"/>
      <c r="BD4" s="1">
        <v>0</v>
      </c>
      <c r="BE4" s="3">
        <f t="shared" si="11"/>
        <v>0</v>
      </c>
      <c r="BF4" s="1">
        <v>0</v>
      </c>
      <c r="BG4" s="3">
        <f t="shared" si="12"/>
        <v>0</v>
      </c>
      <c r="BH4" s="1"/>
      <c r="BI4" s="290"/>
      <c r="BJ4" s="1">
        <v>0</v>
      </c>
      <c r="BK4" s="3">
        <f t="shared" si="13"/>
        <v>0</v>
      </c>
      <c r="BL4" s="1">
        <v>0</v>
      </c>
      <c r="BM4" s="3">
        <f t="shared" si="14"/>
        <v>0</v>
      </c>
      <c r="BN4" s="1">
        <v>1</v>
      </c>
      <c r="BO4" s="3">
        <f t="shared" si="15"/>
        <v>50000</v>
      </c>
      <c r="BP4" s="1">
        <v>0</v>
      </c>
      <c r="BQ4" s="6">
        <f t="shared" si="16"/>
        <v>0</v>
      </c>
      <c r="BR4" s="1">
        <v>1</v>
      </c>
      <c r="BS4" s="3">
        <f t="shared" ref="BS4:BS13" si="22">+$A4*BR4</f>
        <v>50000</v>
      </c>
      <c r="BT4" s="1">
        <v>0</v>
      </c>
      <c r="BU4" s="3">
        <f t="shared" ref="BU4:BU13" si="23">+$A4*BT4</f>
        <v>0</v>
      </c>
      <c r="BV4" s="19">
        <v>0</v>
      </c>
      <c r="BW4" s="292"/>
      <c r="BX4" s="1">
        <v>1</v>
      </c>
      <c r="BY4" s="3">
        <f t="shared" ref="BY4:BY13" si="24">+$A4*BX4</f>
        <v>50000</v>
      </c>
      <c r="BZ4" s="19">
        <v>0</v>
      </c>
      <c r="CA4" s="3">
        <f t="shared" ref="CA4:CA13" si="25">+$A4*BZ4</f>
        <v>0</v>
      </c>
      <c r="CB4" s="19">
        <v>1</v>
      </c>
      <c r="CC4" s="290"/>
      <c r="CD4" s="19">
        <v>1</v>
      </c>
      <c r="CE4" s="3">
        <f t="shared" si="17"/>
        <v>50000</v>
      </c>
      <c r="CF4" s="19">
        <v>0</v>
      </c>
      <c r="CG4" s="292"/>
      <c r="CH4" s="19">
        <v>0</v>
      </c>
      <c r="CI4" s="3">
        <f t="shared" si="18"/>
        <v>0</v>
      </c>
      <c r="CJ4" s="19">
        <v>2</v>
      </c>
      <c r="CK4" s="23">
        <f t="shared" si="19"/>
        <v>100000</v>
      </c>
      <c r="CL4" s="19">
        <v>0</v>
      </c>
      <c r="CM4" s="23">
        <f t="shared" si="20"/>
        <v>0</v>
      </c>
      <c r="CN4" s="19">
        <v>1</v>
      </c>
      <c r="CO4" s="290"/>
      <c r="CP4" s="19">
        <v>1</v>
      </c>
      <c r="CQ4" s="6">
        <f t="shared" si="21"/>
        <v>50000</v>
      </c>
      <c r="CR4" s="19">
        <v>1</v>
      </c>
      <c r="CS4" s="3">
        <f t="shared" ref="CS4:CS13" si="26">+A4*CR4</f>
        <v>50000</v>
      </c>
    </row>
    <row r="5" spans="1:97" outlineLevel="1" x14ac:dyDescent="0.25">
      <c r="A5" s="20">
        <v>20000</v>
      </c>
      <c r="B5" s="1">
        <v>4</v>
      </c>
      <c r="C5" s="3">
        <f t="shared" si="0"/>
        <v>80000</v>
      </c>
      <c r="D5" s="1">
        <v>0</v>
      </c>
      <c r="E5" s="286"/>
      <c r="F5" s="1">
        <v>0</v>
      </c>
      <c r="G5" s="288"/>
      <c r="H5" s="1">
        <v>0</v>
      </c>
      <c r="I5" s="288"/>
      <c r="J5" s="1">
        <v>0</v>
      </c>
      <c r="K5" s="288"/>
      <c r="L5" s="1">
        <v>0</v>
      </c>
      <c r="M5" s="286"/>
      <c r="N5" s="1">
        <v>0</v>
      </c>
      <c r="O5" s="286"/>
      <c r="P5" s="1">
        <v>0</v>
      </c>
      <c r="Q5" s="286"/>
      <c r="R5" s="1">
        <v>0</v>
      </c>
      <c r="S5" s="286"/>
      <c r="T5" s="1">
        <v>0</v>
      </c>
      <c r="U5" s="286"/>
      <c r="V5" s="1">
        <v>0</v>
      </c>
      <c r="W5" s="3">
        <f t="shared" si="1"/>
        <v>0</v>
      </c>
      <c r="X5" s="1">
        <v>0</v>
      </c>
      <c r="Y5" s="290"/>
      <c r="Z5" s="1">
        <v>0</v>
      </c>
      <c r="AA5" s="290"/>
      <c r="AB5" s="1">
        <v>2</v>
      </c>
      <c r="AC5" s="3">
        <f t="shared" si="2"/>
        <v>40000</v>
      </c>
      <c r="AD5" s="1">
        <v>6</v>
      </c>
      <c r="AE5" s="3">
        <f t="shared" si="3"/>
        <v>120000</v>
      </c>
      <c r="AF5" s="1">
        <v>0</v>
      </c>
      <c r="AG5" s="3">
        <f t="shared" si="4"/>
        <v>0</v>
      </c>
      <c r="AH5" s="1">
        <v>0</v>
      </c>
      <c r="AI5" s="290"/>
      <c r="AJ5" s="1">
        <v>0</v>
      </c>
      <c r="AK5" s="290"/>
      <c r="AL5" s="1">
        <v>4</v>
      </c>
      <c r="AM5" s="3">
        <f t="shared" si="5"/>
        <v>80000</v>
      </c>
      <c r="AN5" s="1">
        <v>0</v>
      </c>
      <c r="AO5" s="292"/>
      <c r="AP5" s="1">
        <v>0</v>
      </c>
      <c r="AQ5" s="292"/>
      <c r="AR5" s="1">
        <v>3</v>
      </c>
      <c r="AS5" s="3">
        <f t="shared" si="6"/>
        <v>60000</v>
      </c>
      <c r="AT5" s="1">
        <v>0</v>
      </c>
      <c r="AU5" s="3">
        <f t="shared" si="7"/>
        <v>0</v>
      </c>
      <c r="AV5" s="1">
        <v>0</v>
      </c>
      <c r="AW5" s="3">
        <f t="shared" si="8"/>
        <v>0</v>
      </c>
      <c r="AX5" s="1">
        <v>0</v>
      </c>
      <c r="AY5" s="3">
        <f t="shared" si="9"/>
        <v>0</v>
      </c>
      <c r="AZ5" s="1">
        <v>0</v>
      </c>
      <c r="BA5" s="3">
        <f t="shared" si="10"/>
        <v>0</v>
      </c>
      <c r="BB5" s="1"/>
      <c r="BC5" s="290"/>
      <c r="BD5" s="1">
        <v>0</v>
      </c>
      <c r="BE5" s="3">
        <f t="shared" si="11"/>
        <v>0</v>
      </c>
      <c r="BF5" s="1">
        <v>2</v>
      </c>
      <c r="BG5" s="3">
        <f t="shared" si="12"/>
        <v>40000</v>
      </c>
      <c r="BH5" s="1"/>
      <c r="BI5" s="290"/>
      <c r="BJ5" s="1">
        <v>0</v>
      </c>
      <c r="BK5" s="3">
        <f t="shared" si="13"/>
        <v>0</v>
      </c>
      <c r="BL5" s="1">
        <v>0</v>
      </c>
      <c r="BM5" s="3">
        <f t="shared" si="14"/>
        <v>0</v>
      </c>
      <c r="BN5" s="1">
        <v>0</v>
      </c>
      <c r="BO5" s="3">
        <f t="shared" si="15"/>
        <v>0</v>
      </c>
      <c r="BP5" s="1">
        <v>0</v>
      </c>
      <c r="BQ5" s="6">
        <f t="shared" si="16"/>
        <v>0</v>
      </c>
      <c r="BR5" s="1">
        <v>1</v>
      </c>
      <c r="BS5" s="3">
        <f t="shared" si="22"/>
        <v>20000</v>
      </c>
      <c r="BT5" s="1">
        <v>0</v>
      </c>
      <c r="BU5" s="3">
        <f t="shared" si="23"/>
        <v>0</v>
      </c>
      <c r="BV5" s="19">
        <v>0</v>
      </c>
      <c r="BW5" s="292"/>
      <c r="BX5" s="1">
        <v>0</v>
      </c>
      <c r="BY5" s="3">
        <f t="shared" si="24"/>
        <v>0</v>
      </c>
      <c r="BZ5" s="19">
        <v>0</v>
      </c>
      <c r="CA5" s="3">
        <f t="shared" si="25"/>
        <v>0</v>
      </c>
      <c r="CB5" s="19">
        <v>1</v>
      </c>
      <c r="CC5" s="290"/>
      <c r="CD5" s="19">
        <v>1</v>
      </c>
      <c r="CE5" s="3">
        <f t="shared" si="17"/>
        <v>20000</v>
      </c>
      <c r="CF5" s="19">
        <v>0</v>
      </c>
      <c r="CG5" s="292"/>
      <c r="CH5" s="19">
        <v>0</v>
      </c>
      <c r="CI5" s="3">
        <f t="shared" si="18"/>
        <v>0</v>
      </c>
      <c r="CJ5" s="19"/>
      <c r="CK5" s="23">
        <f t="shared" si="19"/>
        <v>0</v>
      </c>
      <c r="CL5" s="19">
        <v>4</v>
      </c>
      <c r="CM5" s="23">
        <f t="shared" si="20"/>
        <v>80000</v>
      </c>
      <c r="CN5" s="19">
        <v>5</v>
      </c>
      <c r="CO5" s="290"/>
      <c r="CP5" s="19">
        <v>5</v>
      </c>
      <c r="CQ5" s="6">
        <f t="shared" si="21"/>
        <v>100000</v>
      </c>
      <c r="CR5" s="19">
        <v>4</v>
      </c>
      <c r="CS5" s="3">
        <f t="shared" si="26"/>
        <v>80000</v>
      </c>
    </row>
    <row r="6" spans="1:97" outlineLevel="1" x14ac:dyDescent="0.25">
      <c r="A6" s="20">
        <v>10000</v>
      </c>
      <c r="B6" s="1">
        <v>4</v>
      </c>
      <c r="C6" s="3">
        <f t="shared" si="0"/>
        <v>40000</v>
      </c>
      <c r="D6" s="1">
        <v>0</v>
      </c>
      <c r="E6" s="286"/>
      <c r="F6" s="1">
        <v>0</v>
      </c>
      <c r="G6" s="288"/>
      <c r="H6" s="1">
        <v>0</v>
      </c>
      <c r="I6" s="288"/>
      <c r="J6" s="1">
        <v>0</v>
      </c>
      <c r="K6" s="288"/>
      <c r="L6" s="1">
        <v>0</v>
      </c>
      <c r="M6" s="286"/>
      <c r="N6" s="1">
        <v>0</v>
      </c>
      <c r="O6" s="286"/>
      <c r="P6" s="1">
        <v>0</v>
      </c>
      <c r="Q6" s="286"/>
      <c r="R6" s="1">
        <v>0</v>
      </c>
      <c r="S6" s="286"/>
      <c r="T6" s="1">
        <v>0</v>
      </c>
      <c r="U6" s="286"/>
      <c r="V6" s="1">
        <v>0</v>
      </c>
      <c r="W6" s="3">
        <f t="shared" si="1"/>
        <v>0</v>
      </c>
      <c r="X6" s="1">
        <v>0</v>
      </c>
      <c r="Y6" s="290"/>
      <c r="Z6" s="1">
        <v>0</v>
      </c>
      <c r="AA6" s="290"/>
      <c r="AB6" s="1">
        <v>5</v>
      </c>
      <c r="AC6" s="3">
        <f t="shared" si="2"/>
        <v>50000</v>
      </c>
      <c r="AD6" s="1">
        <v>7</v>
      </c>
      <c r="AE6" s="3">
        <f t="shared" si="3"/>
        <v>70000</v>
      </c>
      <c r="AF6" s="1">
        <v>0</v>
      </c>
      <c r="AG6" s="3">
        <f t="shared" si="4"/>
        <v>0</v>
      </c>
      <c r="AH6" s="1">
        <v>0</v>
      </c>
      <c r="AI6" s="290"/>
      <c r="AJ6" s="1">
        <v>0</v>
      </c>
      <c r="AK6" s="290"/>
      <c r="AL6" s="1">
        <v>6</v>
      </c>
      <c r="AM6" s="3">
        <f t="shared" si="5"/>
        <v>60000</v>
      </c>
      <c r="AN6" s="1">
        <v>0</v>
      </c>
      <c r="AO6" s="292"/>
      <c r="AP6" s="1">
        <v>0</v>
      </c>
      <c r="AQ6" s="292"/>
      <c r="AR6" s="1">
        <v>0</v>
      </c>
      <c r="AS6" s="3">
        <f t="shared" si="6"/>
        <v>0</v>
      </c>
      <c r="AT6" s="1">
        <v>0</v>
      </c>
      <c r="AU6" s="3">
        <f t="shared" si="7"/>
        <v>0</v>
      </c>
      <c r="AV6" s="1">
        <v>1</v>
      </c>
      <c r="AW6" s="3">
        <f t="shared" si="8"/>
        <v>10000</v>
      </c>
      <c r="AX6" s="1">
        <v>5</v>
      </c>
      <c r="AY6" s="3">
        <f t="shared" si="9"/>
        <v>50000</v>
      </c>
      <c r="AZ6" s="1">
        <v>4</v>
      </c>
      <c r="BA6" s="3">
        <f t="shared" si="10"/>
        <v>40000</v>
      </c>
      <c r="BB6" s="1"/>
      <c r="BC6" s="290"/>
      <c r="BD6" s="1">
        <v>0</v>
      </c>
      <c r="BE6" s="3">
        <f t="shared" si="11"/>
        <v>0</v>
      </c>
      <c r="BF6" s="1">
        <v>4</v>
      </c>
      <c r="BG6" s="3">
        <f t="shared" si="12"/>
        <v>40000</v>
      </c>
      <c r="BH6" s="1"/>
      <c r="BI6" s="290"/>
      <c r="BJ6" s="1">
        <v>1</v>
      </c>
      <c r="BK6" s="3">
        <f t="shared" si="13"/>
        <v>10000</v>
      </c>
      <c r="BL6" s="1">
        <v>0</v>
      </c>
      <c r="BM6" s="3">
        <f t="shared" si="14"/>
        <v>0</v>
      </c>
      <c r="BN6" s="1">
        <v>1</v>
      </c>
      <c r="BO6" s="3">
        <f t="shared" si="15"/>
        <v>10000</v>
      </c>
      <c r="BP6" s="1">
        <v>2</v>
      </c>
      <c r="BQ6" s="6">
        <f t="shared" si="16"/>
        <v>20000</v>
      </c>
      <c r="BR6" s="1">
        <v>1</v>
      </c>
      <c r="BS6" s="3">
        <f t="shared" si="22"/>
        <v>10000</v>
      </c>
      <c r="BT6" s="1">
        <v>1</v>
      </c>
      <c r="BU6" s="3">
        <f t="shared" si="23"/>
        <v>10000</v>
      </c>
      <c r="BV6" s="19">
        <v>0</v>
      </c>
      <c r="BW6" s="292"/>
      <c r="BX6" s="1">
        <v>2</v>
      </c>
      <c r="BY6" s="3">
        <f t="shared" si="24"/>
        <v>20000</v>
      </c>
      <c r="BZ6" s="19">
        <v>4</v>
      </c>
      <c r="CA6" s="3">
        <f t="shared" si="25"/>
        <v>40000</v>
      </c>
      <c r="CB6" s="19">
        <v>4</v>
      </c>
      <c r="CC6" s="290"/>
      <c r="CD6" s="19">
        <v>4</v>
      </c>
      <c r="CE6" s="3">
        <f t="shared" si="17"/>
        <v>40000</v>
      </c>
      <c r="CF6" s="19">
        <v>0</v>
      </c>
      <c r="CG6" s="292"/>
      <c r="CH6" s="19">
        <v>5</v>
      </c>
      <c r="CI6" s="3">
        <f t="shared" si="18"/>
        <v>50000</v>
      </c>
      <c r="CJ6" s="19">
        <v>1</v>
      </c>
      <c r="CK6" s="23">
        <f t="shared" si="19"/>
        <v>10000</v>
      </c>
      <c r="CL6" s="19">
        <v>1</v>
      </c>
      <c r="CM6" s="23">
        <f t="shared" si="20"/>
        <v>10000</v>
      </c>
      <c r="CN6" s="19">
        <v>2</v>
      </c>
      <c r="CO6" s="290"/>
      <c r="CP6" s="19">
        <v>2</v>
      </c>
      <c r="CQ6" s="6">
        <f t="shared" si="21"/>
        <v>20000</v>
      </c>
      <c r="CR6" s="19">
        <v>2</v>
      </c>
      <c r="CS6" s="3">
        <f t="shared" si="26"/>
        <v>20000</v>
      </c>
    </row>
    <row r="7" spans="1:97" outlineLevel="1" x14ac:dyDescent="0.25">
      <c r="A7" s="20">
        <v>5000</v>
      </c>
      <c r="B7" s="1">
        <v>5</v>
      </c>
      <c r="C7" s="3">
        <f t="shared" si="0"/>
        <v>25000</v>
      </c>
      <c r="D7" s="1">
        <v>0</v>
      </c>
      <c r="E7" s="286"/>
      <c r="F7" s="1">
        <v>0</v>
      </c>
      <c r="G7" s="288"/>
      <c r="H7" s="1">
        <v>0</v>
      </c>
      <c r="I7" s="288"/>
      <c r="J7" s="1">
        <v>0</v>
      </c>
      <c r="K7" s="288"/>
      <c r="L7" s="1">
        <v>0</v>
      </c>
      <c r="M7" s="286"/>
      <c r="N7" s="1">
        <v>0</v>
      </c>
      <c r="O7" s="286"/>
      <c r="P7" s="1">
        <v>0</v>
      </c>
      <c r="Q7" s="286"/>
      <c r="R7" s="1">
        <v>0</v>
      </c>
      <c r="S7" s="286"/>
      <c r="T7" s="1">
        <v>0</v>
      </c>
      <c r="U7" s="286"/>
      <c r="V7" s="1">
        <v>0</v>
      </c>
      <c r="W7" s="3">
        <f t="shared" si="1"/>
        <v>0</v>
      </c>
      <c r="X7" s="1">
        <v>0</v>
      </c>
      <c r="Y7" s="290"/>
      <c r="Z7" s="1">
        <v>0</v>
      </c>
      <c r="AA7" s="290"/>
      <c r="AB7" s="1">
        <v>6</v>
      </c>
      <c r="AC7" s="3">
        <f t="shared" si="2"/>
        <v>30000</v>
      </c>
      <c r="AD7" s="1">
        <v>6</v>
      </c>
      <c r="AE7" s="3">
        <f t="shared" si="3"/>
        <v>30000</v>
      </c>
      <c r="AF7" s="1">
        <v>0</v>
      </c>
      <c r="AG7" s="3">
        <f t="shared" si="4"/>
        <v>0</v>
      </c>
      <c r="AH7" s="1">
        <v>0</v>
      </c>
      <c r="AI7" s="290"/>
      <c r="AJ7" s="1">
        <v>0</v>
      </c>
      <c r="AK7" s="290"/>
      <c r="AL7" s="1">
        <v>1</v>
      </c>
      <c r="AM7" s="3">
        <f t="shared" si="5"/>
        <v>5000</v>
      </c>
      <c r="AN7" s="1">
        <v>0</v>
      </c>
      <c r="AO7" s="292"/>
      <c r="AP7" s="1">
        <v>0</v>
      </c>
      <c r="AQ7" s="292"/>
      <c r="AR7" s="1">
        <v>3</v>
      </c>
      <c r="AS7" s="3">
        <f t="shared" si="6"/>
        <v>15000</v>
      </c>
      <c r="AT7" s="1">
        <v>6</v>
      </c>
      <c r="AU7" s="3">
        <f t="shared" si="7"/>
        <v>30000</v>
      </c>
      <c r="AV7" s="1">
        <v>8</v>
      </c>
      <c r="AW7" s="3">
        <f t="shared" si="8"/>
        <v>40000</v>
      </c>
      <c r="AX7" s="1">
        <v>10</v>
      </c>
      <c r="AY7" s="3">
        <f t="shared" si="9"/>
        <v>50000</v>
      </c>
      <c r="AZ7" s="1">
        <v>3</v>
      </c>
      <c r="BA7" s="3">
        <f t="shared" si="10"/>
        <v>15000</v>
      </c>
      <c r="BB7" s="1"/>
      <c r="BC7" s="290"/>
      <c r="BD7" s="1">
        <v>3</v>
      </c>
      <c r="BE7" s="3">
        <f t="shared" si="11"/>
        <v>15000</v>
      </c>
      <c r="BF7" s="1">
        <v>8</v>
      </c>
      <c r="BG7" s="3">
        <f t="shared" si="12"/>
        <v>40000</v>
      </c>
      <c r="BH7" s="1"/>
      <c r="BI7" s="290"/>
      <c r="BJ7" s="1">
        <v>3</v>
      </c>
      <c r="BK7" s="3">
        <f t="shared" si="13"/>
        <v>15000</v>
      </c>
      <c r="BL7" s="1">
        <v>5</v>
      </c>
      <c r="BM7" s="3">
        <f t="shared" si="14"/>
        <v>25000</v>
      </c>
      <c r="BN7" s="1">
        <v>3</v>
      </c>
      <c r="BO7" s="3">
        <f t="shared" si="15"/>
        <v>15000</v>
      </c>
      <c r="BP7" s="1">
        <v>3</v>
      </c>
      <c r="BQ7" s="6">
        <f t="shared" si="16"/>
        <v>15000</v>
      </c>
      <c r="BR7" s="1">
        <v>0</v>
      </c>
      <c r="BS7" s="3">
        <f t="shared" si="22"/>
        <v>0</v>
      </c>
      <c r="BT7" s="1">
        <v>0</v>
      </c>
      <c r="BU7" s="3">
        <f t="shared" si="23"/>
        <v>0</v>
      </c>
      <c r="BV7" s="19">
        <v>0</v>
      </c>
      <c r="BW7" s="292"/>
      <c r="BX7" s="1">
        <v>4</v>
      </c>
      <c r="BY7" s="3">
        <f t="shared" si="24"/>
        <v>20000</v>
      </c>
      <c r="BZ7" s="19">
        <v>3</v>
      </c>
      <c r="CA7" s="3">
        <f t="shared" si="25"/>
        <v>15000</v>
      </c>
      <c r="CB7" s="19">
        <v>3</v>
      </c>
      <c r="CC7" s="290"/>
      <c r="CD7" s="19">
        <v>3</v>
      </c>
      <c r="CE7" s="3">
        <f t="shared" si="17"/>
        <v>15000</v>
      </c>
      <c r="CF7" s="19">
        <v>0</v>
      </c>
      <c r="CG7" s="292"/>
      <c r="CH7" s="19">
        <v>5</v>
      </c>
      <c r="CI7" s="3">
        <f t="shared" si="18"/>
        <v>25000</v>
      </c>
      <c r="CJ7" s="19">
        <v>5</v>
      </c>
      <c r="CK7" s="23">
        <f t="shared" si="19"/>
        <v>25000</v>
      </c>
      <c r="CL7" s="19">
        <v>6</v>
      </c>
      <c r="CM7" s="23">
        <f t="shared" si="20"/>
        <v>30000</v>
      </c>
      <c r="CN7" s="19">
        <v>4</v>
      </c>
      <c r="CO7" s="290"/>
      <c r="CP7" s="19">
        <v>4</v>
      </c>
      <c r="CQ7" s="6">
        <f t="shared" si="21"/>
        <v>20000</v>
      </c>
      <c r="CR7" s="19">
        <v>2</v>
      </c>
      <c r="CS7" s="3">
        <f t="shared" si="26"/>
        <v>10000</v>
      </c>
    </row>
    <row r="8" spans="1:97" outlineLevel="1" x14ac:dyDescent="0.25">
      <c r="A8" s="20">
        <v>2000</v>
      </c>
      <c r="B8" s="1">
        <v>21</v>
      </c>
      <c r="C8" s="3">
        <f t="shared" si="0"/>
        <v>42000</v>
      </c>
      <c r="D8" s="1">
        <v>0</v>
      </c>
      <c r="E8" s="286"/>
      <c r="F8" s="1">
        <v>0</v>
      </c>
      <c r="G8" s="288"/>
      <c r="H8" s="1">
        <v>0</v>
      </c>
      <c r="I8" s="288"/>
      <c r="J8" s="1">
        <v>0</v>
      </c>
      <c r="K8" s="288"/>
      <c r="L8" s="1">
        <v>0</v>
      </c>
      <c r="M8" s="286"/>
      <c r="N8" s="1">
        <v>0</v>
      </c>
      <c r="O8" s="286"/>
      <c r="P8" s="1">
        <v>0</v>
      </c>
      <c r="Q8" s="286"/>
      <c r="R8" s="1">
        <v>0</v>
      </c>
      <c r="S8" s="286"/>
      <c r="T8" s="1">
        <v>0</v>
      </c>
      <c r="U8" s="286"/>
      <c r="V8" s="1">
        <v>17</v>
      </c>
      <c r="W8" s="3">
        <f t="shared" si="1"/>
        <v>34000</v>
      </c>
      <c r="X8" s="1">
        <v>0</v>
      </c>
      <c r="Y8" s="290"/>
      <c r="Z8" s="1">
        <v>0</v>
      </c>
      <c r="AA8" s="290"/>
      <c r="AB8" s="1">
        <v>13</v>
      </c>
      <c r="AC8" s="3">
        <f t="shared" si="2"/>
        <v>26000</v>
      </c>
      <c r="AD8" s="1">
        <v>13</v>
      </c>
      <c r="AE8" s="3">
        <f t="shared" si="3"/>
        <v>26000</v>
      </c>
      <c r="AF8" s="1">
        <v>0</v>
      </c>
      <c r="AG8" s="3">
        <f t="shared" si="4"/>
        <v>0</v>
      </c>
      <c r="AH8" s="1">
        <v>0</v>
      </c>
      <c r="AI8" s="290"/>
      <c r="AJ8" s="1">
        <v>0</v>
      </c>
      <c r="AK8" s="290"/>
      <c r="AL8" s="1">
        <v>18</v>
      </c>
      <c r="AM8" s="3">
        <f t="shared" si="5"/>
        <v>36000</v>
      </c>
      <c r="AN8" s="1">
        <v>0</v>
      </c>
      <c r="AO8" s="292"/>
      <c r="AP8" s="1">
        <v>0</v>
      </c>
      <c r="AQ8" s="292"/>
      <c r="AR8" s="1">
        <v>18</v>
      </c>
      <c r="AS8" s="3">
        <f t="shared" si="6"/>
        <v>36000</v>
      </c>
      <c r="AT8" s="1">
        <v>21</v>
      </c>
      <c r="AU8" s="3">
        <f t="shared" si="7"/>
        <v>42000</v>
      </c>
      <c r="AV8" s="1">
        <v>23</v>
      </c>
      <c r="AW8" s="3">
        <f t="shared" si="8"/>
        <v>46000</v>
      </c>
      <c r="AX8" s="1">
        <v>15</v>
      </c>
      <c r="AY8" s="3">
        <f t="shared" si="9"/>
        <v>30000</v>
      </c>
      <c r="AZ8" s="1">
        <v>3</v>
      </c>
      <c r="BA8" s="3">
        <f t="shared" si="10"/>
        <v>6000</v>
      </c>
      <c r="BB8" s="1"/>
      <c r="BC8" s="290"/>
      <c r="BD8" s="1">
        <v>18</v>
      </c>
      <c r="BE8" s="3">
        <f t="shared" si="11"/>
        <v>36000</v>
      </c>
      <c r="BF8" s="1">
        <v>23</v>
      </c>
      <c r="BG8" s="3">
        <f t="shared" si="12"/>
        <v>46000</v>
      </c>
      <c r="BH8" s="1"/>
      <c r="BI8" s="290"/>
      <c r="BJ8" s="1">
        <v>20</v>
      </c>
      <c r="BK8" s="3">
        <f t="shared" si="13"/>
        <v>40000</v>
      </c>
      <c r="BL8" s="1">
        <v>25</v>
      </c>
      <c r="BM8" s="3">
        <f t="shared" si="14"/>
        <v>50000</v>
      </c>
      <c r="BN8" s="1">
        <v>25</v>
      </c>
      <c r="BO8" s="3">
        <f t="shared" si="15"/>
        <v>50000</v>
      </c>
      <c r="BP8" s="1">
        <v>25</v>
      </c>
      <c r="BQ8" s="6">
        <f t="shared" si="16"/>
        <v>50000</v>
      </c>
      <c r="BR8" s="1">
        <v>20</v>
      </c>
      <c r="BS8" s="3">
        <f t="shared" si="22"/>
        <v>40000</v>
      </c>
      <c r="BT8" s="1">
        <v>23</v>
      </c>
      <c r="BU8" s="3">
        <f t="shared" si="23"/>
        <v>46000</v>
      </c>
      <c r="BV8" s="19">
        <v>0</v>
      </c>
      <c r="BW8" s="292"/>
      <c r="BX8" s="1">
        <v>22</v>
      </c>
      <c r="BY8" s="3">
        <f t="shared" si="24"/>
        <v>44000</v>
      </c>
      <c r="BZ8" s="19">
        <v>12</v>
      </c>
      <c r="CA8" s="3">
        <f t="shared" si="25"/>
        <v>24000</v>
      </c>
      <c r="CB8" s="19">
        <v>10</v>
      </c>
      <c r="CC8" s="290"/>
      <c r="CD8" s="19">
        <v>10</v>
      </c>
      <c r="CE8" s="3">
        <f t="shared" si="17"/>
        <v>20000</v>
      </c>
      <c r="CF8" s="19">
        <v>0</v>
      </c>
      <c r="CG8" s="292"/>
      <c r="CH8" s="19">
        <v>14</v>
      </c>
      <c r="CI8" s="3">
        <f t="shared" si="18"/>
        <v>28000</v>
      </c>
      <c r="CJ8" s="19">
        <v>17</v>
      </c>
      <c r="CK8" s="23">
        <f t="shared" si="19"/>
        <v>34000</v>
      </c>
      <c r="CL8" s="19">
        <v>12</v>
      </c>
      <c r="CM8" s="23">
        <f t="shared" si="20"/>
        <v>24000</v>
      </c>
      <c r="CN8" s="19">
        <v>5</v>
      </c>
      <c r="CO8" s="290"/>
      <c r="CP8" s="19">
        <v>5</v>
      </c>
      <c r="CQ8" s="6">
        <f t="shared" si="21"/>
        <v>10000</v>
      </c>
      <c r="CR8" s="19">
        <v>4</v>
      </c>
      <c r="CS8" s="3">
        <f t="shared" si="26"/>
        <v>8000</v>
      </c>
    </row>
    <row r="9" spans="1:97" outlineLevel="1" x14ac:dyDescent="0.25">
      <c r="A9" s="20">
        <v>1000</v>
      </c>
      <c r="B9" s="1">
        <v>2</v>
      </c>
      <c r="C9" s="3">
        <f t="shared" si="0"/>
        <v>2000</v>
      </c>
      <c r="D9" s="1">
        <v>0</v>
      </c>
      <c r="E9" s="286"/>
      <c r="F9" s="1">
        <v>0</v>
      </c>
      <c r="G9" s="288"/>
      <c r="H9" s="1">
        <v>0</v>
      </c>
      <c r="I9" s="288"/>
      <c r="J9" s="1">
        <v>0</v>
      </c>
      <c r="K9" s="288"/>
      <c r="L9" s="1">
        <v>0</v>
      </c>
      <c r="M9" s="286"/>
      <c r="N9" s="1">
        <v>0</v>
      </c>
      <c r="O9" s="286"/>
      <c r="P9" s="1">
        <v>0</v>
      </c>
      <c r="Q9" s="286"/>
      <c r="R9" s="1">
        <v>0</v>
      </c>
      <c r="S9" s="286"/>
      <c r="T9" s="1">
        <v>0</v>
      </c>
      <c r="U9" s="286"/>
      <c r="V9" s="1">
        <v>11</v>
      </c>
      <c r="W9" s="3">
        <f t="shared" si="1"/>
        <v>11000</v>
      </c>
      <c r="X9" s="1">
        <v>0</v>
      </c>
      <c r="Y9" s="290"/>
      <c r="Z9" s="1">
        <v>0</v>
      </c>
      <c r="AA9" s="290"/>
      <c r="AB9" s="1">
        <v>10</v>
      </c>
      <c r="AC9" s="3">
        <f t="shared" si="2"/>
        <v>10000</v>
      </c>
      <c r="AD9" s="1">
        <v>10</v>
      </c>
      <c r="AE9" s="3">
        <f t="shared" si="3"/>
        <v>10000</v>
      </c>
      <c r="AF9" s="1">
        <v>0</v>
      </c>
      <c r="AG9" s="3">
        <f t="shared" si="4"/>
        <v>0</v>
      </c>
      <c r="AH9" s="1">
        <v>0</v>
      </c>
      <c r="AI9" s="290"/>
      <c r="AJ9" s="1">
        <v>0</v>
      </c>
      <c r="AK9" s="290"/>
      <c r="AL9" s="1">
        <v>6</v>
      </c>
      <c r="AM9" s="3">
        <f t="shared" si="5"/>
        <v>6000</v>
      </c>
      <c r="AN9" s="1">
        <v>0</v>
      </c>
      <c r="AO9" s="292"/>
      <c r="AP9" s="1">
        <v>0</v>
      </c>
      <c r="AQ9" s="292"/>
      <c r="AR9" s="1">
        <v>6</v>
      </c>
      <c r="AS9" s="3">
        <f t="shared" si="6"/>
        <v>6000</v>
      </c>
      <c r="AT9" s="1">
        <v>7</v>
      </c>
      <c r="AU9" s="3">
        <f t="shared" si="7"/>
        <v>7000</v>
      </c>
      <c r="AV9" s="1">
        <v>7</v>
      </c>
      <c r="AW9" s="3">
        <f t="shared" si="8"/>
        <v>7000</v>
      </c>
      <c r="AX9" s="1">
        <v>14</v>
      </c>
      <c r="AY9" s="3">
        <f t="shared" si="9"/>
        <v>14000</v>
      </c>
      <c r="AZ9" s="1">
        <v>3</v>
      </c>
      <c r="BA9" s="3">
        <f t="shared" si="10"/>
        <v>3000</v>
      </c>
      <c r="BB9" s="1"/>
      <c r="BC9" s="290"/>
      <c r="BD9" s="1">
        <v>9</v>
      </c>
      <c r="BE9" s="3">
        <f t="shared" si="11"/>
        <v>9000</v>
      </c>
      <c r="BF9" s="1">
        <v>11</v>
      </c>
      <c r="BG9" s="3">
        <f t="shared" si="12"/>
        <v>11000</v>
      </c>
      <c r="BH9" s="1"/>
      <c r="BI9" s="290"/>
      <c r="BJ9" s="1">
        <v>6</v>
      </c>
      <c r="BK9" s="3">
        <f t="shared" si="13"/>
        <v>6000</v>
      </c>
      <c r="BL9" s="1">
        <v>10</v>
      </c>
      <c r="BM9" s="3">
        <f t="shared" si="14"/>
        <v>10000</v>
      </c>
      <c r="BN9" s="1">
        <v>11</v>
      </c>
      <c r="BO9" s="3">
        <f t="shared" si="15"/>
        <v>11000</v>
      </c>
      <c r="BP9" s="1">
        <v>6</v>
      </c>
      <c r="BQ9" s="6">
        <f t="shared" si="16"/>
        <v>6000</v>
      </c>
      <c r="BR9" s="1">
        <v>9</v>
      </c>
      <c r="BS9" s="3">
        <f t="shared" si="22"/>
        <v>9000</v>
      </c>
      <c r="BT9" s="1">
        <v>12</v>
      </c>
      <c r="BU9" s="3">
        <f t="shared" si="23"/>
        <v>12000</v>
      </c>
      <c r="BV9" s="19">
        <v>0</v>
      </c>
      <c r="BW9" s="292"/>
      <c r="BX9" s="1">
        <v>16</v>
      </c>
      <c r="BY9" s="3">
        <f t="shared" si="24"/>
        <v>16000</v>
      </c>
      <c r="BZ9" s="19">
        <v>20</v>
      </c>
      <c r="CA9" s="3">
        <f t="shared" si="25"/>
        <v>20000</v>
      </c>
      <c r="CB9" s="19">
        <v>0</v>
      </c>
      <c r="CC9" s="290"/>
      <c r="CD9" s="19">
        <v>0</v>
      </c>
      <c r="CE9" s="3">
        <f t="shared" si="17"/>
        <v>0</v>
      </c>
      <c r="CF9" s="19">
        <v>0</v>
      </c>
      <c r="CG9" s="292"/>
      <c r="CH9" s="19">
        <v>0</v>
      </c>
      <c r="CI9" s="3">
        <f t="shared" si="18"/>
        <v>0</v>
      </c>
      <c r="CJ9" s="19">
        <v>2</v>
      </c>
      <c r="CK9" s="23">
        <f t="shared" si="19"/>
        <v>2000</v>
      </c>
      <c r="CL9" s="19">
        <v>3</v>
      </c>
      <c r="CM9" s="23">
        <f t="shared" si="20"/>
        <v>3000</v>
      </c>
      <c r="CN9" s="19">
        <v>8</v>
      </c>
      <c r="CO9" s="290"/>
      <c r="CP9" s="19">
        <v>8</v>
      </c>
      <c r="CQ9" s="6">
        <f t="shared" si="21"/>
        <v>8000</v>
      </c>
      <c r="CR9" s="19">
        <v>7</v>
      </c>
      <c r="CS9" s="3">
        <f t="shared" si="26"/>
        <v>7000</v>
      </c>
    </row>
    <row r="10" spans="1:97" outlineLevel="1" x14ac:dyDescent="0.25">
      <c r="A10" s="20">
        <v>500</v>
      </c>
      <c r="B10" s="1">
        <v>51</v>
      </c>
      <c r="C10" s="3">
        <f t="shared" si="0"/>
        <v>25500</v>
      </c>
      <c r="D10" s="1">
        <v>0</v>
      </c>
      <c r="E10" s="286"/>
      <c r="F10" s="1">
        <v>0</v>
      </c>
      <c r="G10" s="288"/>
      <c r="H10" s="1">
        <v>0</v>
      </c>
      <c r="I10" s="288"/>
      <c r="J10" s="1">
        <v>0</v>
      </c>
      <c r="K10" s="288"/>
      <c r="L10" s="1">
        <v>0</v>
      </c>
      <c r="M10" s="286"/>
      <c r="N10" s="1">
        <v>0</v>
      </c>
      <c r="O10" s="286"/>
      <c r="P10" s="1">
        <v>0</v>
      </c>
      <c r="Q10" s="286"/>
      <c r="R10" s="1">
        <v>0</v>
      </c>
      <c r="S10" s="286"/>
      <c r="T10" s="1">
        <v>0</v>
      </c>
      <c r="U10" s="286"/>
      <c r="V10" s="1">
        <v>49</v>
      </c>
      <c r="W10" s="3">
        <f t="shared" si="1"/>
        <v>24500</v>
      </c>
      <c r="X10" s="1">
        <v>0</v>
      </c>
      <c r="Y10" s="290"/>
      <c r="Z10" s="1">
        <v>0</v>
      </c>
      <c r="AA10" s="290"/>
      <c r="AB10" s="1">
        <v>49</v>
      </c>
      <c r="AC10" s="3">
        <f t="shared" si="2"/>
        <v>24500</v>
      </c>
      <c r="AD10" s="1">
        <v>49</v>
      </c>
      <c r="AE10" s="3">
        <f t="shared" si="3"/>
        <v>24500</v>
      </c>
      <c r="AF10" s="1">
        <v>0</v>
      </c>
      <c r="AG10" s="3">
        <f t="shared" si="4"/>
        <v>0</v>
      </c>
      <c r="AH10" s="1">
        <v>0</v>
      </c>
      <c r="AI10" s="290"/>
      <c r="AJ10" s="1">
        <v>0</v>
      </c>
      <c r="AK10" s="290"/>
      <c r="AL10" s="1">
        <v>49</v>
      </c>
      <c r="AM10" s="3">
        <f t="shared" si="5"/>
        <v>24500</v>
      </c>
      <c r="AN10" s="1">
        <v>0</v>
      </c>
      <c r="AO10" s="292"/>
      <c r="AP10" s="1">
        <v>0</v>
      </c>
      <c r="AQ10" s="292"/>
      <c r="AR10" s="1">
        <v>48</v>
      </c>
      <c r="AS10" s="3">
        <f t="shared" si="6"/>
        <v>24000</v>
      </c>
      <c r="AT10" s="1">
        <v>49</v>
      </c>
      <c r="AU10" s="3">
        <f t="shared" si="7"/>
        <v>24500</v>
      </c>
      <c r="AV10" s="1">
        <v>49</v>
      </c>
      <c r="AW10" s="3">
        <f t="shared" si="8"/>
        <v>24500</v>
      </c>
      <c r="AX10" s="1">
        <v>50</v>
      </c>
      <c r="AY10" s="3">
        <f t="shared" si="9"/>
        <v>25000</v>
      </c>
      <c r="AZ10" s="1">
        <v>46</v>
      </c>
      <c r="BA10" s="3">
        <f t="shared" si="10"/>
        <v>23000</v>
      </c>
      <c r="BB10" s="1"/>
      <c r="BC10" s="290"/>
      <c r="BD10" s="1">
        <v>44</v>
      </c>
      <c r="BE10" s="3">
        <f t="shared" si="11"/>
        <v>22000</v>
      </c>
      <c r="BF10" s="1">
        <v>42</v>
      </c>
      <c r="BG10" s="3">
        <f t="shared" si="12"/>
        <v>21000</v>
      </c>
      <c r="BH10" s="1"/>
      <c r="BI10" s="290"/>
      <c r="BJ10" s="1">
        <v>20</v>
      </c>
      <c r="BK10" s="3">
        <f t="shared" si="13"/>
        <v>10000</v>
      </c>
      <c r="BL10" s="1">
        <v>35</v>
      </c>
      <c r="BM10" s="3">
        <f t="shared" si="14"/>
        <v>17500</v>
      </c>
      <c r="BN10" s="1">
        <v>21</v>
      </c>
      <c r="BO10" s="3">
        <f t="shared" si="15"/>
        <v>10500</v>
      </c>
      <c r="BP10" s="1">
        <v>21</v>
      </c>
      <c r="BQ10" s="6">
        <f t="shared" si="16"/>
        <v>10500</v>
      </c>
      <c r="BR10" s="1">
        <v>20</v>
      </c>
      <c r="BS10" s="3">
        <f t="shared" si="22"/>
        <v>10000</v>
      </c>
      <c r="BT10" s="1">
        <v>31</v>
      </c>
      <c r="BU10" s="3">
        <f t="shared" si="23"/>
        <v>15500</v>
      </c>
      <c r="BV10" s="19">
        <v>0</v>
      </c>
      <c r="BW10" s="292"/>
      <c r="BX10" s="1">
        <v>45</v>
      </c>
      <c r="BY10" s="3">
        <f t="shared" si="24"/>
        <v>22500</v>
      </c>
      <c r="BZ10" s="19">
        <v>40</v>
      </c>
      <c r="CA10" s="3">
        <f t="shared" si="25"/>
        <v>20000</v>
      </c>
      <c r="CB10" s="19">
        <v>36</v>
      </c>
      <c r="CC10" s="290"/>
      <c r="CD10" s="19">
        <v>36</v>
      </c>
      <c r="CE10" s="3">
        <f t="shared" si="17"/>
        <v>18000</v>
      </c>
      <c r="CF10" s="19">
        <v>0</v>
      </c>
      <c r="CG10" s="292"/>
      <c r="CH10" s="19">
        <v>36</v>
      </c>
      <c r="CI10" s="3">
        <f t="shared" si="18"/>
        <v>18000</v>
      </c>
      <c r="CJ10" s="19">
        <v>37</v>
      </c>
      <c r="CK10" s="23">
        <f t="shared" si="19"/>
        <v>18500</v>
      </c>
      <c r="CL10" s="19">
        <v>38</v>
      </c>
      <c r="CM10" s="23">
        <f t="shared" si="20"/>
        <v>19000</v>
      </c>
      <c r="CN10" s="19">
        <v>32</v>
      </c>
      <c r="CO10" s="290"/>
      <c r="CP10" s="19">
        <v>32</v>
      </c>
      <c r="CQ10" s="6">
        <f t="shared" si="21"/>
        <v>16000</v>
      </c>
      <c r="CR10" s="19">
        <v>31</v>
      </c>
      <c r="CS10" s="3">
        <f t="shared" si="26"/>
        <v>15500</v>
      </c>
    </row>
    <row r="11" spans="1:97" outlineLevel="1" x14ac:dyDescent="0.25">
      <c r="A11" s="20">
        <v>200</v>
      </c>
      <c r="B11" s="1">
        <v>21</v>
      </c>
      <c r="C11" s="3">
        <f t="shared" si="0"/>
        <v>4200</v>
      </c>
      <c r="D11" s="1">
        <v>0</v>
      </c>
      <c r="E11" s="286"/>
      <c r="F11" s="1">
        <v>0</v>
      </c>
      <c r="G11" s="288"/>
      <c r="H11" s="1">
        <v>0</v>
      </c>
      <c r="I11" s="288"/>
      <c r="J11" s="1">
        <v>0</v>
      </c>
      <c r="K11" s="288"/>
      <c r="L11" s="1">
        <v>0</v>
      </c>
      <c r="M11" s="286"/>
      <c r="N11" s="1">
        <v>0</v>
      </c>
      <c r="O11" s="286"/>
      <c r="P11" s="1">
        <v>0</v>
      </c>
      <c r="Q11" s="286"/>
      <c r="R11" s="1">
        <v>0</v>
      </c>
      <c r="S11" s="286"/>
      <c r="T11" s="1">
        <v>0</v>
      </c>
      <c r="U11" s="286"/>
      <c r="V11" s="1">
        <v>14</v>
      </c>
      <c r="W11" s="3">
        <f t="shared" si="1"/>
        <v>2800</v>
      </c>
      <c r="X11" s="1">
        <v>0</v>
      </c>
      <c r="Y11" s="290"/>
      <c r="Z11" s="1">
        <v>0</v>
      </c>
      <c r="AA11" s="290"/>
      <c r="AB11" s="1">
        <v>14</v>
      </c>
      <c r="AC11" s="3">
        <f t="shared" si="2"/>
        <v>2800</v>
      </c>
      <c r="AD11" s="1">
        <v>14</v>
      </c>
      <c r="AE11" s="3">
        <f t="shared" si="3"/>
        <v>2800</v>
      </c>
      <c r="AF11" s="1">
        <v>0</v>
      </c>
      <c r="AG11" s="3">
        <f t="shared" si="4"/>
        <v>0</v>
      </c>
      <c r="AH11" s="1">
        <v>0</v>
      </c>
      <c r="AI11" s="290"/>
      <c r="AJ11" s="1">
        <v>0</v>
      </c>
      <c r="AK11" s="290"/>
      <c r="AL11" s="1">
        <v>9</v>
      </c>
      <c r="AM11" s="3">
        <f t="shared" si="5"/>
        <v>1800</v>
      </c>
      <c r="AN11" s="1">
        <v>0</v>
      </c>
      <c r="AO11" s="292"/>
      <c r="AP11" s="1">
        <v>0</v>
      </c>
      <c r="AQ11" s="292"/>
      <c r="AR11" s="1">
        <v>9</v>
      </c>
      <c r="AS11" s="3">
        <f t="shared" si="6"/>
        <v>1800</v>
      </c>
      <c r="AT11" s="1">
        <v>14</v>
      </c>
      <c r="AU11" s="3">
        <f t="shared" si="7"/>
        <v>2800</v>
      </c>
      <c r="AV11" s="1">
        <v>10</v>
      </c>
      <c r="AW11" s="3">
        <f t="shared" si="8"/>
        <v>2000</v>
      </c>
      <c r="AX11" s="1">
        <v>10</v>
      </c>
      <c r="AY11" s="3">
        <f t="shared" si="9"/>
        <v>2000</v>
      </c>
      <c r="AZ11" s="1">
        <v>25</v>
      </c>
      <c r="BA11" s="3">
        <f t="shared" si="10"/>
        <v>5000</v>
      </c>
      <c r="BB11" s="1"/>
      <c r="BC11" s="290"/>
      <c r="BD11" s="1">
        <v>13</v>
      </c>
      <c r="BE11" s="3">
        <f t="shared" si="11"/>
        <v>2600</v>
      </c>
      <c r="BF11" s="1">
        <v>10</v>
      </c>
      <c r="BG11" s="3">
        <f t="shared" si="12"/>
        <v>2000</v>
      </c>
      <c r="BH11" s="1"/>
      <c r="BI11" s="290"/>
      <c r="BJ11" s="1">
        <v>6</v>
      </c>
      <c r="BK11" s="3">
        <f t="shared" si="13"/>
        <v>1200</v>
      </c>
      <c r="BL11" s="1">
        <v>9</v>
      </c>
      <c r="BM11" s="3">
        <f t="shared" si="14"/>
        <v>1800</v>
      </c>
      <c r="BN11" s="1">
        <v>13</v>
      </c>
      <c r="BO11" s="3">
        <f t="shared" si="15"/>
        <v>2600</v>
      </c>
      <c r="BP11" s="1">
        <v>7</v>
      </c>
      <c r="BQ11" s="6">
        <f t="shared" si="16"/>
        <v>1400</v>
      </c>
      <c r="BR11" s="1">
        <v>4</v>
      </c>
      <c r="BS11" s="3">
        <f t="shared" si="22"/>
        <v>800</v>
      </c>
      <c r="BT11" s="1">
        <v>4</v>
      </c>
      <c r="BU11" s="3">
        <f t="shared" si="23"/>
        <v>800</v>
      </c>
      <c r="BV11" s="19">
        <v>0</v>
      </c>
      <c r="BW11" s="292"/>
      <c r="BX11" s="1">
        <v>5</v>
      </c>
      <c r="BY11" s="3">
        <f t="shared" si="24"/>
        <v>1000</v>
      </c>
      <c r="BZ11" s="19">
        <v>3</v>
      </c>
      <c r="CA11" s="3">
        <f t="shared" si="25"/>
        <v>600</v>
      </c>
      <c r="CB11" s="19">
        <v>81</v>
      </c>
      <c r="CC11" s="290"/>
      <c r="CD11" s="19">
        <v>81</v>
      </c>
      <c r="CE11" s="3">
        <f t="shared" si="17"/>
        <v>16200</v>
      </c>
      <c r="CF11" s="19">
        <v>0</v>
      </c>
      <c r="CG11" s="292"/>
      <c r="CH11" s="19">
        <v>68</v>
      </c>
      <c r="CI11" s="3">
        <f t="shared" si="18"/>
        <v>13600</v>
      </c>
      <c r="CJ11" s="19">
        <v>62</v>
      </c>
      <c r="CK11" s="23">
        <f t="shared" si="19"/>
        <v>12400</v>
      </c>
      <c r="CL11" s="19">
        <v>62</v>
      </c>
      <c r="CM11" s="23">
        <f t="shared" si="20"/>
        <v>12400</v>
      </c>
      <c r="CN11" s="19">
        <v>56</v>
      </c>
      <c r="CO11" s="290"/>
      <c r="CP11" s="19">
        <v>56</v>
      </c>
      <c r="CQ11" s="6">
        <f t="shared" si="21"/>
        <v>11200</v>
      </c>
      <c r="CR11" s="19">
        <v>54</v>
      </c>
      <c r="CS11" s="3">
        <f t="shared" si="26"/>
        <v>10800</v>
      </c>
    </row>
    <row r="12" spans="1:97" outlineLevel="1" x14ac:dyDescent="0.25">
      <c r="A12" s="20">
        <v>100</v>
      </c>
      <c r="B12" s="1">
        <v>18</v>
      </c>
      <c r="C12" s="3">
        <f t="shared" si="0"/>
        <v>1800</v>
      </c>
      <c r="D12" s="1">
        <v>0</v>
      </c>
      <c r="E12" s="286"/>
      <c r="F12" s="1">
        <v>0</v>
      </c>
      <c r="G12" s="288"/>
      <c r="H12" s="1">
        <v>0</v>
      </c>
      <c r="I12" s="288"/>
      <c r="J12" s="1">
        <v>0</v>
      </c>
      <c r="K12" s="288"/>
      <c r="L12" s="1">
        <v>0</v>
      </c>
      <c r="M12" s="286"/>
      <c r="N12" s="1">
        <v>0</v>
      </c>
      <c r="O12" s="286"/>
      <c r="P12" s="1">
        <v>0</v>
      </c>
      <c r="Q12" s="286"/>
      <c r="R12" s="1">
        <v>0</v>
      </c>
      <c r="S12" s="286"/>
      <c r="T12" s="1">
        <v>0</v>
      </c>
      <c r="U12" s="286"/>
      <c r="V12" s="1">
        <v>20</v>
      </c>
      <c r="W12" s="3">
        <f t="shared" si="1"/>
        <v>2000</v>
      </c>
      <c r="X12" s="1">
        <v>0</v>
      </c>
      <c r="Y12" s="290"/>
      <c r="Z12" s="1">
        <v>0</v>
      </c>
      <c r="AA12" s="290"/>
      <c r="AB12" s="1">
        <v>15</v>
      </c>
      <c r="AC12" s="3">
        <f t="shared" si="2"/>
        <v>1500</v>
      </c>
      <c r="AD12" s="1">
        <v>15</v>
      </c>
      <c r="AE12" s="3">
        <f t="shared" si="3"/>
        <v>1500</v>
      </c>
      <c r="AF12" s="1">
        <v>0</v>
      </c>
      <c r="AG12" s="3">
        <f t="shared" si="4"/>
        <v>0</v>
      </c>
      <c r="AH12" s="1">
        <v>0</v>
      </c>
      <c r="AI12" s="290"/>
      <c r="AJ12" s="1">
        <v>0</v>
      </c>
      <c r="AK12" s="290"/>
      <c r="AL12" s="1">
        <v>13</v>
      </c>
      <c r="AM12" s="3">
        <f t="shared" si="5"/>
        <v>1300</v>
      </c>
      <c r="AN12" s="1">
        <v>0</v>
      </c>
      <c r="AO12" s="292"/>
      <c r="AP12" s="1">
        <v>0</v>
      </c>
      <c r="AQ12" s="292"/>
      <c r="AR12" s="1">
        <v>13</v>
      </c>
      <c r="AS12" s="3">
        <f t="shared" si="6"/>
        <v>1300</v>
      </c>
      <c r="AT12" s="1">
        <v>13</v>
      </c>
      <c r="AU12" s="3">
        <f t="shared" si="7"/>
        <v>1300</v>
      </c>
      <c r="AV12" s="1">
        <v>11</v>
      </c>
      <c r="AW12" s="3">
        <f t="shared" si="8"/>
        <v>1100</v>
      </c>
      <c r="AX12" s="1">
        <v>12</v>
      </c>
      <c r="AY12" s="3">
        <f t="shared" si="9"/>
        <v>1200</v>
      </c>
      <c r="AZ12" s="1">
        <v>30</v>
      </c>
      <c r="BA12" s="3">
        <f t="shared" si="10"/>
        <v>3000</v>
      </c>
      <c r="BB12" s="1"/>
      <c r="BC12" s="290"/>
      <c r="BD12" s="1">
        <v>29</v>
      </c>
      <c r="BE12" s="3">
        <f t="shared" si="11"/>
        <v>2900</v>
      </c>
      <c r="BF12" s="1">
        <v>29</v>
      </c>
      <c r="BG12" s="3">
        <f t="shared" si="12"/>
        <v>2900</v>
      </c>
      <c r="BH12" s="1"/>
      <c r="BI12" s="290"/>
      <c r="BJ12" s="1">
        <v>17</v>
      </c>
      <c r="BK12" s="3">
        <f t="shared" si="13"/>
        <v>1700</v>
      </c>
      <c r="BL12" s="1">
        <v>15</v>
      </c>
      <c r="BM12" s="3">
        <f t="shared" si="14"/>
        <v>1500</v>
      </c>
      <c r="BN12" s="1">
        <v>15</v>
      </c>
      <c r="BO12" s="3">
        <f t="shared" si="15"/>
        <v>1500</v>
      </c>
      <c r="BP12" s="1">
        <v>14</v>
      </c>
      <c r="BQ12" s="6">
        <f t="shared" si="16"/>
        <v>1400</v>
      </c>
      <c r="BR12" s="1">
        <v>13</v>
      </c>
      <c r="BS12" s="3">
        <f t="shared" si="22"/>
        <v>1300</v>
      </c>
      <c r="BT12" s="1">
        <v>13</v>
      </c>
      <c r="BU12" s="3">
        <f t="shared" si="23"/>
        <v>1300</v>
      </c>
      <c r="BV12" s="19">
        <v>0</v>
      </c>
      <c r="BW12" s="292"/>
      <c r="BX12" s="1">
        <v>11</v>
      </c>
      <c r="BY12" s="3">
        <f t="shared" si="24"/>
        <v>1100</v>
      </c>
      <c r="BZ12" s="19">
        <v>9</v>
      </c>
      <c r="CA12" s="3">
        <f t="shared" si="25"/>
        <v>900</v>
      </c>
      <c r="CB12" s="19">
        <v>77</v>
      </c>
      <c r="CC12" s="290"/>
      <c r="CD12" s="19">
        <v>77</v>
      </c>
      <c r="CE12" s="3">
        <f t="shared" si="17"/>
        <v>7700</v>
      </c>
      <c r="CF12" s="19">
        <v>0</v>
      </c>
      <c r="CG12" s="292"/>
      <c r="CH12" s="19">
        <v>63</v>
      </c>
      <c r="CI12" s="3">
        <f t="shared" si="18"/>
        <v>6300</v>
      </c>
      <c r="CJ12" s="19">
        <v>48</v>
      </c>
      <c r="CK12" s="23">
        <f t="shared" si="19"/>
        <v>4800</v>
      </c>
      <c r="CL12" s="19">
        <v>51</v>
      </c>
      <c r="CM12" s="23">
        <f t="shared" si="20"/>
        <v>5100</v>
      </c>
      <c r="CN12" s="19">
        <v>39</v>
      </c>
      <c r="CO12" s="290"/>
      <c r="CP12" s="19">
        <v>39</v>
      </c>
      <c r="CQ12" s="6">
        <f t="shared" si="21"/>
        <v>3900</v>
      </c>
      <c r="CR12" s="19">
        <v>38</v>
      </c>
      <c r="CS12" s="3">
        <f t="shared" si="26"/>
        <v>3800</v>
      </c>
    </row>
    <row r="13" spans="1:97" ht="15.75" outlineLevel="1" thickBot="1" x14ac:dyDescent="0.3">
      <c r="A13" s="20">
        <v>50</v>
      </c>
      <c r="B13" s="1">
        <v>1</v>
      </c>
      <c r="C13" s="21">
        <f t="shared" si="0"/>
        <v>50</v>
      </c>
      <c r="D13" s="1">
        <v>0</v>
      </c>
      <c r="E13" s="287"/>
      <c r="F13" s="1">
        <v>0</v>
      </c>
      <c r="G13" s="289"/>
      <c r="H13" s="1">
        <v>0</v>
      </c>
      <c r="I13" s="289"/>
      <c r="J13" s="1">
        <v>0</v>
      </c>
      <c r="K13" s="289"/>
      <c r="L13" s="1">
        <v>0</v>
      </c>
      <c r="M13" s="287"/>
      <c r="N13" s="1">
        <v>0</v>
      </c>
      <c r="O13" s="287"/>
      <c r="P13" s="1">
        <v>0</v>
      </c>
      <c r="Q13" s="287"/>
      <c r="R13" s="1">
        <v>0</v>
      </c>
      <c r="S13" s="287"/>
      <c r="T13" s="1">
        <v>0</v>
      </c>
      <c r="U13" s="287"/>
      <c r="V13" s="1">
        <v>29</v>
      </c>
      <c r="W13" s="21">
        <f t="shared" si="1"/>
        <v>1450</v>
      </c>
      <c r="X13" s="1">
        <v>0</v>
      </c>
      <c r="Y13" s="291"/>
      <c r="Z13" s="1">
        <v>0</v>
      </c>
      <c r="AA13" s="291"/>
      <c r="AB13" s="1">
        <v>29</v>
      </c>
      <c r="AC13" s="21">
        <f t="shared" si="2"/>
        <v>1450</v>
      </c>
      <c r="AD13" s="1">
        <v>29</v>
      </c>
      <c r="AE13" s="21">
        <f t="shared" si="3"/>
        <v>1450</v>
      </c>
      <c r="AF13" s="1">
        <v>0</v>
      </c>
      <c r="AG13" s="21">
        <f t="shared" si="4"/>
        <v>0</v>
      </c>
      <c r="AH13" s="1">
        <v>0</v>
      </c>
      <c r="AI13" s="291"/>
      <c r="AJ13" s="1">
        <v>0</v>
      </c>
      <c r="AK13" s="291"/>
      <c r="AL13" s="1">
        <v>12</v>
      </c>
      <c r="AM13" s="21">
        <f t="shared" si="5"/>
        <v>600</v>
      </c>
      <c r="AN13" s="1">
        <v>0</v>
      </c>
      <c r="AO13" s="293"/>
      <c r="AP13" s="1">
        <v>0</v>
      </c>
      <c r="AQ13" s="293"/>
      <c r="AR13" s="1">
        <v>12</v>
      </c>
      <c r="AS13" s="21">
        <f t="shared" si="6"/>
        <v>600</v>
      </c>
      <c r="AT13" s="1">
        <v>12</v>
      </c>
      <c r="AU13" s="21">
        <f t="shared" si="7"/>
        <v>600</v>
      </c>
      <c r="AV13" s="1">
        <v>12</v>
      </c>
      <c r="AW13" s="21">
        <f t="shared" si="8"/>
        <v>600</v>
      </c>
      <c r="AX13" s="1">
        <v>11</v>
      </c>
      <c r="AY13" s="21">
        <f t="shared" si="9"/>
        <v>550</v>
      </c>
      <c r="AZ13" s="1">
        <v>10</v>
      </c>
      <c r="BA13" s="21">
        <f t="shared" si="10"/>
        <v>500</v>
      </c>
      <c r="BB13" s="1"/>
      <c r="BC13" s="291"/>
      <c r="BD13" s="1">
        <v>10</v>
      </c>
      <c r="BE13" s="21">
        <f t="shared" si="11"/>
        <v>500</v>
      </c>
      <c r="BF13" s="1">
        <v>9</v>
      </c>
      <c r="BG13" s="21">
        <f t="shared" si="12"/>
        <v>450</v>
      </c>
      <c r="BH13" s="1"/>
      <c r="BI13" s="291"/>
      <c r="BJ13" s="1">
        <v>7</v>
      </c>
      <c r="BK13" s="21">
        <f t="shared" si="13"/>
        <v>350</v>
      </c>
      <c r="BL13" s="1">
        <v>8</v>
      </c>
      <c r="BM13" s="21">
        <f t="shared" si="14"/>
        <v>400</v>
      </c>
      <c r="BN13" s="1">
        <v>8</v>
      </c>
      <c r="BO13" s="21">
        <f t="shared" si="15"/>
        <v>400</v>
      </c>
      <c r="BP13" s="1">
        <v>9</v>
      </c>
      <c r="BQ13" s="187">
        <f t="shared" si="16"/>
        <v>450</v>
      </c>
      <c r="BR13" s="1">
        <v>11</v>
      </c>
      <c r="BS13" s="21">
        <f t="shared" si="22"/>
        <v>550</v>
      </c>
      <c r="BT13" s="1">
        <v>8</v>
      </c>
      <c r="BU13" s="21">
        <f t="shared" si="23"/>
        <v>400</v>
      </c>
      <c r="BV13" s="19">
        <v>0</v>
      </c>
      <c r="BW13" s="293"/>
      <c r="BX13" s="1">
        <v>9</v>
      </c>
      <c r="BY13" s="21">
        <f t="shared" si="24"/>
        <v>450</v>
      </c>
      <c r="BZ13" s="19">
        <v>9</v>
      </c>
      <c r="CA13" s="21">
        <f t="shared" si="25"/>
        <v>450</v>
      </c>
      <c r="CB13" s="19">
        <v>14</v>
      </c>
      <c r="CC13" s="291"/>
      <c r="CD13" s="19">
        <v>14</v>
      </c>
      <c r="CE13" s="21">
        <f t="shared" si="17"/>
        <v>700</v>
      </c>
      <c r="CF13" s="19">
        <v>0</v>
      </c>
      <c r="CG13" s="293"/>
      <c r="CH13" s="19">
        <v>10</v>
      </c>
      <c r="CI13" s="21">
        <f t="shared" si="18"/>
        <v>500</v>
      </c>
      <c r="CJ13" s="19">
        <v>10</v>
      </c>
      <c r="CK13" s="188">
        <f t="shared" si="19"/>
        <v>500</v>
      </c>
      <c r="CL13" s="19">
        <v>10</v>
      </c>
      <c r="CM13" s="188">
        <f t="shared" si="20"/>
        <v>500</v>
      </c>
      <c r="CN13" s="19">
        <v>10</v>
      </c>
      <c r="CO13" s="291"/>
      <c r="CP13" s="19">
        <v>10</v>
      </c>
      <c r="CQ13" s="187">
        <f t="shared" si="21"/>
        <v>500</v>
      </c>
      <c r="CR13" s="19">
        <v>10</v>
      </c>
      <c r="CS13" s="21">
        <f t="shared" si="26"/>
        <v>500</v>
      </c>
    </row>
    <row r="14" spans="1:97" ht="15.75" thickTop="1" x14ac:dyDescent="0.25">
      <c r="C14" s="12">
        <f>+SUM(C3:C13)</f>
        <v>370550</v>
      </c>
      <c r="E14" s="46">
        <f>+E23</f>
        <v>122750</v>
      </c>
      <c r="G14" s="46">
        <f>+G23</f>
        <v>-6250</v>
      </c>
      <c r="I14" s="46">
        <f>+I23</f>
        <v>349000</v>
      </c>
      <c r="K14" s="46">
        <f>+K23</f>
        <v>259750</v>
      </c>
      <c r="M14" s="46">
        <f>+M23</f>
        <v>75750</v>
      </c>
      <c r="O14" s="46">
        <f>+O23</f>
        <v>75750</v>
      </c>
      <c r="Q14" s="46">
        <f>+Q23</f>
        <v>75750</v>
      </c>
      <c r="S14" s="46">
        <f>+S23</f>
        <v>75750</v>
      </c>
      <c r="U14" s="46">
        <f>+U23</f>
        <v>75750</v>
      </c>
      <c r="W14" s="13">
        <f>SUM(W3:W13)</f>
        <v>75750</v>
      </c>
      <c r="Y14" s="46">
        <f>+Y23</f>
        <v>72250</v>
      </c>
      <c r="AA14" s="46">
        <f>+AA23</f>
        <v>196250</v>
      </c>
      <c r="AC14" s="13">
        <f>SUM(AC3:AC13)</f>
        <v>186250</v>
      </c>
      <c r="AE14" s="13">
        <f>SUM(AE3:AE13)</f>
        <v>436250</v>
      </c>
      <c r="AG14" s="46">
        <f>+AG23</f>
        <v>314850</v>
      </c>
      <c r="AI14" s="46">
        <f>+AI23</f>
        <v>334850</v>
      </c>
      <c r="AK14" s="46">
        <f>+AK23</f>
        <v>250850</v>
      </c>
      <c r="AM14" s="12">
        <f>SUM(AM3:AM13)</f>
        <v>215200</v>
      </c>
      <c r="AO14" s="46">
        <f>+AO23</f>
        <v>144700</v>
      </c>
      <c r="AQ14" s="46">
        <f>+AQ23</f>
        <v>144700</v>
      </c>
      <c r="AS14" s="12">
        <f>SUM(AS3:AS13)</f>
        <v>144700</v>
      </c>
      <c r="AU14" s="12">
        <f>SUM(AU3:AU13)</f>
        <v>108200</v>
      </c>
      <c r="AW14" s="12">
        <f>SUM(AW3:AW13)</f>
        <v>331200</v>
      </c>
      <c r="AY14" s="12">
        <f>SUM(AY3:AY13)</f>
        <v>172750</v>
      </c>
      <c r="BA14" s="12">
        <f>SUM(BA3:BA13)</f>
        <v>95500</v>
      </c>
      <c r="BC14" s="46">
        <f>+BC23</f>
        <v>172000</v>
      </c>
      <c r="BE14" s="12">
        <f>SUM(BE3:BE13)</f>
        <v>88000</v>
      </c>
      <c r="BG14" s="12">
        <f>SUM(BG3:BG13)</f>
        <v>203350</v>
      </c>
      <c r="BI14" s="46">
        <f>+BI23</f>
        <v>230450</v>
      </c>
      <c r="BK14" s="12">
        <f>SUM(BK3:BK13)</f>
        <v>84250</v>
      </c>
      <c r="BM14" s="12">
        <f>SUM(BM3:BM13)</f>
        <v>106200</v>
      </c>
      <c r="BO14" s="12">
        <f>SUM(BO3:BO13)</f>
        <v>151000</v>
      </c>
      <c r="BQ14" s="46">
        <f>+BQ23</f>
        <v>100000</v>
      </c>
      <c r="BS14" s="12">
        <f>SUM(BS3:BS13)</f>
        <v>141650</v>
      </c>
      <c r="BU14" s="23">
        <f>SUM(BU3:BU13)</f>
        <v>86000</v>
      </c>
      <c r="BW14" s="12">
        <v>0</v>
      </c>
      <c r="BY14" s="6">
        <f>SUM(BY3:BY13)</f>
        <v>175050</v>
      </c>
      <c r="CA14" s="6">
        <f>SUM(CA3:CA13)</f>
        <v>120950</v>
      </c>
      <c r="CC14" s="59">
        <f>+CC23</f>
        <v>247700</v>
      </c>
      <c r="CE14" s="6">
        <f>SUM(CE3:CE13)</f>
        <v>187600</v>
      </c>
      <c r="CG14" s="12">
        <v>0</v>
      </c>
      <c r="CI14" s="13">
        <f>SUM(CI3:CI13)</f>
        <v>141400</v>
      </c>
      <c r="CK14" s="46">
        <f>+CK23</f>
        <v>43100</v>
      </c>
      <c r="CM14" s="13">
        <f>100000+(315000-10000)</f>
        <v>405000</v>
      </c>
      <c r="CO14" s="12">
        <f>+CO23</f>
        <v>412900</v>
      </c>
      <c r="CQ14" s="13">
        <f>+SUM(CQ3:CQ13)+SUM('historial de venta'!G32:G37)</f>
        <v>315600</v>
      </c>
      <c r="CS14" s="13">
        <f>+SUM(CS3:CS13)</f>
        <v>205600</v>
      </c>
    </row>
    <row r="15" spans="1:97" x14ac:dyDescent="0.25">
      <c r="AQ15" s="9">
        <f>+AS14-AM18</f>
        <v>0</v>
      </c>
      <c r="BC15" s="12"/>
      <c r="BE15" s="12"/>
      <c r="BG15" s="12"/>
      <c r="BI15" s="12"/>
      <c r="BK15" s="12"/>
      <c r="BM15" s="12"/>
      <c r="BO15" s="12"/>
      <c r="BQ15" s="190">
        <v>62700</v>
      </c>
      <c r="CA15">
        <v>324300</v>
      </c>
    </row>
    <row r="16" spans="1:97" x14ac:dyDescent="0.25">
      <c r="AS16" s="9">
        <f>+AS18+AQ15</f>
        <v>108200</v>
      </c>
      <c r="BA16" s="9">
        <f>+BA18-BC23</f>
        <v>0</v>
      </c>
      <c r="BC16" s="9"/>
      <c r="BE16" s="9"/>
      <c r="BG16" s="9"/>
      <c r="BI16" s="9"/>
      <c r="BK16" s="9"/>
      <c r="BM16" s="9"/>
      <c r="BO16" s="9"/>
      <c r="BQ16" s="24">
        <f>18000+8000+8000</f>
        <v>34000</v>
      </c>
      <c r="BS16" s="9"/>
      <c r="BU16" s="9"/>
      <c r="BW16" s="9"/>
      <c r="BY16" s="9"/>
      <c r="CA16" s="9"/>
      <c r="CC16" s="9"/>
      <c r="CE16" s="9"/>
      <c r="CG16" s="9"/>
      <c r="CI16" s="9"/>
    </row>
    <row r="17" spans="1:97" x14ac:dyDescent="0.25">
      <c r="A17" s="40" t="s">
        <v>3</v>
      </c>
      <c r="B17" s="39"/>
      <c r="C17" s="40" t="str">
        <f>+C1</f>
        <v>sáb</v>
      </c>
      <c r="D17" s="39"/>
      <c r="E17" s="40" t="str">
        <f>+E1</f>
        <v>vie</v>
      </c>
      <c r="F17" s="39"/>
      <c r="G17" s="40" t="str">
        <f>+G1</f>
        <v>jue</v>
      </c>
      <c r="H17" s="39"/>
      <c r="I17" s="40" t="str">
        <f>+I1</f>
        <v>mié</v>
      </c>
      <c r="J17" s="39"/>
      <c r="K17" s="40" t="str">
        <f>+K1</f>
        <v>mar</v>
      </c>
      <c r="L17" s="39"/>
      <c r="M17" s="40" t="str">
        <f>+M1</f>
        <v>lun</v>
      </c>
      <c r="N17" s="39"/>
      <c r="O17" s="40" t="str">
        <f>+O1</f>
        <v>dom</v>
      </c>
      <c r="P17" s="39"/>
      <c r="Q17" s="40" t="str">
        <f>+Q1</f>
        <v>sáb</v>
      </c>
      <c r="R17" s="39"/>
      <c r="S17" s="40" t="str">
        <f>+S1</f>
        <v>vie</v>
      </c>
      <c r="T17" s="39"/>
      <c r="U17" s="40" t="str">
        <f>+U1</f>
        <v>jue</v>
      </c>
      <c r="V17" s="39"/>
      <c r="W17" s="40" t="str">
        <f>+W1</f>
        <v>mié</v>
      </c>
      <c r="X17" s="39"/>
      <c r="Y17" s="40" t="str">
        <f>+Y1</f>
        <v>mar</v>
      </c>
      <c r="Z17" s="39"/>
      <c r="AA17" s="40" t="str">
        <f>+AA1</f>
        <v>lun</v>
      </c>
      <c r="AB17" s="39"/>
      <c r="AC17" s="40" t="str">
        <f>+AC1</f>
        <v>dom</v>
      </c>
      <c r="AD17" s="39"/>
      <c r="AE17" s="40" t="str">
        <f>+AE1</f>
        <v>sáb</v>
      </c>
      <c r="AF17" s="39"/>
      <c r="AG17" s="40" t="str">
        <f>+AG1</f>
        <v>vie</v>
      </c>
      <c r="AH17" s="39"/>
      <c r="AI17" s="40" t="str">
        <f>+AI1</f>
        <v>jue</v>
      </c>
      <c r="AJ17" s="39"/>
      <c r="AK17" s="40" t="str">
        <f>+AK1</f>
        <v>mié</v>
      </c>
      <c r="AL17" s="39"/>
      <c r="AM17" s="40" t="str">
        <f>+AM1</f>
        <v>mar</v>
      </c>
      <c r="AN17" s="39"/>
      <c r="AO17" s="40" t="str">
        <f>+AO1</f>
        <v>lun</v>
      </c>
      <c r="AP17" s="39"/>
      <c r="AQ17" s="40" t="str">
        <f>+AQ1</f>
        <v>dom</v>
      </c>
      <c r="AR17" s="39"/>
      <c r="AS17" s="40" t="str">
        <f>+AS1</f>
        <v>sáb</v>
      </c>
      <c r="AT17" s="39"/>
      <c r="AU17" s="40">
        <f>+AR1</f>
        <v>0</v>
      </c>
      <c r="AV17" s="39"/>
      <c r="AW17" s="40" t="str">
        <f>+AW1</f>
        <v>jue</v>
      </c>
      <c r="AX17" s="39"/>
      <c r="AY17" s="40" t="str">
        <f>+AY1</f>
        <v>mié</v>
      </c>
      <c r="AZ17" s="39"/>
      <c r="BA17" s="40" t="str">
        <f>+BA1</f>
        <v>mar</v>
      </c>
      <c r="BB17" s="39"/>
      <c r="BC17" s="40" t="str">
        <f>+BC1</f>
        <v>lun</v>
      </c>
      <c r="BD17" s="39"/>
      <c r="BE17" s="40" t="str">
        <f>+BE1</f>
        <v>dom</v>
      </c>
      <c r="BF17" s="39"/>
      <c r="BG17" s="40" t="str">
        <f>+BG1</f>
        <v>sáb</v>
      </c>
      <c r="BH17" s="39"/>
      <c r="BI17" s="40" t="str">
        <f>+BI1</f>
        <v>vie</v>
      </c>
      <c r="BJ17" s="39"/>
      <c r="BK17" s="40" t="str">
        <f>+BK1</f>
        <v>jue</v>
      </c>
      <c r="BL17" s="39"/>
      <c r="BM17" s="40" t="str">
        <f>+BM1</f>
        <v>mié</v>
      </c>
      <c r="BN17" s="39"/>
      <c r="BO17" s="40" t="str">
        <f>+BO1</f>
        <v>mar</v>
      </c>
      <c r="BP17" s="39"/>
      <c r="BQ17" s="40" t="str">
        <f>+BQ1</f>
        <v>lun</v>
      </c>
      <c r="BR17" s="39"/>
      <c r="BS17" s="40" t="str">
        <f>+BS1</f>
        <v>dom</v>
      </c>
      <c r="BT17" s="39"/>
      <c r="BU17" s="40" t="str">
        <f>+BU1</f>
        <v>sáb</v>
      </c>
      <c r="BV17" s="39"/>
      <c r="BW17" s="40" t="str">
        <f>+BW1</f>
        <v>vie</v>
      </c>
      <c r="BX17" s="39"/>
      <c r="BY17" s="40" t="str">
        <f>+BY1</f>
        <v>jue</v>
      </c>
      <c r="BZ17" s="39"/>
      <c r="CA17" s="40" t="str">
        <f>+CA1</f>
        <v>mié</v>
      </c>
      <c r="CB17" s="39"/>
      <c r="CC17" s="40" t="str">
        <f>+CC1</f>
        <v>mar</v>
      </c>
      <c r="CD17" s="39"/>
      <c r="CE17" s="40" t="str">
        <f>+CE1</f>
        <v>lun</v>
      </c>
      <c r="CF17" s="39"/>
      <c r="CG17" s="40" t="str">
        <f>+CG1</f>
        <v>dom</v>
      </c>
      <c r="CH17" s="39"/>
      <c r="CI17" s="40" t="s">
        <v>197</v>
      </c>
      <c r="CJ17" s="39"/>
      <c r="CK17" s="40" t="s">
        <v>189</v>
      </c>
      <c r="CL17" s="39"/>
      <c r="CM17" s="40" t="s">
        <v>161</v>
      </c>
      <c r="CN17" s="39"/>
      <c r="CO17" s="40" t="s">
        <v>160</v>
      </c>
      <c r="CP17" s="38"/>
      <c r="CQ17" s="40" t="s">
        <v>159</v>
      </c>
      <c r="CS17" s="40" t="s">
        <v>158</v>
      </c>
    </row>
    <row r="18" spans="1:97" x14ac:dyDescent="0.25">
      <c r="A18" s="14" t="s">
        <v>133</v>
      </c>
      <c r="C18" s="14">
        <f>+E23</f>
        <v>122750</v>
      </c>
      <c r="E18" s="14">
        <f>+G23</f>
        <v>-6250</v>
      </c>
      <c r="G18" s="14">
        <f>+I23</f>
        <v>349000</v>
      </c>
      <c r="I18" s="14">
        <f>+K23</f>
        <v>259750</v>
      </c>
      <c r="K18" s="14">
        <f>+M23</f>
        <v>75750</v>
      </c>
      <c r="M18" s="14">
        <f>+O23</f>
        <v>75750</v>
      </c>
      <c r="O18" s="14">
        <f>+Q23</f>
        <v>75750</v>
      </c>
      <c r="Q18" s="14">
        <f>+S23</f>
        <v>75750</v>
      </c>
      <c r="S18" s="14">
        <f>+U23</f>
        <v>75750</v>
      </c>
      <c r="U18" s="14">
        <f>+W23</f>
        <v>75750</v>
      </c>
      <c r="W18" s="14">
        <f>+Y23</f>
        <v>72250</v>
      </c>
      <c r="Y18" s="14">
        <f>+AA23</f>
        <v>196250</v>
      </c>
      <c r="AA18" s="14">
        <f>+AC23</f>
        <v>186250</v>
      </c>
      <c r="AC18" s="14">
        <f>+AE23</f>
        <v>436250</v>
      </c>
      <c r="AE18" s="14">
        <f>+AG23</f>
        <v>314850</v>
      </c>
      <c r="AG18" s="14">
        <f>+AI23</f>
        <v>334850</v>
      </c>
      <c r="AI18" s="14">
        <f>+AK23</f>
        <v>250850</v>
      </c>
      <c r="AK18" s="14">
        <f>+AM23</f>
        <v>215200</v>
      </c>
      <c r="AM18" s="14">
        <f>+AO23</f>
        <v>144700</v>
      </c>
      <c r="AO18" s="14">
        <f>+AQ18</f>
        <v>144700</v>
      </c>
      <c r="AQ18" s="14">
        <f>+AS23</f>
        <v>144700</v>
      </c>
      <c r="AS18" s="14">
        <f>+AU23</f>
        <v>108200</v>
      </c>
      <c r="AU18" s="14">
        <f>+AW23</f>
        <v>331200</v>
      </c>
      <c r="AW18" s="14">
        <f>+AY23</f>
        <v>172750</v>
      </c>
      <c r="AY18" s="14">
        <f>+BA23</f>
        <v>95500</v>
      </c>
      <c r="BA18" s="14">
        <f>+BC23</f>
        <v>172000</v>
      </c>
      <c r="BC18" s="14">
        <f>+BE23</f>
        <v>88000</v>
      </c>
      <c r="BE18" s="14">
        <f>+BG23</f>
        <v>149950</v>
      </c>
      <c r="BG18" s="14">
        <f>+BI23</f>
        <v>230450</v>
      </c>
      <c r="BI18" s="14">
        <f>+BK23</f>
        <v>97950</v>
      </c>
      <c r="BK18" s="14">
        <f>+BM23</f>
        <v>88400</v>
      </c>
      <c r="BM18" s="14">
        <f>+BO23</f>
        <v>151000</v>
      </c>
      <c r="BO18" s="14">
        <f>+BQ23</f>
        <v>100000</v>
      </c>
      <c r="BQ18" s="14">
        <f>+BS23</f>
        <v>110200</v>
      </c>
      <c r="BS18" s="14">
        <f>+BU23</f>
        <v>143550</v>
      </c>
      <c r="BU18" s="14">
        <f>+BY23</f>
        <v>131350</v>
      </c>
      <c r="BW18" s="57">
        <v>0</v>
      </c>
      <c r="BY18" s="14">
        <f>+CA23</f>
        <v>73250</v>
      </c>
      <c r="CA18" s="58">
        <f>+CC23</f>
        <v>247700</v>
      </c>
      <c r="CC18" s="24">
        <f>+CE23</f>
        <v>201400</v>
      </c>
      <c r="CE18" s="24">
        <f>+CI23</f>
        <v>141400</v>
      </c>
      <c r="CG18" s="57">
        <v>0</v>
      </c>
      <c r="CI18" s="24">
        <f>+CK23</f>
        <v>43100</v>
      </c>
      <c r="CK18" s="41">
        <f>+CM23</f>
        <v>405000</v>
      </c>
      <c r="CM18" s="41">
        <f>+CO23</f>
        <v>412900</v>
      </c>
      <c r="CO18" s="41">
        <f>+CQ23</f>
        <v>315600</v>
      </c>
      <c r="CQ18" s="41">
        <f>$CS$23</f>
        <v>205600</v>
      </c>
      <c r="CS18" s="14">
        <v>73700</v>
      </c>
    </row>
    <row r="19" spans="1:97" x14ac:dyDescent="0.25">
      <c r="A19" s="14" t="s">
        <v>198</v>
      </c>
      <c r="C19" s="57">
        <v>0</v>
      </c>
      <c r="E19" s="57">
        <v>0</v>
      </c>
      <c r="G19" s="57">
        <v>0</v>
      </c>
      <c r="I19" s="189">
        <v>40250</v>
      </c>
      <c r="K19" s="57">
        <v>0</v>
      </c>
      <c r="M19" s="57">
        <v>0</v>
      </c>
      <c r="O19" s="57">
        <v>0</v>
      </c>
      <c r="Q19" s="57">
        <v>0</v>
      </c>
      <c r="S19" s="57">
        <v>0</v>
      </c>
      <c r="U19" s="57">
        <v>0</v>
      </c>
      <c r="W19" s="57">
        <v>0</v>
      </c>
      <c r="Y19" s="57">
        <v>0</v>
      </c>
      <c r="AA19" s="57">
        <v>0</v>
      </c>
      <c r="AC19" s="57">
        <v>0</v>
      </c>
      <c r="AE19" s="190">
        <v>-2600</v>
      </c>
      <c r="AG19" s="57">
        <v>0</v>
      </c>
      <c r="AI19" s="57">
        <v>0</v>
      </c>
      <c r="AK19" s="57">
        <v>0</v>
      </c>
      <c r="AM19" s="189">
        <f>1800</f>
        <v>1800</v>
      </c>
      <c r="AO19" s="41">
        <v>0</v>
      </c>
      <c r="AQ19" s="57"/>
      <c r="AS19" s="57"/>
      <c r="AU19" s="57">
        <v>0</v>
      </c>
      <c r="AW19" s="57">
        <v>0</v>
      </c>
      <c r="AY19" s="57">
        <v>0</v>
      </c>
      <c r="BA19" s="190">
        <v>-3000</v>
      </c>
      <c r="BC19" s="57">
        <v>0</v>
      </c>
      <c r="BE19" s="189">
        <f>+SUM(BM25,BK25,BG25)+2900</f>
        <v>60400</v>
      </c>
      <c r="BG19" s="57"/>
      <c r="BI19" s="57">
        <v>0</v>
      </c>
      <c r="BK19" s="57">
        <v>0</v>
      </c>
      <c r="BM19" s="55">
        <v>0</v>
      </c>
      <c r="BO19" s="57">
        <v>0</v>
      </c>
      <c r="BQ19" s="190">
        <f>-SUM(CE25,CA25,BY25,BU25,BS25)-1200</f>
        <v>-52700</v>
      </c>
      <c r="BS19" s="57"/>
      <c r="BU19" s="57"/>
      <c r="BW19" s="57">
        <v>0</v>
      </c>
      <c r="BY19" s="57">
        <v>0</v>
      </c>
      <c r="CA19" s="189"/>
      <c r="CC19" s="57">
        <v>0</v>
      </c>
      <c r="CE19" s="57">
        <v>0</v>
      </c>
      <c r="CG19" s="57">
        <v>0</v>
      </c>
      <c r="CI19" s="189">
        <v>88200</v>
      </c>
      <c r="CK19" s="190">
        <v>-7900</v>
      </c>
      <c r="CM19" s="190">
        <v>-7900</v>
      </c>
      <c r="CO19" s="41">
        <v>0</v>
      </c>
      <c r="CQ19" s="190">
        <v>-3000</v>
      </c>
      <c r="CS19" s="14">
        <v>0</v>
      </c>
    </row>
    <row r="20" spans="1:97" x14ac:dyDescent="0.25">
      <c r="A20" s="14" t="s">
        <v>132</v>
      </c>
      <c r="C20" s="57">
        <v>282000</v>
      </c>
      <c r="E20" s="57">
        <v>153000</v>
      </c>
      <c r="G20" s="57">
        <v>68000</v>
      </c>
      <c r="I20" s="57">
        <v>134000</v>
      </c>
      <c r="K20" s="57">
        <v>247000</v>
      </c>
      <c r="M20" s="57">
        <v>0</v>
      </c>
      <c r="O20" s="57">
        <v>0</v>
      </c>
      <c r="Q20" s="57">
        <v>0</v>
      </c>
      <c r="S20" s="57">
        <v>0</v>
      </c>
      <c r="U20" s="57">
        <v>0</v>
      </c>
      <c r="W20" s="57">
        <v>3500</v>
      </c>
      <c r="Y20" s="57">
        <v>76000</v>
      </c>
      <c r="AA20" s="57">
        <v>30000</v>
      </c>
      <c r="AC20" s="57">
        <v>0</v>
      </c>
      <c r="AE20" s="57">
        <v>139000</v>
      </c>
      <c r="AG20" s="57">
        <v>0</v>
      </c>
      <c r="AI20" s="57">
        <v>104000</v>
      </c>
      <c r="AK20" s="57">
        <v>58500</v>
      </c>
      <c r="AM20" s="57">
        <f>130700+8000</f>
        <v>138700</v>
      </c>
      <c r="AO20" s="41">
        <v>0</v>
      </c>
      <c r="AQ20" s="57"/>
      <c r="AS20" s="57">
        <v>126500</v>
      </c>
      <c r="AU20" s="57">
        <v>107000</v>
      </c>
      <c r="AW20" s="57">
        <v>207700</v>
      </c>
      <c r="AY20" s="57">
        <v>77250</v>
      </c>
      <c r="BA20" s="57">
        <v>176500</v>
      </c>
      <c r="BC20" s="57">
        <v>99000</v>
      </c>
      <c r="BE20" s="57">
        <v>99000</v>
      </c>
      <c r="BG20" s="57">
        <v>271000</v>
      </c>
      <c r="BI20" s="57">
        <f>Registros!$C$13</f>
        <v>132500</v>
      </c>
      <c r="BK20" s="57">
        <f>67000+24000</f>
        <v>91000</v>
      </c>
      <c r="BM20" s="57">
        <v>338500</v>
      </c>
      <c r="BO20" s="57">
        <v>51000</v>
      </c>
      <c r="BQ20" s="57">
        <v>172500</v>
      </c>
      <c r="BS20" s="24">
        <v>123500</v>
      </c>
      <c r="BU20" s="57">
        <v>225500</v>
      </c>
      <c r="BW20" s="41">
        <v>0</v>
      </c>
      <c r="BY20" s="57">
        <v>143500</v>
      </c>
      <c r="CA20" s="57">
        <f>260000-18000-8000</f>
        <v>234000</v>
      </c>
      <c r="CC20" s="57">
        <v>105000</v>
      </c>
      <c r="CE20" s="41">
        <v>60000</v>
      </c>
      <c r="CG20" s="41">
        <v>0</v>
      </c>
      <c r="CI20" s="41">
        <v>456500</v>
      </c>
      <c r="CK20" s="41">
        <v>186000</v>
      </c>
      <c r="CM20" s="41">
        <v>84000</v>
      </c>
      <c r="CO20" s="41">
        <v>344000</v>
      </c>
      <c r="CQ20" s="41">
        <v>213000</v>
      </c>
      <c r="CS20" s="14">
        <v>191900</v>
      </c>
    </row>
    <row r="21" spans="1:97" x14ac:dyDescent="0.25">
      <c r="A21" s="14" t="s">
        <v>134</v>
      </c>
      <c r="C21" s="57">
        <v>14400</v>
      </c>
      <c r="E21" s="57">
        <f>16000+8000</f>
        <v>24000</v>
      </c>
      <c r="G21" s="57">
        <v>0</v>
      </c>
      <c r="I21" s="57">
        <v>0</v>
      </c>
      <c r="K21" s="57">
        <v>63000</v>
      </c>
      <c r="M21" s="57">
        <v>0</v>
      </c>
      <c r="O21" s="57">
        <v>0</v>
      </c>
      <c r="Q21" s="57">
        <v>0</v>
      </c>
      <c r="S21" s="57">
        <v>0</v>
      </c>
      <c r="U21" s="57">
        <v>0</v>
      </c>
      <c r="W21" s="57">
        <v>0</v>
      </c>
      <c r="Y21" s="57">
        <v>0</v>
      </c>
      <c r="AA21" s="57">
        <v>20000</v>
      </c>
      <c r="AC21" s="57">
        <v>0</v>
      </c>
      <c r="AE21" s="57">
        <v>15000</v>
      </c>
      <c r="AG21" s="57">
        <v>20000</v>
      </c>
      <c r="AI21" s="57">
        <v>20000</v>
      </c>
      <c r="AK21" s="41">
        <v>22850</v>
      </c>
      <c r="AM21" s="57">
        <v>70000</v>
      </c>
      <c r="AO21" s="41">
        <v>0</v>
      </c>
      <c r="AQ21" s="57"/>
      <c r="AS21" s="57">
        <f>70000+20000</f>
        <v>90000</v>
      </c>
      <c r="AU21" s="57">
        <f>30000+70000</f>
        <v>100000</v>
      </c>
      <c r="AW21" s="57">
        <f>13500+7800+27950</f>
        <v>49250</v>
      </c>
      <c r="AY21" s="57"/>
      <c r="BA21" s="57"/>
      <c r="BC21" s="57">
        <v>15000</v>
      </c>
      <c r="BE21" s="57">
        <f>Gas!$C$15</f>
        <v>221350</v>
      </c>
      <c r="BG21" s="57">
        <f>30000+120000+50000+51500</f>
        <v>251500</v>
      </c>
      <c r="BI21" s="57"/>
      <c r="BK21" s="57">
        <f>4500+21600</f>
        <v>26100</v>
      </c>
      <c r="BM21" s="41">
        <f>140000+1000+20500+55800+43800+40000</f>
        <v>301100</v>
      </c>
      <c r="BO21" s="41">
        <v>0</v>
      </c>
      <c r="BQ21" s="41">
        <v>30000</v>
      </c>
      <c r="BS21" s="41">
        <f>10000+20000+26850</f>
        <v>56850</v>
      </c>
      <c r="BU21" s="41">
        <v>213300</v>
      </c>
      <c r="BW21" s="41">
        <v>0</v>
      </c>
      <c r="BY21" s="41">
        <f>38050+17000+7450+22400+500</f>
        <v>85400</v>
      </c>
      <c r="CA21" s="41">
        <f>20000+124400+3500+11000+16500+46350+50000+14000</f>
        <v>285750</v>
      </c>
      <c r="CC21" s="41">
        <f>30000+28700</f>
        <v>58700</v>
      </c>
      <c r="CE21" s="41">
        <v>0</v>
      </c>
      <c r="CG21" s="41">
        <v>0</v>
      </c>
      <c r="CI21" s="41">
        <f>20000+70000+6400</f>
        <v>96400</v>
      </c>
      <c r="CK21" s="41">
        <f>10000+70000+20000+20000+(120000)</f>
        <v>240000</v>
      </c>
      <c r="CM21" s="41">
        <f>$CM$20</f>
        <v>84000</v>
      </c>
      <c r="CO21" s="41">
        <f>70000+36700+120000+20000</f>
        <v>246700</v>
      </c>
      <c r="CQ21" s="41">
        <v>100000</v>
      </c>
      <c r="CS21" s="41">
        <f>60000</f>
        <v>60000</v>
      </c>
    </row>
    <row r="22" spans="1:97" ht="15.75" thickBot="1" x14ac:dyDescent="0.3">
      <c r="A22" s="14" t="s">
        <v>298</v>
      </c>
      <c r="C22" s="42">
        <v>0</v>
      </c>
      <c r="E22" s="42">
        <v>0</v>
      </c>
      <c r="G22" s="42">
        <v>423250</v>
      </c>
      <c r="I22" s="42">
        <f>65000+20000</f>
        <v>85000</v>
      </c>
      <c r="K22" s="42">
        <v>0</v>
      </c>
      <c r="M22" s="42">
        <v>0</v>
      </c>
      <c r="O22" s="42">
        <v>0</v>
      </c>
      <c r="Q22" s="42">
        <v>0</v>
      </c>
      <c r="S22" s="42">
        <v>0</v>
      </c>
      <c r="U22" s="42">
        <v>0</v>
      </c>
      <c r="W22" s="42">
        <v>0</v>
      </c>
      <c r="Y22" s="42">
        <v>200000</v>
      </c>
      <c r="AA22" s="42">
        <v>0</v>
      </c>
      <c r="AC22" s="42">
        <v>250000</v>
      </c>
      <c r="AE22" s="42">
        <v>0</v>
      </c>
      <c r="AG22" s="42">
        <v>0</v>
      </c>
      <c r="AI22" s="42">
        <v>0</v>
      </c>
      <c r="AK22" s="42">
        <v>0</v>
      </c>
      <c r="AM22" s="42">
        <v>0</v>
      </c>
      <c r="AO22" s="42">
        <v>0</v>
      </c>
      <c r="AQ22" s="42">
        <v>0</v>
      </c>
      <c r="AS22" s="42">
        <v>0</v>
      </c>
      <c r="AU22" s="42">
        <v>230000</v>
      </c>
      <c r="AW22" s="42">
        <v>0</v>
      </c>
      <c r="AY22" s="42">
        <v>0</v>
      </c>
      <c r="BA22" s="42">
        <v>250000</v>
      </c>
      <c r="BC22" s="42"/>
      <c r="BE22" s="42"/>
      <c r="BG22" s="42">
        <v>100000</v>
      </c>
      <c r="BI22" s="42"/>
      <c r="BK22" s="42">
        <f>4000+51350</f>
        <v>55350</v>
      </c>
      <c r="BM22" s="42">
        <v>100000</v>
      </c>
      <c r="BO22" s="42">
        <v>0</v>
      </c>
      <c r="BQ22" s="42">
        <v>100000</v>
      </c>
      <c r="BS22" s="42">
        <v>100000</v>
      </c>
      <c r="BU22" s="42"/>
      <c r="BW22" s="42">
        <v>0</v>
      </c>
      <c r="BY22" s="42"/>
      <c r="CA22" s="42">
        <v>122700</v>
      </c>
      <c r="CC22" s="42">
        <v>0</v>
      </c>
      <c r="CE22" s="42">
        <v>0</v>
      </c>
      <c r="CG22" s="42">
        <v>0</v>
      </c>
      <c r="CI22" s="42">
        <f>350000</f>
        <v>350000</v>
      </c>
      <c r="CK22" s="42">
        <v>300000</v>
      </c>
      <c r="CM22" s="42"/>
      <c r="CO22" s="42"/>
      <c r="CQ22" s="42"/>
      <c r="CS22" s="42"/>
    </row>
    <row r="23" spans="1:97" ht="15.75" thickTop="1" x14ac:dyDescent="0.25">
      <c r="C23" s="13">
        <f>+SUM(C18:C20)-SUM(C21:C22)</f>
        <v>390350</v>
      </c>
      <c r="E23" s="13">
        <f>+SUM(E18:E20)-SUM(E21:E22)</f>
        <v>122750</v>
      </c>
      <c r="G23" s="13">
        <f>+SUM(G18:G20)-SUM(G21:G22)</f>
        <v>-6250</v>
      </c>
      <c r="I23" s="13">
        <f>+SUM(I18:I20)-SUM(I21:I22)</f>
        <v>349000</v>
      </c>
      <c r="K23" s="13">
        <f>+SUM(K18:K20)-SUM(K21:K22)</f>
        <v>259750</v>
      </c>
      <c r="M23" s="13">
        <f>+SUM(M18:M20)-SUM(M21:M22)</f>
        <v>75750</v>
      </c>
      <c r="O23" s="13">
        <f>+SUM(O18:O20)-SUM(O21:O22)</f>
        <v>75750</v>
      </c>
      <c r="Q23" s="13">
        <f>+SUM(Q18:Q20)-SUM(Q21:Q22)</f>
        <v>75750</v>
      </c>
      <c r="S23" s="13">
        <f>+SUM(S18:S20)-SUM(S21:S22)</f>
        <v>75750</v>
      </c>
      <c r="U23" s="13">
        <f>+SUM(U18:U20)-SUM(U21:U22)</f>
        <v>75750</v>
      </c>
      <c r="W23" s="13">
        <f>+SUM(W18:W20)-SUM(W21:W22)</f>
        <v>75750</v>
      </c>
      <c r="Y23" s="13">
        <f>+SUM(Y18:Y20)-SUM(Y21:Y22)</f>
        <v>72250</v>
      </c>
      <c r="AA23" s="13">
        <f>+SUM(AA18:AA20)-SUM(AA21:AA22)</f>
        <v>196250</v>
      </c>
      <c r="AC23" s="13">
        <f>+SUM(AC18:AC20)-SUM(AC21:AC22)</f>
        <v>186250</v>
      </c>
      <c r="AE23" s="13">
        <f>+SUM(AE18:AE20)-SUM(AE21:AE22)</f>
        <v>436250</v>
      </c>
      <c r="AG23" s="9">
        <f>+SUM(AG18:AG20)-SUM(AG21:AG22)</f>
        <v>314850</v>
      </c>
      <c r="AI23" s="9">
        <f>+SUM(AI18:AI20)-SUM(AI21:AI22)</f>
        <v>334850</v>
      </c>
      <c r="AK23" s="9">
        <f>+SUM(AK18:AK20)-SUM(AK21:AK22)</f>
        <v>250850</v>
      </c>
      <c r="AM23" s="9">
        <f>+SUM(AM18:AM20)-SUM(AM21:AM22)</f>
        <v>215200</v>
      </c>
      <c r="AO23" s="9">
        <f>+SUM(AO18:AO20)-SUM(AO21:AO22)</f>
        <v>144700</v>
      </c>
      <c r="AQ23" s="9">
        <f>+SUM(AQ18:AQ20)-SUM(AQ21:AQ22)</f>
        <v>144700</v>
      </c>
      <c r="AS23" s="9">
        <f>+SUM(AS18:AS20)-SUM(AS21:AS22)</f>
        <v>144700</v>
      </c>
      <c r="AU23" s="9">
        <f>+SUM(AU18:AU20)-SUM(AU21:AU22)</f>
        <v>108200</v>
      </c>
      <c r="AW23" s="9">
        <f>+SUM(AW18:AW20)-SUM(AW21:AW22)</f>
        <v>331200</v>
      </c>
      <c r="AY23" s="9">
        <f>+SUM(AY18:AY20)-SUM(AY21:AY22)</f>
        <v>172750</v>
      </c>
      <c r="BA23" s="9">
        <f>+SUM(BA18:BA20)-SUM(BA21:BA22)</f>
        <v>95500</v>
      </c>
      <c r="BC23" s="9">
        <f>+SUM(BC18:BC20)-SUM(BC21:BC22)</f>
        <v>172000</v>
      </c>
      <c r="BE23" s="9">
        <f>+SUM(BE18:BE20)-SUM(BE21:BE22)</f>
        <v>88000</v>
      </c>
      <c r="BG23" s="13">
        <f>+SUM(BG18:BG20)-SUM(BG21:BG22)</f>
        <v>149950</v>
      </c>
      <c r="BI23" s="13">
        <f>+SUM(BI18:BI20)-SUM(BI21:BI22)</f>
        <v>230450</v>
      </c>
      <c r="BK23" s="13">
        <f>+SUM(BK18:BK20)-SUM(BK21:BK22)</f>
        <v>97950</v>
      </c>
      <c r="BM23" s="13">
        <f>+SUM(BM18:BM20)-SUM(BM21:BM22)</f>
        <v>88400</v>
      </c>
      <c r="BO23" s="13">
        <f>+SUM(BO18:BO20)-SUM(BO21:BO22)</f>
        <v>151000</v>
      </c>
      <c r="BQ23" s="13">
        <f>+SUM(BQ18:BQ20)-SUM(BQ21:BQ22)</f>
        <v>100000</v>
      </c>
      <c r="BS23" s="13">
        <f>+SUM(BS18:BS20)-SUM(BS21:BS22)</f>
        <v>110200</v>
      </c>
      <c r="BU23" s="13">
        <f>+SUM(BU18:BU20)-BU21</f>
        <v>143550</v>
      </c>
      <c r="BW23" s="9">
        <v>0</v>
      </c>
      <c r="BY23" s="13">
        <f>+SUM(BY18:BY20)-BY21</f>
        <v>131350</v>
      </c>
      <c r="CA23" s="13">
        <f>+SUM(CA18:CA20)-SUM(CA21:CA22)</f>
        <v>73250</v>
      </c>
      <c r="CC23" s="13">
        <f>+SUM(CC18:CC20)-SUM(CC21:CC22)</f>
        <v>247700</v>
      </c>
      <c r="CE23" s="13">
        <f>+SUM(CE18:CE20)-SUM(CE21:CE22)</f>
        <v>201400</v>
      </c>
      <c r="CG23" s="9">
        <v>0</v>
      </c>
      <c r="CI23" s="13">
        <f>+SUM(CI18:CI20)-SUM(CI21:CI22)</f>
        <v>141400</v>
      </c>
      <c r="CK23" s="13">
        <f>+SUM(CK18:CK20)-SUM(CK21:CK22)</f>
        <v>43100</v>
      </c>
      <c r="CM23" s="13">
        <f>+SUM(CM18:CM20)-CM21</f>
        <v>405000</v>
      </c>
      <c r="CO23" s="9">
        <f>+CO18+CO20-CO21</f>
        <v>412900</v>
      </c>
      <c r="CQ23" s="13">
        <f>+SUM(CQ18:CQ20)-SUM(CQ21:CQ22)</f>
        <v>315600</v>
      </c>
      <c r="CS23" s="13">
        <f>+CS18+CS20-CS21</f>
        <v>205600</v>
      </c>
    </row>
    <row r="25" spans="1:97" x14ac:dyDescent="0.25">
      <c r="A25" s="48" t="s">
        <v>191</v>
      </c>
      <c r="B25" s="49"/>
      <c r="C25" s="74">
        <f>C14-C23</f>
        <v>-19800</v>
      </c>
      <c r="D25" s="49"/>
      <c r="E25" s="74">
        <f>E14-E23</f>
        <v>0</v>
      </c>
      <c r="F25" s="49"/>
      <c r="G25" s="74">
        <f>G14-G23</f>
        <v>0</v>
      </c>
      <c r="H25" s="49"/>
      <c r="I25" s="74">
        <f>I14-I23</f>
        <v>0</v>
      </c>
      <c r="J25" s="49"/>
      <c r="K25" s="74">
        <f>K14-K23</f>
        <v>0</v>
      </c>
      <c r="L25" s="49"/>
      <c r="M25" s="74">
        <f>M14-M23</f>
        <v>0</v>
      </c>
      <c r="N25" s="49"/>
      <c r="O25" s="74">
        <f>O14-O23</f>
        <v>0</v>
      </c>
      <c r="P25" s="49"/>
      <c r="Q25" s="74">
        <f>Q14-Q23</f>
        <v>0</v>
      </c>
      <c r="R25" s="49"/>
      <c r="S25" s="74">
        <f>S14-S23</f>
        <v>0</v>
      </c>
      <c r="T25" s="49"/>
      <c r="U25" s="74">
        <f>U14-U23</f>
        <v>0</v>
      </c>
      <c r="V25" s="49"/>
      <c r="W25" s="74">
        <f>W14-W23</f>
        <v>0</v>
      </c>
      <c r="X25" s="49"/>
      <c r="Y25" s="74">
        <f>Y14-Y23</f>
        <v>0</v>
      </c>
      <c r="Z25" s="49"/>
      <c r="AA25" s="74">
        <f>AA14-AA23</f>
        <v>0</v>
      </c>
      <c r="AB25" s="49"/>
      <c r="AC25" s="74">
        <f>AC14-AC23</f>
        <v>0</v>
      </c>
      <c r="AD25" s="49"/>
      <c r="AE25" s="74">
        <f>AE14-AE23</f>
        <v>0</v>
      </c>
      <c r="AF25" s="49"/>
      <c r="AG25" s="49">
        <f>AG14-AG23</f>
        <v>0</v>
      </c>
      <c r="AH25" s="49"/>
      <c r="AI25" s="49">
        <f>AI14-AI23</f>
        <v>0</v>
      </c>
      <c r="AJ25" s="49"/>
      <c r="AK25" s="49">
        <f>AK14-AK23</f>
        <v>0</v>
      </c>
      <c r="AL25" s="49"/>
      <c r="AM25" s="74">
        <f>AM14-AM23</f>
        <v>0</v>
      </c>
      <c r="AN25" s="49"/>
      <c r="AO25" s="49">
        <f>AO14-AO23</f>
        <v>0</v>
      </c>
      <c r="AP25" s="49"/>
      <c r="AQ25" s="49">
        <f>AQ14-AQ23</f>
        <v>0</v>
      </c>
      <c r="AR25" s="49"/>
      <c r="AS25" s="74">
        <f>AS14-AS23</f>
        <v>0</v>
      </c>
      <c r="AT25" s="49"/>
      <c r="AU25" s="74">
        <f>AU14-AU23</f>
        <v>0</v>
      </c>
      <c r="AV25" s="49"/>
      <c r="AW25" s="74">
        <f>AW14-AW23</f>
        <v>0</v>
      </c>
      <c r="AX25" s="49"/>
      <c r="AY25" s="74">
        <f>AY14-AY23</f>
        <v>0</v>
      </c>
      <c r="AZ25" s="49"/>
      <c r="BA25" s="74">
        <f>BA14-BA23</f>
        <v>0</v>
      </c>
      <c r="BB25" s="49"/>
      <c r="BC25" s="49">
        <f>BC14-BC23</f>
        <v>0</v>
      </c>
      <c r="BD25" s="49"/>
      <c r="BE25" s="49">
        <f>BE14-BE23</f>
        <v>0</v>
      </c>
      <c r="BF25" s="49"/>
      <c r="BG25" s="49">
        <f>BG14-BG23</f>
        <v>53400</v>
      </c>
      <c r="BH25" s="49"/>
      <c r="BI25" s="49">
        <f>BI14-BI23</f>
        <v>0</v>
      </c>
      <c r="BJ25" s="49"/>
      <c r="BK25" s="49">
        <f>BK14-BK23</f>
        <v>-13700</v>
      </c>
      <c r="BL25" s="49"/>
      <c r="BM25" s="49">
        <f>BM14-BM23</f>
        <v>17800</v>
      </c>
      <c r="BN25" s="49"/>
      <c r="BO25" s="74">
        <f>BO14-BO23</f>
        <v>0</v>
      </c>
      <c r="BP25" s="49"/>
      <c r="BQ25" s="49">
        <f>BQ14-BQ23</f>
        <v>0</v>
      </c>
      <c r="BR25" s="49"/>
      <c r="BS25" s="49">
        <f>BS14-BS23</f>
        <v>31450</v>
      </c>
      <c r="BT25" s="49"/>
      <c r="BU25" s="49">
        <f>BU14-BU23</f>
        <v>-57550</v>
      </c>
      <c r="BV25" s="49"/>
      <c r="BW25" s="49">
        <f>BW14-BW23</f>
        <v>0</v>
      </c>
      <c r="BX25" s="49"/>
      <c r="BY25" s="49">
        <f>BY14-BY23</f>
        <v>43700</v>
      </c>
      <c r="BZ25" s="49"/>
      <c r="CA25" s="49">
        <f>CA14-CA23</f>
        <v>47700</v>
      </c>
      <c r="CB25" s="49"/>
      <c r="CC25" s="49">
        <f>CC14-CC23</f>
        <v>0</v>
      </c>
      <c r="CD25" s="49"/>
      <c r="CE25" s="49">
        <f>CE14-CE23</f>
        <v>-13800</v>
      </c>
      <c r="CF25" s="49"/>
      <c r="CG25" s="49">
        <f>CG14-CG23</f>
        <v>0</v>
      </c>
      <c r="CH25" s="49"/>
      <c r="CI25" s="49">
        <f>CI14-CI23</f>
        <v>0</v>
      </c>
      <c r="CJ25" s="49"/>
      <c r="CK25" s="49">
        <f>CK14-CK23</f>
        <v>0</v>
      </c>
      <c r="CL25" s="49"/>
      <c r="CM25" s="49">
        <f>CM14-CM23</f>
        <v>0</v>
      </c>
      <c r="CN25" s="49"/>
      <c r="CO25" s="49">
        <f>CO14-CO23</f>
        <v>0</v>
      </c>
      <c r="CP25" s="49"/>
      <c r="CQ25" s="49">
        <f>CQ14-CQ23</f>
        <v>0</v>
      </c>
      <c r="CS25" s="49">
        <f>CS14-CS23</f>
        <v>0</v>
      </c>
    </row>
    <row r="26" spans="1:97" x14ac:dyDescent="0.25">
      <c r="A26"/>
    </row>
    <row r="27" spans="1:97" x14ac:dyDescent="0.25">
      <c r="A27" s="14" t="s">
        <v>318</v>
      </c>
      <c r="C27" s="57">
        <v>0</v>
      </c>
      <c r="E27" s="57">
        <v>0</v>
      </c>
      <c r="G27" s="57">
        <v>0</v>
      </c>
      <c r="I27" s="57">
        <v>0</v>
      </c>
      <c r="K27" s="57">
        <v>0</v>
      </c>
      <c r="M27" s="57">
        <v>0</v>
      </c>
      <c r="O27" s="57">
        <v>0</v>
      </c>
      <c r="Q27" s="57">
        <v>0</v>
      </c>
      <c r="S27" s="57">
        <v>0</v>
      </c>
      <c r="U27" s="57">
        <v>0</v>
      </c>
      <c r="W27" s="57">
        <v>0</v>
      </c>
      <c r="Y27" s="57">
        <v>0</v>
      </c>
      <c r="AA27" s="57">
        <v>0</v>
      </c>
      <c r="AC27" s="57">
        <v>0</v>
      </c>
      <c r="AE27" s="57">
        <v>0</v>
      </c>
      <c r="AG27" s="57">
        <v>0</v>
      </c>
      <c r="AI27" s="57">
        <v>0</v>
      </c>
      <c r="AK27" s="57">
        <v>0</v>
      </c>
      <c r="AM27" s="57">
        <v>0</v>
      </c>
      <c r="AO27" s="57">
        <v>0</v>
      </c>
      <c r="AQ27" s="57">
        <v>0</v>
      </c>
      <c r="AS27" s="57">
        <v>0</v>
      </c>
      <c r="AU27" s="57">
        <v>0</v>
      </c>
      <c r="AW27" s="57">
        <v>0</v>
      </c>
      <c r="AY27" s="57">
        <v>0</v>
      </c>
      <c r="BA27" s="57">
        <f>+BC27+BA22</f>
        <v>344950</v>
      </c>
      <c r="BC27" s="57">
        <f>+BE27</f>
        <v>94950</v>
      </c>
      <c r="BE27" s="57">
        <f>+BG27-50000</f>
        <v>94950</v>
      </c>
      <c r="BG27" s="57">
        <f>+BI27+BG22</f>
        <v>144950</v>
      </c>
      <c r="BI27" s="57">
        <f>+BK27</f>
        <v>44950</v>
      </c>
      <c r="BK27" s="57">
        <f>+BM27-43000</f>
        <v>44950</v>
      </c>
      <c r="BM27" s="57">
        <f>100000-12050</f>
        <v>87950</v>
      </c>
      <c r="BO27" s="57">
        <f>100000-12050</f>
        <v>87950</v>
      </c>
      <c r="BQ27" s="14">
        <f>+BQ22</f>
        <v>100000</v>
      </c>
      <c r="BS27" s="14">
        <v>0</v>
      </c>
      <c r="BU27" s="14">
        <v>0</v>
      </c>
      <c r="BW27" s="14">
        <v>0</v>
      </c>
      <c r="BY27" s="14">
        <v>0</v>
      </c>
      <c r="CA27" s="14">
        <v>0</v>
      </c>
      <c r="CC27" s="14">
        <v>0</v>
      </c>
      <c r="CE27" s="14">
        <v>0</v>
      </c>
      <c r="CG27" s="14">
        <v>0</v>
      </c>
      <c r="CI27" s="14">
        <v>0</v>
      </c>
      <c r="CK27" s="14">
        <v>0</v>
      </c>
      <c r="CM27" s="14">
        <v>0</v>
      </c>
      <c r="CO27" s="14">
        <v>0</v>
      </c>
      <c r="CQ27" s="14">
        <v>0</v>
      </c>
      <c r="CS27" s="14">
        <v>0</v>
      </c>
    </row>
    <row r="28" spans="1:97" x14ac:dyDescent="0.25">
      <c r="A28" s="14" t="s">
        <v>317</v>
      </c>
      <c r="C28" s="57">
        <v>0</v>
      </c>
      <c r="E28" s="57">
        <v>0</v>
      </c>
      <c r="G28" s="57">
        <v>0</v>
      </c>
      <c r="I28" s="57">
        <v>0</v>
      </c>
      <c r="K28" s="57">
        <v>0</v>
      </c>
      <c r="M28" s="57">
        <v>0</v>
      </c>
      <c r="O28" s="57">
        <v>0</v>
      </c>
      <c r="Q28" s="57">
        <v>0</v>
      </c>
      <c r="S28" s="57">
        <v>0</v>
      </c>
      <c r="U28" s="57">
        <v>0</v>
      </c>
      <c r="W28" s="57">
        <v>0</v>
      </c>
      <c r="Y28" s="57">
        <v>0</v>
      </c>
      <c r="AA28" s="57">
        <v>0</v>
      </c>
      <c r="AC28" s="57">
        <v>0</v>
      </c>
      <c r="AE28" s="57">
        <v>0</v>
      </c>
      <c r="AG28" s="57">
        <v>0</v>
      </c>
      <c r="AI28" s="57">
        <v>0</v>
      </c>
      <c r="AK28" s="57">
        <v>0</v>
      </c>
      <c r="AM28" s="57">
        <v>0</v>
      </c>
      <c r="AO28" s="57">
        <v>0</v>
      </c>
      <c r="AQ28" s="57">
        <v>0</v>
      </c>
      <c r="AS28" s="57">
        <v>0</v>
      </c>
      <c r="AU28" s="57">
        <f>+AW28</f>
        <v>0</v>
      </c>
      <c r="AW28" s="57">
        <f>+AY28</f>
        <v>0</v>
      </c>
      <c r="AY28" s="57">
        <f>+BA28</f>
        <v>0</v>
      </c>
      <c r="BA28" s="57">
        <f>+BC28</f>
        <v>0</v>
      </c>
      <c r="BC28" s="57">
        <f>+BE28</f>
        <v>0</v>
      </c>
      <c r="BE28" s="57">
        <f>+BG28</f>
        <v>0</v>
      </c>
      <c r="BG28" s="57">
        <f>+BI28</f>
        <v>0</v>
      </c>
      <c r="BI28" s="57">
        <f>+BK28</f>
        <v>0</v>
      </c>
      <c r="BK28" s="57">
        <f>+BM28-100000</f>
        <v>0</v>
      </c>
      <c r="BM28" s="57">
        <f>+BM22</f>
        <v>100000</v>
      </c>
      <c r="BO28" s="14">
        <v>0</v>
      </c>
      <c r="BQ28" s="14">
        <v>0</v>
      </c>
      <c r="BS28" s="14">
        <v>0</v>
      </c>
      <c r="BU28" s="14">
        <f>+BU22+BW28-BU31</f>
        <v>0</v>
      </c>
      <c r="BW28" s="14">
        <f>+BW22+BY28-BW31</f>
        <v>0</v>
      </c>
      <c r="BY28" s="14">
        <v>0</v>
      </c>
      <c r="CA28" s="14">
        <f>+CC28-370000</f>
        <v>0</v>
      </c>
      <c r="CC28" s="14">
        <f>+CC22+CE28</f>
        <v>370000</v>
      </c>
      <c r="CE28" s="14">
        <f>+CE22+CG28</f>
        <v>370000</v>
      </c>
      <c r="CG28" s="14">
        <f>+CG22+CI28</f>
        <v>370000</v>
      </c>
      <c r="CI28" s="14">
        <f>+CI22+CK28-CI31</f>
        <v>370000</v>
      </c>
      <c r="CK28" s="14">
        <f>+CK22</f>
        <v>300000</v>
      </c>
      <c r="CM28" s="14">
        <v>0</v>
      </c>
      <c r="CO28" s="14">
        <v>0</v>
      </c>
      <c r="CQ28" s="14">
        <v>0</v>
      </c>
      <c r="CS28" s="14">
        <v>0</v>
      </c>
    </row>
    <row r="30" spans="1:97" x14ac:dyDescent="0.25">
      <c r="A30" s="79" t="s">
        <v>534</v>
      </c>
      <c r="B30" s="3"/>
      <c r="C30" s="79">
        <v>19000</v>
      </c>
      <c r="D30" s="3"/>
      <c r="E30" s="79">
        <v>104000</v>
      </c>
      <c r="F30" s="3"/>
      <c r="G30" s="79">
        <v>8000</v>
      </c>
      <c r="H30" s="3"/>
      <c r="I30" s="79">
        <v>27000</v>
      </c>
      <c r="J30" s="3"/>
      <c r="K30" s="79">
        <v>19000</v>
      </c>
      <c r="L30" s="3"/>
      <c r="M30" s="79">
        <v>0</v>
      </c>
      <c r="N30" s="3"/>
      <c r="O30" s="79">
        <v>0</v>
      </c>
      <c r="P30" s="3"/>
      <c r="Q30" s="79">
        <v>0</v>
      </c>
      <c r="R30" s="3"/>
      <c r="S30" s="79">
        <v>0</v>
      </c>
      <c r="T30" s="3"/>
      <c r="U30" s="79">
        <v>0</v>
      </c>
      <c r="V30" s="3"/>
      <c r="W30" s="79">
        <f>4500*20</f>
        <v>90000</v>
      </c>
      <c r="X30" s="3"/>
      <c r="Y30" s="79">
        <v>0</v>
      </c>
      <c r="Z30" s="3"/>
      <c r="AA30" s="79">
        <v>85500</v>
      </c>
      <c r="AB30" s="3"/>
      <c r="AC30" s="79">
        <v>211000</v>
      </c>
      <c r="AD30" s="3"/>
      <c r="AE30" s="79">
        <v>86000</v>
      </c>
      <c r="AF30" s="3"/>
      <c r="AG30" s="79">
        <v>0</v>
      </c>
      <c r="AH30" s="3"/>
      <c r="AI30" s="79">
        <v>24000</v>
      </c>
      <c r="AJ30" s="3"/>
      <c r="AK30" s="79">
        <v>48000</v>
      </c>
      <c r="AL30" s="3"/>
      <c r="AM30" s="79">
        <v>127000</v>
      </c>
      <c r="AN30" s="3"/>
      <c r="AO30" s="79">
        <v>0</v>
      </c>
      <c r="AP30" s="3"/>
      <c r="AQ30" s="79">
        <v>0</v>
      </c>
      <c r="AR30" s="3"/>
      <c r="AS30" s="79">
        <v>11000</v>
      </c>
      <c r="AT30" s="3"/>
      <c r="AU30" s="79">
        <v>65700</v>
      </c>
      <c r="AV30" s="3"/>
      <c r="AW30" s="79">
        <v>169800</v>
      </c>
      <c r="AX30" s="3"/>
      <c r="AY30" s="79">
        <f>71000</f>
        <v>71000</v>
      </c>
      <c r="AZ30" s="3"/>
      <c r="BA30" s="79">
        <f>78000+32000</f>
        <v>110000</v>
      </c>
      <c r="BB30" s="3"/>
      <c r="BC30" s="79">
        <f>11000+10000</f>
        <v>21000</v>
      </c>
      <c r="BD30" s="3"/>
      <c r="BE30" s="79">
        <f>19000+(45000-9000)</f>
        <v>55000</v>
      </c>
      <c r="BF30" s="3"/>
      <c r="BG30" s="79">
        <f>+(98000-5000)</f>
        <v>93000</v>
      </c>
      <c r="BH30" s="3"/>
      <c r="BI30" s="79">
        <v>0</v>
      </c>
      <c r="BJ30" s="3"/>
      <c r="BK30" s="79">
        <v>70000</v>
      </c>
      <c r="BL30" s="3"/>
      <c r="BM30" s="79">
        <v>113000</v>
      </c>
      <c r="BN30" s="3"/>
      <c r="BO30" s="79">
        <f>43000-2000</f>
        <v>41000</v>
      </c>
      <c r="BP30" s="3"/>
      <c r="BQ30" s="79">
        <v>0</v>
      </c>
      <c r="BR30" s="3"/>
      <c r="BS30" s="79">
        <f>92000+16000+30000</f>
        <v>138000</v>
      </c>
      <c r="BT30" s="3"/>
      <c r="BU30" s="79">
        <f>43000+28000</f>
        <v>71000</v>
      </c>
      <c r="BV30" s="3"/>
      <c r="BW30" s="79">
        <v>0</v>
      </c>
      <c r="BX30" s="3"/>
      <c r="BY30" s="79">
        <f>115500+16000</f>
        <v>131500</v>
      </c>
      <c r="BZ30" s="3"/>
      <c r="CA30" s="79">
        <f>83000+18000+8000+8000</f>
        <v>117000</v>
      </c>
      <c r="CB30" s="3"/>
      <c r="CC30" s="79">
        <f>33000+27000+20000</f>
        <v>80000</v>
      </c>
      <c r="CD30" s="3"/>
      <c r="CE30" s="79">
        <v>0</v>
      </c>
      <c r="CF30" s="3"/>
      <c r="CG30" s="79">
        <v>0</v>
      </c>
      <c r="CH30" s="3"/>
      <c r="CI30" s="79">
        <v>47000</v>
      </c>
      <c r="CJ30" s="3"/>
      <c r="CK30" s="79">
        <v>45000</v>
      </c>
      <c r="CL30" s="3"/>
      <c r="CM30" s="79">
        <v>125000</v>
      </c>
      <c r="CN30" s="3"/>
      <c r="CO30" s="79">
        <v>46500</v>
      </c>
      <c r="CQ30" s="79">
        <f>8000+3000</f>
        <v>11000</v>
      </c>
      <c r="CR30" s="3"/>
      <c r="CS30" s="79">
        <f>24000+6500</f>
        <v>30500</v>
      </c>
    </row>
    <row r="31" spans="1:97" ht="17.25" x14ac:dyDescent="0.4">
      <c r="A31" s="79" t="s">
        <v>540</v>
      </c>
      <c r="B31" s="3"/>
      <c r="C31" s="79">
        <v>0</v>
      </c>
      <c r="D31" s="3"/>
      <c r="E31" s="79">
        <v>0</v>
      </c>
      <c r="F31" s="3"/>
      <c r="G31" s="79">
        <v>0</v>
      </c>
      <c r="H31" s="3"/>
      <c r="I31" s="79">
        <v>0</v>
      </c>
      <c r="J31" s="3"/>
      <c r="K31" s="79">
        <v>0</v>
      </c>
      <c r="L31" s="3"/>
      <c r="M31" s="79">
        <v>0</v>
      </c>
      <c r="N31" s="3"/>
      <c r="O31" s="79">
        <v>0</v>
      </c>
      <c r="P31" s="3"/>
      <c r="Q31" s="79">
        <v>0</v>
      </c>
      <c r="R31" s="3"/>
      <c r="S31" s="79">
        <v>0</v>
      </c>
      <c r="T31" s="3"/>
      <c r="U31" s="79">
        <v>-60000</v>
      </c>
      <c r="V31" s="3"/>
      <c r="W31" s="79">
        <f>-350000</f>
        <v>-350000</v>
      </c>
      <c r="X31" s="3"/>
      <c r="Y31" s="79">
        <v>0</v>
      </c>
      <c r="Z31" s="3"/>
      <c r="AA31" s="79">
        <v>0</v>
      </c>
      <c r="AB31" s="3"/>
      <c r="AC31" s="79">
        <f>-363853+AC22</f>
        <v>-113853</v>
      </c>
      <c r="AD31" s="3"/>
      <c r="AE31" s="79">
        <v>0</v>
      </c>
      <c r="AF31" s="3"/>
      <c r="AG31" s="79">
        <v>0</v>
      </c>
      <c r="AH31" s="3"/>
      <c r="AI31" s="79">
        <v>0</v>
      </c>
      <c r="AJ31" s="3"/>
      <c r="AK31" s="79">
        <f>-114000-40000</f>
        <v>-154000</v>
      </c>
      <c r="AL31" s="3"/>
      <c r="AM31" s="79">
        <v>0</v>
      </c>
      <c r="AN31" s="3"/>
      <c r="AO31" s="79">
        <v>0</v>
      </c>
      <c r="AP31" s="3"/>
      <c r="AQ31" s="79">
        <v>0</v>
      </c>
      <c r="AR31" s="3"/>
      <c r="AS31" s="79">
        <v>0</v>
      </c>
      <c r="AT31" s="3"/>
      <c r="AU31" s="79">
        <f>AU22-21000</f>
        <v>209000</v>
      </c>
      <c r="AV31" s="3"/>
      <c r="AW31" s="79">
        <f>-404000-50000</f>
        <v>-454000</v>
      </c>
      <c r="AX31" s="3"/>
      <c r="AY31" s="79">
        <f>+BA27-260500</f>
        <v>84450</v>
      </c>
      <c r="AZ31" s="3"/>
      <c r="BA31" s="79">
        <f>-60000</f>
        <v>-60000</v>
      </c>
      <c r="BB31" s="3"/>
      <c r="BC31" s="79"/>
      <c r="BD31" s="3"/>
      <c r="BE31" s="79"/>
      <c r="BF31" s="3"/>
      <c r="BG31" s="79"/>
      <c r="BH31" s="3"/>
      <c r="BI31" s="79"/>
      <c r="BJ31" s="3"/>
      <c r="BK31" s="79"/>
      <c r="BL31" s="3"/>
      <c r="BM31" s="79">
        <v>0</v>
      </c>
      <c r="BN31" s="3"/>
      <c r="BO31" s="79">
        <f>-BO34-412000</f>
        <v>-322000</v>
      </c>
      <c r="BP31" s="3"/>
      <c r="BQ31" s="79">
        <v>0</v>
      </c>
      <c r="BR31" s="3"/>
      <c r="BS31" s="79">
        <v>0</v>
      </c>
      <c r="BT31" s="3"/>
      <c r="BU31" s="79">
        <v>0</v>
      </c>
      <c r="BV31" s="3"/>
      <c r="BW31" s="79">
        <v>0</v>
      </c>
      <c r="BX31" s="3"/>
      <c r="BY31" s="79">
        <v>0</v>
      </c>
      <c r="BZ31" s="3"/>
      <c r="CA31" s="79">
        <v>0</v>
      </c>
      <c r="CB31" s="3"/>
      <c r="CC31" s="193">
        <v>-619850</v>
      </c>
      <c r="CD31" s="3"/>
      <c r="CE31" s="79">
        <v>0</v>
      </c>
      <c r="CF31" s="3"/>
      <c r="CG31" s="79">
        <v>0</v>
      </c>
      <c r="CH31" s="3"/>
      <c r="CI31" s="79">
        <v>280000</v>
      </c>
      <c r="CJ31" s="3"/>
      <c r="CK31" s="79">
        <v>0</v>
      </c>
      <c r="CL31" s="3"/>
      <c r="CM31" s="79">
        <v>0</v>
      </c>
      <c r="CN31" s="3"/>
      <c r="CO31" s="79">
        <v>0</v>
      </c>
      <c r="CQ31" s="79">
        <v>0</v>
      </c>
      <c r="CR31" s="3"/>
      <c r="CS31" s="79">
        <v>0</v>
      </c>
    </row>
    <row r="32" spans="1:97" x14ac:dyDescent="0.25">
      <c r="A32" s="79" t="s">
        <v>394</v>
      </c>
      <c r="B32" s="3"/>
      <c r="C32" s="79">
        <f>+E32+SUM(C30:C31)</f>
        <v>951247</v>
      </c>
      <c r="D32" s="3"/>
      <c r="E32" s="79">
        <f>+G32+SUM(E30:E31)</f>
        <v>932247</v>
      </c>
      <c r="F32" s="3"/>
      <c r="G32" s="79">
        <f>+I32+SUM(G30:G31)</f>
        <v>828247</v>
      </c>
      <c r="H32" s="3"/>
      <c r="I32" s="79">
        <f>+K32+SUM(I30:I31)</f>
        <v>820247</v>
      </c>
      <c r="J32" s="3"/>
      <c r="K32" s="79">
        <f>+M32+SUM(K30:K31)</f>
        <v>793247</v>
      </c>
      <c r="L32" s="3"/>
      <c r="M32" s="79">
        <f>+O32+SUM(M30:M31)</f>
        <v>774247</v>
      </c>
      <c r="N32" s="3"/>
      <c r="O32" s="79">
        <f>+Q32+SUM(O30:O31)</f>
        <v>774247</v>
      </c>
      <c r="P32" s="3"/>
      <c r="Q32" s="79">
        <f>+S32+SUM(Q30:Q31)</f>
        <v>774247</v>
      </c>
      <c r="R32" s="3"/>
      <c r="S32" s="79">
        <f>+U32+SUM(S30:S31)</f>
        <v>774247</v>
      </c>
      <c r="T32" s="3"/>
      <c r="U32" s="79">
        <f>+W32+SUM(U30:U31)</f>
        <v>774247</v>
      </c>
      <c r="V32" s="3"/>
      <c r="W32" s="79">
        <f>+Y32+SUM(W30:W31)</f>
        <v>834247</v>
      </c>
      <c r="X32" s="3"/>
      <c r="Y32" s="79">
        <f>+AA32+SUM(Y30:Y31)</f>
        <v>1094247</v>
      </c>
      <c r="Z32" s="3"/>
      <c r="AA32" s="79">
        <f>+AC32+SUM(AA30:AA31)</f>
        <v>1094247</v>
      </c>
      <c r="AB32" s="3"/>
      <c r="AC32" s="79">
        <f>+AE32+SUM(AC30:AC31)</f>
        <v>1008747</v>
      </c>
      <c r="AD32" s="3"/>
      <c r="AE32" s="79">
        <f>+AG32+SUM(AE30:AE31)</f>
        <v>911600</v>
      </c>
      <c r="AF32" s="3"/>
      <c r="AG32" s="79">
        <f>+AI32+SUM(AG30:AG31)</f>
        <v>825600</v>
      </c>
      <c r="AH32" s="3"/>
      <c r="AI32" s="79">
        <f>+AK32+SUM(AI30:AI31)</f>
        <v>825600</v>
      </c>
      <c r="AJ32" s="3"/>
      <c r="AK32" s="79">
        <f>+AM32+SUM(AK30:AK31)</f>
        <v>801600</v>
      </c>
      <c r="AL32" s="3"/>
      <c r="AM32" s="79">
        <f>+AO32+SUM(AM30:AM31)</f>
        <v>907600</v>
      </c>
      <c r="AN32" s="3"/>
      <c r="AO32" s="79">
        <f>+AS32+SUM(AO30:AO31)</f>
        <v>780600</v>
      </c>
      <c r="AP32" s="3"/>
      <c r="AQ32" s="79">
        <f>+AS32+SUM(AQ30:AQ31)</f>
        <v>780600</v>
      </c>
      <c r="AR32" s="3"/>
      <c r="AS32" s="79">
        <f>+AU32+SUM(AS30:AS31)</f>
        <v>780600</v>
      </c>
      <c r="AT32" s="3"/>
      <c r="AU32" s="79">
        <f>+AW32+SUM(AU30:AU31)</f>
        <v>769600</v>
      </c>
      <c r="AV32" s="3"/>
      <c r="AW32" s="79">
        <f>+AY32+SUM(AW30:AW31)</f>
        <v>494900</v>
      </c>
      <c r="AX32" s="3"/>
      <c r="AY32" s="79">
        <f>+BA32+SUM(AY30:AY31)</f>
        <v>779100</v>
      </c>
      <c r="AZ32" s="3"/>
      <c r="BA32" s="79">
        <f>+BC32+SUM(BA30:BA31)</f>
        <v>623650</v>
      </c>
      <c r="BB32" s="3"/>
      <c r="BC32" s="79">
        <f>+BE32+SUM(BC30:BC31)</f>
        <v>573650</v>
      </c>
      <c r="BD32" s="3"/>
      <c r="BE32" s="79">
        <f>+BG32+SUM(BE30:BE31)</f>
        <v>552650</v>
      </c>
      <c r="BF32" s="3"/>
      <c r="BG32" s="79">
        <f>+BI32+SUM(BG30:BG31)</f>
        <v>497650</v>
      </c>
      <c r="BH32" s="3"/>
      <c r="BI32" s="79">
        <f>+BK32+SUM(BI30:BI31)</f>
        <v>404650</v>
      </c>
      <c r="BJ32" s="3"/>
      <c r="BK32" s="79">
        <f>+BM32+SUM(BK30:BK31)</f>
        <v>404650</v>
      </c>
      <c r="BL32" s="3"/>
      <c r="BM32" s="79">
        <f>+BO32+SUM(BM30:BM31)</f>
        <v>334650</v>
      </c>
      <c r="BN32" s="3"/>
      <c r="BO32" s="79">
        <f>+BQ32+SUM(BO30:BO31)</f>
        <v>221650</v>
      </c>
      <c r="BP32" s="3"/>
      <c r="BQ32" s="79">
        <f>+BS32+SUM(BQ30:BQ31)</f>
        <v>502650</v>
      </c>
      <c r="BR32" s="3"/>
      <c r="BS32" s="79">
        <f>+BU32+SUM(BS30:BS31)</f>
        <v>502650</v>
      </c>
      <c r="BT32" s="3"/>
      <c r="BU32" s="79">
        <f>+BW32+SUM(BU30:BU31)</f>
        <v>364650</v>
      </c>
      <c r="BV32" s="3"/>
      <c r="BW32" s="79">
        <f>+BY32+SUM(BW30:BW31)</f>
        <v>293650</v>
      </c>
      <c r="BX32" s="3"/>
      <c r="BY32" s="79">
        <f>+CA32+SUM(BY30:BY31)</f>
        <v>293650</v>
      </c>
      <c r="BZ32" s="3"/>
      <c r="CA32" s="79">
        <f>+CC32+SUM(CA30:CA31)</f>
        <v>162150</v>
      </c>
      <c r="CB32" s="3"/>
      <c r="CC32" s="79">
        <f>+CE32+SUM(CC30:CC31)</f>
        <v>45150</v>
      </c>
      <c r="CD32" s="3"/>
      <c r="CE32" s="79">
        <f>+CG32+SUM(CE30:CE31)</f>
        <v>585000</v>
      </c>
      <c r="CF32" s="3"/>
      <c r="CG32" s="79">
        <f>+CI32+SUM(CG30:CG31)</f>
        <v>585000</v>
      </c>
      <c r="CH32" s="3"/>
      <c r="CI32" s="79">
        <f>+CK32+SUM(CI30:CI31)</f>
        <v>585000</v>
      </c>
      <c r="CJ32" s="3"/>
      <c r="CK32" s="79">
        <f>+CM32+SUM(CK30:CK31)</f>
        <v>258000</v>
      </c>
      <c r="CL32" s="3"/>
      <c r="CM32" s="79">
        <f>+CO32+SUM(CM30:CM31)</f>
        <v>213000</v>
      </c>
      <c r="CN32" s="3"/>
      <c r="CO32" s="79">
        <f>+CQ32+SUM(CO30:CO31)</f>
        <v>88000</v>
      </c>
      <c r="CQ32" s="79">
        <f>+CS32+SUM(CQ30:CQ31)</f>
        <v>41500</v>
      </c>
      <c r="CR32" s="3"/>
      <c r="CS32" s="79">
        <f>SUM(CS30:CS31)</f>
        <v>30500</v>
      </c>
    </row>
    <row r="33" spans="1:97" x14ac:dyDescent="0.25">
      <c r="A33" s="80" t="s">
        <v>383</v>
      </c>
      <c r="B33" s="3"/>
      <c r="C33" s="80">
        <v>0</v>
      </c>
      <c r="D33" s="3"/>
      <c r="E33" s="80">
        <v>0</v>
      </c>
      <c r="F33" s="3"/>
      <c r="G33" s="80">
        <v>11000</v>
      </c>
      <c r="H33" s="3"/>
      <c r="I33" s="80">
        <v>0</v>
      </c>
      <c r="J33" s="3"/>
      <c r="K33" s="80">
        <v>0</v>
      </c>
      <c r="L33" s="3"/>
      <c r="M33" s="80">
        <v>0</v>
      </c>
      <c r="N33" s="3"/>
      <c r="O33" s="80">
        <v>0</v>
      </c>
      <c r="P33" s="3"/>
      <c r="Q33" s="80">
        <v>0</v>
      </c>
      <c r="R33" s="3"/>
      <c r="S33" s="80">
        <v>0</v>
      </c>
      <c r="T33" s="3"/>
      <c r="U33" s="80">
        <v>0</v>
      </c>
      <c r="V33" s="3"/>
      <c r="W33" s="80">
        <v>0</v>
      </c>
      <c r="X33" s="3"/>
      <c r="Y33" s="80">
        <v>0</v>
      </c>
      <c r="Z33" s="3"/>
      <c r="AA33" s="80">
        <v>0</v>
      </c>
      <c r="AB33" s="3"/>
      <c r="AC33" s="80">
        <v>0</v>
      </c>
      <c r="AD33" s="3"/>
      <c r="AE33" s="80">
        <v>0</v>
      </c>
      <c r="AF33" s="3"/>
      <c r="AG33" s="80">
        <v>0</v>
      </c>
      <c r="AH33" s="3"/>
      <c r="AI33" s="80">
        <v>0</v>
      </c>
      <c r="AJ33" s="3"/>
      <c r="AK33" s="80">
        <v>11000</v>
      </c>
      <c r="AL33" s="3"/>
      <c r="AM33" s="80">
        <v>27000</v>
      </c>
      <c r="AN33" s="3"/>
      <c r="AO33" s="80">
        <v>0</v>
      </c>
      <c r="AP33" s="3"/>
      <c r="AQ33" s="80">
        <v>0</v>
      </c>
      <c r="AR33" s="3"/>
      <c r="AS33" s="80">
        <v>0</v>
      </c>
      <c r="AT33" s="3"/>
      <c r="AU33" s="80">
        <v>0</v>
      </c>
      <c r="AV33" s="3"/>
      <c r="AW33" s="80">
        <v>11000</v>
      </c>
      <c r="AX33" s="3"/>
      <c r="AY33" s="80">
        <v>0</v>
      </c>
      <c r="AZ33" s="3"/>
      <c r="BA33" s="80">
        <f>15000+8000</f>
        <v>23000</v>
      </c>
      <c r="BB33" s="3"/>
      <c r="BC33" s="80">
        <v>0</v>
      </c>
      <c r="BD33" s="3"/>
      <c r="BE33" s="80">
        <v>0</v>
      </c>
      <c r="BF33" s="3"/>
      <c r="BG33" s="80">
        <f>23000</f>
        <v>23000</v>
      </c>
      <c r="BH33" s="3"/>
      <c r="BI33" s="80">
        <v>0</v>
      </c>
      <c r="BJ33" s="3"/>
      <c r="BK33" s="80">
        <v>82000</v>
      </c>
      <c r="BL33" s="3"/>
      <c r="BM33" s="80">
        <f>22000+1000</f>
        <v>23000</v>
      </c>
      <c r="BN33" s="3"/>
      <c r="BO33" s="80">
        <v>0</v>
      </c>
      <c r="BP33" s="3"/>
      <c r="BQ33" s="80">
        <v>0</v>
      </c>
      <c r="BR33" s="3"/>
      <c r="BS33" s="80">
        <f>3000</f>
        <v>3000</v>
      </c>
      <c r="BT33" s="3"/>
      <c r="BU33" s="80">
        <v>0</v>
      </c>
      <c r="BV33" s="3"/>
      <c r="BW33" s="80">
        <v>0</v>
      </c>
      <c r="BX33" s="3"/>
      <c r="BY33" s="80">
        <v>0</v>
      </c>
      <c r="BZ33" s="3"/>
      <c r="CA33" s="80">
        <v>0</v>
      </c>
      <c r="CB33" s="3"/>
      <c r="CC33" s="80">
        <v>11000</v>
      </c>
      <c r="CD33" s="3"/>
      <c r="CE33" s="80">
        <v>0</v>
      </c>
      <c r="CF33" s="3"/>
      <c r="CG33" s="80">
        <v>0</v>
      </c>
      <c r="CH33" s="3"/>
      <c r="CI33" s="80">
        <v>0</v>
      </c>
      <c r="CJ33" s="3"/>
      <c r="CK33" s="80">
        <v>11000</v>
      </c>
      <c r="CL33" s="3"/>
      <c r="CM33" s="80">
        <v>0</v>
      </c>
      <c r="CN33" s="3"/>
      <c r="CO33" s="80">
        <v>16000</v>
      </c>
      <c r="CQ33" s="80">
        <v>0</v>
      </c>
      <c r="CR33" s="3"/>
      <c r="CS33" s="80">
        <v>0</v>
      </c>
    </row>
    <row r="34" spans="1:97" x14ac:dyDescent="0.25">
      <c r="A34" s="80" t="s">
        <v>540</v>
      </c>
      <c r="B34" s="3"/>
      <c r="C34" s="80"/>
      <c r="D34" s="3"/>
      <c r="E34" s="80"/>
      <c r="F34" s="3"/>
      <c r="G34" s="80"/>
      <c r="H34" s="3"/>
      <c r="I34" s="80"/>
      <c r="J34" s="3"/>
      <c r="K34" s="80"/>
      <c r="L34" s="3"/>
      <c r="M34" s="80"/>
      <c r="N34" s="3"/>
      <c r="O34" s="80"/>
      <c r="P34" s="3"/>
      <c r="Q34" s="80"/>
      <c r="R34" s="3"/>
      <c r="S34" s="80"/>
      <c r="T34" s="3"/>
      <c r="U34" s="80"/>
      <c r="V34" s="3"/>
      <c r="W34" s="80"/>
      <c r="X34" s="3"/>
      <c r="Y34" s="80"/>
      <c r="Z34" s="3"/>
      <c r="AA34" s="80"/>
      <c r="AB34" s="3"/>
      <c r="AC34" s="80"/>
      <c r="AD34" s="3"/>
      <c r="AE34" s="80"/>
      <c r="AF34" s="3"/>
      <c r="AG34" s="80"/>
      <c r="AH34" s="3"/>
      <c r="AI34" s="80"/>
      <c r="AJ34" s="3"/>
      <c r="AK34" s="80"/>
      <c r="AL34" s="3"/>
      <c r="AM34" s="80"/>
      <c r="AN34" s="3"/>
      <c r="AO34" s="80"/>
      <c r="AP34" s="3"/>
      <c r="AQ34" s="80"/>
      <c r="AR34" s="3"/>
      <c r="AS34" s="80"/>
      <c r="AT34" s="3"/>
      <c r="AU34" s="80"/>
      <c r="AV34" s="3"/>
      <c r="AW34" s="80"/>
      <c r="AX34" s="3"/>
      <c r="AY34" s="80"/>
      <c r="AZ34" s="3"/>
      <c r="BA34" s="80">
        <v>0</v>
      </c>
      <c r="BB34" s="3"/>
      <c r="BC34" s="80">
        <v>0</v>
      </c>
      <c r="BD34" s="3"/>
      <c r="BE34" s="80"/>
      <c r="BF34" s="3"/>
      <c r="BG34" s="80"/>
      <c r="BH34" s="3"/>
      <c r="BI34" s="80"/>
      <c r="BK34" s="80"/>
      <c r="BL34" s="3"/>
      <c r="BM34" s="80">
        <v>0</v>
      </c>
      <c r="BN34" s="3"/>
      <c r="BO34" s="80">
        <v>-90000</v>
      </c>
      <c r="BP34" s="3"/>
      <c r="BQ34" s="80">
        <v>76000</v>
      </c>
      <c r="BR34" s="3"/>
      <c r="BS34" s="80">
        <v>0</v>
      </c>
      <c r="BT34" s="3"/>
      <c r="BU34" s="80"/>
      <c r="BV34" s="3"/>
      <c r="BW34" s="80"/>
      <c r="BX34" s="3"/>
      <c r="BY34" s="80"/>
      <c r="BZ34" s="3"/>
      <c r="CA34" s="80">
        <v>0</v>
      </c>
      <c r="CB34" s="3"/>
      <c r="CC34" s="80">
        <v>-27000</v>
      </c>
      <c r="CD34" s="3"/>
      <c r="CE34" s="80">
        <v>0</v>
      </c>
      <c r="CF34" s="3"/>
      <c r="CG34" s="80">
        <v>0</v>
      </c>
      <c r="CH34" s="3"/>
      <c r="CI34" s="80">
        <v>0</v>
      </c>
      <c r="CJ34" s="3"/>
      <c r="CK34" s="80">
        <v>0</v>
      </c>
      <c r="CL34" s="3"/>
      <c r="CM34" s="80">
        <v>0</v>
      </c>
      <c r="CN34" s="3"/>
      <c r="CO34" s="80">
        <v>0</v>
      </c>
      <c r="CQ34" s="80">
        <v>0</v>
      </c>
      <c r="CR34" s="3"/>
      <c r="CS34" s="80">
        <v>0</v>
      </c>
    </row>
    <row r="35" spans="1:97" x14ac:dyDescent="0.25">
      <c r="A35" s="80" t="s">
        <v>393</v>
      </c>
      <c r="B35" s="3"/>
      <c r="C35" s="80">
        <f>+C33+E35</f>
        <v>211000</v>
      </c>
      <c r="D35" s="3"/>
      <c r="E35" s="80">
        <f>+E33+G35</f>
        <v>211000</v>
      </c>
      <c r="F35" s="3"/>
      <c r="G35" s="80">
        <f>+G33+I35</f>
        <v>211000</v>
      </c>
      <c r="H35" s="3"/>
      <c r="I35" s="80">
        <f>+I33+K35</f>
        <v>200000</v>
      </c>
      <c r="J35" s="3"/>
      <c r="K35" s="80">
        <f>+K33+M35</f>
        <v>200000</v>
      </c>
      <c r="L35" s="3"/>
      <c r="M35" s="80">
        <f>+M33+O35</f>
        <v>200000</v>
      </c>
      <c r="N35" s="3"/>
      <c r="O35" s="80">
        <f>+O33+Q35</f>
        <v>200000</v>
      </c>
      <c r="P35" s="3"/>
      <c r="Q35" s="80">
        <f>+Q33+S35</f>
        <v>200000</v>
      </c>
      <c r="R35" s="3"/>
      <c r="S35" s="80">
        <f>+S33+U35</f>
        <v>200000</v>
      </c>
      <c r="T35" s="3"/>
      <c r="U35" s="80">
        <f>+U33+W35</f>
        <v>200000</v>
      </c>
      <c r="V35" s="3"/>
      <c r="W35" s="80">
        <f>+W33+Y35</f>
        <v>200000</v>
      </c>
      <c r="X35" s="3"/>
      <c r="Y35" s="80">
        <f>+Y33+AA35</f>
        <v>200000</v>
      </c>
      <c r="Z35" s="3"/>
      <c r="AA35" s="80">
        <f>+AA33+AC35</f>
        <v>200000</v>
      </c>
      <c r="AB35" s="3"/>
      <c r="AC35" s="80">
        <f>+AC33+AE35</f>
        <v>200000</v>
      </c>
      <c r="AD35" s="3"/>
      <c r="AE35" s="80">
        <f>+AE33+AG35</f>
        <v>200000</v>
      </c>
      <c r="AF35" s="3"/>
      <c r="AG35" s="80">
        <f>+AG33+AI35</f>
        <v>200000</v>
      </c>
      <c r="AH35" s="3"/>
      <c r="AI35" s="80">
        <f>+AI33+AK35</f>
        <v>200000</v>
      </c>
      <c r="AJ35" s="3"/>
      <c r="AK35" s="80">
        <f>+AK33+AM35</f>
        <v>200000</v>
      </c>
      <c r="AL35" s="3"/>
      <c r="AM35" s="80">
        <f>+AM33+AO35</f>
        <v>189000</v>
      </c>
      <c r="AN35" s="3"/>
      <c r="AO35" s="80">
        <f>+AO33+AS35</f>
        <v>162000</v>
      </c>
      <c r="AP35" s="3"/>
      <c r="AQ35" s="80">
        <f>+AQ33+AS35</f>
        <v>162000</v>
      </c>
      <c r="AR35" s="3"/>
      <c r="AS35" s="80">
        <f>+AS33+AU35</f>
        <v>162000</v>
      </c>
      <c r="AT35" s="3"/>
      <c r="AU35" s="80">
        <f>+AU33+AW35</f>
        <v>162000</v>
      </c>
      <c r="AV35" s="3"/>
      <c r="AW35" s="80">
        <f>+AW33+AY35</f>
        <v>162000</v>
      </c>
      <c r="AX35" s="3"/>
      <c r="AY35" s="80">
        <f>+AY33+BA35</f>
        <v>151000</v>
      </c>
      <c r="AZ35" s="3"/>
      <c r="BA35" s="80">
        <f>+BA33+BC35</f>
        <v>151000</v>
      </c>
      <c r="BB35" s="3"/>
      <c r="BC35" s="80">
        <f>+BC33+BE35</f>
        <v>128000</v>
      </c>
      <c r="BD35" s="3"/>
      <c r="BE35" s="80">
        <f>+BE33+BG35</f>
        <v>128000</v>
      </c>
      <c r="BF35" s="3"/>
      <c r="BG35" s="80">
        <f>+BG33+BI35</f>
        <v>128000</v>
      </c>
      <c r="BH35" s="3"/>
      <c r="BI35" s="80">
        <f>+BI33+BK35</f>
        <v>105000</v>
      </c>
      <c r="BJ35" s="3"/>
      <c r="BK35" s="80">
        <f>+BK33+BM35</f>
        <v>105000</v>
      </c>
      <c r="BL35" s="3"/>
      <c r="BM35" s="80">
        <f>+BM33</f>
        <v>23000</v>
      </c>
      <c r="BN35" s="3"/>
      <c r="BO35" s="80">
        <f>+BQ35+SUM(BO33:BO34)</f>
        <v>0</v>
      </c>
      <c r="BP35" s="3"/>
      <c r="BQ35" s="80">
        <f>+BS35+SUM(BQ33:BQ34)</f>
        <v>90000</v>
      </c>
      <c r="BR35" s="3"/>
      <c r="BS35" s="80">
        <f>+BU35+SUM(BS33:BS34)</f>
        <v>14000</v>
      </c>
      <c r="BT35" s="3"/>
      <c r="BU35" s="80">
        <f>+BW35+SUM(BU33:BU34)</f>
        <v>11000</v>
      </c>
      <c r="BV35" s="3"/>
      <c r="BW35" s="80">
        <f>+BY35+SUM(BW33:BW34)</f>
        <v>11000</v>
      </c>
      <c r="BX35" s="3"/>
      <c r="BY35" s="80">
        <f>+CA35+SUM(BY33:BY34)</f>
        <v>11000</v>
      </c>
      <c r="BZ35" s="3"/>
      <c r="CA35" s="80">
        <f>+CC35+SUM(CA33:CA34)</f>
        <v>11000</v>
      </c>
      <c r="CB35" s="3"/>
      <c r="CC35" s="80">
        <f>+CE35+SUM(CC33:CC34)</f>
        <v>11000</v>
      </c>
      <c r="CD35" s="3"/>
      <c r="CE35" s="80">
        <f>+CE33+CG35</f>
        <v>27000</v>
      </c>
      <c r="CF35" s="3"/>
      <c r="CG35" s="80">
        <f>+CG33+CI35</f>
        <v>27000</v>
      </c>
      <c r="CH35" s="3"/>
      <c r="CI35" s="80">
        <f>+CI33+CK35</f>
        <v>27000</v>
      </c>
      <c r="CJ35" s="3"/>
      <c r="CK35" s="80">
        <f>+CK33+CM35</f>
        <v>27000</v>
      </c>
      <c r="CL35" s="3"/>
      <c r="CM35" s="80">
        <f>+CM33+CO35</f>
        <v>16000</v>
      </c>
      <c r="CN35" s="3"/>
      <c r="CO35" s="80">
        <f>+CO33+CQ35</f>
        <v>16000</v>
      </c>
      <c r="CQ35" s="80">
        <f>+CQ33+CS35</f>
        <v>0</v>
      </c>
      <c r="CR35" s="3"/>
      <c r="CS35" s="80">
        <f>+CS33</f>
        <v>0</v>
      </c>
    </row>
    <row r="36" spans="1:97" x14ac:dyDescent="0.25">
      <c r="A36" s="11" t="s">
        <v>395</v>
      </c>
      <c r="B36" s="3"/>
      <c r="C36" s="69">
        <f>+E36</f>
        <v>34000</v>
      </c>
      <c r="D36" s="3"/>
      <c r="E36" s="69">
        <f>+G36</f>
        <v>34000</v>
      </c>
      <c r="F36" s="3"/>
      <c r="G36" s="69">
        <f>+I36</f>
        <v>34000</v>
      </c>
      <c r="H36" s="3"/>
      <c r="I36" s="69">
        <f>+K36</f>
        <v>34000</v>
      </c>
      <c r="J36" s="3"/>
      <c r="K36" s="69">
        <f>+M36</f>
        <v>34000</v>
      </c>
      <c r="L36" s="3"/>
      <c r="M36" s="69">
        <f>+O36</f>
        <v>34000</v>
      </c>
      <c r="N36" s="3"/>
      <c r="O36" s="69">
        <f>+Q36</f>
        <v>34000</v>
      </c>
      <c r="P36" s="3"/>
      <c r="Q36" s="69">
        <f>+S36</f>
        <v>34000</v>
      </c>
      <c r="R36" s="3"/>
      <c r="S36" s="69">
        <f>+U36</f>
        <v>34000</v>
      </c>
      <c r="T36" s="3"/>
      <c r="U36" s="69">
        <f>+W36</f>
        <v>34000</v>
      </c>
      <c r="V36" s="3"/>
      <c r="W36" s="69">
        <f>+Y36</f>
        <v>34000</v>
      </c>
      <c r="X36" s="3"/>
      <c r="Y36" s="69">
        <f>+AA36</f>
        <v>34000</v>
      </c>
      <c r="Z36" s="3"/>
      <c r="AA36" s="69">
        <f>+AC36</f>
        <v>34000</v>
      </c>
      <c r="AB36" s="3"/>
      <c r="AC36" s="69">
        <f>+AE36</f>
        <v>34000</v>
      </c>
      <c r="AD36" s="3"/>
      <c r="AE36" s="69">
        <f>+TICO!F19</f>
        <v>34000</v>
      </c>
      <c r="AF36" s="3"/>
      <c r="AG36" s="69"/>
      <c r="AH36" s="3"/>
      <c r="AI36" s="69"/>
      <c r="AJ36" s="3"/>
      <c r="AK36" s="69"/>
      <c r="AL36" s="3"/>
      <c r="AM36" s="69"/>
      <c r="AN36" s="3"/>
      <c r="AO36" s="69"/>
      <c r="AP36" s="3"/>
      <c r="AQ36" s="69"/>
      <c r="AR36" s="3"/>
      <c r="AS36" s="69"/>
      <c r="AT36" s="3"/>
      <c r="AU36" s="69"/>
      <c r="AV36" s="3"/>
      <c r="AW36" s="69"/>
      <c r="AX36" s="3"/>
      <c r="AY36" s="69"/>
      <c r="AZ36" s="3"/>
      <c r="BA36" s="69"/>
      <c r="BB36" s="3"/>
      <c r="BC36" s="70"/>
      <c r="BD36" s="3"/>
      <c r="BE36" s="69"/>
      <c r="BF36" s="3"/>
      <c r="BG36" s="69"/>
      <c r="BH36" s="3"/>
      <c r="BI36" s="69"/>
      <c r="BJ36" s="3"/>
      <c r="BK36" s="69"/>
      <c r="BL36" s="3"/>
      <c r="BM36" s="69"/>
      <c r="BN36" s="3"/>
      <c r="BO36" s="69"/>
      <c r="BP36" s="3"/>
      <c r="BQ36" s="69"/>
      <c r="BR36" s="3"/>
      <c r="BS36" s="69"/>
      <c r="BT36" s="3"/>
      <c r="BU36" s="69"/>
      <c r="BV36" s="3"/>
      <c r="BW36" s="69"/>
      <c r="BX36" s="3"/>
      <c r="BY36" s="69"/>
      <c r="BZ36" s="3"/>
      <c r="CA36" s="69"/>
      <c r="CB36" s="3"/>
      <c r="CC36" s="69"/>
      <c r="CD36" s="3"/>
      <c r="CE36" s="69"/>
      <c r="CF36" s="3"/>
      <c r="CG36" s="69"/>
      <c r="CH36" s="3"/>
      <c r="CI36" s="69"/>
      <c r="CJ36" s="3"/>
      <c r="CK36" s="69"/>
      <c r="CL36" s="3"/>
      <c r="CM36" s="69"/>
      <c r="CN36" s="3"/>
      <c r="CO36" s="69"/>
      <c r="CQ36" s="69"/>
      <c r="CR36" s="3"/>
      <c r="CS36" s="69"/>
    </row>
    <row r="37" spans="1:97" x14ac:dyDescent="0.25">
      <c r="CS37"/>
    </row>
    <row r="38" spans="1:97" x14ac:dyDescent="0.25">
      <c r="A38" s="67" t="s">
        <v>132</v>
      </c>
      <c r="C38" s="103">
        <f>+C20+C30+C33</f>
        <v>301000</v>
      </c>
      <c r="E38" s="103">
        <f>+E20+E30+E33</f>
        <v>257000</v>
      </c>
      <c r="G38" s="103">
        <f>+G20+G30+G33</f>
        <v>87000</v>
      </c>
      <c r="I38" s="103">
        <f>+I20+I30+I33</f>
        <v>161000</v>
      </c>
      <c r="K38" s="103">
        <f>+K20+K30+K33</f>
        <v>266000</v>
      </c>
      <c r="M38" s="103">
        <f>+M20+M30+M33</f>
        <v>0</v>
      </c>
      <c r="O38" s="103">
        <f>+O20+O30+O33</f>
        <v>0</v>
      </c>
      <c r="Q38" s="103">
        <f>+Q20+Q30+Q33</f>
        <v>0</v>
      </c>
      <c r="S38" s="103">
        <f>+S20+S30+S33</f>
        <v>0</v>
      </c>
      <c r="U38" s="103">
        <f>+U20+U30+U33</f>
        <v>0</v>
      </c>
      <c r="W38" s="103">
        <f>+W20+W30+W33</f>
        <v>93500</v>
      </c>
      <c r="Y38" s="103">
        <f>+Y20+Y30+Y33</f>
        <v>76000</v>
      </c>
      <c r="AA38" s="103">
        <f>+AA20+AA30+AA33</f>
        <v>115500</v>
      </c>
      <c r="AC38" s="103">
        <f>+AC20+AC30+AC33</f>
        <v>211000</v>
      </c>
      <c r="AE38" s="103">
        <f>+AE20+AE30+AE33+AE36</f>
        <v>259000</v>
      </c>
      <c r="AG38" s="103">
        <f>+AG20+AG30+AG33</f>
        <v>0</v>
      </c>
      <c r="AI38" s="103">
        <f>+AI20+AI30+AI33</f>
        <v>128000</v>
      </c>
      <c r="AK38" s="103">
        <f>+AK20+AK30+AK33</f>
        <v>117500</v>
      </c>
      <c r="AM38" s="103">
        <f>+AM20+AM30+AM33</f>
        <v>292700</v>
      </c>
      <c r="AO38" s="103">
        <f>+AO20+AO30+AO33</f>
        <v>0</v>
      </c>
      <c r="AQ38" s="103">
        <f>+AQ20+AQ30+AQ33</f>
        <v>0</v>
      </c>
      <c r="AS38" s="103">
        <f>+AS20+AS30+AS33</f>
        <v>137500</v>
      </c>
      <c r="AU38" s="103">
        <f>+AU20+AU30+AU33</f>
        <v>172700</v>
      </c>
      <c r="AW38" s="103">
        <f>+AW20+AW30+AW33</f>
        <v>388500</v>
      </c>
      <c r="AY38" s="103">
        <f>+AY20+AY30+AY33</f>
        <v>148250</v>
      </c>
      <c r="BA38" s="103">
        <f>+BA20+BA30+BA33</f>
        <v>309500</v>
      </c>
      <c r="BC38" s="103">
        <f>+BC20+BC30+BC33</f>
        <v>120000</v>
      </c>
      <c r="BE38" s="103">
        <f>+BE20+BE30+BE33</f>
        <v>154000</v>
      </c>
      <c r="BG38" s="103">
        <f>+BG20+BG30+BG33</f>
        <v>387000</v>
      </c>
      <c r="BI38" s="103">
        <f>+BI20+BI30+BI33</f>
        <v>132500</v>
      </c>
      <c r="BK38" s="103">
        <f>+BK20+BK30+BK33</f>
        <v>243000</v>
      </c>
      <c r="BM38" s="103">
        <f>+BM20+BM30+BM33</f>
        <v>474500</v>
      </c>
      <c r="BO38" s="103">
        <f>+BO20+BO30+BO33</f>
        <v>92000</v>
      </c>
      <c r="BQ38" s="103">
        <f>+BQ20+BQ30+BQ33</f>
        <v>172500</v>
      </c>
      <c r="BS38" s="103">
        <f>+BS20+BS30+BS33</f>
        <v>264500</v>
      </c>
      <c r="BU38" s="103">
        <f>+BU20+BU30+BU33</f>
        <v>296500</v>
      </c>
      <c r="BW38" s="103">
        <f>+BW20+BW30+BW33</f>
        <v>0</v>
      </c>
      <c r="BY38" s="103">
        <f>+BY20+BY30+BY33</f>
        <v>275000</v>
      </c>
      <c r="CA38" s="103">
        <f>+CA20+CA30+CA33</f>
        <v>351000</v>
      </c>
      <c r="CC38" s="103">
        <f>+CC20+CC30+CC33</f>
        <v>196000</v>
      </c>
      <c r="CE38" s="103">
        <f>+CE20+CE30+CE33</f>
        <v>60000</v>
      </c>
      <c r="CG38" s="103">
        <f>+CG20+CG30+CG33</f>
        <v>0</v>
      </c>
      <c r="CI38" s="103">
        <f>+CI20+CI30+CI33</f>
        <v>503500</v>
      </c>
      <c r="CK38" s="103">
        <f>+CK20+CK30+CK33</f>
        <v>242000</v>
      </c>
      <c r="CM38" s="103">
        <f>+CM20+CM30+CM33</f>
        <v>209000</v>
      </c>
      <c r="CO38" s="103">
        <f>+CO20+CO30+CO33</f>
        <v>406500</v>
      </c>
      <c r="CQ38" s="103">
        <f>+CQ20+CQ30+CQ33</f>
        <v>224000</v>
      </c>
      <c r="CS38" s="103">
        <f>+CS20+CS30+CS33</f>
        <v>222400</v>
      </c>
    </row>
    <row r="39" spans="1:97" x14ac:dyDescent="0.25">
      <c r="A39" s="185" t="s">
        <v>641</v>
      </c>
      <c r="C39" s="186">
        <f>+C23+C32+C35</f>
        <v>1552597</v>
      </c>
      <c r="E39" s="186">
        <f>+E23+E32+E35</f>
        <v>1265997</v>
      </c>
      <c r="G39" s="186">
        <f>+G23+G32+G35</f>
        <v>1032997</v>
      </c>
      <c r="I39" s="186">
        <f>+I23+I32+I35</f>
        <v>1369247</v>
      </c>
      <c r="K39" s="186">
        <f>+K23+K32+K35</f>
        <v>1252997</v>
      </c>
      <c r="M39" s="186">
        <f>+M23+M32+M35</f>
        <v>1049997</v>
      </c>
      <c r="O39" s="186">
        <f>+O23+O32+O35</f>
        <v>1049997</v>
      </c>
      <c r="Q39" s="186">
        <f>+Q23+Q32+Q35</f>
        <v>1049997</v>
      </c>
      <c r="S39" s="186">
        <f>+S23+S32+S35</f>
        <v>1049997</v>
      </c>
      <c r="U39" s="186">
        <f>+U23+U32+U35</f>
        <v>1049997</v>
      </c>
      <c r="W39" s="186">
        <f>+W23+W32+W35</f>
        <v>1109997</v>
      </c>
      <c r="Y39" s="186">
        <f>+Y23+Y32+Y35</f>
        <v>1366497</v>
      </c>
      <c r="AA39" s="186">
        <f>+AA23+AA32+AA35</f>
        <v>1490497</v>
      </c>
      <c r="AC39" s="186">
        <f>+AC23+AC32+AC35</f>
        <v>1394997</v>
      </c>
      <c r="AE39" s="186">
        <f>+AE23+AE32+AE35</f>
        <v>1547850</v>
      </c>
      <c r="AG39" s="186">
        <f>+AG23+AG32+AG35</f>
        <v>1340450</v>
      </c>
      <c r="AI39" s="186">
        <f>+AI23+AI32+AI35</f>
        <v>1360450</v>
      </c>
      <c r="AK39" s="186">
        <f>+AK23+AK32+AK35</f>
        <v>1252450</v>
      </c>
      <c r="AM39" s="186">
        <f>+AM23+AM32+AM35</f>
        <v>1311800</v>
      </c>
      <c r="AO39" s="186">
        <f>+AO23+AO32+AO35</f>
        <v>1087300</v>
      </c>
      <c r="AQ39" s="186">
        <f>+AQ23+AQ32+AQ35</f>
        <v>1087300</v>
      </c>
      <c r="AS39" s="186">
        <f>+AS23+AS32+AS35</f>
        <v>1087300</v>
      </c>
      <c r="AU39" s="186">
        <f>+AU23+AU32+AU35</f>
        <v>1039800</v>
      </c>
      <c r="AW39" s="186">
        <f>+AW23+AW32+AW35</f>
        <v>988100</v>
      </c>
      <c r="AY39" s="186">
        <f>+AY23+AY32+AY35</f>
        <v>1102850</v>
      </c>
      <c r="BA39" s="186">
        <f>+BA23+BA32+BA35</f>
        <v>870150</v>
      </c>
      <c r="BC39" s="186">
        <f>+BC23+BC32+BC35</f>
        <v>873650</v>
      </c>
      <c r="BE39" s="186">
        <f>+BE23+BE32+BE35</f>
        <v>768650</v>
      </c>
      <c r="BG39" s="186">
        <f>+BG23+BG32+BG35</f>
        <v>775600</v>
      </c>
      <c r="BI39" s="186">
        <f>+BI23+BI32+BI35</f>
        <v>740100</v>
      </c>
      <c r="BK39" s="186">
        <f>+BK23+BK32+BK35</f>
        <v>607600</v>
      </c>
      <c r="BM39" s="186">
        <f>+BM23+BM32+BM35</f>
        <v>446050</v>
      </c>
      <c r="BO39" s="186">
        <f>+BO23+BO32+BO35</f>
        <v>372650</v>
      </c>
      <c r="BQ39" s="186">
        <f>+BQ23+BQ32+BQ35</f>
        <v>692650</v>
      </c>
      <c r="BS39" s="186">
        <f>+BS23+BS32+BS35</f>
        <v>626850</v>
      </c>
      <c r="BU39" s="186">
        <f>+BU23+BU32+BU35</f>
        <v>519200</v>
      </c>
      <c r="BW39" s="186">
        <f>+BY39</f>
        <v>436000</v>
      </c>
      <c r="BY39" s="186">
        <f>+BY23+BY32+BY35</f>
        <v>436000</v>
      </c>
      <c r="CA39" s="186">
        <f>+CA23+CA32+CA35</f>
        <v>246400</v>
      </c>
      <c r="CC39" s="186">
        <f>+CC23+CC32+CC35</f>
        <v>303850</v>
      </c>
      <c r="CE39" s="186">
        <f>+CE23+CE32+CE35</f>
        <v>813400</v>
      </c>
      <c r="CG39" s="186">
        <f>+CI39</f>
        <v>753400</v>
      </c>
      <c r="CI39" s="186">
        <f>+CI23+CI32+CI35</f>
        <v>753400</v>
      </c>
      <c r="CK39" s="186">
        <f>+CK23+CK32+CK35</f>
        <v>328100</v>
      </c>
      <c r="CM39" s="186">
        <f>+CM23+CM32+CM35</f>
        <v>634000</v>
      </c>
      <c r="CO39" s="186">
        <f>+CO23+CO32+CO35</f>
        <v>516900</v>
      </c>
      <c r="CQ39" s="186">
        <f>+CQ23+CQ32+CQ35</f>
        <v>357100</v>
      </c>
      <c r="CS39" s="186">
        <f>+CS23+CS32+CS35</f>
        <v>236100</v>
      </c>
    </row>
    <row r="40" spans="1:97" x14ac:dyDescent="0.25">
      <c r="CS40"/>
    </row>
    <row r="41" spans="1:97" x14ac:dyDescent="0.25">
      <c r="A41" s="11" t="s">
        <v>391</v>
      </c>
      <c r="C41" s="24">
        <v>77612</v>
      </c>
      <c r="E41" s="24">
        <v>77612</v>
      </c>
      <c r="G41" s="24">
        <f>+I41</f>
        <v>423300</v>
      </c>
      <c r="I41" s="24">
        <f>+K41</f>
        <v>423300</v>
      </c>
      <c r="K41" s="24">
        <f>+M41</f>
        <v>423300</v>
      </c>
      <c r="M41" s="24">
        <f>+O41</f>
        <v>423300</v>
      </c>
      <c r="O41" s="24">
        <f>+Q41</f>
        <v>423300</v>
      </c>
      <c r="Q41" s="24">
        <f>+S41</f>
        <v>423300</v>
      </c>
      <c r="S41" s="24">
        <f>+U41</f>
        <v>423300</v>
      </c>
      <c r="U41" s="24">
        <f>+W41</f>
        <v>423300</v>
      </c>
      <c r="W41" s="24">
        <f>+Y41</f>
        <v>423300</v>
      </c>
      <c r="Y41" s="24">
        <f>+AA41</f>
        <v>423300</v>
      </c>
      <c r="AA41" s="24">
        <f>+AC41</f>
        <v>423300</v>
      </c>
      <c r="AC41" s="24">
        <f>+AE41</f>
        <v>423300</v>
      </c>
      <c r="AE41" s="24">
        <f>+AG41</f>
        <v>423300</v>
      </c>
      <c r="AG41" s="9">
        <f>+AI41</f>
        <v>423300</v>
      </c>
      <c r="AI41" s="9">
        <f>+AK41</f>
        <v>423300</v>
      </c>
      <c r="AK41" s="9">
        <f>+AM41</f>
        <v>423300</v>
      </c>
      <c r="AM41" s="9">
        <f>+AQ41</f>
        <v>423300</v>
      </c>
      <c r="AO41" s="9">
        <f>+AS41</f>
        <v>423300</v>
      </c>
      <c r="AQ41" s="9">
        <f>+AS41</f>
        <v>423300</v>
      </c>
      <c r="AS41" s="9">
        <f>+AU41</f>
        <v>423300</v>
      </c>
      <c r="AU41" s="3">
        <v>423300</v>
      </c>
    </row>
    <row r="42" spans="1:97" x14ac:dyDescent="0.25">
      <c r="AU42" t="s">
        <v>699</v>
      </c>
    </row>
    <row r="43" spans="1:97" x14ac:dyDescent="0.25">
      <c r="AU43" t="s">
        <v>700</v>
      </c>
      <c r="BG43" s="9"/>
    </row>
    <row r="45" spans="1:97" x14ac:dyDescent="0.25">
      <c r="BG45" s="9"/>
    </row>
  </sheetData>
  <mergeCells count="21">
    <mergeCell ref="U3:U13"/>
    <mergeCell ref="CO3:CO13"/>
    <mergeCell ref="CC3:CC13"/>
    <mergeCell ref="CG3:CG13"/>
    <mergeCell ref="BW3:BW13"/>
    <mergeCell ref="BI3:BI13"/>
    <mergeCell ref="AA3:AA13"/>
    <mergeCell ref="Y3:Y13"/>
    <mergeCell ref="AO3:AO13"/>
    <mergeCell ref="BC3:BC13"/>
    <mergeCell ref="AK3:AK13"/>
    <mergeCell ref="AI3:AI13"/>
    <mergeCell ref="AQ3:AQ13"/>
    <mergeCell ref="E3:E13"/>
    <mergeCell ref="K3:K13"/>
    <mergeCell ref="I3:I13"/>
    <mergeCell ref="G3:G13"/>
    <mergeCell ref="S3:S13"/>
    <mergeCell ref="Q3:Q13"/>
    <mergeCell ref="O3:O13"/>
    <mergeCell ref="M3:M13"/>
  </mergeCells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">
    <tabColor rgb="FF9966FF"/>
  </sheetPr>
  <dimension ref="A1:M160"/>
  <sheetViews>
    <sheetView zoomScale="115" zoomScaleNormal="115" workbookViewId="0">
      <pane ySplit="6" topLeftCell="A145" activePane="bottomLeft" state="frozen"/>
      <selection activeCell="C1" sqref="C1"/>
      <selection pane="bottomLeft" activeCell="D158" sqref="D158:D159"/>
    </sheetView>
  </sheetViews>
  <sheetFormatPr baseColWidth="10" defaultColWidth="9.140625" defaultRowHeight="15" x14ac:dyDescent="0.25"/>
  <cols>
    <col min="1" max="1" width="11.140625" bestFit="1" customWidth="1"/>
    <col min="2" max="2" width="10.7109375" bestFit="1" customWidth="1"/>
    <col min="3" max="3" width="10.85546875" bestFit="1" customWidth="1"/>
    <col min="4" max="4" width="13.85546875" style="49" customWidth="1"/>
    <col min="5" max="5" width="10.42578125" style="3" bestFit="1" customWidth="1"/>
    <col min="6" max="6" width="9.140625" style="3" bestFit="1" customWidth="1"/>
    <col min="7" max="7" width="11.7109375" style="3" bestFit="1" customWidth="1"/>
    <col min="9" max="9" width="56" bestFit="1" customWidth="1"/>
    <col min="10" max="10" width="13.42578125" customWidth="1"/>
    <col min="13" max="13" width="11.140625" bestFit="1" customWidth="1"/>
  </cols>
  <sheetData>
    <row r="1" spans="1:10" x14ac:dyDescent="0.25">
      <c r="A1" s="9"/>
      <c r="C1" s="25" t="s">
        <v>136</v>
      </c>
      <c r="D1" s="3">
        <f>+SUMIF($H$7:$H$1048576,C1,$D$7:$D$1048576)</f>
        <v>932247</v>
      </c>
    </row>
    <row r="2" spans="1:10" ht="15.75" thickBot="1" x14ac:dyDescent="0.3">
      <c r="C2" s="26" t="s">
        <v>141</v>
      </c>
      <c r="D2" s="21">
        <f>+SUMIF($H$7:$H$1048576,C2,$D$7:$D$1048576)</f>
        <v>211000</v>
      </c>
    </row>
    <row r="3" spans="1:10" ht="15.75" thickTop="1" x14ac:dyDescent="0.25">
      <c r="D3" s="3">
        <f>+SUM(D7:D1048576)</f>
        <v>1143247</v>
      </c>
      <c r="H3" s="15" t="s">
        <v>121</v>
      </c>
    </row>
    <row r="4" spans="1:10" x14ac:dyDescent="0.25">
      <c r="D4" s="3"/>
    </row>
    <row r="5" spans="1:10" x14ac:dyDescent="0.25">
      <c r="D5" s="3">
        <f>+SUBTOTAL(9,D7:D1048576)</f>
        <v>1143247</v>
      </c>
    </row>
    <row r="6" spans="1:10" x14ac:dyDescent="0.25">
      <c r="A6" s="29" t="s">
        <v>5</v>
      </c>
      <c r="B6" s="29" t="s">
        <v>366</v>
      </c>
      <c r="C6" s="29" t="s">
        <v>151</v>
      </c>
      <c r="D6" s="30" t="s">
        <v>6</v>
      </c>
      <c r="E6" s="30" t="s">
        <v>217</v>
      </c>
      <c r="F6" s="30" t="s">
        <v>216</v>
      </c>
      <c r="G6" s="30" t="s">
        <v>672</v>
      </c>
      <c r="H6" s="29" t="s">
        <v>150</v>
      </c>
      <c r="I6" s="29" t="s">
        <v>149</v>
      </c>
      <c r="J6" s="29" t="s">
        <v>148</v>
      </c>
    </row>
    <row r="7" spans="1:10" x14ac:dyDescent="0.25">
      <c r="A7" s="2">
        <v>46076</v>
      </c>
      <c r="B7" s="2" t="str">
        <f t="shared" ref="B7:B18" si="0">+TEXT(A7,"ddd")</f>
        <v>lun</v>
      </c>
      <c r="C7" s="27">
        <v>0.72986111111111107</v>
      </c>
      <c r="D7" s="49">
        <v>6500</v>
      </c>
      <c r="E7" s="3" t="s">
        <v>216</v>
      </c>
      <c r="H7" s="25" t="s">
        <v>136</v>
      </c>
      <c r="I7" s="1" t="s">
        <v>137</v>
      </c>
      <c r="J7" t="s">
        <v>209</v>
      </c>
    </row>
    <row r="8" spans="1:10" x14ac:dyDescent="0.25">
      <c r="A8" s="2">
        <v>46076</v>
      </c>
      <c r="B8" s="2" t="str">
        <f t="shared" si="0"/>
        <v>lun</v>
      </c>
      <c r="C8" s="28"/>
      <c r="D8" s="49">
        <v>24000</v>
      </c>
      <c r="E8" s="3" t="s">
        <v>216</v>
      </c>
      <c r="H8" s="25" t="s">
        <v>136</v>
      </c>
      <c r="I8" s="1" t="s">
        <v>147</v>
      </c>
    </row>
    <row r="9" spans="1:10" x14ac:dyDescent="0.25">
      <c r="A9" s="2">
        <v>46077</v>
      </c>
      <c r="B9" s="2" t="str">
        <f t="shared" si="0"/>
        <v>mar</v>
      </c>
      <c r="C9" s="27">
        <v>0.79374999999999996</v>
      </c>
      <c r="D9" s="49">
        <v>3000</v>
      </c>
      <c r="E9" s="3" t="s">
        <v>216</v>
      </c>
      <c r="F9" s="77" t="s">
        <v>649</v>
      </c>
      <c r="H9" s="25" t="s">
        <v>136</v>
      </c>
      <c r="I9" t="s">
        <v>146</v>
      </c>
    </row>
    <row r="10" spans="1:10" x14ac:dyDescent="0.25">
      <c r="A10" s="2">
        <v>46077</v>
      </c>
      <c r="B10" s="2" t="str">
        <f t="shared" si="0"/>
        <v>mar</v>
      </c>
      <c r="C10" s="27">
        <v>0.82777777777777772</v>
      </c>
      <c r="D10" s="49">
        <v>8000</v>
      </c>
      <c r="E10" s="3" t="s">
        <v>216</v>
      </c>
      <c r="F10" s="77" t="s">
        <v>649</v>
      </c>
      <c r="H10" s="25" t="s">
        <v>136</v>
      </c>
      <c r="I10" t="s">
        <v>145</v>
      </c>
    </row>
    <row r="11" spans="1:10" x14ac:dyDescent="0.25">
      <c r="A11" s="2">
        <v>46078</v>
      </c>
      <c r="B11" s="2" t="str">
        <f t="shared" si="0"/>
        <v>mié</v>
      </c>
      <c r="C11" s="27">
        <v>0.69444444444444442</v>
      </c>
      <c r="D11" s="49">
        <v>8000</v>
      </c>
      <c r="E11" s="3" t="s">
        <v>216</v>
      </c>
      <c r="H11" s="25" t="s">
        <v>136</v>
      </c>
      <c r="I11" t="s">
        <v>144</v>
      </c>
    </row>
    <row r="12" spans="1:10" x14ac:dyDescent="0.25">
      <c r="A12" s="2">
        <v>46078</v>
      </c>
      <c r="B12" s="2" t="str">
        <f t="shared" si="0"/>
        <v>mié</v>
      </c>
      <c r="C12" s="27">
        <v>0.7944444444444444</v>
      </c>
      <c r="D12" s="49">
        <v>8000</v>
      </c>
      <c r="E12" s="3" t="s">
        <v>216</v>
      </c>
      <c r="H12" s="25" t="s">
        <v>136</v>
      </c>
      <c r="I12" t="s">
        <v>143</v>
      </c>
      <c r="J12" t="s">
        <v>208</v>
      </c>
    </row>
    <row r="13" spans="1:10" x14ac:dyDescent="0.25">
      <c r="A13" s="2">
        <v>46078</v>
      </c>
      <c r="B13" s="2" t="str">
        <f t="shared" si="0"/>
        <v>mié</v>
      </c>
      <c r="C13" s="27">
        <v>0.80694444444444446</v>
      </c>
      <c r="D13" s="49">
        <v>22500</v>
      </c>
      <c r="E13" s="3" t="s">
        <v>216</v>
      </c>
      <c r="H13" s="25" t="s">
        <v>136</v>
      </c>
      <c r="I13" s="1" t="s">
        <v>137</v>
      </c>
      <c r="J13" t="s">
        <v>209</v>
      </c>
    </row>
    <row r="14" spans="1:10" x14ac:dyDescent="0.25">
      <c r="A14" s="2">
        <v>46078</v>
      </c>
      <c r="B14" s="2" t="str">
        <f t="shared" si="0"/>
        <v>mié</v>
      </c>
      <c r="C14" s="27">
        <v>0.83958333333333335</v>
      </c>
      <c r="D14" s="49">
        <v>8000</v>
      </c>
      <c r="E14" s="3" t="s">
        <v>216</v>
      </c>
      <c r="H14" s="25" t="s">
        <v>136</v>
      </c>
      <c r="I14" t="s">
        <v>142</v>
      </c>
    </row>
    <row r="15" spans="1:10" x14ac:dyDescent="0.25">
      <c r="A15" s="10">
        <v>46078</v>
      </c>
      <c r="B15" s="2" t="str">
        <f t="shared" si="0"/>
        <v>mié</v>
      </c>
      <c r="C15" s="27">
        <v>0.79374999999999996</v>
      </c>
      <c r="D15" s="49">
        <v>16000</v>
      </c>
      <c r="E15" s="3" t="s">
        <v>216</v>
      </c>
      <c r="H15" s="26" t="s">
        <v>141</v>
      </c>
      <c r="I15" t="s">
        <v>140</v>
      </c>
      <c r="J15" t="s">
        <v>141</v>
      </c>
    </row>
    <row r="16" spans="1:10" x14ac:dyDescent="0.25">
      <c r="A16" s="2">
        <v>46079</v>
      </c>
      <c r="B16" s="2" t="str">
        <f t="shared" si="0"/>
        <v>jue</v>
      </c>
      <c r="C16" s="27">
        <v>0.56458333333333333</v>
      </c>
      <c r="D16" s="49">
        <v>25000</v>
      </c>
      <c r="E16" s="3" t="s">
        <v>216</v>
      </c>
      <c r="H16" s="25" t="s">
        <v>136</v>
      </c>
      <c r="I16" t="s">
        <v>139</v>
      </c>
      <c r="J16" t="s">
        <v>138</v>
      </c>
    </row>
    <row r="17" spans="1:10" x14ac:dyDescent="0.25">
      <c r="A17" s="2">
        <v>46079</v>
      </c>
      <c r="B17" s="2" t="str">
        <f t="shared" si="0"/>
        <v>jue</v>
      </c>
      <c r="C17" s="27">
        <v>0.84513888888888888</v>
      </c>
      <c r="D17" s="49">
        <v>51000</v>
      </c>
      <c r="E17" s="3" t="s">
        <v>216</v>
      </c>
      <c r="H17" s="25" t="s">
        <v>136</v>
      </c>
      <c r="I17" s="1" t="s">
        <v>137</v>
      </c>
      <c r="J17" t="s">
        <v>209</v>
      </c>
    </row>
    <row r="18" spans="1:10" x14ac:dyDescent="0.25">
      <c r="A18" s="2">
        <v>46079</v>
      </c>
      <c r="B18" s="2" t="str">
        <f t="shared" si="0"/>
        <v>jue</v>
      </c>
      <c r="C18" s="27">
        <v>0.72777777777777775</v>
      </c>
      <c r="D18" s="97">
        <v>49000</v>
      </c>
      <c r="E18" s="3" t="s">
        <v>216</v>
      </c>
      <c r="H18" s="25" t="s">
        <v>136</v>
      </c>
      <c r="I18" t="s">
        <v>135</v>
      </c>
    </row>
    <row r="19" spans="1:10" x14ac:dyDescent="0.25">
      <c r="A19" s="2">
        <v>46080</v>
      </c>
      <c r="B19" s="2" t="str">
        <f t="shared" ref="B19:B23" si="1">+TEXT(A19,"ddd")</f>
        <v>vie</v>
      </c>
      <c r="C19" s="27">
        <v>0.82291666666666663</v>
      </c>
      <c r="D19" s="97">
        <v>11000</v>
      </c>
      <c r="E19" s="3" t="s">
        <v>216</v>
      </c>
      <c r="H19" s="26" t="s">
        <v>141</v>
      </c>
      <c r="I19" t="s">
        <v>140</v>
      </c>
      <c r="J19" t="s">
        <v>141</v>
      </c>
    </row>
    <row r="20" spans="1:10" x14ac:dyDescent="0.25">
      <c r="A20" s="2">
        <v>46080</v>
      </c>
      <c r="B20" s="2" t="str">
        <f t="shared" si="1"/>
        <v>vie</v>
      </c>
      <c r="C20" s="27">
        <v>0.84236111111111112</v>
      </c>
      <c r="D20" s="97">
        <v>10000</v>
      </c>
      <c r="E20" s="3" t="s">
        <v>216</v>
      </c>
      <c r="H20" s="25" t="s">
        <v>136</v>
      </c>
      <c r="I20" t="s">
        <v>192</v>
      </c>
    </row>
    <row r="21" spans="1:10" x14ac:dyDescent="0.25">
      <c r="A21" s="2">
        <v>46080</v>
      </c>
      <c r="B21" s="2" t="str">
        <f t="shared" si="1"/>
        <v>vie</v>
      </c>
      <c r="C21" s="27">
        <v>0.7631944444444444</v>
      </c>
      <c r="D21" s="97">
        <v>24000</v>
      </c>
      <c r="E21" s="3" t="s">
        <v>216</v>
      </c>
      <c r="H21" s="25" t="s">
        <v>136</v>
      </c>
      <c r="I21" t="s">
        <v>193</v>
      </c>
    </row>
    <row r="22" spans="1:10" x14ac:dyDescent="0.25">
      <c r="A22" s="2">
        <v>46080</v>
      </c>
      <c r="B22" s="2" t="str">
        <f t="shared" si="1"/>
        <v>vie</v>
      </c>
      <c r="C22" s="27">
        <v>0.75972222222222219</v>
      </c>
      <c r="D22" s="97">
        <v>11000</v>
      </c>
      <c r="E22" s="3" t="s">
        <v>216</v>
      </c>
      <c r="H22" s="25" t="s">
        <v>136</v>
      </c>
      <c r="I22" t="s">
        <v>194</v>
      </c>
    </row>
    <row r="23" spans="1:10" x14ac:dyDescent="0.25">
      <c r="A23" s="2">
        <v>46081</v>
      </c>
      <c r="B23" s="2" t="str">
        <f t="shared" si="1"/>
        <v>sáb</v>
      </c>
      <c r="C23" s="27"/>
      <c r="D23" s="97">
        <v>280000</v>
      </c>
      <c r="E23" s="3" t="s">
        <v>216</v>
      </c>
      <c r="H23" s="25" t="s">
        <v>136</v>
      </c>
      <c r="I23" t="s">
        <v>202</v>
      </c>
      <c r="J23" t="s">
        <v>210</v>
      </c>
    </row>
    <row r="24" spans="1:10" x14ac:dyDescent="0.25">
      <c r="A24" s="2">
        <v>46081</v>
      </c>
      <c r="B24" s="2" t="str">
        <f t="shared" ref="B24:B31" si="2">+TEXT(A24,"ddd")</f>
        <v>sáb</v>
      </c>
      <c r="C24" s="27">
        <v>0.79305555555555562</v>
      </c>
      <c r="D24" s="49">
        <v>18000</v>
      </c>
      <c r="E24" s="3" t="s">
        <v>216</v>
      </c>
      <c r="H24" s="25" t="s">
        <v>136</v>
      </c>
      <c r="I24" t="s">
        <v>203</v>
      </c>
      <c r="J24" t="s">
        <v>208</v>
      </c>
    </row>
    <row r="25" spans="1:10" x14ac:dyDescent="0.25">
      <c r="A25" s="2">
        <v>46081</v>
      </c>
      <c r="B25" s="2" t="str">
        <f t="shared" si="2"/>
        <v>sáb</v>
      </c>
      <c r="C25" s="27">
        <v>0.65208333333333335</v>
      </c>
      <c r="D25" s="49">
        <v>16000</v>
      </c>
      <c r="E25" s="3" t="s">
        <v>216</v>
      </c>
      <c r="H25" s="25" t="s">
        <v>136</v>
      </c>
      <c r="I25" t="s">
        <v>204</v>
      </c>
      <c r="J25" t="s">
        <v>206</v>
      </c>
    </row>
    <row r="26" spans="1:10" x14ac:dyDescent="0.25">
      <c r="A26" s="2">
        <v>46081</v>
      </c>
      <c r="B26" s="2" t="str">
        <f t="shared" si="2"/>
        <v>sáb</v>
      </c>
      <c r="C26" s="27">
        <v>0.65138888888888891</v>
      </c>
      <c r="D26" s="49">
        <v>13000</v>
      </c>
      <c r="E26" s="3" t="s">
        <v>216</v>
      </c>
      <c r="H26" s="25" t="s">
        <v>136</v>
      </c>
      <c r="I26" t="s">
        <v>192</v>
      </c>
      <c r="J26" t="s">
        <v>207</v>
      </c>
    </row>
    <row r="27" spans="1:10" x14ac:dyDescent="0.25">
      <c r="A27" s="2">
        <v>46084</v>
      </c>
      <c r="B27" s="2" t="str">
        <f t="shared" si="2"/>
        <v>mar</v>
      </c>
      <c r="C27" s="28"/>
      <c r="D27" s="98">
        <f>-(D19+D15)</f>
        <v>-27000</v>
      </c>
      <c r="E27" s="3" t="s">
        <v>218</v>
      </c>
      <c r="H27" s="26" t="s">
        <v>141</v>
      </c>
      <c r="I27" t="s">
        <v>219</v>
      </c>
    </row>
    <row r="28" spans="1:10" x14ac:dyDescent="0.25">
      <c r="A28" s="2">
        <v>46084</v>
      </c>
      <c r="B28" s="2" t="str">
        <f t="shared" si="2"/>
        <v>mar</v>
      </c>
      <c r="C28" s="28"/>
      <c r="D28" s="49">
        <v>27000</v>
      </c>
      <c r="E28" s="3" t="s">
        <v>216</v>
      </c>
      <c r="H28" s="25" t="s">
        <v>136</v>
      </c>
      <c r="I28" t="s">
        <v>650</v>
      </c>
    </row>
    <row r="29" spans="1:10" x14ac:dyDescent="0.25">
      <c r="A29" s="2">
        <v>46084</v>
      </c>
      <c r="B29" s="2" t="str">
        <f>+TEXT(A29,"ddd")</f>
        <v>mar</v>
      </c>
      <c r="C29" s="1"/>
      <c r="D29" s="49">
        <f>5000*4</f>
        <v>20000</v>
      </c>
      <c r="E29" s="3" t="s">
        <v>216</v>
      </c>
      <c r="H29" s="25" t="s">
        <v>136</v>
      </c>
      <c r="I29" t="s">
        <v>651</v>
      </c>
    </row>
    <row r="30" spans="1:10" x14ac:dyDescent="0.25">
      <c r="A30" s="2">
        <v>46084</v>
      </c>
      <c r="B30" s="2" t="str">
        <f>+TEXT(A30,"ddd")</f>
        <v>mar</v>
      </c>
      <c r="C30" s="1"/>
      <c r="D30" s="49">
        <v>33000</v>
      </c>
      <c r="E30" s="3" t="s">
        <v>216</v>
      </c>
      <c r="H30" s="25" t="s">
        <v>136</v>
      </c>
      <c r="I30" t="s">
        <v>220</v>
      </c>
    </row>
    <row r="31" spans="1:10" x14ac:dyDescent="0.25">
      <c r="A31" s="2">
        <v>46084</v>
      </c>
      <c r="B31" s="2" t="str">
        <f t="shared" si="2"/>
        <v>mar</v>
      </c>
      <c r="C31" s="1"/>
      <c r="D31" s="49">
        <v>-619850</v>
      </c>
      <c r="E31" s="3" t="s">
        <v>218</v>
      </c>
      <c r="H31" s="25" t="s">
        <v>136</v>
      </c>
      <c r="I31" t="s">
        <v>215</v>
      </c>
    </row>
    <row r="32" spans="1:10" x14ac:dyDescent="0.25">
      <c r="A32" s="2">
        <v>46085</v>
      </c>
      <c r="B32" s="2" t="str">
        <f t="shared" ref="B32:B42" si="3">+TEXT(A32,"ddd")</f>
        <v>mié</v>
      </c>
      <c r="D32" s="225">
        <v>19000</v>
      </c>
      <c r="E32" s="3" t="s">
        <v>216</v>
      </c>
      <c r="H32" s="25" t="s">
        <v>136</v>
      </c>
      <c r="I32" t="s">
        <v>254</v>
      </c>
    </row>
    <row r="33" spans="1:13" x14ac:dyDescent="0.25">
      <c r="A33" s="2">
        <v>46085</v>
      </c>
      <c r="B33" s="2" t="str">
        <f t="shared" si="3"/>
        <v>mié</v>
      </c>
      <c r="D33" s="225">
        <v>8000</v>
      </c>
      <c r="E33" s="3" t="s">
        <v>216</v>
      </c>
      <c r="H33" s="25" t="s">
        <v>136</v>
      </c>
      <c r="I33" t="s">
        <v>253</v>
      </c>
    </row>
    <row r="34" spans="1:13" x14ac:dyDescent="0.25">
      <c r="A34" s="2">
        <v>46085</v>
      </c>
      <c r="B34" s="2" t="str">
        <f t="shared" si="3"/>
        <v>mié</v>
      </c>
      <c r="D34" s="225">
        <v>18000</v>
      </c>
      <c r="E34" s="3" t="s">
        <v>216</v>
      </c>
      <c r="H34" s="25" t="s">
        <v>136</v>
      </c>
      <c r="I34" t="s">
        <v>252</v>
      </c>
    </row>
    <row r="35" spans="1:13" x14ac:dyDescent="0.25">
      <c r="A35" s="2">
        <v>46085</v>
      </c>
      <c r="B35" s="2" t="str">
        <f t="shared" si="3"/>
        <v>mié</v>
      </c>
      <c r="D35" s="225">
        <v>8000</v>
      </c>
      <c r="E35" s="3" t="s">
        <v>216</v>
      </c>
      <c r="H35" s="25" t="s">
        <v>136</v>
      </c>
      <c r="I35" t="s">
        <v>251</v>
      </c>
    </row>
    <row r="36" spans="1:13" x14ac:dyDescent="0.25">
      <c r="A36" s="2">
        <v>46085</v>
      </c>
      <c r="B36" s="2" t="str">
        <f t="shared" si="3"/>
        <v>mié</v>
      </c>
      <c r="D36" s="225">
        <v>64000</v>
      </c>
      <c r="E36" s="3" t="s">
        <v>216</v>
      </c>
      <c r="H36" s="25" t="s">
        <v>136</v>
      </c>
      <c r="I36" t="s">
        <v>250</v>
      </c>
      <c r="M36" s="3">
        <f>+SUM(D32:D36)</f>
        <v>117000</v>
      </c>
    </row>
    <row r="37" spans="1:13" x14ac:dyDescent="0.25">
      <c r="A37" s="2">
        <v>46086</v>
      </c>
      <c r="B37" s="2" t="str">
        <f t="shared" si="3"/>
        <v>jue</v>
      </c>
      <c r="D37" s="225">
        <v>30000</v>
      </c>
      <c r="E37" s="3" t="s">
        <v>216</v>
      </c>
      <c r="H37" s="25" t="s">
        <v>136</v>
      </c>
      <c r="I37" t="s">
        <v>259</v>
      </c>
      <c r="M37" s="3" t="e">
        <f>#REF!+8000</f>
        <v>#REF!</v>
      </c>
    </row>
    <row r="38" spans="1:13" x14ac:dyDescent="0.25">
      <c r="A38" s="2">
        <v>46086</v>
      </c>
      <c r="B38" s="2" t="str">
        <f t="shared" si="3"/>
        <v>jue</v>
      </c>
      <c r="D38" s="225">
        <v>11000</v>
      </c>
      <c r="E38" s="3" t="s">
        <v>216</v>
      </c>
      <c r="H38" s="25" t="s">
        <v>136</v>
      </c>
      <c r="I38" t="s">
        <v>258</v>
      </c>
    </row>
    <row r="39" spans="1:13" x14ac:dyDescent="0.25">
      <c r="A39" s="2">
        <v>46086</v>
      </c>
      <c r="B39" s="2" t="str">
        <f t="shared" si="3"/>
        <v>jue</v>
      </c>
      <c r="D39" s="192">
        <v>16000</v>
      </c>
      <c r="E39" s="3" t="s">
        <v>216</v>
      </c>
      <c r="H39" s="25" t="s">
        <v>136</v>
      </c>
      <c r="I39" t="s">
        <v>257</v>
      </c>
    </row>
    <row r="40" spans="1:13" x14ac:dyDescent="0.25">
      <c r="A40" s="2">
        <v>46086</v>
      </c>
      <c r="B40" s="2" t="str">
        <f t="shared" si="3"/>
        <v>jue</v>
      </c>
      <c r="D40" s="225">
        <v>39500</v>
      </c>
      <c r="E40" s="3" t="s">
        <v>216</v>
      </c>
      <c r="H40" s="25" t="s">
        <v>136</v>
      </c>
      <c r="I40" t="s">
        <v>256</v>
      </c>
      <c r="M40" t="e">
        <f>+#REF!</f>
        <v>#REF!</v>
      </c>
    </row>
    <row r="41" spans="1:13" x14ac:dyDescent="0.25">
      <c r="A41" s="2">
        <v>46086</v>
      </c>
      <c r="B41" s="2" t="str">
        <f t="shared" si="3"/>
        <v>jue</v>
      </c>
      <c r="D41" s="225">
        <v>35000</v>
      </c>
      <c r="E41" s="3" t="s">
        <v>216</v>
      </c>
      <c r="H41" s="25" t="s">
        <v>136</v>
      </c>
      <c r="I41" t="s">
        <v>255</v>
      </c>
      <c r="M41" s="9">
        <f>+SUM(D37:D41)</f>
        <v>131500</v>
      </c>
    </row>
    <row r="42" spans="1:13" x14ac:dyDescent="0.25">
      <c r="A42" s="2">
        <v>46088</v>
      </c>
      <c r="B42" s="2" t="str">
        <f t="shared" si="3"/>
        <v>sáb</v>
      </c>
      <c r="D42" s="49">
        <v>28000</v>
      </c>
      <c r="E42" s="3" t="s">
        <v>216</v>
      </c>
      <c r="H42" s="25" t="s">
        <v>136</v>
      </c>
      <c r="I42" t="s">
        <v>305</v>
      </c>
      <c r="M42" s="9"/>
    </row>
    <row r="43" spans="1:13" x14ac:dyDescent="0.25">
      <c r="A43" s="2">
        <v>46088</v>
      </c>
      <c r="B43" s="2" t="str">
        <f t="shared" ref="B43" si="4">+TEXT(A43,"ddd")</f>
        <v>sáb</v>
      </c>
      <c r="D43" s="49">
        <v>43000</v>
      </c>
      <c r="E43" s="3" t="s">
        <v>216</v>
      </c>
      <c r="H43" s="25" t="s">
        <v>136</v>
      </c>
      <c r="I43" t="s">
        <v>260</v>
      </c>
      <c r="M43" s="9"/>
    </row>
    <row r="44" spans="1:13" x14ac:dyDescent="0.25">
      <c r="A44" s="2">
        <v>46089</v>
      </c>
      <c r="B44" s="2" t="str">
        <f t="shared" ref="B44:B47" si="5">+TEXT(A44,"ddd")</f>
        <v>dom</v>
      </c>
      <c r="D44" s="225">
        <v>30000</v>
      </c>
      <c r="E44" s="3" t="s">
        <v>216</v>
      </c>
      <c r="H44" s="25" t="s">
        <v>136</v>
      </c>
      <c r="I44" t="s">
        <v>349</v>
      </c>
    </row>
    <row r="45" spans="1:13" x14ac:dyDescent="0.25">
      <c r="A45" s="2">
        <v>46089</v>
      </c>
      <c r="B45" s="2" t="str">
        <f t="shared" si="5"/>
        <v>dom</v>
      </c>
      <c r="D45" s="225">
        <v>54000</v>
      </c>
      <c r="E45" s="3" t="s">
        <v>216</v>
      </c>
      <c r="H45" s="25" t="s">
        <v>136</v>
      </c>
      <c r="I45" t="s">
        <v>351</v>
      </c>
    </row>
    <row r="46" spans="1:13" x14ac:dyDescent="0.25">
      <c r="A46" s="2">
        <v>46089</v>
      </c>
      <c r="B46" s="2" t="str">
        <f t="shared" si="5"/>
        <v>dom</v>
      </c>
      <c r="D46" s="225">
        <v>8000</v>
      </c>
      <c r="E46" s="3" t="s">
        <v>216</v>
      </c>
      <c r="H46" s="25" t="s">
        <v>136</v>
      </c>
      <c r="I46" t="s">
        <v>350</v>
      </c>
    </row>
    <row r="47" spans="1:13" x14ac:dyDescent="0.25">
      <c r="A47" s="2">
        <v>46089</v>
      </c>
      <c r="B47" s="2" t="str">
        <f t="shared" si="5"/>
        <v>dom</v>
      </c>
      <c r="D47" s="192">
        <v>30000</v>
      </c>
      <c r="E47" s="3" t="s">
        <v>216</v>
      </c>
      <c r="H47" s="25" t="s">
        <v>136</v>
      </c>
      <c r="I47" t="s">
        <v>352</v>
      </c>
    </row>
    <row r="48" spans="1:13" x14ac:dyDescent="0.25">
      <c r="A48" s="2">
        <v>46089</v>
      </c>
      <c r="B48" s="2" t="str">
        <f t="shared" ref="B48" si="6">+TEXT(A48,"ddd")</f>
        <v>dom</v>
      </c>
      <c r="D48" s="225">
        <v>16000</v>
      </c>
      <c r="E48" s="3" t="s">
        <v>216</v>
      </c>
      <c r="H48" s="25" t="s">
        <v>136</v>
      </c>
      <c r="I48" s="1" t="s">
        <v>306</v>
      </c>
    </row>
    <row r="49" spans="1:9" x14ac:dyDescent="0.25">
      <c r="A49" s="2">
        <v>46091</v>
      </c>
      <c r="B49" s="2" t="str">
        <f>+TEXT(A49,"ddd")</f>
        <v>mar</v>
      </c>
      <c r="D49" s="49">
        <v>90000</v>
      </c>
      <c r="E49" s="3" t="s">
        <v>216</v>
      </c>
      <c r="H49" s="25" t="s">
        <v>136</v>
      </c>
      <c r="I49" s="26" t="s">
        <v>340</v>
      </c>
    </row>
    <row r="50" spans="1:9" x14ac:dyDescent="0.25">
      <c r="A50" s="2">
        <v>46091</v>
      </c>
      <c r="B50" s="2" t="str">
        <f>+TEXT(A50,"ddd")</f>
        <v>mar</v>
      </c>
      <c r="D50" s="49">
        <v>-412000</v>
      </c>
      <c r="H50" s="25" t="s">
        <v>136</v>
      </c>
      <c r="I50" t="s">
        <v>341</v>
      </c>
    </row>
    <row r="51" spans="1:9" x14ac:dyDescent="0.25">
      <c r="A51" s="2">
        <v>46091</v>
      </c>
      <c r="B51" s="2" t="str">
        <f>+TEXT(A51,"ddd")</f>
        <v>mar</v>
      </c>
      <c r="D51" s="49">
        <v>30000</v>
      </c>
      <c r="E51" s="3" t="s">
        <v>216</v>
      </c>
      <c r="H51" s="25" t="s">
        <v>136</v>
      </c>
      <c r="I51" t="s">
        <v>342</v>
      </c>
    </row>
    <row r="52" spans="1:9" x14ac:dyDescent="0.25">
      <c r="A52" s="2">
        <v>46091</v>
      </c>
      <c r="B52" s="2" t="str">
        <f>+TEXT(A52,"ddd")</f>
        <v>mar</v>
      </c>
      <c r="D52" s="49">
        <v>11000</v>
      </c>
      <c r="E52" s="3" t="s">
        <v>216</v>
      </c>
      <c r="H52" s="25" t="s">
        <v>136</v>
      </c>
      <c r="I52" t="s">
        <v>339</v>
      </c>
    </row>
    <row r="53" spans="1:9" x14ac:dyDescent="0.25">
      <c r="A53" s="2">
        <v>46092</v>
      </c>
      <c r="B53" s="2" t="str">
        <f t="shared" ref="B53:B66" si="7">+TEXT(A53,"ddd")</f>
        <v>mié</v>
      </c>
      <c r="D53" s="49">
        <v>8000</v>
      </c>
      <c r="E53" s="3" t="s">
        <v>216</v>
      </c>
      <c r="H53" s="25" t="s">
        <v>136</v>
      </c>
      <c r="I53" t="s">
        <v>343</v>
      </c>
    </row>
    <row r="54" spans="1:9" x14ac:dyDescent="0.25">
      <c r="A54" s="2">
        <v>46092</v>
      </c>
      <c r="B54" s="2" t="str">
        <f t="shared" si="7"/>
        <v>mié</v>
      </c>
      <c r="D54" s="192">
        <v>24000</v>
      </c>
      <c r="E54" s="3" t="s">
        <v>216</v>
      </c>
      <c r="H54" s="25" t="s">
        <v>136</v>
      </c>
      <c r="I54" t="s">
        <v>344</v>
      </c>
    </row>
    <row r="55" spans="1:9" x14ac:dyDescent="0.25">
      <c r="A55" s="2">
        <v>46092</v>
      </c>
      <c r="B55" s="2" t="str">
        <f t="shared" si="7"/>
        <v>mié</v>
      </c>
      <c r="D55" s="49">
        <v>22000</v>
      </c>
      <c r="E55" s="3" t="s">
        <v>216</v>
      </c>
      <c r="H55" s="25" t="s">
        <v>136</v>
      </c>
      <c r="I55" t="s">
        <v>339</v>
      </c>
    </row>
    <row r="56" spans="1:9" x14ac:dyDescent="0.25">
      <c r="A56" s="2">
        <v>46092</v>
      </c>
      <c r="B56" s="2" t="str">
        <f t="shared" si="7"/>
        <v>mié</v>
      </c>
      <c r="D56" s="49">
        <v>8000</v>
      </c>
      <c r="E56" s="3" t="s">
        <v>216</v>
      </c>
      <c r="H56" s="25" t="s">
        <v>136</v>
      </c>
      <c r="I56" t="s">
        <v>345</v>
      </c>
    </row>
    <row r="57" spans="1:9" x14ac:dyDescent="0.25">
      <c r="A57" s="2">
        <v>46092</v>
      </c>
      <c r="B57" s="2" t="str">
        <f t="shared" si="7"/>
        <v>mié</v>
      </c>
      <c r="D57" s="49">
        <v>32000</v>
      </c>
      <c r="E57" s="3" t="s">
        <v>216</v>
      </c>
      <c r="H57" s="25" t="s">
        <v>136</v>
      </c>
      <c r="I57" t="s">
        <v>348</v>
      </c>
    </row>
    <row r="58" spans="1:9" x14ac:dyDescent="0.25">
      <c r="A58" s="2">
        <v>46092</v>
      </c>
      <c r="B58" s="2" t="str">
        <f t="shared" si="7"/>
        <v>mié</v>
      </c>
      <c r="D58" s="49">
        <v>8000</v>
      </c>
      <c r="E58" s="3" t="s">
        <v>216</v>
      </c>
      <c r="H58" s="25" t="s">
        <v>136</v>
      </c>
      <c r="I58" t="s">
        <v>346</v>
      </c>
    </row>
    <row r="59" spans="1:9" x14ac:dyDescent="0.25">
      <c r="A59" s="2">
        <v>46092</v>
      </c>
      <c r="B59" s="2" t="str">
        <f t="shared" si="7"/>
        <v>mié</v>
      </c>
      <c r="D59" s="49">
        <v>11000</v>
      </c>
      <c r="E59" s="3" t="s">
        <v>216</v>
      </c>
      <c r="H59" s="25" t="s">
        <v>136</v>
      </c>
      <c r="I59" t="s">
        <v>347</v>
      </c>
    </row>
    <row r="60" spans="1:9" x14ac:dyDescent="0.25">
      <c r="A60" s="2">
        <v>46084</v>
      </c>
      <c r="B60" s="2" t="str">
        <f t="shared" ref="B60:B64" si="8">+TEXT(A60,"ddd")</f>
        <v>mar</v>
      </c>
      <c r="D60" s="49">
        <v>11000</v>
      </c>
      <c r="E60" s="3" t="s">
        <v>216</v>
      </c>
      <c r="H60" s="26" t="s">
        <v>141</v>
      </c>
    </row>
    <row r="61" spans="1:9" x14ac:dyDescent="0.25">
      <c r="A61" s="2">
        <v>46089</v>
      </c>
      <c r="B61" s="2" t="str">
        <f t="shared" si="8"/>
        <v>dom</v>
      </c>
      <c r="D61" s="49">
        <v>3000</v>
      </c>
      <c r="E61" s="3" t="s">
        <v>216</v>
      </c>
      <c r="H61" s="26" t="s">
        <v>141</v>
      </c>
    </row>
    <row r="62" spans="1:9" x14ac:dyDescent="0.25">
      <c r="A62" s="2">
        <v>46090</v>
      </c>
      <c r="B62" s="2" t="str">
        <f t="shared" si="8"/>
        <v>lun</v>
      </c>
      <c r="D62" s="49">
        <v>76000</v>
      </c>
      <c r="E62" s="3" t="s">
        <v>644</v>
      </c>
      <c r="H62" s="26" t="s">
        <v>141</v>
      </c>
      <c r="I62" t="s">
        <v>652</v>
      </c>
    </row>
    <row r="63" spans="1:9" x14ac:dyDescent="0.25">
      <c r="A63" s="2">
        <v>46091</v>
      </c>
      <c r="B63" s="2" t="str">
        <f t="shared" si="8"/>
        <v>mar</v>
      </c>
      <c r="D63" s="49">
        <v>-90000</v>
      </c>
      <c r="E63" s="3" t="s">
        <v>218</v>
      </c>
      <c r="H63" s="26" t="s">
        <v>141</v>
      </c>
    </row>
    <row r="64" spans="1:9" x14ac:dyDescent="0.25">
      <c r="A64" s="2">
        <v>46092</v>
      </c>
      <c r="B64" s="2" t="str">
        <f t="shared" si="8"/>
        <v>mié</v>
      </c>
      <c r="D64" s="49">
        <v>1000</v>
      </c>
      <c r="E64" s="3" t="s">
        <v>216</v>
      </c>
      <c r="H64" s="26" t="s">
        <v>141</v>
      </c>
    </row>
    <row r="65" spans="1:9" x14ac:dyDescent="0.25">
      <c r="A65" s="2">
        <v>46092</v>
      </c>
      <c r="B65" s="2" t="str">
        <f t="shared" si="7"/>
        <v>mié</v>
      </c>
      <c r="D65" s="49">
        <v>22000</v>
      </c>
      <c r="E65" s="3" t="s">
        <v>216</v>
      </c>
      <c r="H65" s="26" t="s">
        <v>141</v>
      </c>
    </row>
    <row r="66" spans="1:9" x14ac:dyDescent="0.25">
      <c r="A66" s="2">
        <v>46093</v>
      </c>
      <c r="B66" s="2" t="str">
        <f t="shared" si="7"/>
        <v>jue</v>
      </c>
      <c r="D66" s="49">
        <v>82000</v>
      </c>
      <c r="E66" s="3" t="s">
        <v>216</v>
      </c>
      <c r="F66" s="77" t="s">
        <v>354</v>
      </c>
      <c r="H66" s="26" t="s">
        <v>141</v>
      </c>
    </row>
    <row r="67" spans="1:9" x14ac:dyDescent="0.25">
      <c r="A67" s="2">
        <v>46093</v>
      </c>
      <c r="B67" s="2" t="str">
        <f t="shared" ref="B67:B68" si="9">+TEXT(A67,"ddd")</f>
        <v>jue</v>
      </c>
      <c r="C67" s="27">
        <v>0.73124999999999996</v>
      </c>
      <c r="D67" s="49">
        <v>11000</v>
      </c>
      <c r="E67" s="3" t="s">
        <v>216</v>
      </c>
      <c r="F67" s="77" t="s">
        <v>367</v>
      </c>
      <c r="H67" s="25" t="s">
        <v>136</v>
      </c>
      <c r="I67" t="s">
        <v>339</v>
      </c>
    </row>
    <row r="68" spans="1:9" x14ac:dyDescent="0.25">
      <c r="A68" s="2">
        <v>46093</v>
      </c>
      <c r="B68" s="2" t="str">
        <f t="shared" si="9"/>
        <v>jue</v>
      </c>
      <c r="C68" s="27">
        <v>0.78611111111111109</v>
      </c>
      <c r="D68" s="49">
        <v>24000</v>
      </c>
      <c r="E68" s="3" t="s">
        <v>216</v>
      </c>
      <c r="F68" s="77" t="s">
        <v>368</v>
      </c>
      <c r="H68" s="25" t="s">
        <v>136</v>
      </c>
      <c r="I68" t="s">
        <v>362</v>
      </c>
    </row>
    <row r="69" spans="1:9" x14ac:dyDescent="0.25">
      <c r="A69" s="2">
        <v>46093</v>
      </c>
      <c r="B69" s="2" t="str">
        <f t="shared" ref="B69:B78" si="10">+TEXT(A69,"ddd")</f>
        <v>jue</v>
      </c>
      <c r="D69" s="49">
        <v>24000</v>
      </c>
      <c r="E69" s="3" t="s">
        <v>216</v>
      </c>
      <c r="F69" s="77" t="s">
        <v>392</v>
      </c>
      <c r="H69" s="25" t="s">
        <v>136</v>
      </c>
      <c r="I69" t="s">
        <v>363</v>
      </c>
    </row>
    <row r="70" spans="1:9" x14ac:dyDescent="0.25">
      <c r="A70" s="2">
        <v>46093</v>
      </c>
      <c r="B70" s="2" t="str">
        <f t="shared" si="10"/>
        <v>jue</v>
      </c>
      <c r="D70" s="49">
        <v>11000</v>
      </c>
      <c r="E70" s="3" t="s">
        <v>216</v>
      </c>
      <c r="H70" s="25" t="s">
        <v>136</v>
      </c>
      <c r="I70" t="s">
        <v>364</v>
      </c>
    </row>
    <row r="71" spans="1:9" x14ac:dyDescent="0.25">
      <c r="A71" s="2">
        <v>46095</v>
      </c>
      <c r="B71" s="2" t="str">
        <f t="shared" si="10"/>
        <v>sáb</v>
      </c>
      <c r="D71" s="49">
        <v>23000</v>
      </c>
      <c r="E71" s="3" t="s">
        <v>216</v>
      </c>
      <c r="F71" s="77" t="s">
        <v>354</v>
      </c>
      <c r="H71" s="26" t="s">
        <v>141</v>
      </c>
    </row>
    <row r="72" spans="1:9" x14ac:dyDescent="0.25">
      <c r="A72" s="2">
        <v>46095</v>
      </c>
      <c r="B72" s="2" t="str">
        <f t="shared" si="10"/>
        <v>sáb</v>
      </c>
      <c r="D72" s="49">
        <v>11000</v>
      </c>
      <c r="E72" s="3" t="s">
        <v>216</v>
      </c>
      <c r="F72" s="77" t="s">
        <v>390</v>
      </c>
      <c r="H72" s="25" t="s">
        <v>136</v>
      </c>
      <c r="I72" t="s">
        <v>384</v>
      </c>
    </row>
    <row r="73" spans="1:9" x14ac:dyDescent="0.25">
      <c r="A73" s="2">
        <v>46095</v>
      </c>
      <c r="B73" s="2" t="str">
        <f t="shared" si="10"/>
        <v>sáb</v>
      </c>
      <c r="D73" s="49">
        <v>11000</v>
      </c>
      <c r="E73" s="3" t="s">
        <v>216</v>
      </c>
      <c r="F73" s="77" t="s">
        <v>389</v>
      </c>
      <c r="H73" s="25" t="s">
        <v>136</v>
      </c>
      <c r="I73" t="s">
        <v>385</v>
      </c>
    </row>
    <row r="74" spans="1:9" x14ac:dyDescent="0.25">
      <c r="A74" s="2">
        <v>46095</v>
      </c>
      <c r="B74" s="2" t="str">
        <f t="shared" si="10"/>
        <v>sáb</v>
      </c>
      <c r="D74" s="49">
        <v>57500</v>
      </c>
      <c r="E74" s="3" t="s">
        <v>216</v>
      </c>
      <c r="F74" s="77"/>
      <c r="H74" s="25" t="s">
        <v>136</v>
      </c>
      <c r="I74" t="s">
        <v>386</v>
      </c>
    </row>
    <row r="75" spans="1:9" x14ac:dyDescent="0.25">
      <c r="A75" s="2">
        <v>46095</v>
      </c>
      <c r="B75" s="2" t="str">
        <f t="shared" si="10"/>
        <v>sáb</v>
      </c>
      <c r="D75" s="49">
        <v>13500</v>
      </c>
      <c r="E75" s="3" t="s">
        <v>216</v>
      </c>
      <c r="F75" s="77" t="s">
        <v>388</v>
      </c>
      <c r="H75" s="25" t="s">
        <v>136</v>
      </c>
      <c r="I75" t="s">
        <v>387</v>
      </c>
    </row>
    <row r="76" spans="1:9" x14ac:dyDescent="0.25">
      <c r="A76" s="2">
        <v>46096</v>
      </c>
      <c r="B76" s="2" t="str">
        <f t="shared" si="10"/>
        <v>dom</v>
      </c>
      <c r="D76" s="49">
        <v>19000</v>
      </c>
      <c r="E76" s="3" t="s">
        <v>216</v>
      </c>
      <c r="H76" s="25" t="s">
        <v>136</v>
      </c>
      <c r="I76" t="s">
        <v>407</v>
      </c>
    </row>
    <row r="77" spans="1:9" x14ac:dyDescent="0.25">
      <c r="A77" s="2">
        <v>46096</v>
      </c>
      <c r="B77" s="2" t="str">
        <f t="shared" si="10"/>
        <v>dom</v>
      </c>
      <c r="C77" s="27">
        <v>0.78819444444444442</v>
      </c>
      <c r="D77" s="49">
        <v>36000</v>
      </c>
      <c r="E77" s="3" t="s">
        <v>216</v>
      </c>
      <c r="H77" s="25" t="s">
        <v>136</v>
      </c>
      <c r="I77" t="s">
        <v>387</v>
      </c>
    </row>
    <row r="78" spans="1:9" x14ac:dyDescent="0.25">
      <c r="A78" s="2">
        <v>46097</v>
      </c>
      <c r="B78" s="2" t="str">
        <f t="shared" si="10"/>
        <v>lun</v>
      </c>
      <c r="D78" s="49">
        <v>10000</v>
      </c>
      <c r="E78" s="3" t="s">
        <v>216</v>
      </c>
      <c r="H78" s="25" t="s">
        <v>136</v>
      </c>
      <c r="I78" t="s">
        <v>408</v>
      </c>
    </row>
    <row r="79" spans="1:9" x14ac:dyDescent="0.25">
      <c r="A79" s="2">
        <v>46097</v>
      </c>
      <c r="B79" s="2" t="str">
        <f t="shared" ref="B79:B81" si="11">+TEXT(A79,"ddd")</f>
        <v>lun</v>
      </c>
      <c r="D79" s="49">
        <v>11000</v>
      </c>
      <c r="E79" s="3" t="s">
        <v>216</v>
      </c>
      <c r="H79" s="25" t="s">
        <v>136</v>
      </c>
      <c r="I79" t="s">
        <v>409</v>
      </c>
    </row>
    <row r="80" spans="1:9" x14ac:dyDescent="0.25">
      <c r="A80" s="2">
        <v>46098</v>
      </c>
      <c r="B80" s="2" t="str">
        <f t="shared" si="11"/>
        <v>mar</v>
      </c>
      <c r="D80" s="49">
        <v>8000</v>
      </c>
      <c r="E80" s="3" t="s">
        <v>216</v>
      </c>
      <c r="H80" s="26" t="s">
        <v>141</v>
      </c>
    </row>
    <row r="81" spans="1:9" x14ac:dyDescent="0.25">
      <c r="A81" s="2">
        <v>46098</v>
      </c>
      <c r="B81" s="2" t="str">
        <f t="shared" si="11"/>
        <v>mar</v>
      </c>
      <c r="D81" s="49">
        <v>15000</v>
      </c>
      <c r="E81" s="3" t="s">
        <v>216</v>
      </c>
      <c r="H81" s="26" t="s">
        <v>141</v>
      </c>
    </row>
    <row r="82" spans="1:9" x14ac:dyDescent="0.25">
      <c r="A82" s="2">
        <v>46098</v>
      </c>
      <c r="B82" s="2" t="str">
        <f t="shared" ref="B82" si="12">+TEXT(A82,"ddd")</f>
        <v>mar</v>
      </c>
      <c r="C82" s="27">
        <v>0.66041666666666665</v>
      </c>
      <c r="D82" s="49">
        <v>50000</v>
      </c>
      <c r="E82" s="3" t="s">
        <v>216</v>
      </c>
      <c r="F82" s="77" t="s">
        <v>648</v>
      </c>
      <c r="H82" s="25" t="s">
        <v>136</v>
      </c>
      <c r="I82" t="s">
        <v>410</v>
      </c>
    </row>
    <row r="83" spans="1:9" x14ac:dyDescent="0.25">
      <c r="A83" s="2">
        <v>46098</v>
      </c>
      <c r="B83" s="2" t="str">
        <f t="shared" ref="B83:B86" si="13">+TEXT(A83,"ddd")</f>
        <v>mar</v>
      </c>
      <c r="D83" s="49">
        <v>11000</v>
      </c>
      <c r="E83" s="3" t="s">
        <v>216</v>
      </c>
      <c r="F83" s="77" t="s">
        <v>647</v>
      </c>
      <c r="H83" s="25" t="s">
        <v>136</v>
      </c>
      <c r="I83" t="s">
        <v>411</v>
      </c>
    </row>
    <row r="84" spans="1:9" x14ac:dyDescent="0.25">
      <c r="A84" s="2">
        <v>46098</v>
      </c>
      <c r="B84" s="2" t="str">
        <f t="shared" si="13"/>
        <v>mar</v>
      </c>
      <c r="D84" s="49">
        <v>8000</v>
      </c>
      <c r="E84" s="3" t="s">
        <v>216</v>
      </c>
      <c r="F84" s="77" t="s">
        <v>646</v>
      </c>
      <c r="H84" s="25" t="s">
        <v>136</v>
      </c>
      <c r="I84" t="s">
        <v>412</v>
      </c>
    </row>
    <row r="85" spans="1:9" x14ac:dyDescent="0.25">
      <c r="A85" s="2">
        <v>46098</v>
      </c>
      <c r="B85" s="2" t="str">
        <f t="shared" si="13"/>
        <v>mar</v>
      </c>
      <c r="D85" s="49">
        <v>9000</v>
      </c>
      <c r="E85" s="3" t="s">
        <v>216</v>
      </c>
      <c r="F85" s="77" t="s">
        <v>645</v>
      </c>
      <c r="H85" s="25" t="s">
        <v>136</v>
      </c>
      <c r="I85" t="s">
        <v>413</v>
      </c>
    </row>
    <row r="86" spans="1:9" x14ac:dyDescent="0.25">
      <c r="A86" s="2">
        <v>46098</v>
      </c>
      <c r="B86" s="2" t="str">
        <f t="shared" si="13"/>
        <v>mar</v>
      </c>
      <c r="D86" s="49">
        <f>-(40000+20000)</f>
        <v>-60000</v>
      </c>
      <c r="E86" s="3" t="s">
        <v>414</v>
      </c>
      <c r="H86" s="25" t="s">
        <v>136</v>
      </c>
      <c r="I86" t="s">
        <v>415</v>
      </c>
    </row>
    <row r="87" spans="1:9" x14ac:dyDescent="0.25">
      <c r="A87" s="2">
        <v>46099</v>
      </c>
      <c r="B87" s="2" t="str">
        <f t="shared" ref="B87" si="14">+TEXT(A87,"ddd")</f>
        <v>mié</v>
      </c>
      <c r="D87" s="49">
        <v>344950</v>
      </c>
      <c r="E87" s="3" t="s">
        <v>133</v>
      </c>
      <c r="H87" s="25" t="s">
        <v>136</v>
      </c>
      <c r="I87" t="s">
        <v>421</v>
      </c>
    </row>
    <row r="88" spans="1:9" x14ac:dyDescent="0.25">
      <c r="A88" s="2">
        <v>46098</v>
      </c>
      <c r="B88" s="10" t="str">
        <f>+TEXT(A88,"ddd")</f>
        <v>mar</v>
      </c>
      <c r="C88" s="1"/>
      <c r="D88" s="60">
        <v>24000</v>
      </c>
      <c r="E88" s="11" t="s">
        <v>216</v>
      </c>
      <c r="F88" s="11" t="s">
        <v>426</v>
      </c>
      <c r="G88" s="11" t="s">
        <v>365</v>
      </c>
      <c r="H88" s="25" t="s">
        <v>136</v>
      </c>
      <c r="I88" s="11" t="s">
        <v>423</v>
      </c>
    </row>
    <row r="89" spans="1:9" x14ac:dyDescent="0.25">
      <c r="A89" s="2">
        <v>46098</v>
      </c>
      <c r="B89" s="10" t="str">
        <f>+TEXT(A89,"ddd")</f>
        <v>mar</v>
      </c>
      <c r="C89" s="1"/>
      <c r="D89" s="60">
        <v>-24000</v>
      </c>
      <c r="E89" s="11" t="s">
        <v>216</v>
      </c>
      <c r="F89" s="11" t="s">
        <v>426</v>
      </c>
      <c r="G89" s="11" t="s">
        <v>365</v>
      </c>
      <c r="H89" s="25" t="s">
        <v>136</v>
      </c>
      <c r="I89" s="11" t="s">
        <v>424</v>
      </c>
    </row>
    <row r="90" spans="1:9" x14ac:dyDescent="0.25">
      <c r="A90" s="2">
        <v>46098</v>
      </c>
      <c r="B90" s="10" t="str">
        <f>+TEXT(A90,"ddd")</f>
        <v>mar</v>
      </c>
      <c r="C90" s="1"/>
      <c r="D90" s="60">
        <f>8000*4</f>
        <v>32000</v>
      </c>
      <c r="E90" s="11" t="s">
        <v>216</v>
      </c>
      <c r="F90" s="77" t="s">
        <v>425</v>
      </c>
      <c r="G90" s="11" t="s">
        <v>365</v>
      </c>
      <c r="H90" s="25" t="s">
        <v>136</v>
      </c>
      <c r="I90" s="11" t="s">
        <v>423</v>
      </c>
    </row>
    <row r="91" spans="1:9" x14ac:dyDescent="0.25">
      <c r="A91" s="2">
        <v>46099</v>
      </c>
      <c r="B91" s="2" t="str">
        <f t="shared" ref="B91" si="15">+TEXT(A91,"ddd")</f>
        <v>mié</v>
      </c>
      <c r="D91" s="49">
        <v>-40000</v>
      </c>
      <c r="E91" s="3" t="s">
        <v>414</v>
      </c>
      <c r="H91" s="25" t="s">
        <v>136</v>
      </c>
      <c r="I91" t="s">
        <v>420</v>
      </c>
    </row>
    <row r="92" spans="1:9" x14ac:dyDescent="0.25">
      <c r="A92" s="2">
        <v>46099</v>
      </c>
      <c r="B92" s="2" t="str">
        <f t="shared" ref="B92" si="16">+TEXT(A92,"ddd")</f>
        <v>mié</v>
      </c>
      <c r="D92" s="49">
        <v>-40000</v>
      </c>
      <c r="E92" s="3" t="s">
        <v>414</v>
      </c>
      <c r="H92" s="25" t="s">
        <v>136</v>
      </c>
      <c r="I92" t="s">
        <v>422</v>
      </c>
    </row>
    <row r="93" spans="1:9" x14ac:dyDescent="0.25">
      <c r="A93" s="2">
        <v>46099</v>
      </c>
      <c r="B93" s="2" t="str">
        <f t="shared" ref="B93" si="17">+TEXT(A93,"ddd")</f>
        <v>mié</v>
      </c>
      <c r="D93" s="49">
        <v>-116000</v>
      </c>
      <c r="E93" s="3" t="s">
        <v>414</v>
      </c>
      <c r="H93" s="25" t="s">
        <v>136</v>
      </c>
      <c r="I93" s="11" t="s">
        <v>436</v>
      </c>
    </row>
    <row r="94" spans="1:9" x14ac:dyDescent="0.25">
      <c r="A94" s="2">
        <v>46099</v>
      </c>
      <c r="B94" s="2" t="str">
        <f t="shared" ref="B94" si="18">+TEXT(A94,"ddd")</f>
        <v>mié</v>
      </c>
      <c r="D94" s="98">
        <f>+-8500-6000</f>
        <v>-14500</v>
      </c>
      <c r="E94" s="3" t="s">
        <v>414</v>
      </c>
      <c r="H94" s="25" t="s">
        <v>136</v>
      </c>
      <c r="I94" s="11" t="s">
        <v>437</v>
      </c>
    </row>
    <row r="95" spans="1:9" x14ac:dyDescent="0.25">
      <c r="A95" s="2">
        <v>46099</v>
      </c>
      <c r="B95" s="2" t="str">
        <f>+TEXT(A95,"ddd")</f>
        <v>mié</v>
      </c>
      <c r="D95" s="98">
        <v>-50000</v>
      </c>
      <c r="E95" s="3" t="s">
        <v>414</v>
      </c>
      <c r="H95" s="25" t="s">
        <v>136</v>
      </c>
      <c r="I95" t="s">
        <v>440</v>
      </c>
    </row>
    <row r="96" spans="1:9" x14ac:dyDescent="0.25">
      <c r="A96" s="2">
        <v>46099</v>
      </c>
      <c r="B96" s="2" t="str">
        <f t="shared" ref="B96:B98" si="19">+TEXT(A96,"ddd")</f>
        <v>mié</v>
      </c>
      <c r="D96" s="49">
        <v>38000</v>
      </c>
      <c r="E96" s="3" t="s">
        <v>216</v>
      </c>
      <c r="H96" s="25" t="s">
        <v>136</v>
      </c>
    </row>
    <row r="97" spans="1:9" x14ac:dyDescent="0.25">
      <c r="A97" s="2">
        <v>46099</v>
      </c>
      <c r="B97" s="2" t="str">
        <f t="shared" si="19"/>
        <v>mié</v>
      </c>
      <c r="D97" s="49">
        <v>16000</v>
      </c>
      <c r="E97" s="3" t="s">
        <v>216</v>
      </c>
      <c r="H97" s="25" t="s">
        <v>136</v>
      </c>
    </row>
    <row r="98" spans="1:9" x14ac:dyDescent="0.25">
      <c r="A98" s="2">
        <v>46099</v>
      </c>
      <c r="B98" s="2" t="str">
        <f t="shared" si="19"/>
        <v>mié</v>
      </c>
      <c r="D98" s="49">
        <v>8000</v>
      </c>
      <c r="E98" s="3" t="s">
        <v>216</v>
      </c>
      <c r="H98" s="25" t="s">
        <v>136</v>
      </c>
    </row>
    <row r="99" spans="1:9" x14ac:dyDescent="0.25">
      <c r="A99" s="2">
        <v>46099</v>
      </c>
      <c r="B99" s="2" t="str">
        <f t="shared" ref="B99" si="20">+TEXT(A99,"ddd")</f>
        <v>mié</v>
      </c>
      <c r="D99" s="49">
        <v>9000</v>
      </c>
      <c r="E99" s="3" t="s">
        <v>216</v>
      </c>
      <c r="H99" s="25" t="s">
        <v>136</v>
      </c>
    </row>
    <row r="100" spans="1:9" x14ac:dyDescent="0.25">
      <c r="A100" s="2">
        <v>46100</v>
      </c>
      <c r="B100" s="2" t="str">
        <f t="shared" ref="B100" si="21">+TEXT(A100,"ddd")</f>
        <v>jue</v>
      </c>
      <c r="D100" s="49">
        <v>11000</v>
      </c>
      <c r="E100" s="3" t="s">
        <v>216</v>
      </c>
      <c r="H100" s="26" t="s">
        <v>141</v>
      </c>
    </row>
    <row r="101" spans="1:9" x14ac:dyDescent="0.25">
      <c r="A101" s="2">
        <v>46100</v>
      </c>
      <c r="B101" s="2" t="str">
        <f t="shared" ref="B101" si="22">+TEXT(A101,"ddd")</f>
        <v>jue</v>
      </c>
      <c r="D101" s="49">
        <v>8000</v>
      </c>
      <c r="E101" s="3" t="s">
        <v>216</v>
      </c>
      <c r="F101" s="101">
        <v>268</v>
      </c>
      <c r="H101" s="25" t="s">
        <v>136</v>
      </c>
      <c r="I101" t="s">
        <v>509</v>
      </c>
    </row>
    <row r="102" spans="1:9" x14ac:dyDescent="0.25">
      <c r="A102" s="2">
        <v>46100</v>
      </c>
      <c r="B102" s="2" t="str">
        <f t="shared" ref="B102" si="23">+TEXT(A102,"ddd")</f>
        <v>jue</v>
      </c>
      <c r="D102" s="49">
        <v>40000</v>
      </c>
      <c r="E102" s="3" t="s">
        <v>216</v>
      </c>
      <c r="F102" s="100">
        <v>285</v>
      </c>
      <c r="H102" s="25" t="s">
        <v>136</v>
      </c>
      <c r="I102" t="s">
        <v>516</v>
      </c>
    </row>
    <row r="103" spans="1:9" x14ac:dyDescent="0.25">
      <c r="A103" s="2">
        <v>46100</v>
      </c>
      <c r="B103" s="2" t="str">
        <f>+TEXT(A103,"ddd")</f>
        <v>jue</v>
      </c>
      <c r="D103" s="49">
        <v>8000</v>
      </c>
      <c r="E103" s="3" t="s">
        <v>216</v>
      </c>
      <c r="F103" s="102">
        <v>270</v>
      </c>
      <c r="H103" s="25" t="s">
        <v>136</v>
      </c>
      <c r="I103" t="s">
        <v>510</v>
      </c>
    </row>
    <row r="104" spans="1:9" x14ac:dyDescent="0.25">
      <c r="A104" s="2">
        <v>46100</v>
      </c>
      <c r="B104" s="2" t="str">
        <f>+TEXT(A104,"ddd")</f>
        <v>jue</v>
      </c>
      <c r="D104" s="49">
        <v>2800</v>
      </c>
      <c r="E104" s="3" t="s">
        <v>216</v>
      </c>
      <c r="F104" s="101">
        <v>286</v>
      </c>
      <c r="H104" s="25" t="s">
        <v>136</v>
      </c>
      <c r="I104" t="s">
        <v>510</v>
      </c>
    </row>
    <row r="105" spans="1:9" x14ac:dyDescent="0.25">
      <c r="A105" s="2">
        <v>46100</v>
      </c>
      <c r="B105" s="2" t="str">
        <f t="shared" ref="B105" si="24">+TEXT(A105,"ddd")</f>
        <v>jue</v>
      </c>
      <c r="D105" s="49">
        <v>16000</v>
      </c>
      <c r="E105" s="3" t="s">
        <v>216</v>
      </c>
      <c r="F105" s="101">
        <v>278</v>
      </c>
      <c r="H105" s="25" t="s">
        <v>136</v>
      </c>
      <c r="I105" t="s">
        <v>513</v>
      </c>
    </row>
    <row r="106" spans="1:9" x14ac:dyDescent="0.25">
      <c r="A106" s="2">
        <v>46100</v>
      </c>
      <c r="B106" s="2" t="str">
        <f>+TEXT(A106,"ddd")</f>
        <v>jue</v>
      </c>
      <c r="D106" s="49">
        <v>16000</v>
      </c>
      <c r="E106" s="3" t="s">
        <v>216</v>
      </c>
      <c r="F106" s="100">
        <v>279</v>
      </c>
      <c r="H106" s="25" t="s">
        <v>136</v>
      </c>
      <c r="I106" t="s">
        <v>514</v>
      </c>
    </row>
    <row r="107" spans="1:9" x14ac:dyDescent="0.25">
      <c r="A107" s="2">
        <v>46100</v>
      </c>
      <c r="B107" s="2" t="str">
        <f>+TEXT(A107,"ddd")</f>
        <v>jue</v>
      </c>
      <c r="D107" s="49">
        <v>19000</v>
      </c>
      <c r="E107" s="3" t="s">
        <v>216</v>
      </c>
      <c r="F107" s="100">
        <v>272</v>
      </c>
      <c r="H107" s="25" t="s">
        <v>136</v>
      </c>
      <c r="I107" t="s">
        <v>512</v>
      </c>
    </row>
    <row r="108" spans="1:9" x14ac:dyDescent="0.25">
      <c r="A108" s="2">
        <v>46100</v>
      </c>
      <c r="B108" s="2" t="str">
        <f>+TEXT(A108,"ddd")</f>
        <v>jue</v>
      </c>
      <c r="D108" s="49">
        <v>30000</v>
      </c>
      <c r="E108" s="3" t="s">
        <v>216</v>
      </c>
      <c r="F108" s="101">
        <v>271</v>
      </c>
      <c r="H108" s="25" t="s">
        <v>136</v>
      </c>
      <c r="I108" t="s">
        <v>511</v>
      </c>
    </row>
    <row r="109" spans="1:9" x14ac:dyDescent="0.25">
      <c r="A109" s="2">
        <v>46100</v>
      </c>
      <c r="B109" s="2" t="str">
        <f>+TEXT(A109,"ddd")</f>
        <v>jue</v>
      </c>
      <c r="C109" s="27">
        <v>0.79166666666666663</v>
      </c>
      <c r="D109" s="60">
        <v>8000</v>
      </c>
      <c r="E109" s="3" t="s">
        <v>216</v>
      </c>
      <c r="F109" s="101">
        <v>282</v>
      </c>
      <c r="H109" s="25" t="s">
        <v>136</v>
      </c>
      <c r="I109" t="s">
        <v>515</v>
      </c>
    </row>
    <row r="110" spans="1:9" x14ac:dyDescent="0.25">
      <c r="A110" s="2">
        <v>46100</v>
      </c>
      <c r="B110" s="2" t="str">
        <f t="shared" ref="B110" si="25">+TEXT(A110,"ddd")</f>
        <v>jue</v>
      </c>
      <c r="D110" s="49">
        <v>14000</v>
      </c>
      <c r="E110" s="3" t="s">
        <v>216</v>
      </c>
      <c r="F110" s="102">
        <v>270</v>
      </c>
      <c r="H110" s="25" t="s">
        <v>136</v>
      </c>
      <c r="I110" t="s">
        <v>510</v>
      </c>
    </row>
    <row r="111" spans="1:9" x14ac:dyDescent="0.25">
      <c r="A111" s="2">
        <v>46100</v>
      </c>
      <c r="B111" s="2" t="str">
        <f t="shared" ref="B111:B112" si="26">+TEXT(A111,"ddd")</f>
        <v>jue</v>
      </c>
      <c r="C111" s="27">
        <v>0.84930555555555554</v>
      </c>
      <c r="D111" s="60">
        <v>8000</v>
      </c>
      <c r="E111" s="3" t="s">
        <v>216</v>
      </c>
      <c r="H111" s="25" t="s">
        <v>136</v>
      </c>
      <c r="I111" t="s">
        <v>518</v>
      </c>
    </row>
    <row r="112" spans="1:9" x14ac:dyDescent="0.25">
      <c r="A112" s="2">
        <v>46100</v>
      </c>
      <c r="B112" s="2" t="str">
        <f t="shared" si="26"/>
        <v>jue</v>
      </c>
      <c r="D112" s="49">
        <f>-40000-10000</f>
        <v>-50000</v>
      </c>
      <c r="E112" s="3" t="s">
        <v>414</v>
      </c>
      <c r="H112" s="25" t="s">
        <v>136</v>
      </c>
      <c r="I112" t="s">
        <v>403</v>
      </c>
    </row>
    <row r="113" spans="1:9" x14ac:dyDescent="0.25">
      <c r="A113" s="2">
        <v>46100</v>
      </c>
      <c r="B113" s="2" t="str">
        <f t="shared" ref="B113:B117" si="27">+TEXT(A113,"ddd")</f>
        <v>jue</v>
      </c>
      <c r="D113" s="49">
        <v>-404000</v>
      </c>
      <c r="E113" s="3" t="s">
        <v>216</v>
      </c>
      <c r="H113" s="25" t="s">
        <v>136</v>
      </c>
      <c r="I113" t="s">
        <v>517</v>
      </c>
    </row>
    <row r="114" spans="1:9" x14ac:dyDescent="0.25">
      <c r="A114" s="2">
        <v>46101</v>
      </c>
      <c r="B114" s="2" t="str">
        <f t="shared" si="27"/>
        <v>vie</v>
      </c>
      <c r="D114" s="49">
        <v>33000</v>
      </c>
      <c r="E114" s="3" t="s">
        <v>216</v>
      </c>
      <c r="H114" s="25" t="s">
        <v>136</v>
      </c>
      <c r="I114" t="s">
        <v>536</v>
      </c>
    </row>
    <row r="115" spans="1:9" x14ac:dyDescent="0.25">
      <c r="A115" s="2">
        <v>46101</v>
      </c>
      <c r="B115" s="2" t="str">
        <f t="shared" si="27"/>
        <v>vie</v>
      </c>
      <c r="D115" s="49">
        <v>32700</v>
      </c>
      <c r="E115" s="3" t="s">
        <v>216</v>
      </c>
      <c r="H115" s="25" t="s">
        <v>136</v>
      </c>
      <c r="I115" t="s">
        <v>535</v>
      </c>
    </row>
    <row r="116" spans="1:9" x14ac:dyDescent="0.25">
      <c r="A116" s="2">
        <v>46101</v>
      </c>
      <c r="B116" s="2" t="str">
        <f t="shared" si="27"/>
        <v>vie</v>
      </c>
      <c r="D116" s="49">
        <v>230000</v>
      </c>
      <c r="E116" s="3" t="s">
        <v>537</v>
      </c>
      <c r="H116" s="25" t="s">
        <v>136</v>
      </c>
      <c r="I116" t="s">
        <v>538</v>
      </c>
    </row>
    <row r="117" spans="1:9" x14ac:dyDescent="0.25">
      <c r="A117" s="2">
        <v>46101</v>
      </c>
      <c r="B117" s="2" t="str">
        <f t="shared" si="27"/>
        <v>vie</v>
      </c>
      <c r="D117" s="49">
        <v>-21000</v>
      </c>
      <c r="E117" s="3" t="s">
        <v>414</v>
      </c>
      <c r="H117" s="25" t="s">
        <v>136</v>
      </c>
      <c r="I117" t="s">
        <v>539</v>
      </c>
    </row>
    <row r="118" spans="1:9" x14ac:dyDescent="0.25">
      <c r="A118" s="2">
        <v>46102</v>
      </c>
      <c r="B118" s="2" t="str">
        <f>+TEXT(A118,"ddd")</f>
        <v>sáb</v>
      </c>
      <c r="D118" s="49">
        <v>11000</v>
      </c>
      <c r="E118" s="3" t="s">
        <v>216</v>
      </c>
      <c r="H118" s="25" t="s">
        <v>136</v>
      </c>
      <c r="I118" t="s">
        <v>574</v>
      </c>
    </row>
    <row r="119" spans="1:9" x14ac:dyDescent="0.25">
      <c r="A119" s="2">
        <v>46105</v>
      </c>
      <c r="B119" s="2" t="str">
        <f t="shared" ref="B119" si="28">+TEXT(A119,"ddd")</f>
        <v>mar</v>
      </c>
      <c r="D119" s="49">
        <v>27000</v>
      </c>
      <c r="E119" s="3" t="s">
        <v>216</v>
      </c>
      <c r="H119" s="26" t="s">
        <v>141</v>
      </c>
    </row>
    <row r="120" spans="1:9" x14ac:dyDescent="0.25">
      <c r="A120" s="2">
        <v>46105</v>
      </c>
      <c r="B120" s="2" t="str">
        <f>+TEXT(A120,"ddd")</f>
        <v>mar</v>
      </c>
      <c r="D120" s="49">
        <v>13000</v>
      </c>
      <c r="E120" s="3" t="s">
        <v>216</v>
      </c>
      <c r="H120" s="25" t="s">
        <v>136</v>
      </c>
    </row>
    <row r="121" spans="1:9" x14ac:dyDescent="0.25">
      <c r="A121" s="2">
        <v>46105</v>
      </c>
      <c r="B121" s="2" t="str">
        <f t="shared" ref="B121:B127" si="29">+TEXT(A121,"ddd")</f>
        <v>mar</v>
      </c>
      <c r="D121" s="49">
        <v>10000</v>
      </c>
      <c r="E121" s="3" t="s">
        <v>216</v>
      </c>
      <c r="H121" s="25" t="s">
        <v>136</v>
      </c>
    </row>
    <row r="122" spans="1:9" x14ac:dyDescent="0.25">
      <c r="A122" s="2">
        <v>46105</v>
      </c>
      <c r="B122" s="2" t="str">
        <f t="shared" si="29"/>
        <v>mar</v>
      </c>
      <c r="D122" s="49">
        <v>16000</v>
      </c>
      <c r="E122" s="3" t="s">
        <v>216</v>
      </c>
      <c r="H122" s="25" t="s">
        <v>136</v>
      </c>
    </row>
    <row r="123" spans="1:9" x14ac:dyDescent="0.25">
      <c r="A123" s="2">
        <v>46105</v>
      </c>
      <c r="B123" s="2" t="str">
        <f t="shared" si="29"/>
        <v>mar</v>
      </c>
      <c r="D123" s="49">
        <v>88000</v>
      </c>
      <c r="E123" s="3" t="s">
        <v>216</v>
      </c>
      <c r="H123" s="25" t="s">
        <v>136</v>
      </c>
    </row>
    <row r="124" spans="1:9" x14ac:dyDescent="0.25">
      <c r="A124" s="2">
        <v>46106</v>
      </c>
      <c r="B124" s="2" t="str">
        <f t="shared" si="29"/>
        <v>mié</v>
      </c>
      <c r="D124" s="49">
        <v>11000</v>
      </c>
      <c r="E124" s="3" t="s">
        <v>216</v>
      </c>
      <c r="H124" s="26" t="s">
        <v>141</v>
      </c>
    </row>
    <row r="125" spans="1:9" x14ac:dyDescent="0.25">
      <c r="A125" s="2">
        <v>46106</v>
      </c>
      <c r="B125" s="2" t="str">
        <f t="shared" ref="B125" si="30">+TEXT(A125,"ddd")</f>
        <v>mié</v>
      </c>
      <c r="D125" s="49">
        <v>4000</v>
      </c>
      <c r="E125" s="3" t="s">
        <v>216</v>
      </c>
      <c r="H125" s="25" t="s">
        <v>136</v>
      </c>
      <c r="I125" t="s">
        <v>611</v>
      </c>
    </row>
    <row r="126" spans="1:9" x14ac:dyDescent="0.25">
      <c r="A126" s="2">
        <v>46106</v>
      </c>
      <c r="B126" s="2" t="str">
        <f t="shared" si="29"/>
        <v>mié</v>
      </c>
      <c r="D126" s="49">
        <v>11000</v>
      </c>
      <c r="E126" s="3" t="s">
        <v>216</v>
      </c>
      <c r="H126" s="25" t="s">
        <v>136</v>
      </c>
      <c r="I126" t="s">
        <v>610</v>
      </c>
    </row>
    <row r="127" spans="1:9" x14ac:dyDescent="0.25">
      <c r="A127" s="2">
        <v>46106</v>
      </c>
      <c r="B127" s="2" t="str">
        <f t="shared" si="29"/>
        <v>mié</v>
      </c>
      <c r="D127" s="60">
        <v>33000</v>
      </c>
      <c r="E127" s="3" t="s">
        <v>216</v>
      </c>
      <c r="H127" s="25" t="s">
        <v>136</v>
      </c>
      <c r="I127" t="s">
        <v>612</v>
      </c>
    </row>
    <row r="128" spans="1:9" x14ac:dyDescent="0.25">
      <c r="A128" s="2">
        <v>46106</v>
      </c>
      <c r="B128" s="2" t="str">
        <f t="shared" ref="B128:B131" si="31">+TEXT(A128,"ddd")</f>
        <v>mié</v>
      </c>
      <c r="D128" s="49">
        <v>-154000</v>
      </c>
      <c r="E128" s="3" t="s">
        <v>414</v>
      </c>
      <c r="H128" s="25" t="s">
        <v>136</v>
      </c>
      <c r="I128" t="s">
        <v>613</v>
      </c>
    </row>
    <row r="129" spans="1:9" x14ac:dyDescent="0.25">
      <c r="A129" s="2">
        <v>46107</v>
      </c>
      <c r="B129" s="2" t="str">
        <f t="shared" si="31"/>
        <v>jue</v>
      </c>
      <c r="C129" s="27">
        <v>0.77152777777777781</v>
      </c>
      <c r="D129" s="49">
        <v>16000</v>
      </c>
      <c r="E129" s="3" t="s">
        <v>216</v>
      </c>
      <c r="H129" s="25" t="s">
        <v>136</v>
      </c>
      <c r="I129" t="s">
        <v>640</v>
      </c>
    </row>
    <row r="130" spans="1:9" x14ac:dyDescent="0.25">
      <c r="A130" s="2">
        <v>46107</v>
      </c>
      <c r="B130" s="2" t="str">
        <f t="shared" si="31"/>
        <v>jue</v>
      </c>
      <c r="C130" s="27">
        <v>0.77777777777777779</v>
      </c>
      <c r="D130" s="49">
        <v>8000</v>
      </c>
      <c r="E130" s="3" t="s">
        <v>216</v>
      </c>
      <c r="H130" s="25" t="s">
        <v>136</v>
      </c>
      <c r="I130" t="s">
        <v>639</v>
      </c>
    </row>
    <row r="131" spans="1:9" x14ac:dyDescent="0.25">
      <c r="A131" s="2">
        <v>46109</v>
      </c>
      <c r="B131" s="2" t="str">
        <f t="shared" si="31"/>
        <v>sáb</v>
      </c>
      <c r="D131" s="49">
        <v>30000</v>
      </c>
      <c r="E131" s="3" t="s">
        <v>216</v>
      </c>
      <c r="H131" s="25" t="s">
        <v>136</v>
      </c>
      <c r="I131" t="s">
        <v>657</v>
      </c>
    </row>
    <row r="132" spans="1:9" x14ac:dyDescent="0.25">
      <c r="A132" s="2">
        <v>46109</v>
      </c>
      <c r="B132" s="2" t="str">
        <f t="shared" ref="B132:B133" si="32">+TEXT(A132,"ddd")</f>
        <v>sáb</v>
      </c>
      <c r="D132" s="49">
        <v>24000</v>
      </c>
      <c r="E132" s="3" t="s">
        <v>216</v>
      </c>
      <c r="H132" s="25" t="s">
        <v>136</v>
      </c>
      <c r="I132" t="s">
        <v>660</v>
      </c>
    </row>
    <row r="133" spans="1:9" x14ac:dyDescent="0.25">
      <c r="A133" s="2">
        <v>46109</v>
      </c>
      <c r="B133" s="2" t="str">
        <f t="shared" si="32"/>
        <v>sáb</v>
      </c>
      <c r="D133" s="49">
        <v>16000</v>
      </c>
      <c r="E133" s="3" t="s">
        <v>216</v>
      </c>
      <c r="H133" s="25" t="s">
        <v>136</v>
      </c>
      <c r="I133" t="s">
        <v>659</v>
      </c>
    </row>
    <row r="134" spans="1:9" x14ac:dyDescent="0.25">
      <c r="A134" s="2">
        <v>46109</v>
      </c>
      <c r="B134" s="2" t="str">
        <f t="shared" ref="B134" si="33">+TEXT(A134,"ddd")</f>
        <v>sáb</v>
      </c>
      <c r="D134" s="49">
        <v>16000</v>
      </c>
      <c r="E134" s="3" t="s">
        <v>216</v>
      </c>
      <c r="H134" s="25" t="s">
        <v>136</v>
      </c>
      <c r="I134" t="s">
        <v>658</v>
      </c>
    </row>
    <row r="135" spans="1:9" x14ac:dyDescent="0.25">
      <c r="A135" s="2">
        <v>46110</v>
      </c>
      <c r="B135" s="2" t="str">
        <f t="shared" ref="B135" si="34">+TEXT(A135,"ddd")</f>
        <v>dom</v>
      </c>
      <c r="C135" s="27">
        <v>0.69236111111111109</v>
      </c>
      <c r="D135" s="49">
        <v>45000</v>
      </c>
      <c r="E135" s="3" t="s">
        <v>216</v>
      </c>
      <c r="H135" s="25" t="s">
        <v>136</v>
      </c>
      <c r="I135" t="s">
        <v>658</v>
      </c>
    </row>
    <row r="136" spans="1:9" x14ac:dyDescent="0.25">
      <c r="A136" s="2">
        <v>46110</v>
      </c>
      <c r="B136" s="2" t="str">
        <f t="shared" ref="B136:B140" si="35">+TEXT(A136,"ddd")</f>
        <v>dom</v>
      </c>
      <c r="C136" s="27">
        <v>0.69930555555555551</v>
      </c>
      <c r="D136" s="49">
        <v>83000</v>
      </c>
      <c r="E136" s="3" t="s">
        <v>216</v>
      </c>
      <c r="H136" s="25" t="s">
        <v>136</v>
      </c>
      <c r="I136" t="s">
        <v>679</v>
      </c>
    </row>
    <row r="137" spans="1:9" x14ac:dyDescent="0.25">
      <c r="A137" s="2">
        <v>46110</v>
      </c>
      <c r="B137" s="2" t="str">
        <f t="shared" si="35"/>
        <v>dom</v>
      </c>
      <c r="C137" s="27">
        <v>0.75763888888888886</v>
      </c>
      <c r="D137" s="49">
        <v>8000</v>
      </c>
      <c r="E137" s="3" t="s">
        <v>216</v>
      </c>
      <c r="H137" s="25" t="s">
        <v>136</v>
      </c>
      <c r="I137" t="s">
        <v>680</v>
      </c>
    </row>
    <row r="138" spans="1:9" x14ac:dyDescent="0.25">
      <c r="A138" s="2">
        <v>46110</v>
      </c>
      <c r="B138" s="2" t="str">
        <f>+TEXT(A138,"ddd")</f>
        <v>dom</v>
      </c>
      <c r="C138" s="27">
        <v>0.77847222222222223</v>
      </c>
      <c r="D138" s="49">
        <v>30000</v>
      </c>
      <c r="E138" s="3" t="s">
        <v>216</v>
      </c>
      <c r="H138" s="25" t="s">
        <v>136</v>
      </c>
      <c r="I138" t="s">
        <v>686</v>
      </c>
    </row>
    <row r="139" spans="1:9" x14ac:dyDescent="0.25">
      <c r="A139" s="2">
        <v>46110</v>
      </c>
      <c r="B139" s="2" t="str">
        <f t="shared" si="35"/>
        <v>dom</v>
      </c>
      <c r="D139" s="192">
        <f>4500*10</f>
        <v>45000</v>
      </c>
      <c r="E139" s="3" t="s">
        <v>216</v>
      </c>
      <c r="H139" s="25" t="s">
        <v>136</v>
      </c>
      <c r="I139" s="224" t="s">
        <v>685</v>
      </c>
    </row>
    <row r="140" spans="1:9" x14ac:dyDescent="0.25">
      <c r="A140" s="2">
        <v>46110</v>
      </c>
      <c r="B140" s="2" t="str">
        <f t="shared" si="35"/>
        <v>dom</v>
      </c>
      <c r="D140" s="49">
        <v>250000</v>
      </c>
      <c r="E140" s="3" t="s">
        <v>537</v>
      </c>
      <c r="H140" s="25" t="s">
        <v>136</v>
      </c>
      <c r="I140" t="s">
        <v>613</v>
      </c>
    </row>
    <row r="141" spans="1:9" x14ac:dyDescent="0.25">
      <c r="A141" s="2">
        <v>46110</v>
      </c>
      <c r="B141" s="2" t="str">
        <f t="shared" ref="B141" si="36">+TEXT(A141,"ddd")</f>
        <v>dom</v>
      </c>
      <c r="D141" s="49">
        <f>-363853</f>
        <v>-363853</v>
      </c>
      <c r="E141" s="3" t="s">
        <v>298</v>
      </c>
      <c r="H141" s="25" t="s">
        <v>136</v>
      </c>
      <c r="I141" t="s">
        <v>694</v>
      </c>
    </row>
    <row r="142" spans="1:9" x14ac:dyDescent="0.25">
      <c r="A142" s="2"/>
      <c r="B142" s="2"/>
      <c r="D142" s="192"/>
      <c r="H142" s="25"/>
      <c r="I142" s="224"/>
    </row>
    <row r="143" spans="1:9" x14ac:dyDescent="0.25">
      <c r="A143" s="2">
        <v>46111</v>
      </c>
      <c r="B143" s="2" t="str">
        <f t="shared" ref="B143" si="37">+TEXT(A143,"ddd")</f>
        <v>lun</v>
      </c>
      <c r="C143" s="27">
        <v>0.73611111111111116</v>
      </c>
      <c r="D143" s="49">
        <v>22000</v>
      </c>
      <c r="E143" s="3" t="s">
        <v>216</v>
      </c>
      <c r="H143" s="25" t="s">
        <v>136</v>
      </c>
      <c r="I143" t="s">
        <v>681</v>
      </c>
    </row>
    <row r="144" spans="1:9" x14ac:dyDescent="0.25">
      <c r="A144" s="2">
        <v>46111</v>
      </c>
      <c r="B144" s="2" t="str">
        <f t="shared" ref="B144:B146" si="38">+TEXT(A144,"ddd")</f>
        <v>lun</v>
      </c>
      <c r="C144" s="27">
        <v>0.77430555555555558</v>
      </c>
      <c r="D144" s="49">
        <v>16000</v>
      </c>
      <c r="E144" s="3" t="s">
        <v>216</v>
      </c>
      <c r="H144" s="25" t="s">
        <v>136</v>
      </c>
      <c r="I144" t="s">
        <v>682</v>
      </c>
    </row>
    <row r="145" spans="1:9" x14ac:dyDescent="0.25">
      <c r="A145" s="2">
        <v>46111</v>
      </c>
      <c r="B145" s="2" t="str">
        <f t="shared" si="38"/>
        <v>lun</v>
      </c>
      <c r="C145" s="27">
        <v>0.8</v>
      </c>
      <c r="D145" s="49">
        <v>28500</v>
      </c>
      <c r="E145" s="3" t="s">
        <v>216</v>
      </c>
      <c r="H145" s="25" t="s">
        <v>136</v>
      </c>
      <c r="I145" t="s">
        <v>683</v>
      </c>
    </row>
    <row r="146" spans="1:9" x14ac:dyDescent="0.25">
      <c r="A146" s="2">
        <v>46111</v>
      </c>
      <c r="B146" s="2" t="str">
        <f t="shared" si="38"/>
        <v>lun</v>
      </c>
      <c r="C146" s="27">
        <v>0.81319444444444444</v>
      </c>
      <c r="D146" s="49">
        <v>19000</v>
      </c>
      <c r="E146" s="3" t="s">
        <v>216</v>
      </c>
      <c r="H146" s="25" t="s">
        <v>136</v>
      </c>
      <c r="I146" t="s">
        <v>684</v>
      </c>
    </row>
    <row r="147" spans="1:9" x14ac:dyDescent="0.25">
      <c r="A147" s="2">
        <v>46113</v>
      </c>
      <c r="B147" s="2" t="str">
        <f t="shared" ref="B147:B148" si="39">+TEXT(A147,"ddd")</f>
        <v>mié</v>
      </c>
      <c r="D147" s="49">
        <f>4500*20</f>
        <v>90000</v>
      </c>
      <c r="E147" s="3" t="s">
        <v>216</v>
      </c>
      <c r="H147" s="25" t="s">
        <v>136</v>
      </c>
      <c r="I147" s="224" t="s">
        <v>685</v>
      </c>
    </row>
    <row r="148" spans="1:9" x14ac:dyDescent="0.25">
      <c r="A148" s="2">
        <v>46113</v>
      </c>
      <c r="B148" s="2" t="str">
        <f t="shared" si="39"/>
        <v>mié</v>
      </c>
      <c r="D148" s="49">
        <f>-300000-50000</f>
        <v>-350000</v>
      </c>
      <c r="E148" s="3" t="s">
        <v>414</v>
      </c>
      <c r="H148" s="25" t="s">
        <v>136</v>
      </c>
      <c r="I148" t="s">
        <v>687</v>
      </c>
    </row>
    <row r="149" spans="1:9" x14ac:dyDescent="0.25">
      <c r="A149" s="2">
        <v>46114</v>
      </c>
      <c r="B149" s="2" t="str">
        <f t="shared" ref="B149" si="40">+TEXT(A149,"ddd")</f>
        <v>jue</v>
      </c>
      <c r="D149" s="49">
        <v>-60000</v>
      </c>
      <c r="E149" s="3" t="s">
        <v>414</v>
      </c>
      <c r="H149" s="25" t="s">
        <v>136</v>
      </c>
      <c r="I149" t="s">
        <v>693</v>
      </c>
    </row>
    <row r="150" spans="1:9" x14ac:dyDescent="0.25">
      <c r="A150" s="2">
        <v>46119</v>
      </c>
      <c r="B150" s="2" t="str">
        <f t="shared" ref="B150:B151" si="41">+TEXT(A150,"ddd")</f>
        <v>mar</v>
      </c>
      <c r="C150" s="27">
        <v>0.72638888888888886</v>
      </c>
      <c r="D150" s="49">
        <v>19000</v>
      </c>
      <c r="E150" s="3" t="s">
        <v>216</v>
      </c>
      <c r="H150" s="25" t="s">
        <v>136</v>
      </c>
    </row>
    <row r="151" spans="1:9" x14ac:dyDescent="0.25">
      <c r="A151" s="2">
        <v>46120</v>
      </c>
      <c r="B151" s="2" t="str">
        <f t="shared" si="41"/>
        <v>mié</v>
      </c>
      <c r="C151" s="27">
        <v>0.74444444444444446</v>
      </c>
      <c r="D151" s="49">
        <v>11000</v>
      </c>
      <c r="E151" s="3" t="s">
        <v>216</v>
      </c>
      <c r="H151" s="25" t="s">
        <v>136</v>
      </c>
    </row>
    <row r="152" spans="1:9" x14ac:dyDescent="0.25">
      <c r="A152" s="2">
        <v>46120</v>
      </c>
      <c r="B152" s="2" t="str">
        <f t="shared" ref="B152" si="42">+TEXT(A152,"ddd")</f>
        <v>mié</v>
      </c>
      <c r="C152" s="27">
        <v>0.76111111111111107</v>
      </c>
      <c r="D152" s="49">
        <v>16000</v>
      </c>
      <c r="E152" s="3" t="s">
        <v>216</v>
      </c>
      <c r="H152" s="25" t="s">
        <v>136</v>
      </c>
    </row>
    <row r="153" spans="1:9" x14ac:dyDescent="0.25">
      <c r="A153" s="2">
        <v>46121</v>
      </c>
      <c r="B153" s="2" t="str">
        <f t="shared" ref="B153:B154" si="43">+TEXT(A153,"ddd")</f>
        <v>jue</v>
      </c>
      <c r="C153" s="27">
        <v>0.72499999999999998</v>
      </c>
      <c r="D153" s="49">
        <v>8000</v>
      </c>
      <c r="E153" s="3" t="s">
        <v>216</v>
      </c>
      <c r="H153" s="25" t="s">
        <v>136</v>
      </c>
      <c r="I153" t="s">
        <v>769</v>
      </c>
    </row>
    <row r="154" spans="1:9" x14ac:dyDescent="0.25">
      <c r="A154" s="2">
        <v>46121</v>
      </c>
      <c r="B154" s="2" t="str">
        <f t="shared" si="43"/>
        <v>jue</v>
      </c>
      <c r="C154" s="27">
        <v>0.73958333333333337</v>
      </c>
      <c r="D154" s="49">
        <v>11000</v>
      </c>
      <c r="E154" s="3" t="s">
        <v>216</v>
      </c>
      <c r="H154" s="26" t="s">
        <v>141</v>
      </c>
    </row>
    <row r="155" spans="1:9" x14ac:dyDescent="0.25">
      <c r="A155" s="2">
        <v>46122</v>
      </c>
      <c r="B155" s="2" t="str">
        <f t="shared" ref="B155" si="44">+TEXT(A155,"ddd")</f>
        <v>vie</v>
      </c>
      <c r="C155" s="27">
        <v>0.66249999999999998</v>
      </c>
      <c r="D155" s="49">
        <v>10000</v>
      </c>
      <c r="E155" s="3" t="s">
        <v>216</v>
      </c>
      <c r="F155" s="77" t="s">
        <v>772</v>
      </c>
      <c r="H155" s="25" t="s">
        <v>136</v>
      </c>
      <c r="I155" t="s">
        <v>770</v>
      </c>
    </row>
    <row r="156" spans="1:9" x14ac:dyDescent="0.25">
      <c r="A156" s="2">
        <v>46122</v>
      </c>
      <c r="B156" s="2" t="str">
        <f t="shared" ref="B156:B160" si="45">+TEXT(A156,"ddd")</f>
        <v>vie</v>
      </c>
      <c r="C156" s="27">
        <v>0.67013888888888884</v>
      </c>
      <c r="D156" s="49">
        <v>22000</v>
      </c>
      <c r="E156" s="3" t="s">
        <v>216</v>
      </c>
      <c r="F156" s="77" t="s">
        <v>773</v>
      </c>
      <c r="H156" s="25" t="s">
        <v>136</v>
      </c>
      <c r="I156" t="s">
        <v>510</v>
      </c>
    </row>
    <row r="157" spans="1:9" x14ac:dyDescent="0.25">
      <c r="A157" s="2">
        <v>46122</v>
      </c>
      <c r="B157" s="2" t="str">
        <f t="shared" si="45"/>
        <v>vie</v>
      </c>
      <c r="C157" s="27">
        <v>0.72638888888888886</v>
      </c>
      <c r="D157" s="49">
        <v>8000</v>
      </c>
      <c r="E157" s="3" t="s">
        <v>216</v>
      </c>
      <c r="F157" s="77" t="s">
        <v>774</v>
      </c>
      <c r="H157" s="25" t="s">
        <v>136</v>
      </c>
      <c r="I157" t="s">
        <v>771</v>
      </c>
    </row>
    <row r="158" spans="1:9" x14ac:dyDescent="0.25">
      <c r="A158" s="2">
        <v>46122</v>
      </c>
      <c r="B158" s="2" t="str">
        <f t="shared" si="45"/>
        <v>vie</v>
      </c>
      <c r="C158" s="27">
        <v>0.7270833333333333</v>
      </c>
      <c r="D158" s="49">
        <v>16000</v>
      </c>
      <c r="E158" s="3" t="s">
        <v>216</v>
      </c>
      <c r="H158" s="25" t="s">
        <v>136</v>
      </c>
      <c r="I158" t="s">
        <v>766</v>
      </c>
    </row>
    <row r="159" spans="1:9" x14ac:dyDescent="0.25">
      <c r="A159" s="2">
        <v>46122</v>
      </c>
      <c r="B159" s="2" t="str">
        <f t="shared" si="45"/>
        <v>vie</v>
      </c>
      <c r="C159" s="27">
        <v>0.7729166666666667</v>
      </c>
      <c r="D159" s="49">
        <v>8000</v>
      </c>
      <c r="E159" s="3" t="s">
        <v>216</v>
      </c>
      <c r="H159" s="25" t="s">
        <v>136</v>
      </c>
      <c r="I159" t="s">
        <v>767</v>
      </c>
    </row>
    <row r="160" spans="1:9" x14ac:dyDescent="0.25">
      <c r="A160" s="2">
        <v>46122</v>
      </c>
      <c r="B160" s="2" t="str">
        <f t="shared" si="45"/>
        <v>vie</v>
      </c>
      <c r="C160" s="27">
        <v>0.77569444444444446</v>
      </c>
      <c r="D160" s="49">
        <v>40000</v>
      </c>
      <c r="E160" s="3" t="s">
        <v>216</v>
      </c>
      <c r="F160" s="77" t="s">
        <v>775</v>
      </c>
      <c r="H160" s="25" t="s">
        <v>136</v>
      </c>
      <c r="I160" t="s">
        <v>768</v>
      </c>
    </row>
  </sheetData>
  <autoFilter ref="A6:J160"/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M30"/>
  <sheetViews>
    <sheetView zoomScale="85" zoomScaleNormal="85" workbookViewId="0">
      <pane ySplit="1" topLeftCell="A2" activePane="bottomLeft" state="frozen"/>
      <selection pane="bottomLeft" activeCell="G14" sqref="G14"/>
    </sheetView>
  </sheetViews>
  <sheetFormatPr baseColWidth="10" defaultRowHeight="15" x14ac:dyDescent="0.25"/>
  <cols>
    <col min="1" max="1" width="30" customWidth="1"/>
    <col min="2" max="2" width="10.140625" style="34" hidden="1" customWidth="1"/>
    <col min="3" max="3" width="11.42578125" style="34" hidden="1" customWidth="1"/>
    <col min="4" max="4" width="13.28515625" style="34" hidden="1" customWidth="1"/>
    <col min="5" max="5" width="15.140625" style="34" hidden="1" customWidth="1"/>
    <col min="6" max="6" width="11.5703125" style="34" customWidth="1"/>
    <col min="7" max="7" width="11" style="34" customWidth="1"/>
    <col min="8" max="8" width="11.42578125" style="34"/>
    <col min="9" max="9" width="17.7109375" style="34" bestFit="1" customWidth="1"/>
    <col min="10" max="10" width="8.42578125" style="71" bestFit="1" customWidth="1"/>
    <col min="11" max="11" width="11.42578125" style="71"/>
    <col min="12" max="12" width="12.28515625" bestFit="1" customWidth="1"/>
    <col min="13" max="13" width="14.5703125" bestFit="1" customWidth="1"/>
  </cols>
  <sheetData>
    <row r="1" spans="1:13" ht="31.5" x14ac:dyDescent="0.25">
      <c r="A1" s="272" t="s">
        <v>698</v>
      </c>
      <c r="B1" s="272" t="s">
        <v>751</v>
      </c>
      <c r="C1" s="273" t="s">
        <v>744</v>
      </c>
      <c r="D1" s="272" t="s">
        <v>757</v>
      </c>
      <c r="E1" s="272" t="s">
        <v>758</v>
      </c>
      <c r="F1" s="274" t="s">
        <v>740</v>
      </c>
      <c r="G1" s="273" t="s">
        <v>745</v>
      </c>
      <c r="H1" s="272" t="s">
        <v>739</v>
      </c>
      <c r="I1" s="272" t="s">
        <v>742</v>
      </c>
      <c r="K1" s="71">
        <f>+SUM(K12:K1048576)</f>
        <v>-245080</v>
      </c>
      <c r="L1">
        <f>24*4</f>
        <v>96</v>
      </c>
    </row>
    <row r="2" spans="1:13" hidden="1" x14ac:dyDescent="0.25">
      <c r="A2" s="70" t="s">
        <v>734</v>
      </c>
      <c r="B2" s="261" t="s">
        <v>753</v>
      </c>
      <c r="C2" s="261">
        <f>(100*2)+8</f>
        <v>208</v>
      </c>
      <c r="D2" s="261">
        <v>20</v>
      </c>
      <c r="E2" s="261">
        <v>41</v>
      </c>
      <c r="F2" s="261">
        <v>210</v>
      </c>
      <c r="G2" s="283">
        <f>+C2+D2-E2</f>
        <v>187</v>
      </c>
      <c r="H2" s="282">
        <f t="shared" ref="H2:H8" si="0">+G2-F2</f>
        <v>-23</v>
      </c>
      <c r="I2" s="261" t="s">
        <v>764</v>
      </c>
      <c r="J2" s="71">
        <v>3500</v>
      </c>
      <c r="K2" s="71">
        <f t="shared" ref="K2:K10" si="1">+J2*H2</f>
        <v>-80500</v>
      </c>
    </row>
    <row r="3" spans="1:13" hidden="1" x14ac:dyDescent="0.25">
      <c r="A3" s="70" t="s">
        <v>755</v>
      </c>
      <c r="B3" s="261" t="s">
        <v>753</v>
      </c>
      <c r="C3" s="261">
        <f>+(50000/(150*3))*1.5</f>
        <v>166.66666666666669</v>
      </c>
      <c r="D3" s="261"/>
      <c r="E3" s="261">
        <v>39</v>
      </c>
      <c r="F3" s="261">
        <v>-53</v>
      </c>
      <c r="G3" s="283">
        <f t="shared" ref="G3:G8" si="2">+C3-E3</f>
        <v>127.66666666666669</v>
      </c>
      <c r="H3" s="282">
        <f t="shared" si="0"/>
        <v>180.66666666666669</v>
      </c>
      <c r="I3" s="261" t="s">
        <v>760</v>
      </c>
      <c r="J3" s="71">
        <v>750</v>
      </c>
      <c r="K3" s="71">
        <f t="shared" si="1"/>
        <v>135500</v>
      </c>
    </row>
    <row r="4" spans="1:13" hidden="1" x14ac:dyDescent="0.25">
      <c r="A4" s="70" t="s">
        <v>735</v>
      </c>
      <c r="B4" s="261" t="s">
        <v>753</v>
      </c>
      <c r="C4" s="261">
        <v>39</v>
      </c>
      <c r="D4" s="261"/>
      <c r="E4" s="261">
        <v>2</v>
      </c>
      <c r="F4" s="261">
        <v>38</v>
      </c>
      <c r="G4" s="283">
        <f t="shared" si="2"/>
        <v>37</v>
      </c>
      <c r="H4" s="282">
        <f t="shared" si="0"/>
        <v>-1</v>
      </c>
      <c r="I4" s="261" t="s">
        <v>764</v>
      </c>
      <c r="J4" s="71">
        <v>5000</v>
      </c>
      <c r="K4" s="71">
        <f t="shared" si="1"/>
        <v>-5000</v>
      </c>
    </row>
    <row r="5" spans="1:13" hidden="1" x14ac:dyDescent="0.25">
      <c r="A5" s="70" t="s">
        <v>756</v>
      </c>
      <c r="B5" s="261" t="s">
        <v>753</v>
      </c>
      <c r="C5" s="261">
        <v>9</v>
      </c>
      <c r="D5" s="261"/>
      <c r="E5" s="261"/>
      <c r="F5" s="261"/>
      <c r="G5" s="283">
        <f t="shared" si="2"/>
        <v>9</v>
      </c>
      <c r="H5" s="282">
        <f t="shared" si="0"/>
        <v>9</v>
      </c>
      <c r="I5" s="261" t="s">
        <v>760</v>
      </c>
      <c r="J5" s="71">
        <v>15000</v>
      </c>
      <c r="K5" s="71">
        <f t="shared" si="1"/>
        <v>135000</v>
      </c>
    </row>
    <row r="6" spans="1:13" hidden="1" x14ac:dyDescent="0.25">
      <c r="A6" s="70" t="s">
        <v>737</v>
      </c>
      <c r="B6" s="261" t="s">
        <v>753</v>
      </c>
      <c r="C6" s="261">
        <v>5</v>
      </c>
      <c r="D6" s="261"/>
      <c r="E6" s="261">
        <v>1</v>
      </c>
      <c r="F6" s="261">
        <v>-30</v>
      </c>
      <c r="G6" s="283">
        <f t="shared" si="2"/>
        <v>4</v>
      </c>
      <c r="H6" s="282">
        <f t="shared" si="0"/>
        <v>34</v>
      </c>
      <c r="I6" s="261" t="s">
        <v>760</v>
      </c>
      <c r="J6" s="71">
        <v>19000</v>
      </c>
      <c r="K6" s="71">
        <f t="shared" si="1"/>
        <v>646000</v>
      </c>
    </row>
    <row r="7" spans="1:13" hidden="1" x14ac:dyDescent="0.25">
      <c r="A7" s="70" t="s">
        <v>762</v>
      </c>
      <c r="B7" s="261" t="s">
        <v>753</v>
      </c>
      <c r="C7" s="261"/>
      <c r="D7" s="261"/>
      <c r="E7" s="261"/>
      <c r="F7" s="261">
        <v>-21</v>
      </c>
      <c r="G7" s="283">
        <f t="shared" si="2"/>
        <v>0</v>
      </c>
      <c r="H7" s="282">
        <f t="shared" si="0"/>
        <v>21</v>
      </c>
      <c r="I7" s="261" t="s">
        <v>760</v>
      </c>
      <c r="J7" s="71">
        <v>10000</v>
      </c>
      <c r="K7" s="71">
        <f t="shared" si="1"/>
        <v>210000</v>
      </c>
    </row>
    <row r="8" spans="1:13" hidden="1" x14ac:dyDescent="0.25">
      <c r="A8" s="70" t="s">
        <v>738</v>
      </c>
      <c r="B8" s="261" t="s">
        <v>753</v>
      </c>
      <c r="C8" s="261">
        <v>3</v>
      </c>
      <c r="D8" s="261"/>
      <c r="E8" s="261"/>
      <c r="F8" s="261">
        <v>0</v>
      </c>
      <c r="G8" s="283">
        <f t="shared" si="2"/>
        <v>3</v>
      </c>
      <c r="H8" s="282">
        <f t="shared" si="0"/>
        <v>3</v>
      </c>
      <c r="I8" s="261" t="s">
        <v>760</v>
      </c>
      <c r="J8" s="71">
        <v>10000</v>
      </c>
      <c r="K8" s="71">
        <f t="shared" si="1"/>
        <v>30000</v>
      </c>
    </row>
    <row r="9" spans="1:13" hidden="1" x14ac:dyDescent="0.25">
      <c r="A9" s="70" t="s">
        <v>759</v>
      </c>
      <c r="B9" s="261" t="s">
        <v>753</v>
      </c>
      <c r="C9" s="261"/>
      <c r="D9" s="261"/>
      <c r="E9" s="261"/>
      <c r="F9" s="261">
        <v>-1</v>
      </c>
      <c r="G9" s="283">
        <v>0</v>
      </c>
      <c r="H9" s="282">
        <v>1</v>
      </c>
      <c r="I9" s="261" t="s">
        <v>760</v>
      </c>
      <c r="J9" s="71">
        <v>17000</v>
      </c>
      <c r="K9" s="71">
        <f t="shared" si="1"/>
        <v>17000</v>
      </c>
    </row>
    <row r="10" spans="1:13" hidden="1" x14ac:dyDescent="0.25">
      <c r="A10" s="70" t="s">
        <v>601</v>
      </c>
      <c r="B10" s="261" t="s">
        <v>753</v>
      </c>
      <c r="C10" s="261">
        <v>4</v>
      </c>
      <c r="D10" s="261"/>
      <c r="E10" s="261"/>
      <c r="F10" s="261">
        <v>0</v>
      </c>
      <c r="G10" s="283">
        <f t="shared" ref="G10:G17" si="3">+C10-E10</f>
        <v>4</v>
      </c>
      <c r="H10" s="282">
        <f t="shared" ref="H10:H17" si="4">+G10-F10</f>
        <v>4</v>
      </c>
      <c r="I10" s="261" t="s">
        <v>760</v>
      </c>
      <c r="J10" s="71">
        <v>17000</v>
      </c>
      <c r="K10" s="71">
        <f t="shared" si="1"/>
        <v>68000</v>
      </c>
    </row>
    <row r="11" spans="1:13" hidden="1" x14ac:dyDescent="0.25">
      <c r="A11" s="70" t="s">
        <v>763</v>
      </c>
      <c r="B11" s="261" t="s">
        <v>753</v>
      </c>
      <c r="C11" s="261">
        <v>5</v>
      </c>
      <c r="D11" s="261"/>
      <c r="E11" s="261">
        <v>5</v>
      </c>
      <c r="F11" s="261">
        <v>0</v>
      </c>
      <c r="G11" s="283">
        <f t="shared" si="3"/>
        <v>0</v>
      </c>
      <c r="H11" s="282">
        <f t="shared" si="4"/>
        <v>0</v>
      </c>
      <c r="I11" s="261" t="s">
        <v>765</v>
      </c>
    </row>
    <row r="12" spans="1:13" x14ac:dyDescent="0.25">
      <c r="A12" s="247" t="s">
        <v>726</v>
      </c>
      <c r="B12" s="249" t="s">
        <v>752</v>
      </c>
      <c r="C12" s="249">
        <v>17</v>
      </c>
      <c r="D12" s="249"/>
      <c r="E12" s="249"/>
      <c r="F12" s="249">
        <v>34</v>
      </c>
      <c r="G12" s="249">
        <f t="shared" si="3"/>
        <v>17</v>
      </c>
      <c r="H12" s="275">
        <f t="shared" si="4"/>
        <v>-17</v>
      </c>
      <c r="I12" s="249" t="s">
        <v>761</v>
      </c>
      <c r="J12" s="71">
        <v>1417</v>
      </c>
      <c r="K12" s="71">
        <f t="shared" ref="K12:K17" si="5">+J12*H12</f>
        <v>-24089</v>
      </c>
    </row>
    <row r="13" spans="1:13" x14ac:dyDescent="0.25">
      <c r="A13" s="247" t="s">
        <v>502</v>
      </c>
      <c r="B13" s="249" t="s">
        <v>752</v>
      </c>
      <c r="C13" s="249">
        <v>0</v>
      </c>
      <c r="D13" s="249"/>
      <c r="E13" s="249"/>
      <c r="F13" s="249">
        <v>3</v>
      </c>
      <c r="G13" s="249">
        <f t="shared" si="3"/>
        <v>0</v>
      </c>
      <c r="H13" s="275">
        <f t="shared" si="4"/>
        <v>-3</v>
      </c>
      <c r="I13" s="249" t="s">
        <v>761</v>
      </c>
      <c r="J13" s="71">
        <v>3000</v>
      </c>
      <c r="K13" s="71">
        <f t="shared" si="5"/>
        <v>-9000</v>
      </c>
    </row>
    <row r="14" spans="1:13" x14ac:dyDescent="0.25">
      <c r="A14" s="247" t="s">
        <v>729</v>
      </c>
      <c r="B14" s="249" t="s">
        <v>752</v>
      </c>
      <c r="C14" s="249">
        <f>8+48</f>
        <v>56</v>
      </c>
      <c r="D14" s="249"/>
      <c r="E14" s="249">
        <v>9</v>
      </c>
      <c r="F14" s="249">
        <v>80</v>
      </c>
      <c r="G14" s="249">
        <f t="shared" si="3"/>
        <v>47</v>
      </c>
      <c r="H14" s="275">
        <f t="shared" si="4"/>
        <v>-33</v>
      </c>
      <c r="I14" s="249" t="s">
        <v>761</v>
      </c>
      <c r="J14" s="71">
        <v>1188</v>
      </c>
      <c r="K14" s="71">
        <f t="shared" si="5"/>
        <v>-39204</v>
      </c>
    </row>
    <row r="15" spans="1:13" x14ac:dyDescent="0.25">
      <c r="A15" s="247" t="s">
        <v>741</v>
      </c>
      <c r="B15" s="249" t="s">
        <v>752</v>
      </c>
      <c r="C15" s="249">
        <v>0</v>
      </c>
      <c r="D15" s="249"/>
      <c r="E15" s="249"/>
      <c r="F15" s="249">
        <v>5</v>
      </c>
      <c r="G15" s="249">
        <f t="shared" si="3"/>
        <v>0</v>
      </c>
      <c r="H15" s="275">
        <f t="shared" si="4"/>
        <v>-5</v>
      </c>
      <c r="I15" s="249" t="s">
        <v>761</v>
      </c>
      <c r="J15" s="71">
        <v>3300</v>
      </c>
      <c r="K15" s="71">
        <f t="shared" si="5"/>
        <v>-16500</v>
      </c>
    </row>
    <row r="16" spans="1:13" x14ac:dyDescent="0.25">
      <c r="A16" s="246" t="s">
        <v>728</v>
      </c>
      <c r="B16" s="276" t="s">
        <v>752</v>
      </c>
      <c r="C16" s="276">
        <v>126</v>
      </c>
      <c r="D16" s="276"/>
      <c r="E16" s="276">
        <v>16</v>
      </c>
      <c r="F16" s="276">
        <v>146</v>
      </c>
      <c r="G16" s="276">
        <f t="shared" si="3"/>
        <v>110</v>
      </c>
      <c r="H16" s="277">
        <f t="shared" si="4"/>
        <v>-36</v>
      </c>
      <c r="I16" s="249" t="s">
        <v>761</v>
      </c>
      <c r="J16" s="71">
        <v>1200</v>
      </c>
      <c r="K16" s="71">
        <f t="shared" si="5"/>
        <v>-43200</v>
      </c>
      <c r="L16" s="278"/>
      <c r="M16" s="278">
        <f>+K16+K17</f>
        <v>-107781</v>
      </c>
    </row>
    <row r="17" spans="1:13" x14ac:dyDescent="0.25">
      <c r="A17" s="246" t="s">
        <v>727</v>
      </c>
      <c r="B17" s="276" t="s">
        <v>752</v>
      </c>
      <c r="C17" s="276">
        <v>88</v>
      </c>
      <c r="D17" s="276"/>
      <c r="E17" s="276"/>
      <c r="F17" s="276">
        <v>145</v>
      </c>
      <c r="G17" s="276">
        <f t="shared" si="3"/>
        <v>88</v>
      </c>
      <c r="H17" s="277">
        <f t="shared" si="4"/>
        <v>-57</v>
      </c>
      <c r="I17" s="249" t="s">
        <v>761</v>
      </c>
      <c r="J17" s="71">
        <v>1133</v>
      </c>
      <c r="K17" s="71">
        <f t="shared" si="5"/>
        <v>-64581</v>
      </c>
      <c r="L17" s="278"/>
      <c r="M17" s="278"/>
    </row>
    <row r="18" spans="1:13" hidden="1" x14ac:dyDescent="0.25">
      <c r="A18" s="280" t="s">
        <v>746</v>
      </c>
      <c r="B18" s="284" t="s">
        <v>752</v>
      </c>
      <c r="C18" s="281">
        <f>+C16+C17</f>
        <v>214</v>
      </c>
      <c r="D18" s="281"/>
      <c r="E18" s="281"/>
      <c r="F18" s="281">
        <f>+F16+F17</f>
        <v>291</v>
      </c>
      <c r="G18" s="281">
        <f>+G16+G17</f>
        <v>198</v>
      </c>
      <c r="H18" s="281">
        <f>+H16+H17</f>
        <v>-93</v>
      </c>
      <c r="I18" s="281"/>
      <c r="L18" s="278">
        <f>+SUM(K16:K17)/SUM(H16:H17)</f>
        <v>1158.9354838709678</v>
      </c>
      <c r="M18" s="278">
        <f>+L18*H18</f>
        <v>-107781</v>
      </c>
    </row>
    <row r="19" spans="1:13" x14ac:dyDescent="0.25">
      <c r="A19" s="247" t="s">
        <v>750</v>
      </c>
      <c r="B19" s="249" t="s">
        <v>752</v>
      </c>
      <c r="C19" s="249">
        <v>16</v>
      </c>
      <c r="D19" s="249"/>
      <c r="E19" s="249"/>
      <c r="F19" s="249">
        <v>20</v>
      </c>
      <c r="G19" s="249">
        <f>+C19-E19</f>
        <v>16</v>
      </c>
      <c r="H19" s="275">
        <f>+G19-F19</f>
        <v>-4</v>
      </c>
      <c r="I19" s="249" t="s">
        <v>761</v>
      </c>
      <c r="J19" s="71">
        <v>1250</v>
      </c>
      <c r="K19" s="71">
        <f>+J19*H19</f>
        <v>-5000</v>
      </c>
    </row>
    <row r="20" spans="1:13" x14ac:dyDescent="0.25">
      <c r="A20" s="247" t="s">
        <v>730</v>
      </c>
      <c r="B20" s="249" t="s">
        <v>752</v>
      </c>
      <c r="C20" s="249">
        <v>13</v>
      </c>
      <c r="D20" s="249"/>
      <c r="E20" s="249">
        <v>4</v>
      </c>
      <c r="F20" s="249">
        <v>27</v>
      </c>
      <c r="G20" s="249">
        <f>+C20-E20</f>
        <v>9</v>
      </c>
      <c r="H20" s="275">
        <f>+G20-F20</f>
        <v>-18</v>
      </c>
      <c r="I20" s="249" t="s">
        <v>761</v>
      </c>
      <c r="J20" s="71">
        <v>2417</v>
      </c>
      <c r="K20" s="71">
        <f>+J20*H20</f>
        <v>-43506</v>
      </c>
    </row>
    <row r="21" spans="1:13" hidden="1" x14ac:dyDescent="0.25">
      <c r="A21" s="230" t="s">
        <v>733</v>
      </c>
      <c r="B21" s="227" t="s">
        <v>754</v>
      </c>
      <c r="C21" s="227">
        <v>25</v>
      </c>
      <c r="D21" s="279"/>
      <c r="E21" s="227">
        <v>303</v>
      </c>
      <c r="F21" s="227">
        <v>-25</v>
      </c>
      <c r="G21" s="227">
        <v>30</v>
      </c>
      <c r="H21" s="285">
        <f t="shared" ref="H21:H23" si="6">+G21-F21</f>
        <v>55</v>
      </c>
      <c r="I21" s="279" t="s">
        <v>743</v>
      </c>
    </row>
    <row r="22" spans="1:13" hidden="1" x14ac:dyDescent="0.25">
      <c r="A22" s="230" t="s">
        <v>731</v>
      </c>
      <c r="B22" s="227" t="s">
        <v>754</v>
      </c>
      <c r="C22" s="227">
        <v>4</v>
      </c>
      <c r="D22" s="227"/>
      <c r="E22" s="227">
        <v>4</v>
      </c>
      <c r="F22" s="227">
        <v>0</v>
      </c>
      <c r="G22" s="227">
        <f>+C22-E22</f>
        <v>0</v>
      </c>
      <c r="H22" s="285">
        <f t="shared" si="6"/>
        <v>0</v>
      </c>
      <c r="I22" s="279" t="s">
        <v>743</v>
      </c>
    </row>
    <row r="23" spans="1:13" hidden="1" x14ac:dyDescent="0.25">
      <c r="A23" s="230" t="s">
        <v>732</v>
      </c>
      <c r="B23" s="227" t="s">
        <v>754</v>
      </c>
      <c r="C23" s="227">
        <f>4*3</f>
        <v>12</v>
      </c>
      <c r="D23" s="279"/>
      <c r="E23" s="227"/>
      <c r="F23" s="227">
        <v>22</v>
      </c>
      <c r="G23" s="227">
        <f>+C23-E23</f>
        <v>12</v>
      </c>
      <c r="H23" s="285">
        <f t="shared" si="6"/>
        <v>-10</v>
      </c>
      <c r="I23" s="279" t="s">
        <v>743</v>
      </c>
    </row>
    <row r="24" spans="1:13" x14ac:dyDescent="0.25">
      <c r="A24" s="230"/>
      <c r="B24" s="227"/>
      <c r="C24" s="227"/>
      <c r="D24" s="227"/>
      <c r="E24" s="227"/>
      <c r="F24" s="227"/>
      <c r="G24" s="227"/>
      <c r="H24" s="227"/>
      <c r="I24" s="227"/>
    </row>
    <row r="25" spans="1:13" x14ac:dyDescent="0.25">
      <c r="A25" s="230" t="s">
        <v>689</v>
      </c>
      <c r="B25" s="227"/>
      <c r="C25" s="227">
        <v>1</v>
      </c>
      <c r="D25" s="227"/>
      <c r="E25" s="227"/>
      <c r="F25" s="227"/>
      <c r="G25" s="227">
        <f>+C25-E25</f>
        <v>1</v>
      </c>
      <c r="H25" s="227"/>
      <c r="I25" s="227"/>
    </row>
    <row r="26" spans="1:13" x14ac:dyDescent="0.25">
      <c r="A26" s="230" t="s">
        <v>692</v>
      </c>
      <c r="B26" s="227"/>
      <c r="C26" s="227">
        <v>1</v>
      </c>
      <c r="D26" s="227"/>
      <c r="E26" s="227"/>
      <c r="F26" s="227"/>
      <c r="G26" s="227">
        <f>+C26-E26</f>
        <v>1</v>
      </c>
      <c r="H26" s="227"/>
      <c r="I26" s="227"/>
    </row>
    <row r="27" spans="1:13" x14ac:dyDescent="0.25">
      <c r="A27" s="230" t="s">
        <v>690</v>
      </c>
      <c r="B27" s="227"/>
      <c r="C27" s="227">
        <v>3</v>
      </c>
      <c r="D27" s="227"/>
      <c r="E27" s="227"/>
      <c r="F27" s="227"/>
      <c r="G27" s="227">
        <f>+C27-E27</f>
        <v>3</v>
      </c>
      <c r="H27" s="227"/>
      <c r="I27" s="227"/>
    </row>
    <row r="28" spans="1:13" x14ac:dyDescent="0.25">
      <c r="A28" s="230" t="s">
        <v>691</v>
      </c>
      <c r="B28" s="227"/>
      <c r="C28" s="227">
        <v>8</v>
      </c>
      <c r="D28" s="227"/>
      <c r="E28" s="227"/>
      <c r="F28" s="227"/>
      <c r="G28" s="227">
        <f>+C28-E28</f>
        <v>8</v>
      </c>
      <c r="H28" s="227"/>
      <c r="I28" s="227"/>
    </row>
    <row r="30" spans="1:13" x14ac:dyDescent="0.25">
      <c r="D30" s="34">
        <f>3500*187</f>
        <v>654500</v>
      </c>
    </row>
  </sheetData>
  <autoFilter ref="A1:G23">
    <filterColumn colId="0">
      <colorFilter dxfId="18"/>
    </filterColumn>
    <sortState ref="A2:G20">
      <sortCondition ref="A1:A20"/>
    </sortState>
  </autoFilter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92D050"/>
  </sheetPr>
  <dimension ref="B1:F52"/>
  <sheetViews>
    <sheetView showGridLines="0" zoomScale="115" zoomScaleNormal="115" workbookViewId="0">
      <pane ySplit="2" topLeftCell="A37" activePane="bottomLeft" state="frozen"/>
      <selection pane="bottomLeft" activeCell="C39" sqref="C39"/>
    </sheetView>
  </sheetViews>
  <sheetFormatPr baseColWidth="10" defaultRowHeight="15" x14ac:dyDescent="0.25"/>
  <cols>
    <col min="1" max="1" width="1.42578125" customWidth="1"/>
    <col min="2" max="2" width="8.140625" style="84" bestFit="1" customWidth="1"/>
    <col min="3" max="3" width="46.85546875" style="84" customWidth="1"/>
    <col min="4" max="4" width="12.28515625" style="107" bestFit="1" customWidth="1"/>
    <col min="5" max="5" width="9.42578125" style="84" bestFit="1" customWidth="1"/>
    <col min="6" max="6" width="70.85546875" style="85" bestFit="1" customWidth="1"/>
  </cols>
  <sheetData>
    <row r="1" spans="2:6" ht="33.75" x14ac:dyDescent="0.25">
      <c r="B1" s="294" t="s">
        <v>338</v>
      </c>
      <c r="C1" s="294"/>
      <c r="D1" s="294"/>
      <c r="E1" s="294"/>
      <c r="F1" s="294"/>
    </row>
    <row r="2" spans="2:6" x14ac:dyDescent="0.25">
      <c r="B2" s="86" t="s">
        <v>5</v>
      </c>
      <c r="C2" s="87" t="s">
        <v>291</v>
      </c>
      <c r="D2" s="104" t="s">
        <v>294</v>
      </c>
      <c r="E2" s="86" t="s">
        <v>337</v>
      </c>
      <c r="F2" s="86" t="s">
        <v>321</v>
      </c>
    </row>
    <row r="3" spans="2:6" ht="30" x14ac:dyDescent="0.25">
      <c r="B3" s="108">
        <v>46090</v>
      </c>
      <c r="C3" s="89" t="s">
        <v>293</v>
      </c>
      <c r="D3" s="105" t="s">
        <v>295</v>
      </c>
      <c r="E3" s="88" t="s">
        <v>292</v>
      </c>
      <c r="F3" s="88" t="s">
        <v>439</v>
      </c>
    </row>
    <row r="4" spans="2:6" ht="45" x14ac:dyDescent="0.25">
      <c r="B4" s="108">
        <v>46090</v>
      </c>
      <c r="C4" s="89" t="s">
        <v>297</v>
      </c>
      <c r="D4" s="105" t="s">
        <v>295</v>
      </c>
      <c r="E4" s="88" t="s">
        <v>296</v>
      </c>
      <c r="F4" s="88" t="s">
        <v>438</v>
      </c>
    </row>
    <row r="5" spans="2:6" ht="45" x14ac:dyDescent="0.25">
      <c r="B5" s="108">
        <v>46093</v>
      </c>
      <c r="C5" s="89" t="s">
        <v>323</v>
      </c>
      <c r="D5" s="105" t="s">
        <v>295</v>
      </c>
      <c r="E5" s="88" t="s">
        <v>322</v>
      </c>
      <c r="F5" s="88" t="s">
        <v>324</v>
      </c>
    </row>
    <row r="6" spans="2:6" ht="60" x14ac:dyDescent="0.25">
      <c r="B6" s="108">
        <v>46093</v>
      </c>
      <c r="C6" s="89" t="s">
        <v>326</v>
      </c>
      <c r="D6" s="105" t="s">
        <v>295</v>
      </c>
      <c r="E6" s="88" t="s">
        <v>325</v>
      </c>
      <c r="F6" s="88" t="s">
        <v>327</v>
      </c>
    </row>
    <row r="7" spans="2:6" ht="45" x14ac:dyDescent="0.25">
      <c r="B7" s="108">
        <v>46093</v>
      </c>
      <c r="C7" s="89" t="s">
        <v>329</v>
      </c>
      <c r="D7" s="105" t="s">
        <v>295</v>
      </c>
      <c r="E7" s="88" t="s">
        <v>330</v>
      </c>
      <c r="F7" s="88" t="s">
        <v>328</v>
      </c>
    </row>
    <row r="8" spans="2:6" ht="30" x14ac:dyDescent="0.25">
      <c r="B8" s="108">
        <v>46093</v>
      </c>
      <c r="C8" s="89" t="s">
        <v>332</v>
      </c>
      <c r="D8" s="105" t="s">
        <v>295</v>
      </c>
      <c r="E8" s="88" t="s">
        <v>331</v>
      </c>
      <c r="F8" s="88" t="s">
        <v>334</v>
      </c>
    </row>
    <row r="9" spans="2:6" ht="45" x14ac:dyDescent="0.25">
      <c r="B9" s="108">
        <v>46093</v>
      </c>
      <c r="C9" s="89" t="s">
        <v>336</v>
      </c>
      <c r="D9" s="105" t="s">
        <v>295</v>
      </c>
      <c r="E9" s="88" t="s">
        <v>333</v>
      </c>
      <c r="F9" s="88" t="s">
        <v>335</v>
      </c>
    </row>
    <row r="10" spans="2:6" x14ac:dyDescent="0.25">
      <c r="B10" s="108">
        <v>46093</v>
      </c>
      <c r="C10" s="89" t="s">
        <v>353</v>
      </c>
      <c r="D10" s="105" t="s">
        <v>295</v>
      </c>
      <c r="E10" s="88" t="s">
        <v>361</v>
      </c>
      <c r="F10" s="88" t="s">
        <v>360</v>
      </c>
    </row>
    <row r="11" spans="2:6" ht="45" x14ac:dyDescent="0.25">
      <c r="B11" s="108">
        <v>46093</v>
      </c>
      <c r="C11" s="89" t="s">
        <v>417</v>
      </c>
      <c r="D11" s="105" t="s">
        <v>295</v>
      </c>
      <c r="E11" s="88" t="s">
        <v>369</v>
      </c>
      <c r="F11" s="88" t="s">
        <v>370</v>
      </c>
    </row>
    <row r="12" spans="2:6" ht="45" x14ac:dyDescent="0.25">
      <c r="B12" s="108">
        <v>46099</v>
      </c>
      <c r="C12" s="89" t="s">
        <v>419</v>
      </c>
      <c r="D12" s="105" t="s">
        <v>295</v>
      </c>
      <c r="E12" s="88" t="s">
        <v>416</v>
      </c>
      <c r="F12" s="88" t="s">
        <v>418</v>
      </c>
    </row>
    <row r="13" spans="2:6" ht="45" x14ac:dyDescent="0.25">
      <c r="B13" s="108">
        <v>46099</v>
      </c>
      <c r="C13" s="89" t="s">
        <v>355</v>
      </c>
      <c r="D13" s="105" t="s">
        <v>295</v>
      </c>
      <c r="E13" s="88" t="s">
        <v>427</v>
      </c>
      <c r="F13" s="88" t="s">
        <v>428</v>
      </c>
    </row>
    <row r="14" spans="2:6" ht="30" x14ac:dyDescent="0.25">
      <c r="B14" s="108">
        <v>46100</v>
      </c>
      <c r="C14" s="89" t="s">
        <v>442</v>
      </c>
      <c r="D14" s="105" t="s">
        <v>295</v>
      </c>
      <c r="E14" s="88" t="s">
        <v>429</v>
      </c>
      <c r="F14" s="88" t="s">
        <v>441</v>
      </c>
    </row>
    <row r="15" spans="2:6" ht="30" x14ac:dyDescent="0.25">
      <c r="B15" s="108">
        <v>46100</v>
      </c>
      <c r="C15" s="89" t="s">
        <v>355</v>
      </c>
      <c r="D15" s="105" t="s">
        <v>295</v>
      </c>
      <c r="E15" s="88" t="s">
        <v>427</v>
      </c>
      <c r="F15" s="88" t="s">
        <v>443</v>
      </c>
    </row>
    <row r="16" spans="2:6" ht="45" x14ac:dyDescent="0.25">
      <c r="B16" s="108">
        <v>46100</v>
      </c>
      <c r="C16" s="90" t="s">
        <v>444</v>
      </c>
      <c r="D16" s="105" t="s">
        <v>295</v>
      </c>
      <c r="E16" s="88" t="s">
        <v>445</v>
      </c>
      <c r="F16" s="88" t="s">
        <v>446</v>
      </c>
    </row>
    <row r="17" spans="2:6" ht="30" x14ac:dyDescent="0.25">
      <c r="B17" s="108">
        <v>46100</v>
      </c>
      <c r="C17" s="89" t="s">
        <v>448</v>
      </c>
      <c r="D17" s="105" t="s">
        <v>295</v>
      </c>
      <c r="E17" s="88" t="s">
        <v>531</v>
      </c>
      <c r="F17" s="88" t="s">
        <v>449</v>
      </c>
    </row>
    <row r="18" spans="2:6" ht="45" x14ac:dyDescent="0.25">
      <c r="B18" s="108">
        <v>46100</v>
      </c>
      <c r="C18" s="89" t="s">
        <v>507</v>
      </c>
      <c r="D18" s="105" t="s">
        <v>295</v>
      </c>
      <c r="E18" s="88" t="s">
        <v>506</v>
      </c>
      <c r="F18" s="88" t="s">
        <v>508</v>
      </c>
    </row>
    <row r="19" spans="2:6" ht="45" x14ac:dyDescent="0.25">
      <c r="B19" s="108">
        <v>46100</v>
      </c>
      <c r="C19" s="89" t="s">
        <v>521</v>
      </c>
      <c r="D19" s="105" t="s">
        <v>295</v>
      </c>
      <c r="E19" s="88" t="s">
        <v>519</v>
      </c>
      <c r="F19" s="88" t="s">
        <v>520</v>
      </c>
    </row>
    <row r="20" spans="2:6" ht="30" x14ac:dyDescent="0.25">
      <c r="B20" s="108">
        <v>46101</v>
      </c>
      <c r="C20" s="89" t="s">
        <v>523</v>
      </c>
      <c r="D20" s="105" t="s">
        <v>295</v>
      </c>
      <c r="E20" s="88" t="s">
        <v>522</v>
      </c>
      <c r="F20" s="88" t="s">
        <v>524</v>
      </c>
    </row>
    <row r="21" spans="2:6" ht="60" x14ac:dyDescent="0.25">
      <c r="B21" s="108">
        <v>46101</v>
      </c>
      <c r="C21" s="89" t="s">
        <v>528</v>
      </c>
      <c r="D21" s="105" t="s">
        <v>295</v>
      </c>
      <c r="E21" s="88" t="s">
        <v>526</v>
      </c>
      <c r="F21" s="88" t="s">
        <v>527</v>
      </c>
    </row>
    <row r="22" spans="2:6" ht="60" x14ac:dyDescent="0.25">
      <c r="B22" s="108">
        <v>46101</v>
      </c>
      <c r="C22" s="89" t="s">
        <v>528</v>
      </c>
      <c r="D22" s="105" t="s">
        <v>295</v>
      </c>
      <c r="E22" s="88" t="s">
        <v>529</v>
      </c>
      <c r="F22" s="88" t="s">
        <v>530</v>
      </c>
    </row>
    <row r="23" spans="2:6" ht="30" x14ac:dyDescent="0.25">
      <c r="B23" s="108">
        <v>46101</v>
      </c>
      <c r="C23" s="89" t="s">
        <v>533</v>
      </c>
      <c r="D23" s="105" t="s">
        <v>295</v>
      </c>
      <c r="E23" s="88" t="s">
        <v>447</v>
      </c>
      <c r="F23" s="88" t="s">
        <v>532</v>
      </c>
    </row>
    <row r="24" spans="2:6" ht="45" x14ac:dyDescent="0.25">
      <c r="B24" s="108">
        <v>46102</v>
      </c>
      <c r="C24" s="89" t="s">
        <v>550</v>
      </c>
      <c r="D24" s="105" t="s">
        <v>295</v>
      </c>
      <c r="E24" s="88" t="s">
        <v>549</v>
      </c>
      <c r="F24" s="88" t="s">
        <v>551</v>
      </c>
    </row>
    <row r="25" spans="2:6" ht="30" x14ac:dyDescent="0.25">
      <c r="B25" s="108">
        <v>46102</v>
      </c>
      <c r="C25" s="89" t="s">
        <v>558</v>
      </c>
      <c r="D25" s="105" t="s">
        <v>295</v>
      </c>
      <c r="E25" s="88" t="s">
        <v>552</v>
      </c>
      <c r="F25" s="88" t="s">
        <v>553</v>
      </c>
    </row>
    <row r="26" spans="2:6" x14ac:dyDescent="0.25">
      <c r="B26" s="108">
        <v>46102</v>
      </c>
      <c r="C26" s="88" t="s">
        <v>555</v>
      </c>
      <c r="D26" s="105" t="s">
        <v>295</v>
      </c>
      <c r="E26" s="88" t="s">
        <v>554</v>
      </c>
      <c r="F26" s="88" t="s">
        <v>556</v>
      </c>
    </row>
    <row r="27" spans="2:6" x14ac:dyDescent="0.25">
      <c r="B27" s="108">
        <v>46102</v>
      </c>
      <c r="C27" s="88" t="s">
        <v>560</v>
      </c>
      <c r="D27" s="105" t="s">
        <v>295</v>
      </c>
      <c r="E27" s="88" t="s">
        <v>557</v>
      </c>
      <c r="F27" s="88" t="s">
        <v>562</v>
      </c>
    </row>
    <row r="28" spans="2:6" x14ac:dyDescent="0.25">
      <c r="B28" s="108">
        <v>46102</v>
      </c>
      <c r="C28" s="88" t="s">
        <v>561</v>
      </c>
      <c r="D28" s="105" t="s">
        <v>295</v>
      </c>
      <c r="E28" s="88" t="s">
        <v>559</v>
      </c>
      <c r="F28" s="88" t="s">
        <v>563</v>
      </c>
    </row>
    <row r="29" spans="2:6" x14ac:dyDescent="0.25">
      <c r="B29" s="108">
        <v>46102</v>
      </c>
      <c r="C29" s="88" t="s">
        <v>573</v>
      </c>
      <c r="D29" s="105" t="s">
        <v>295</v>
      </c>
      <c r="E29" s="88" t="s">
        <v>571</v>
      </c>
      <c r="F29" s="88" t="s">
        <v>572</v>
      </c>
    </row>
    <row r="30" spans="2:6" ht="45" x14ac:dyDescent="0.25">
      <c r="B30" s="108">
        <v>46104</v>
      </c>
      <c r="C30" s="89" t="s">
        <v>579</v>
      </c>
      <c r="D30" s="105" t="s">
        <v>295</v>
      </c>
      <c r="E30" s="88" t="s">
        <v>575</v>
      </c>
      <c r="F30" s="88" t="s">
        <v>576</v>
      </c>
    </row>
    <row r="31" spans="2:6" x14ac:dyDescent="0.25">
      <c r="B31" s="108">
        <v>46104</v>
      </c>
      <c r="C31" s="88" t="s">
        <v>580</v>
      </c>
      <c r="D31" s="105" t="s">
        <v>295</v>
      </c>
      <c r="E31" s="88" t="s">
        <v>578</v>
      </c>
      <c r="F31" s="88" t="s">
        <v>577</v>
      </c>
    </row>
    <row r="32" spans="2:6" ht="45" x14ac:dyDescent="0.25">
      <c r="B32" s="108">
        <v>46106</v>
      </c>
      <c r="C32" s="89" t="s">
        <v>615</v>
      </c>
      <c r="D32" s="105" t="s">
        <v>295</v>
      </c>
      <c r="E32" s="88" t="s">
        <v>614</v>
      </c>
      <c r="F32" s="88" t="s">
        <v>616</v>
      </c>
    </row>
    <row r="33" spans="2:6" ht="30" x14ac:dyDescent="0.25">
      <c r="B33" s="108">
        <v>46107</v>
      </c>
      <c r="C33" s="89" t="s">
        <v>618</v>
      </c>
      <c r="D33" s="105" t="s">
        <v>295</v>
      </c>
      <c r="E33" s="88" t="s">
        <v>619</v>
      </c>
      <c r="F33" s="88" t="s">
        <v>617</v>
      </c>
    </row>
    <row r="34" spans="2:6" ht="45" x14ac:dyDescent="0.25">
      <c r="B34" s="108">
        <v>46109</v>
      </c>
      <c r="C34" s="89" t="s">
        <v>655</v>
      </c>
      <c r="D34" s="105" t="s">
        <v>295</v>
      </c>
      <c r="E34" s="88" t="s">
        <v>654</v>
      </c>
      <c r="F34" s="88" t="s">
        <v>653</v>
      </c>
    </row>
    <row r="35" spans="2:6" ht="30" x14ac:dyDescent="0.25">
      <c r="B35" s="108">
        <v>46111</v>
      </c>
      <c r="C35" s="89" t="s">
        <v>676</v>
      </c>
      <c r="D35" s="105" t="s">
        <v>295</v>
      </c>
      <c r="E35" s="88" t="s">
        <v>677</v>
      </c>
      <c r="F35" s="88" t="s">
        <v>678</v>
      </c>
    </row>
    <row r="36" spans="2:6" ht="30" x14ac:dyDescent="0.25">
      <c r="B36" s="108">
        <v>46121</v>
      </c>
      <c r="C36" s="89" t="s">
        <v>720</v>
      </c>
      <c r="D36" s="105" t="s">
        <v>295</v>
      </c>
      <c r="E36" s="88" t="s">
        <v>719</v>
      </c>
      <c r="F36" s="88" t="s">
        <v>721</v>
      </c>
    </row>
    <row r="37" spans="2:6" ht="30" x14ac:dyDescent="0.25">
      <c r="B37" s="108">
        <v>46121</v>
      </c>
      <c r="C37" s="89" t="s">
        <v>722</v>
      </c>
      <c r="D37" s="105" t="s">
        <v>295</v>
      </c>
      <c r="E37" s="88" t="s">
        <v>723</v>
      </c>
      <c r="F37" s="88" t="s">
        <v>725</v>
      </c>
    </row>
    <row r="38" spans="2:6" ht="30" x14ac:dyDescent="0.25">
      <c r="B38" s="108"/>
      <c r="C38" s="90" t="s">
        <v>674</v>
      </c>
      <c r="D38" s="105"/>
      <c r="E38" s="88"/>
      <c r="F38" s="88" t="s">
        <v>724</v>
      </c>
    </row>
    <row r="39" spans="2:6" x14ac:dyDescent="0.25">
      <c r="B39" s="108"/>
      <c r="C39" s="90" t="s">
        <v>793</v>
      </c>
      <c r="D39" s="105"/>
      <c r="E39" s="88"/>
      <c r="F39" s="88"/>
    </row>
    <row r="40" spans="2:6" x14ac:dyDescent="0.25">
      <c r="B40" s="108"/>
      <c r="C40" s="90" t="s">
        <v>748</v>
      </c>
      <c r="D40" s="105"/>
      <c r="E40" s="88"/>
      <c r="F40" s="88"/>
    </row>
    <row r="41" spans="2:6" x14ac:dyDescent="0.25">
      <c r="B41" s="108"/>
      <c r="C41" s="90" t="s">
        <v>749</v>
      </c>
      <c r="D41" s="105"/>
      <c r="E41" s="88"/>
      <c r="F41" s="88"/>
    </row>
    <row r="42" spans="2:6" ht="30" x14ac:dyDescent="0.25">
      <c r="B42" s="108"/>
      <c r="C42" s="90" t="s">
        <v>747</v>
      </c>
      <c r="D42" s="105"/>
      <c r="E42" s="88"/>
      <c r="F42" s="88"/>
    </row>
    <row r="43" spans="2:6" x14ac:dyDescent="0.25">
      <c r="B43" s="108"/>
      <c r="C43" s="90" t="s">
        <v>620</v>
      </c>
      <c r="D43" s="106" t="s">
        <v>294</v>
      </c>
      <c r="E43" s="88"/>
      <c r="F43" s="90"/>
    </row>
    <row r="44" spans="2:6" x14ac:dyDescent="0.25">
      <c r="B44" s="108"/>
      <c r="C44" s="90"/>
      <c r="D44" s="106"/>
      <c r="E44" s="88"/>
      <c r="F44" s="90"/>
    </row>
    <row r="45" spans="2:6" x14ac:dyDescent="0.25">
      <c r="B45" s="108"/>
      <c r="C45" s="90" t="s">
        <v>541</v>
      </c>
      <c r="D45" s="106"/>
      <c r="E45" s="88"/>
      <c r="F45" s="90"/>
    </row>
    <row r="46" spans="2:6" x14ac:dyDescent="0.25">
      <c r="B46" s="109"/>
      <c r="C46" s="88" t="s">
        <v>239</v>
      </c>
      <c r="D46" s="106" t="s">
        <v>294</v>
      </c>
      <c r="E46" s="88"/>
      <c r="F46" s="88" t="s">
        <v>239</v>
      </c>
    </row>
    <row r="47" spans="2:6" x14ac:dyDescent="0.25">
      <c r="B47" s="109"/>
      <c r="C47" s="88" t="s">
        <v>238</v>
      </c>
      <c r="D47" s="106" t="s">
        <v>294</v>
      </c>
      <c r="E47" s="88"/>
      <c r="F47" s="88" t="s">
        <v>238</v>
      </c>
    </row>
    <row r="48" spans="2:6" x14ac:dyDescent="0.25">
      <c r="B48" s="109"/>
      <c r="C48" s="88"/>
      <c r="D48" s="106" t="s">
        <v>294</v>
      </c>
      <c r="E48" s="88"/>
      <c r="F48" s="88" t="s">
        <v>525</v>
      </c>
    </row>
    <row r="49" spans="2:6" x14ac:dyDescent="0.25">
      <c r="B49" s="109"/>
      <c r="C49" s="88" t="s">
        <v>240</v>
      </c>
      <c r="D49" s="106" t="s">
        <v>294</v>
      </c>
      <c r="E49" s="88"/>
      <c r="F49" s="88" t="s">
        <v>240</v>
      </c>
    </row>
    <row r="50" spans="2:6" x14ac:dyDescent="0.25">
      <c r="B50" s="109"/>
      <c r="C50" s="88" t="s">
        <v>241</v>
      </c>
      <c r="D50" s="106" t="s">
        <v>294</v>
      </c>
      <c r="E50" s="88"/>
      <c r="F50" s="88" t="s">
        <v>241</v>
      </c>
    </row>
    <row r="51" spans="2:6" x14ac:dyDescent="0.25">
      <c r="B51" s="109"/>
      <c r="C51" s="88" t="s">
        <v>246</v>
      </c>
      <c r="D51" s="106" t="s">
        <v>294</v>
      </c>
      <c r="E51" s="88"/>
      <c r="F51" s="88" t="s">
        <v>246</v>
      </c>
    </row>
    <row r="52" spans="2:6" x14ac:dyDescent="0.25">
      <c r="B52" s="109"/>
      <c r="C52" s="88" t="s">
        <v>247</v>
      </c>
      <c r="D52" s="106" t="s">
        <v>294</v>
      </c>
      <c r="E52" s="88"/>
      <c r="F52" s="88" t="s">
        <v>247</v>
      </c>
    </row>
  </sheetData>
  <autoFilter ref="B2:F52"/>
  <mergeCells count="1">
    <mergeCell ref="B1:F1"/>
  </mergeCells>
  <conditionalFormatting sqref="E3:E52">
    <cfRule type="containsText" dxfId="9" priority="1" operator="containsText" text="HU">
      <formula>NOT(ISERROR(SEARCH("HU",E3)))</formula>
    </cfRule>
    <cfRule type="containsText" dxfId="8" priority="2" operator="containsText" text="BU">
      <formula>NOT(ISERROR(SEARCH("BU",E3)))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B1:O66"/>
  <sheetViews>
    <sheetView showGridLines="0" topLeftCell="C3" zoomScale="85" zoomScaleNormal="85" workbookViewId="0">
      <pane ySplit="3" topLeftCell="A24" activePane="bottomLeft" state="frozen"/>
      <selection activeCell="A3" sqref="A3"/>
      <selection pane="bottomLeft" activeCell="E31" sqref="E31"/>
    </sheetView>
  </sheetViews>
  <sheetFormatPr baseColWidth="10" defaultRowHeight="15" outlineLevelCol="1" x14ac:dyDescent="0.25"/>
  <cols>
    <col min="1" max="1" width="1.5703125" customWidth="1"/>
    <col min="2" max="2" width="11.85546875" bestFit="1" customWidth="1"/>
    <col min="3" max="3" width="15.28515625" bestFit="1" customWidth="1"/>
    <col min="4" max="4" width="21.28515625" bestFit="1" customWidth="1"/>
    <col min="5" max="5" width="11.7109375" bestFit="1" customWidth="1"/>
    <col min="6" max="6" width="18.140625" style="33" customWidth="1" outlineLevel="1"/>
    <col min="7" max="7" width="19.85546875" style="34" bestFit="1" customWidth="1" outlineLevel="1"/>
    <col min="8" max="8" width="21.85546875" style="34" bestFit="1" customWidth="1" outlineLevel="1"/>
    <col min="9" max="9" width="12.140625" style="3" bestFit="1" customWidth="1" outlineLevel="1"/>
    <col min="10" max="10" width="12.28515625" style="33" bestFit="1" customWidth="1" outlineLevel="1"/>
    <col min="11" max="11" width="15.140625" style="3" bestFit="1" customWidth="1"/>
    <col min="12" max="12" width="14.140625" style="3" bestFit="1" customWidth="1" outlineLevel="1"/>
    <col min="13" max="13" width="15" style="3" customWidth="1"/>
    <col min="14" max="15" width="15.140625" style="3" customWidth="1"/>
  </cols>
  <sheetData>
    <row r="1" spans="2:12" x14ac:dyDescent="0.25">
      <c r="D1" t="s">
        <v>450</v>
      </c>
    </row>
    <row r="2" spans="2:12" x14ac:dyDescent="0.25">
      <c r="D2" t="s">
        <v>451</v>
      </c>
      <c r="J2" s="33">
        <v>3400</v>
      </c>
    </row>
    <row r="4" spans="2:12" x14ac:dyDescent="0.25">
      <c r="J4" s="91"/>
    </row>
    <row r="5" spans="2:12" x14ac:dyDescent="0.25">
      <c r="B5" s="269" t="s">
        <v>5</v>
      </c>
      <c r="C5" s="269" t="s">
        <v>542</v>
      </c>
      <c r="D5" s="269" t="s">
        <v>179</v>
      </c>
      <c r="E5" s="269" t="s">
        <v>450</v>
      </c>
      <c r="F5" s="92" t="s">
        <v>452</v>
      </c>
      <c r="G5" s="94" t="s">
        <v>453</v>
      </c>
      <c r="H5" s="94" t="s">
        <v>713</v>
      </c>
      <c r="I5" s="270" t="s">
        <v>454</v>
      </c>
      <c r="J5" s="93" t="s">
        <v>705</v>
      </c>
      <c r="K5" s="92" t="s">
        <v>455</v>
      </c>
      <c r="L5" s="270" t="s">
        <v>454</v>
      </c>
    </row>
    <row r="6" spans="2:12" x14ac:dyDescent="0.25">
      <c r="B6" s="231">
        <v>46076</v>
      </c>
      <c r="C6" s="231" t="s">
        <v>544</v>
      </c>
      <c r="D6" s="19" t="s">
        <v>185</v>
      </c>
      <c r="E6" s="19" t="s">
        <v>710</v>
      </c>
      <c r="F6" s="232"/>
      <c r="G6" s="233"/>
      <c r="H6" s="233"/>
      <c r="I6" s="113">
        <f>+F6*G6</f>
        <v>0</v>
      </c>
      <c r="J6" s="233">
        <v>365</v>
      </c>
      <c r="K6" s="113">
        <v>3500</v>
      </c>
      <c r="L6" s="113">
        <f>+J6*K6</f>
        <v>1277500</v>
      </c>
    </row>
    <row r="7" spans="2:12" x14ac:dyDescent="0.25">
      <c r="B7" s="231">
        <v>46089</v>
      </c>
      <c r="C7" s="231" t="s">
        <v>544</v>
      </c>
      <c r="D7" s="19" t="s">
        <v>185</v>
      </c>
      <c r="E7" s="19" t="s">
        <v>712</v>
      </c>
      <c r="F7" s="232">
        <f>3500*100</f>
        <v>350000</v>
      </c>
      <c r="G7" s="233">
        <v>5</v>
      </c>
      <c r="H7" s="233">
        <v>100</v>
      </c>
      <c r="I7" s="113">
        <f>+F7*G7</f>
        <v>1750000</v>
      </c>
      <c r="J7" s="234">
        <f>+G7*H7</f>
        <v>500</v>
      </c>
      <c r="K7" s="113">
        <v>3500</v>
      </c>
      <c r="L7" s="113">
        <f>+K7*J7</f>
        <v>1750000</v>
      </c>
    </row>
    <row r="8" spans="2:12" x14ac:dyDescent="0.25">
      <c r="B8" s="231">
        <v>46106</v>
      </c>
      <c r="C8" s="231" t="s">
        <v>544</v>
      </c>
      <c r="D8" s="19" t="s">
        <v>185</v>
      </c>
      <c r="E8" s="19" t="s">
        <v>710</v>
      </c>
      <c r="F8" s="232"/>
      <c r="G8" s="233"/>
      <c r="H8" s="233"/>
      <c r="I8" s="113">
        <f>+F8*G8</f>
        <v>0</v>
      </c>
      <c r="J8" s="234">
        <v>230</v>
      </c>
      <c r="K8" s="113">
        <v>3500</v>
      </c>
      <c r="L8" s="113">
        <f>+K8*J8</f>
        <v>805000</v>
      </c>
    </row>
    <row r="9" spans="2:12" x14ac:dyDescent="0.25">
      <c r="B9" s="47">
        <v>46072</v>
      </c>
      <c r="C9" s="47" t="s">
        <v>544</v>
      </c>
      <c r="D9" t="s">
        <v>547</v>
      </c>
      <c r="E9" t="s">
        <v>548</v>
      </c>
      <c r="F9" s="95">
        <v>70000</v>
      </c>
      <c r="G9" s="96">
        <v>2</v>
      </c>
      <c r="H9" s="256">
        <f>50000/(150*3)</f>
        <v>111.11111111111111</v>
      </c>
      <c r="I9" s="3">
        <f>+F9*G9</f>
        <v>140000</v>
      </c>
      <c r="J9" s="257">
        <f>+G9*H9</f>
        <v>222.22222222222223</v>
      </c>
      <c r="K9" s="112">
        <f>+I9/J9</f>
        <v>630</v>
      </c>
      <c r="L9" s="3">
        <f>+K9*J9</f>
        <v>140000</v>
      </c>
    </row>
    <row r="10" spans="2:12" x14ac:dyDescent="0.25">
      <c r="B10" s="47">
        <v>46112</v>
      </c>
      <c r="C10" s="47" t="s">
        <v>544</v>
      </c>
      <c r="D10" t="s">
        <v>547</v>
      </c>
      <c r="E10" t="s">
        <v>548</v>
      </c>
      <c r="F10" s="95">
        <v>70000</v>
      </c>
      <c r="G10" s="96">
        <v>2</v>
      </c>
      <c r="H10" s="256">
        <f>50000/(150*3)</f>
        <v>111.11111111111111</v>
      </c>
      <c r="I10" s="3">
        <f t="shared" ref="I10:I11" si="0">+F10*G10</f>
        <v>140000</v>
      </c>
      <c r="J10" s="257">
        <f t="shared" ref="J10:J11" si="1">+G10*H10</f>
        <v>222.22222222222223</v>
      </c>
      <c r="K10" s="112">
        <f>+I10/J10</f>
        <v>630</v>
      </c>
      <c r="L10" s="3">
        <f>+K10*J10</f>
        <v>140000</v>
      </c>
    </row>
    <row r="11" spans="2:12" x14ac:dyDescent="0.25">
      <c r="B11" s="47">
        <v>46109</v>
      </c>
      <c r="C11" s="47" t="s">
        <v>544</v>
      </c>
      <c r="D11" t="s">
        <v>547</v>
      </c>
      <c r="E11" t="s">
        <v>548</v>
      </c>
      <c r="F11" s="95">
        <v>80000</v>
      </c>
      <c r="G11" s="96">
        <v>1</v>
      </c>
      <c r="H11" s="256">
        <f>50000/(150*3)</f>
        <v>111.11111111111111</v>
      </c>
      <c r="I11" s="3">
        <f t="shared" si="0"/>
        <v>80000</v>
      </c>
      <c r="J11" s="257">
        <f t="shared" si="1"/>
        <v>111.11111111111111</v>
      </c>
      <c r="K11" s="112">
        <f>+I11/J11</f>
        <v>720</v>
      </c>
      <c r="L11" s="3">
        <f>+K11*J11</f>
        <v>80000</v>
      </c>
    </row>
    <row r="12" spans="2:12" x14ac:dyDescent="0.25">
      <c r="B12" s="259">
        <v>46089</v>
      </c>
      <c r="C12" s="259" t="s">
        <v>544</v>
      </c>
      <c r="D12" s="70" t="s">
        <v>546</v>
      </c>
      <c r="E12" s="70" t="s">
        <v>710</v>
      </c>
      <c r="F12" s="260">
        <v>3800</v>
      </c>
      <c r="G12" s="261">
        <v>10</v>
      </c>
      <c r="H12" s="261">
        <v>10</v>
      </c>
      <c r="I12" s="69">
        <f>+F12*G12</f>
        <v>38000</v>
      </c>
      <c r="J12" s="262">
        <v>100</v>
      </c>
      <c r="K12" s="69">
        <v>380</v>
      </c>
      <c r="L12" s="69">
        <f>+J12*K12</f>
        <v>38000</v>
      </c>
    </row>
    <row r="13" spans="2:12" x14ac:dyDescent="0.25">
      <c r="B13" s="235">
        <v>46077</v>
      </c>
      <c r="C13" s="235" t="s">
        <v>544</v>
      </c>
      <c r="D13" s="236" t="s">
        <v>545</v>
      </c>
      <c r="E13" s="236" t="s">
        <v>710</v>
      </c>
      <c r="F13" s="237"/>
      <c r="G13" s="238"/>
      <c r="H13" s="238"/>
      <c r="I13" s="80">
        <f>+F13*G13</f>
        <v>0</v>
      </c>
      <c r="J13" s="239">
        <v>50</v>
      </c>
      <c r="K13" s="80">
        <v>5000</v>
      </c>
      <c r="L13" s="80">
        <f>+J13*K13</f>
        <v>250000</v>
      </c>
    </row>
    <row r="14" spans="2:12" x14ac:dyDescent="0.25">
      <c r="B14" s="240">
        <v>46073</v>
      </c>
      <c r="C14" s="240" t="s">
        <v>543</v>
      </c>
      <c r="D14" s="241" t="s">
        <v>460</v>
      </c>
      <c r="E14" s="230" t="s">
        <v>707</v>
      </c>
      <c r="F14" s="226">
        <v>36000</v>
      </c>
      <c r="G14" s="227">
        <v>6</v>
      </c>
      <c r="H14" s="227">
        <v>30</v>
      </c>
      <c r="I14" s="20">
        <f t="shared" ref="I14:I21" si="2">+F14*G14</f>
        <v>216000</v>
      </c>
      <c r="J14" s="229">
        <f>+H14*G14</f>
        <v>180</v>
      </c>
      <c r="K14" s="228">
        <f>+I14/(G14*H14)</f>
        <v>1200</v>
      </c>
      <c r="L14" s="20">
        <f>+K14*J14</f>
        <v>216000</v>
      </c>
    </row>
    <row r="15" spans="2:12" x14ac:dyDescent="0.25">
      <c r="B15" s="240">
        <v>46073</v>
      </c>
      <c r="C15" s="240" t="s">
        <v>543</v>
      </c>
      <c r="D15" s="242" t="s">
        <v>456</v>
      </c>
      <c r="E15" s="230" t="s">
        <v>707</v>
      </c>
      <c r="F15" s="226">
        <v>35000</v>
      </c>
      <c r="G15" s="227">
        <v>3</v>
      </c>
      <c r="H15" s="227">
        <v>30</v>
      </c>
      <c r="I15" s="20">
        <f t="shared" si="2"/>
        <v>105000</v>
      </c>
      <c r="J15" s="229">
        <f>+H15*G15</f>
        <v>90</v>
      </c>
      <c r="K15" s="228">
        <f t="shared" ref="K15:K16" si="3">+I15/(G15*H15)</f>
        <v>1166.6666666666667</v>
      </c>
      <c r="L15" s="20">
        <f>+K15*J15</f>
        <v>105000</v>
      </c>
    </row>
    <row r="16" spans="2:12" x14ac:dyDescent="0.25">
      <c r="B16" s="240">
        <v>46073</v>
      </c>
      <c r="C16" s="240" t="s">
        <v>543</v>
      </c>
      <c r="D16" s="243" t="s">
        <v>458</v>
      </c>
      <c r="E16" s="230" t="s">
        <v>708</v>
      </c>
      <c r="F16" s="226">
        <v>29000</v>
      </c>
      <c r="G16" s="227">
        <v>2</v>
      </c>
      <c r="H16" s="227">
        <v>12</v>
      </c>
      <c r="I16" s="20">
        <f t="shared" si="2"/>
        <v>58000</v>
      </c>
      <c r="J16" s="229">
        <f>+H16*G16</f>
        <v>24</v>
      </c>
      <c r="K16" s="228">
        <f t="shared" si="3"/>
        <v>2416.6666666666665</v>
      </c>
      <c r="L16" s="20">
        <f>+K16*J16</f>
        <v>58000</v>
      </c>
    </row>
    <row r="17" spans="2:12" x14ac:dyDescent="0.25">
      <c r="B17" s="240">
        <v>46073</v>
      </c>
      <c r="C17" s="240" t="s">
        <v>543</v>
      </c>
      <c r="D17" s="244" t="s">
        <v>457</v>
      </c>
      <c r="E17" s="230" t="s">
        <v>711</v>
      </c>
      <c r="F17" s="226">
        <v>33000</v>
      </c>
      <c r="G17" s="227">
        <v>1</v>
      </c>
      <c r="H17" s="227">
        <v>24</v>
      </c>
      <c r="I17" s="20">
        <f t="shared" si="2"/>
        <v>33000</v>
      </c>
      <c r="J17" s="229">
        <f>+H17*G17</f>
        <v>24</v>
      </c>
      <c r="K17" s="228">
        <f>+I17/(G17*H17)</f>
        <v>1375</v>
      </c>
      <c r="L17" s="20">
        <f>+K17*J17</f>
        <v>33000</v>
      </c>
    </row>
    <row r="18" spans="2:12" x14ac:dyDescent="0.25">
      <c r="B18" s="245">
        <v>46100</v>
      </c>
      <c r="C18" s="245" t="s">
        <v>543</v>
      </c>
      <c r="D18" s="246" t="s">
        <v>460</v>
      </c>
      <c r="E18" s="247" t="s">
        <v>707</v>
      </c>
      <c r="F18" s="248">
        <v>36000</v>
      </c>
      <c r="G18" s="249">
        <v>5</v>
      </c>
      <c r="H18" s="249">
        <v>30</v>
      </c>
      <c r="I18" s="250">
        <f t="shared" si="2"/>
        <v>180000</v>
      </c>
      <c r="J18" s="252">
        <v>30</v>
      </c>
      <c r="K18" s="251">
        <f t="shared" ref="K18" si="4">+I18/(G18*H18)</f>
        <v>1200</v>
      </c>
      <c r="L18" s="250">
        <f>+F18*G18</f>
        <v>180000</v>
      </c>
    </row>
    <row r="19" spans="2:12" x14ac:dyDescent="0.25">
      <c r="B19" s="245">
        <v>46100</v>
      </c>
      <c r="C19" s="245" t="s">
        <v>543</v>
      </c>
      <c r="D19" s="253" t="s">
        <v>456</v>
      </c>
      <c r="E19" s="247" t="s">
        <v>707</v>
      </c>
      <c r="F19" s="248">
        <v>34000</v>
      </c>
      <c r="G19" s="249">
        <v>3</v>
      </c>
      <c r="H19" s="249">
        <v>30</v>
      </c>
      <c r="I19" s="250">
        <f t="shared" si="2"/>
        <v>102000</v>
      </c>
      <c r="J19" s="252">
        <v>30</v>
      </c>
      <c r="K19" s="251">
        <f t="shared" ref="K19:K26" si="5">+I19/(G19*H19)</f>
        <v>1133.3333333333333</v>
      </c>
      <c r="L19" s="250">
        <f>+F19*G19</f>
        <v>102000</v>
      </c>
    </row>
    <row r="20" spans="2:12" x14ac:dyDescent="0.25">
      <c r="B20" s="245">
        <v>46100</v>
      </c>
      <c r="C20" s="245" t="s">
        <v>543</v>
      </c>
      <c r="D20" s="247" t="s">
        <v>459</v>
      </c>
      <c r="E20" s="247" t="s">
        <v>706</v>
      </c>
      <c r="F20" s="248">
        <v>15000</v>
      </c>
      <c r="G20" s="249">
        <v>2</v>
      </c>
      <c r="H20" s="249">
        <v>12</v>
      </c>
      <c r="I20" s="250">
        <f t="shared" si="2"/>
        <v>30000</v>
      </c>
      <c r="J20" s="252">
        <v>12</v>
      </c>
      <c r="K20" s="251">
        <f t="shared" si="5"/>
        <v>1250</v>
      </c>
      <c r="L20" s="250">
        <f>+F20*G20</f>
        <v>30000</v>
      </c>
    </row>
    <row r="21" spans="2:12" x14ac:dyDescent="0.25">
      <c r="B21" s="245">
        <v>46100</v>
      </c>
      <c r="C21" s="245" t="s">
        <v>543</v>
      </c>
      <c r="D21" s="254" t="s">
        <v>458</v>
      </c>
      <c r="E21" s="247" t="s">
        <v>709</v>
      </c>
      <c r="F21" s="248">
        <v>29000</v>
      </c>
      <c r="G21" s="249">
        <v>2</v>
      </c>
      <c r="H21" s="249">
        <v>12</v>
      </c>
      <c r="I21" s="250">
        <f t="shared" si="2"/>
        <v>58000</v>
      </c>
      <c r="J21" s="252">
        <v>12</v>
      </c>
      <c r="K21" s="251">
        <f t="shared" si="5"/>
        <v>2416.6666666666665</v>
      </c>
      <c r="L21" s="250">
        <f>+F21*G21</f>
        <v>58000</v>
      </c>
    </row>
    <row r="22" spans="2:12" x14ac:dyDescent="0.25">
      <c r="B22" s="245">
        <v>46100</v>
      </c>
      <c r="C22" s="245" t="s">
        <v>543</v>
      </c>
      <c r="D22" s="255" t="s">
        <v>457</v>
      </c>
      <c r="E22" s="247" t="s">
        <v>711</v>
      </c>
      <c r="F22" s="248">
        <v>34000</v>
      </c>
      <c r="G22" s="249">
        <v>1</v>
      </c>
      <c r="H22" s="249">
        <v>24</v>
      </c>
      <c r="I22" s="250">
        <f>+F22*G22</f>
        <v>34000</v>
      </c>
      <c r="J22" s="252">
        <v>24</v>
      </c>
      <c r="K22" s="251">
        <f t="shared" si="5"/>
        <v>1416.6666666666667</v>
      </c>
      <c r="L22" s="250">
        <f>+F22*G22</f>
        <v>34000</v>
      </c>
    </row>
    <row r="23" spans="2:12" x14ac:dyDescent="0.25">
      <c r="B23" s="263">
        <v>46102</v>
      </c>
      <c r="C23" s="263" t="s">
        <v>543</v>
      </c>
      <c r="D23" s="264" t="s">
        <v>609</v>
      </c>
      <c r="E23" s="264" t="s">
        <v>608</v>
      </c>
      <c r="F23" s="265">
        <v>28500</v>
      </c>
      <c r="G23" s="266">
        <v>4</v>
      </c>
      <c r="H23" s="266">
        <f>6*4</f>
        <v>24</v>
      </c>
      <c r="I23" s="267">
        <f>+F23*G23</f>
        <v>114000</v>
      </c>
      <c r="J23" s="266">
        <f>+G23*H23</f>
        <v>96</v>
      </c>
      <c r="K23" s="268">
        <f t="shared" si="5"/>
        <v>1187.5</v>
      </c>
      <c r="L23" s="267">
        <f>+J23*K23</f>
        <v>114000</v>
      </c>
    </row>
    <row r="24" spans="2:12" x14ac:dyDescent="0.25">
      <c r="B24" s="263">
        <v>46091</v>
      </c>
      <c r="C24" s="263" t="s">
        <v>543</v>
      </c>
      <c r="D24" s="264" t="s">
        <v>701</v>
      </c>
      <c r="E24" s="264" t="s">
        <v>706</v>
      </c>
      <c r="F24" s="265">
        <v>19800</v>
      </c>
      <c r="G24" s="266">
        <v>1</v>
      </c>
      <c r="H24" s="266">
        <v>6</v>
      </c>
      <c r="I24" s="267">
        <f>+F24*G24</f>
        <v>19800</v>
      </c>
      <c r="J24" s="266">
        <f t="shared" ref="J24:J25" si="6">+G24*H24</f>
        <v>6</v>
      </c>
      <c r="K24" s="268">
        <f t="shared" si="5"/>
        <v>3300</v>
      </c>
      <c r="L24" s="267">
        <f>+F24*G24</f>
        <v>19800</v>
      </c>
    </row>
    <row r="25" spans="2:12" x14ac:dyDescent="0.25">
      <c r="B25" s="263">
        <v>46091</v>
      </c>
      <c r="C25" s="263" t="s">
        <v>543</v>
      </c>
      <c r="D25" s="264" t="s">
        <v>702</v>
      </c>
      <c r="E25" s="264" t="s">
        <v>706</v>
      </c>
      <c r="F25" s="265">
        <v>18000</v>
      </c>
      <c r="G25" s="266">
        <v>2</v>
      </c>
      <c r="H25" s="266">
        <v>6</v>
      </c>
      <c r="I25" s="267">
        <f>+F25*G25</f>
        <v>36000</v>
      </c>
      <c r="J25" s="266">
        <f t="shared" si="6"/>
        <v>12</v>
      </c>
      <c r="K25" s="268">
        <f t="shared" si="5"/>
        <v>3000</v>
      </c>
      <c r="L25" s="267">
        <f>+F25*G25</f>
        <v>36000</v>
      </c>
    </row>
    <row r="26" spans="2:12" x14ac:dyDescent="0.25">
      <c r="B26" s="240">
        <v>46085</v>
      </c>
      <c r="C26" s="240" t="s">
        <v>544</v>
      </c>
      <c r="D26" s="230" t="s">
        <v>703</v>
      </c>
      <c r="E26" s="230" t="s">
        <v>704</v>
      </c>
      <c r="F26" s="226">
        <v>11700</v>
      </c>
      <c r="G26" s="229">
        <v>2.56</v>
      </c>
      <c r="H26" s="229">
        <v>2</v>
      </c>
      <c r="I26" s="20">
        <f>+F26*G26</f>
        <v>29952</v>
      </c>
      <c r="J26" s="227">
        <f>+G26*H26</f>
        <v>5.12</v>
      </c>
      <c r="K26" s="20">
        <f t="shared" si="5"/>
        <v>5850</v>
      </c>
      <c r="L26" s="20">
        <f>+F26*G26</f>
        <v>29952</v>
      </c>
    </row>
    <row r="27" spans="2:12" x14ac:dyDescent="0.25">
      <c r="J27" s="91"/>
    </row>
    <row r="28" spans="2:12" x14ac:dyDescent="0.25">
      <c r="J28" s="91"/>
    </row>
    <row r="29" spans="2:12" x14ac:dyDescent="0.25">
      <c r="B29" s="240">
        <v>46073</v>
      </c>
      <c r="C29" s="240" t="s">
        <v>543</v>
      </c>
      <c r="D29" s="241" t="s">
        <v>460</v>
      </c>
      <c r="E29" s="230" t="s">
        <v>707</v>
      </c>
      <c r="F29" s="226">
        <v>36000</v>
      </c>
      <c r="G29" s="227">
        <v>4</v>
      </c>
      <c r="H29" s="227">
        <v>30</v>
      </c>
      <c r="I29" s="20">
        <f t="shared" ref="I29:I32" si="7">+F29*G29</f>
        <v>144000</v>
      </c>
      <c r="J29" s="229">
        <f>+H29*G29</f>
        <v>120</v>
      </c>
      <c r="K29" s="228">
        <f>+I29/(G29*H29)</f>
        <v>1200</v>
      </c>
      <c r="L29" s="20">
        <f>+K29*J29</f>
        <v>144000</v>
      </c>
    </row>
    <row r="30" spans="2:12" x14ac:dyDescent="0.25">
      <c r="B30" s="240">
        <v>46073</v>
      </c>
      <c r="C30" s="240" t="s">
        <v>543</v>
      </c>
      <c r="D30" s="244" t="s">
        <v>457</v>
      </c>
      <c r="E30" s="230" t="s">
        <v>711</v>
      </c>
      <c r="F30" s="226">
        <v>33000</v>
      </c>
      <c r="G30" s="227">
        <v>1</v>
      </c>
      <c r="H30" s="227">
        <v>24</v>
      </c>
      <c r="I30" s="20">
        <f t="shared" si="7"/>
        <v>33000</v>
      </c>
      <c r="J30" s="229">
        <f>+H30*G30</f>
        <v>24</v>
      </c>
      <c r="K30" s="228">
        <f>+I30/(G30*H30)</f>
        <v>1375</v>
      </c>
      <c r="L30" s="20">
        <f>+K30*J30</f>
        <v>33000</v>
      </c>
    </row>
    <row r="31" spans="2:12" x14ac:dyDescent="0.25">
      <c r="B31" s="240">
        <v>46073</v>
      </c>
      <c r="C31" s="240" t="s">
        <v>543</v>
      </c>
      <c r="D31" s="244" t="s">
        <v>457</v>
      </c>
      <c r="E31" s="230" t="s">
        <v>711</v>
      </c>
      <c r="F31" s="226">
        <v>33000</v>
      </c>
      <c r="G31" s="227">
        <v>1</v>
      </c>
      <c r="H31" s="227">
        <v>24</v>
      </c>
      <c r="I31" s="20">
        <f t="shared" ref="I31" si="8">+F31*G31</f>
        <v>33000</v>
      </c>
      <c r="J31" s="229">
        <f>+H31*G31</f>
        <v>24</v>
      </c>
      <c r="K31" s="228">
        <f>+I31/(G31*H31)</f>
        <v>1375</v>
      </c>
      <c r="L31" s="20">
        <f>+K31*J31</f>
        <v>33000</v>
      </c>
    </row>
    <row r="32" spans="2:12" x14ac:dyDescent="0.25">
      <c r="B32" s="245">
        <v>46100</v>
      </c>
      <c r="C32" s="245" t="s">
        <v>543</v>
      </c>
      <c r="D32" s="247" t="s">
        <v>459</v>
      </c>
      <c r="E32" s="247" t="s">
        <v>706</v>
      </c>
      <c r="F32" s="248">
        <v>15000</v>
      </c>
      <c r="G32" s="249">
        <v>3</v>
      </c>
      <c r="H32" s="249">
        <v>12</v>
      </c>
      <c r="I32" s="250">
        <f t="shared" si="7"/>
        <v>45000</v>
      </c>
      <c r="J32" s="252">
        <v>12</v>
      </c>
      <c r="K32" s="251">
        <f t="shared" ref="K32" si="9">+I32/(G32*H32)</f>
        <v>1250</v>
      </c>
      <c r="L32" s="250">
        <f>+F32*G32</f>
        <v>45000</v>
      </c>
    </row>
    <row r="33" spans="10:10" x14ac:dyDescent="0.25">
      <c r="J33" s="91"/>
    </row>
    <row r="34" spans="10:10" x14ac:dyDescent="0.25">
      <c r="J34" s="91"/>
    </row>
    <row r="35" spans="10:10" x14ac:dyDescent="0.25">
      <c r="J35" s="91"/>
    </row>
    <row r="36" spans="10:10" x14ac:dyDescent="0.25">
      <c r="J36" s="91"/>
    </row>
    <row r="37" spans="10:10" x14ac:dyDescent="0.25">
      <c r="J37" s="91"/>
    </row>
    <row r="38" spans="10:10" x14ac:dyDescent="0.25">
      <c r="J38" s="91"/>
    </row>
    <row r="39" spans="10:10" x14ac:dyDescent="0.25">
      <c r="J39" s="91"/>
    </row>
    <row r="40" spans="10:10" x14ac:dyDescent="0.25">
      <c r="J40" s="91"/>
    </row>
    <row r="41" spans="10:10" x14ac:dyDescent="0.25">
      <c r="J41" s="91"/>
    </row>
    <row r="42" spans="10:10" x14ac:dyDescent="0.25">
      <c r="J42" s="91"/>
    </row>
    <row r="43" spans="10:10" x14ac:dyDescent="0.25">
      <c r="J43" s="91"/>
    </row>
    <row r="44" spans="10:10" x14ac:dyDescent="0.25">
      <c r="J44" s="91"/>
    </row>
    <row r="45" spans="10:10" x14ac:dyDescent="0.25">
      <c r="J45" s="91"/>
    </row>
    <row r="46" spans="10:10" x14ac:dyDescent="0.25">
      <c r="J46" s="91"/>
    </row>
    <row r="47" spans="10:10" x14ac:dyDescent="0.25">
      <c r="J47" s="91"/>
    </row>
    <row r="48" spans="10:10" x14ac:dyDescent="0.25">
      <c r="J48" s="91"/>
    </row>
    <row r="49" spans="10:10" x14ac:dyDescent="0.25">
      <c r="J49" s="91"/>
    </row>
    <row r="50" spans="10:10" x14ac:dyDescent="0.25">
      <c r="J50" s="91"/>
    </row>
    <row r="51" spans="10:10" x14ac:dyDescent="0.25">
      <c r="J51" s="91"/>
    </row>
    <row r="52" spans="10:10" x14ac:dyDescent="0.25">
      <c r="J52" s="91"/>
    </row>
    <row r="53" spans="10:10" x14ac:dyDescent="0.25">
      <c r="J53" s="91"/>
    </row>
    <row r="54" spans="10:10" x14ac:dyDescent="0.25">
      <c r="J54" s="91"/>
    </row>
    <row r="55" spans="10:10" x14ac:dyDescent="0.25">
      <c r="J55" s="91"/>
    </row>
    <row r="56" spans="10:10" x14ac:dyDescent="0.25">
      <c r="J56" s="91"/>
    </row>
    <row r="57" spans="10:10" x14ac:dyDescent="0.25">
      <c r="J57" s="91"/>
    </row>
    <row r="58" spans="10:10" x14ac:dyDescent="0.25">
      <c r="J58" s="91"/>
    </row>
    <row r="59" spans="10:10" x14ac:dyDescent="0.25">
      <c r="J59" s="91"/>
    </row>
    <row r="60" spans="10:10" x14ac:dyDescent="0.25">
      <c r="J60" s="91"/>
    </row>
    <row r="61" spans="10:10" x14ac:dyDescent="0.25">
      <c r="J61" s="91"/>
    </row>
    <row r="62" spans="10:10" x14ac:dyDescent="0.25">
      <c r="J62" s="91"/>
    </row>
    <row r="63" spans="10:10" x14ac:dyDescent="0.25">
      <c r="J63" s="91"/>
    </row>
    <row r="64" spans="10:10" x14ac:dyDescent="0.25">
      <c r="J64" s="91"/>
    </row>
    <row r="65" spans="10:10" x14ac:dyDescent="0.25">
      <c r="J65" s="91"/>
    </row>
    <row r="66" spans="10:10" x14ac:dyDescent="0.25">
      <c r="J66" s="91"/>
    </row>
  </sheetData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" filterMode="1"/>
  <dimension ref="A1:AK52"/>
  <sheetViews>
    <sheetView showGridLines="0" zoomScale="85" zoomScaleNormal="85" workbookViewId="0">
      <pane ySplit="3" topLeftCell="A9" activePane="bottomLeft" state="frozen"/>
      <selection activeCell="D15" sqref="D15"/>
      <selection pane="bottomLeft" activeCell="D15" sqref="D15"/>
    </sheetView>
  </sheetViews>
  <sheetFormatPr baseColWidth="10" defaultRowHeight="15" x14ac:dyDescent="0.25"/>
  <cols>
    <col min="1" max="1" width="11.7109375" bestFit="1" customWidth="1"/>
    <col min="2" max="2" width="19.28515625" customWidth="1"/>
    <col min="3" max="3" width="12" style="3" bestFit="1" customWidth="1"/>
    <col min="4" max="4" width="9.42578125" style="3" bestFit="1" customWidth="1"/>
    <col min="5" max="5" width="10.5703125" style="3" customWidth="1"/>
    <col min="6" max="6" width="9.28515625" style="33" bestFit="1" customWidth="1"/>
    <col min="7" max="7" width="13.140625" style="34" bestFit="1" customWidth="1"/>
    <col min="8" max="19" width="11.140625" style="34" customWidth="1"/>
    <col min="20" max="23" width="18" style="34" customWidth="1"/>
    <col min="24" max="24" width="13.85546875" style="34" bestFit="1" customWidth="1"/>
    <col min="25" max="25" width="11.5703125" style="34" bestFit="1" customWidth="1"/>
    <col min="26" max="26" width="11" style="34" bestFit="1" customWidth="1"/>
    <col min="27" max="27" width="14.5703125" bestFit="1" customWidth="1"/>
    <col min="28" max="28" width="13" bestFit="1" customWidth="1"/>
    <col min="29" max="29" width="15.140625" customWidth="1"/>
  </cols>
  <sheetData>
    <row r="1" spans="1:37" x14ac:dyDescent="0.25"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37" s="3" customFormat="1" x14ac:dyDescent="0.25">
      <c r="F2" s="33"/>
      <c r="G2" s="3">
        <v>3500</v>
      </c>
      <c r="H2" s="3">
        <v>11000</v>
      </c>
      <c r="I2" s="3">
        <v>13000</v>
      </c>
      <c r="J2" s="3">
        <v>19000</v>
      </c>
      <c r="K2" s="3">
        <v>13000</v>
      </c>
      <c r="L2" s="3">
        <v>17000</v>
      </c>
      <c r="M2" s="3">
        <v>20000</v>
      </c>
      <c r="N2" s="3">
        <v>12000</v>
      </c>
      <c r="O2" s="3">
        <v>20000</v>
      </c>
      <c r="P2" s="3">
        <v>26000</v>
      </c>
      <c r="Q2" s="3">
        <v>10000</v>
      </c>
      <c r="R2" s="3">
        <v>14000</v>
      </c>
      <c r="S2" s="3">
        <v>1950</v>
      </c>
      <c r="T2" s="3">
        <v>5000</v>
      </c>
      <c r="U2" s="3">
        <v>800</v>
      </c>
      <c r="V2" s="3">
        <v>2000</v>
      </c>
      <c r="W2" s="3">
        <v>400</v>
      </c>
      <c r="X2" s="3">
        <v>840</v>
      </c>
      <c r="Y2" s="3">
        <v>600</v>
      </c>
      <c r="Z2" s="3">
        <v>2500</v>
      </c>
      <c r="AA2" s="3">
        <v>2800</v>
      </c>
      <c r="AB2" s="3">
        <v>3200</v>
      </c>
      <c r="AC2" s="121">
        <v>1416.67</v>
      </c>
      <c r="AD2" s="3">
        <v>1200</v>
      </c>
      <c r="AE2" s="3">
        <v>1200</v>
      </c>
      <c r="AF2" s="3">
        <v>1250</v>
      </c>
      <c r="AG2" s="121">
        <v>2416.67</v>
      </c>
      <c r="AH2" s="121">
        <v>1133.33</v>
      </c>
      <c r="AI2" s="121">
        <v>1133.33</v>
      </c>
    </row>
    <row r="3" spans="1:37" s="85" customFormat="1" ht="45" x14ac:dyDescent="0.25">
      <c r="A3" s="120" t="s">
        <v>581</v>
      </c>
      <c r="B3" s="114" t="s">
        <v>179</v>
      </c>
      <c r="C3" s="115" t="s">
        <v>582</v>
      </c>
      <c r="D3" s="116" t="s">
        <v>594</v>
      </c>
      <c r="E3" s="117" t="s">
        <v>587</v>
      </c>
      <c r="F3" s="122" t="s">
        <v>588</v>
      </c>
      <c r="G3" s="118" t="s">
        <v>289</v>
      </c>
      <c r="H3" s="119" t="s">
        <v>592</v>
      </c>
      <c r="I3" s="119" t="s">
        <v>603</v>
      </c>
      <c r="J3" s="119" t="s">
        <v>604</v>
      </c>
      <c r="K3" s="119" t="s">
        <v>597</v>
      </c>
      <c r="L3" s="119" t="s">
        <v>602</v>
      </c>
      <c r="M3" s="119" t="s">
        <v>601</v>
      </c>
      <c r="N3" s="119" t="s">
        <v>600</v>
      </c>
      <c r="O3" s="119" t="s">
        <v>599</v>
      </c>
      <c r="P3" s="119" t="s">
        <v>598</v>
      </c>
      <c r="Q3" s="119" t="s">
        <v>596</v>
      </c>
      <c r="R3" s="119" t="s">
        <v>593</v>
      </c>
      <c r="S3" s="119" t="s">
        <v>595</v>
      </c>
      <c r="T3" s="119" t="s">
        <v>545</v>
      </c>
      <c r="U3" s="119" t="s">
        <v>479</v>
      </c>
      <c r="V3" s="119" t="s">
        <v>300</v>
      </c>
      <c r="W3" s="119" t="s">
        <v>591</v>
      </c>
      <c r="X3" s="118" t="s">
        <v>586</v>
      </c>
      <c r="Y3" s="119" t="s">
        <v>589</v>
      </c>
      <c r="Z3" s="119" t="s">
        <v>590</v>
      </c>
      <c r="AA3" s="124" t="s">
        <v>502</v>
      </c>
      <c r="AB3" s="124" t="s">
        <v>503</v>
      </c>
      <c r="AC3" s="85" t="s">
        <v>464</v>
      </c>
      <c r="AD3" s="85" t="s">
        <v>462</v>
      </c>
      <c r="AE3" s="85" t="s">
        <v>583</v>
      </c>
      <c r="AF3" s="85" t="s">
        <v>505</v>
      </c>
      <c r="AG3" s="85" t="s">
        <v>467</v>
      </c>
      <c r="AH3" s="85" t="s">
        <v>584</v>
      </c>
      <c r="AI3" s="85" t="s">
        <v>463</v>
      </c>
    </row>
    <row r="4" spans="1:37" hidden="1" x14ac:dyDescent="0.25">
      <c r="A4" s="34">
        <v>1</v>
      </c>
      <c r="B4" t="s">
        <v>461</v>
      </c>
      <c r="C4" s="20">
        <v>8000</v>
      </c>
      <c r="D4" s="113">
        <f t="shared" ref="D4:D51" si="0">+SUMPRODUCT(G4:AI4,G$2:AI$2)</f>
        <v>4340</v>
      </c>
      <c r="E4" s="3">
        <f>+C4-D4</f>
        <v>3660</v>
      </c>
      <c r="F4" s="123">
        <f>1-D4/C4</f>
        <v>0.45750000000000002</v>
      </c>
      <c r="G4" s="34">
        <v>1</v>
      </c>
      <c r="H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1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/>
      <c r="AK4" s="34"/>
    </row>
    <row r="5" spans="1:37" hidden="1" x14ac:dyDescent="0.25">
      <c r="A5" s="34">
        <v>39</v>
      </c>
      <c r="B5" t="s">
        <v>497</v>
      </c>
      <c r="C5" s="20">
        <v>7000</v>
      </c>
      <c r="D5" s="113">
        <f t="shared" si="0"/>
        <v>3500</v>
      </c>
      <c r="E5" s="3">
        <f t="shared" ref="E5:E7" si="1">+C5-D5</f>
        <v>3500</v>
      </c>
      <c r="F5" s="123">
        <f t="shared" ref="F5:F7" si="2">1-D5/C5</f>
        <v>0.5</v>
      </c>
      <c r="G5" s="34">
        <v>1</v>
      </c>
      <c r="H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/>
      <c r="AK5" s="34"/>
    </row>
    <row r="6" spans="1:37" hidden="1" x14ac:dyDescent="0.25">
      <c r="A6" s="34">
        <v>19</v>
      </c>
      <c r="B6" t="s">
        <v>478</v>
      </c>
      <c r="C6" s="20">
        <v>25000</v>
      </c>
      <c r="D6" s="113">
        <f t="shared" si="0"/>
        <v>7440</v>
      </c>
      <c r="E6" s="3">
        <f t="shared" si="1"/>
        <v>17560</v>
      </c>
      <c r="F6" s="123">
        <f t="shared" si="2"/>
        <v>0.70240000000000002</v>
      </c>
      <c r="G6" s="34">
        <v>1</v>
      </c>
      <c r="H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1</v>
      </c>
      <c r="Y6" s="34">
        <v>1</v>
      </c>
      <c r="Z6" s="34">
        <v>1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/>
      <c r="AK6" s="34"/>
    </row>
    <row r="7" spans="1:37" hidden="1" x14ac:dyDescent="0.25">
      <c r="A7" s="34">
        <v>24</v>
      </c>
      <c r="B7" t="s">
        <v>483</v>
      </c>
      <c r="C7" s="20">
        <v>30000</v>
      </c>
      <c r="D7" s="113">
        <f t="shared" si="0"/>
        <v>7440</v>
      </c>
      <c r="E7" s="3">
        <f t="shared" si="1"/>
        <v>22560</v>
      </c>
      <c r="F7" s="123">
        <f t="shared" si="2"/>
        <v>0.752</v>
      </c>
      <c r="G7" s="34">
        <v>1</v>
      </c>
      <c r="H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1</v>
      </c>
      <c r="Y7" s="34">
        <v>1</v>
      </c>
      <c r="Z7" s="34">
        <v>1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/>
      <c r="AK7" s="34"/>
    </row>
    <row r="8" spans="1:37" hidden="1" x14ac:dyDescent="0.25">
      <c r="A8" s="34">
        <v>29</v>
      </c>
      <c r="B8" t="s">
        <v>488</v>
      </c>
      <c r="C8" s="20">
        <v>35000</v>
      </c>
      <c r="D8" s="113">
        <f t="shared" si="0"/>
        <v>7440</v>
      </c>
      <c r="E8" s="3">
        <f>+C8-D8</f>
        <v>27560</v>
      </c>
      <c r="F8" s="123">
        <f>1-D8/C8</f>
        <v>0.78742857142857137</v>
      </c>
      <c r="G8" s="34">
        <v>1</v>
      </c>
      <c r="H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1</v>
      </c>
      <c r="Y8" s="34">
        <v>1</v>
      </c>
      <c r="Z8" s="34">
        <v>1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/>
      <c r="AK8" s="34"/>
    </row>
    <row r="9" spans="1:37" x14ac:dyDescent="0.25">
      <c r="A9" s="34">
        <v>44</v>
      </c>
      <c r="B9" t="s">
        <v>502</v>
      </c>
      <c r="C9" s="20">
        <v>4500</v>
      </c>
      <c r="D9" s="113">
        <f>+SUMPRODUCT(G9:AI9,G$2:AI$2)</f>
        <v>2800</v>
      </c>
      <c r="E9" s="3">
        <f>+C9-D9</f>
        <v>1700</v>
      </c>
      <c r="F9" s="123">
        <f t="shared" ref="F9:F50" si="3">1-D9/C9</f>
        <v>0.37777777777777777</v>
      </c>
      <c r="G9" s="34">
        <v>0</v>
      </c>
      <c r="H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1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/>
      <c r="AK9" s="34"/>
    </row>
    <row r="10" spans="1:37" hidden="1" x14ac:dyDescent="0.25">
      <c r="A10" s="34">
        <v>45</v>
      </c>
      <c r="B10" t="s">
        <v>503</v>
      </c>
      <c r="C10" s="20">
        <v>6000</v>
      </c>
      <c r="D10" s="113">
        <f t="shared" si="0"/>
        <v>3200</v>
      </c>
      <c r="E10" s="3">
        <f>+C10-D10</f>
        <v>2800</v>
      </c>
      <c r="F10" s="123">
        <f>1-D10/C10</f>
        <v>0.46666666666666667</v>
      </c>
      <c r="G10" s="34">
        <v>0</v>
      </c>
      <c r="H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1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/>
      <c r="AK10" s="34"/>
    </row>
    <row r="11" spans="1:37" x14ac:dyDescent="0.25">
      <c r="A11" s="34">
        <v>4</v>
      </c>
      <c r="B11" t="s">
        <v>464</v>
      </c>
      <c r="C11" s="20">
        <v>3500</v>
      </c>
      <c r="D11" s="113">
        <f t="shared" si="0"/>
        <v>1416.67</v>
      </c>
      <c r="E11" s="3">
        <f t="shared" ref="E11:E50" si="4">+C11-D11</f>
        <v>2083.33</v>
      </c>
      <c r="F11" s="123">
        <f t="shared" si="3"/>
        <v>0.5952371428571428</v>
      </c>
      <c r="G11" s="34">
        <v>0</v>
      </c>
      <c r="H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1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/>
      <c r="AK11" s="34"/>
    </row>
    <row r="12" spans="1:37" hidden="1" x14ac:dyDescent="0.25">
      <c r="A12" s="34">
        <v>2</v>
      </c>
      <c r="B12" t="s">
        <v>462</v>
      </c>
      <c r="C12" s="20">
        <v>3000</v>
      </c>
      <c r="D12" s="113">
        <f t="shared" si="0"/>
        <v>1200</v>
      </c>
      <c r="E12" s="3">
        <f t="shared" si="4"/>
        <v>1800</v>
      </c>
      <c r="F12" s="123">
        <f t="shared" si="3"/>
        <v>0.6</v>
      </c>
      <c r="G12" s="34">
        <v>0</v>
      </c>
      <c r="H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1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/>
      <c r="AK12" s="34"/>
    </row>
    <row r="13" spans="1:37" hidden="1" x14ac:dyDescent="0.25">
      <c r="A13" s="34">
        <v>49</v>
      </c>
      <c r="B13" t="s">
        <v>583</v>
      </c>
      <c r="C13" s="23">
        <v>1200</v>
      </c>
      <c r="D13" s="113">
        <f t="shared" si="0"/>
        <v>1200</v>
      </c>
      <c r="E13" s="3">
        <f>+C13-D13</f>
        <v>0</v>
      </c>
      <c r="F13" s="123">
        <f t="shared" si="3"/>
        <v>0</v>
      </c>
      <c r="G13" s="34">
        <v>0</v>
      </c>
      <c r="H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1</v>
      </c>
      <c r="AF13" s="34">
        <v>0</v>
      </c>
      <c r="AG13" s="34">
        <v>0</v>
      </c>
      <c r="AH13" s="34">
        <v>0</v>
      </c>
      <c r="AI13" s="34">
        <v>0</v>
      </c>
      <c r="AJ13" s="34"/>
      <c r="AK13" s="34"/>
    </row>
    <row r="14" spans="1:37" hidden="1" x14ac:dyDescent="0.25">
      <c r="A14" s="34">
        <v>48</v>
      </c>
      <c r="B14" t="s">
        <v>505</v>
      </c>
      <c r="C14" s="20">
        <v>3200</v>
      </c>
      <c r="D14" s="113">
        <f t="shared" si="0"/>
        <v>1250</v>
      </c>
      <c r="E14" s="3">
        <f t="shared" si="4"/>
        <v>1950</v>
      </c>
      <c r="F14" s="123">
        <f t="shared" si="3"/>
        <v>0.609375</v>
      </c>
      <c r="G14" s="34">
        <v>0</v>
      </c>
      <c r="H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1</v>
      </c>
      <c r="AG14" s="34">
        <v>0</v>
      </c>
      <c r="AH14" s="34">
        <v>0</v>
      </c>
      <c r="AI14" s="34">
        <v>0</v>
      </c>
      <c r="AJ14" s="34"/>
      <c r="AK14" s="34"/>
    </row>
    <row r="15" spans="1:37" hidden="1" x14ac:dyDescent="0.25">
      <c r="A15" s="34">
        <v>7</v>
      </c>
      <c r="B15" t="s">
        <v>467</v>
      </c>
      <c r="C15" s="20">
        <v>4500</v>
      </c>
      <c r="D15" s="113">
        <f t="shared" si="0"/>
        <v>2416.67</v>
      </c>
      <c r="E15" s="3">
        <f t="shared" si="4"/>
        <v>2083.33</v>
      </c>
      <c r="F15" s="123">
        <f t="shared" si="3"/>
        <v>0.46296222222222216</v>
      </c>
      <c r="G15" s="34">
        <v>0</v>
      </c>
      <c r="H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1</v>
      </c>
      <c r="AH15" s="34">
        <v>0</v>
      </c>
      <c r="AI15" s="34">
        <v>0</v>
      </c>
      <c r="AJ15" s="34"/>
      <c r="AK15" s="34"/>
    </row>
    <row r="16" spans="1:37" hidden="1" x14ac:dyDescent="0.25">
      <c r="A16" s="34">
        <v>50</v>
      </c>
      <c r="B16" t="s">
        <v>584</v>
      </c>
      <c r="C16" s="23">
        <v>3000</v>
      </c>
      <c r="D16" s="113">
        <f t="shared" si="0"/>
        <v>1133.33</v>
      </c>
      <c r="E16" s="3">
        <f t="shared" si="4"/>
        <v>1866.67</v>
      </c>
      <c r="F16" s="123">
        <f t="shared" si="3"/>
        <v>0.62222333333333335</v>
      </c>
      <c r="G16" s="34">
        <v>0</v>
      </c>
      <c r="H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1</v>
      </c>
      <c r="AI16" s="34">
        <v>0</v>
      </c>
      <c r="AJ16" s="34"/>
      <c r="AK16" s="34"/>
    </row>
    <row r="17" spans="1:37" hidden="1" x14ac:dyDescent="0.25">
      <c r="A17" s="34">
        <v>3</v>
      </c>
      <c r="B17" t="s">
        <v>463</v>
      </c>
      <c r="C17" s="20">
        <v>3000</v>
      </c>
      <c r="D17" s="113">
        <f t="shared" si="0"/>
        <v>1133.33</v>
      </c>
      <c r="E17" s="3">
        <f t="shared" si="4"/>
        <v>1866.67</v>
      </c>
      <c r="F17" s="123">
        <f t="shared" si="3"/>
        <v>0.62222333333333335</v>
      </c>
      <c r="G17" s="34">
        <v>0</v>
      </c>
      <c r="H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1</v>
      </c>
      <c r="AJ17" s="34"/>
      <c r="AK17" s="34"/>
    </row>
    <row r="18" spans="1:37" hidden="1" x14ac:dyDescent="0.25">
      <c r="A18" s="34">
        <v>42</v>
      </c>
      <c r="B18" t="s">
        <v>500</v>
      </c>
      <c r="C18" s="20">
        <v>20000</v>
      </c>
      <c r="D18" s="113">
        <f t="shared" si="0"/>
        <v>15600</v>
      </c>
      <c r="E18" s="3">
        <f t="shared" si="4"/>
        <v>4400</v>
      </c>
      <c r="F18" s="123">
        <f t="shared" si="3"/>
        <v>0.21999999999999997</v>
      </c>
      <c r="G18" s="34">
        <v>0</v>
      </c>
      <c r="H18" s="34">
        <v>0</v>
      </c>
      <c r="I18" s="34">
        <v>1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1</v>
      </c>
      <c r="W18" s="34">
        <v>0</v>
      </c>
      <c r="X18" s="34">
        <v>0</v>
      </c>
      <c r="Y18" s="34">
        <v>1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/>
      <c r="AK18" s="34"/>
    </row>
    <row r="19" spans="1:37" hidden="1" x14ac:dyDescent="0.25">
      <c r="A19" s="34">
        <v>33</v>
      </c>
      <c r="B19" t="s">
        <v>492</v>
      </c>
      <c r="C19" s="20">
        <v>40000</v>
      </c>
      <c r="D19" s="113">
        <f t="shared" si="0"/>
        <v>21600</v>
      </c>
      <c r="E19" s="3">
        <f t="shared" si="4"/>
        <v>18400</v>
      </c>
      <c r="F19" s="123">
        <f t="shared" si="3"/>
        <v>0.45999999999999996</v>
      </c>
      <c r="G19" s="34">
        <v>0</v>
      </c>
      <c r="H19" s="34">
        <v>0</v>
      </c>
      <c r="I19" s="34">
        <v>0</v>
      </c>
      <c r="J19" s="34">
        <v>1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1</v>
      </c>
      <c r="W19" s="34">
        <v>0</v>
      </c>
      <c r="X19" s="34">
        <v>0</v>
      </c>
      <c r="Y19" s="34">
        <v>1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/>
      <c r="AK19" s="34"/>
    </row>
    <row r="20" spans="1:37" hidden="1" x14ac:dyDescent="0.25">
      <c r="A20" s="34">
        <v>41</v>
      </c>
      <c r="B20" t="s">
        <v>499</v>
      </c>
      <c r="C20" s="20">
        <v>23000</v>
      </c>
      <c r="D20" s="113">
        <f t="shared" si="0"/>
        <v>15600</v>
      </c>
      <c r="E20" s="3">
        <f t="shared" si="4"/>
        <v>7400</v>
      </c>
      <c r="F20" s="123">
        <f t="shared" si="3"/>
        <v>0.32173913043478264</v>
      </c>
      <c r="G20" s="34">
        <v>0</v>
      </c>
      <c r="H20" s="34">
        <v>0</v>
      </c>
      <c r="I20" s="34">
        <v>1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1</v>
      </c>
      <c r="W20" s="34">
        <v>0</v>
      </c>
      <c r="X20" s="34">
        <v>0</v>
      </c>
      <c r="Y20" s="34">
        <v>1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/>
      <c r="AK20" s="34"/>
    </row>
    <row r="21" spans="1:37" hidden="1" x14ac:dyDescent="0.25">
      <c r="A21" s="34">
        <v>11</v>
      </c>
      <c r="B21" t="s">
        <v>471</v>
      </c>
      <c r="C21" s="20">
        <v>30000</v>
      </c>
      <c r="D21" s="113">
        <f t="shared" si="0"/>
        <v>22600</v>
      </c>
      <c r="E21" s="3">
        <f t="shared" si="4"/>
        <v>7400</v>
      </c>
      <c r="F21" s="123">
        <f t="shared" si="3"/>
        <v>0.2466666666666667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1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1</v>
      </c>
      <c r="W21" s="34">
        <v>0</v>
      </c>
      <c r="X21" s="34">
        <v>0</v>
      </c>
      <c r="Y21" s="34">
        <v>1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/>
      <c r="AK21" s="34"/>
    </row>
    <row r="22" spans="1:37" hidden="1" x14ac:dyDescent="0.25">
      <c r="A22" s="34">
        <v>27</v>
      </c>
      <c r="B22" t="s">
        <v>486</v>
      </c>
      <c r="C22" s="20">
        <v>50000</v>
      </c>
      <c r="D22" s="113">
        <f t="shared" si="0"/>
        <v>28600</v>
      </c>
      <c r="E22" s="3">
        <f t="shared" si="4"/>
        <v>21400</v>
      </c>
      <c r="F22" s="123">
        <f t="shared" si="3"/>
        <v>0.42800000000000005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1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1</v>
      </c>
      <c r="W22" s="34">
        <v>0</v>
      </c>
      <c r="X22" s="34">
        <v>0</v>
      </c>
      <c r="Y22" s="34">
        <v>1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/>
      <c r="AK22" s="34"/>
    </row>
    <row r="23" spans="1:37" hidden="1" x14ac:dyDescent="0.25">
      <c r="A23" s="34">
        <v>14</v>
      </c>
      <c r="B23" t="s">
        <v>474</v>
      </c>
      <c r="C23" s="20">
        <v>25000</v>
      </c>
      <c r="D23" s="113">
        <f t="shared" si="0"/>
        <v>15600</v>
      </c>
      <c r="E23" s="3">
        <f t="shared" si="4"/>
        <v>9400</v>
      </c>
      <c r="F23" s="123">
        <f t="shared" si="3"/>
        <v>0.376</v>
      </c>
      <c r="G23" s="34">
        <v>0</v>
      </c>
      <c r="H23" s="34">
        <v>0</v>
      </c>
      <c r="I23" s="34">
        <v>0</v>
      </c>
      <c r="J23" s="34">
        <v>0</v>
      </c>
      <c r="K23" s="34">
        <v>1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1</v>
      </c>
      <c r="W23" s="34">
        <v>0</v>
      </c>
      <c r="X23" s="34">
        <v>0</v>
      </c>
      <c r="Y23" s="34">
        <v>1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/>
      <c r="AK23" s="34"/>
    </row>
    <row r="24" spans="1:37" hidden="1" x14ac:dyDescent="0.25">
      <c r="A24" s="34">
        <v>12</v>
      </c>
      <c r="B24" t="s">
        <v>472</v>
      </c>
      <c r="C24" s="20">
        <v>25000</v>
      </c>
      <c r="D24" s="113">
        <f t="shared" si="0"/>
        <v>19600</v>
      </c>
      <c r="E24" s="3">
        <f t="shared" si="4"/>
        <v>5400</v>
      </c>
      <c r="F24" s="123">
        <f t="shared" si="3"/>
        <v>0.21599999999999997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1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1</v>
      </c>
      <c r="W24" s="34">
        <v>0</v>
      </c>
      <c r="X24" s="34">
        <v>0</v>
      </c>
      <c r="Y24" s="34">
        <v>1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/>
      <c r="AK24" s="34"/>
    </row>
    <row r="25" spans="1:37" hidden="1" x14ac:dyDescent="0.25">
      <c r="A25" s="34">
        <v>40</v>
      </c>
      <c r="B25" t="s">
        <v>498</v>
      </c>
      <c r="C25" s="20">
        <v>15000</v>
      </c>
      <c r="D25" s="113">
        <f t="shared" si="0"/>
        <v>14000</v>
      </c>
      <c r="E25" s="3">
        <f t="shared" si="4"/>
        <v>1000</v>
      </c>
      <c r="F25" s="123">
        <f t="shared" si="3"/>
        <v>6.6666666666666652E-2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1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1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/>
      <c r="AK25" s="34"/>
    </row>
    <row r="26" spans="1:37" hidden="1" x14ac:dyDescent="0.25">
      <c r="A26" s="34">
        <v>46</v>
      </c>
      <c r="B26" t="s">
        <v>504</v>
      </c>
      <c r="C26" s="20">
        <v>30000</v>
      </c>
      <c r="D26" s="113">
        <f t="shared" si="0"/>
        <v>15600</v>
      </c>
      <c r="E26" s="3">
        <f t="shared" si="4"/>
        <v>14400</v>
      </c>
      <c r="F26" s="123">
        <f t="shared" si="3"/>
        <v>0.48</v>
      </c>
      <c r="G26" s="34">
        <v>0</v>
      </c>
      <c r="H26" s="34">
        <v>0</v>
      </c>
      <c r="I26" s="34">
        <v>0</v>
      </c>
      <c r="J26" s="34">
        <v>0</v>
      </c>
      <c r="K26" s="34">
        <v>1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1</v>
      </c>
      <c r="W26" s="34">
        <v>0</v>
      </c>
      <c r="X26" s="34">
        <v>0</v>
      </c>
      <c r="Y26" s="34">
        <v>1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/>
      <c r="AK26" s="34"/>
    </row>
    <row r="27" spans="1:37" hidden="1" x14ac:dyDescent="0.25">
      <c r="A27" s="34">
        <v>13</v>
      </c>
      <c r="B27" t="s">
        <v>473</v>
      </c>
      <c r="C27" s="20">
        <v>25000</v>
      </c>
      <c r="D27" s="113">
        <f t="shared" si="0"/>
        <v>12600</v>
      </c>
      <c r="E27" s="3">
        <f t="shared" si="4"/>
        <v>12400</v>
      </c>
      <c r="F27" s="123">
        <f t="shared" si="3"/>
        <v>0.496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1</v>
      </c>
      <c r="R27" s="34">
        <v>0</v>
      </c>
      <c r="S27" s="34">
        <v>0</v>
      </c>
      <c r="T27" s="34">
        <v>0</v>
      </c>
      <c r="U27" s="34">
        <v>0</v>
      </c>
      <c r="V27" s="34">
        <v>1</v>
      </c>
      <c r="W27" s="34">
        <v>0</v>
      </c>
      <c r="X27" s="34">
        <v>0</v>
      </c>
      <c r="Y27" s="34">
        <v>1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/>
      <c r="AK27" s="34"/>
    </row>
    <row r="28" spans="1:37" hidden="1" x14ac:dyDescent="0.25">
      <c r="A28" s="34">
        <v>15</v>
      </c>
      <c r="B28" t="s">
        <v>475</v>
      </c>
      <c r="C28" s="20">
        <v>25000</v>
      </c>
      <c r="D28" s="113">
        <f t="shared" si="0"/>
        <v>2600</v>
      </c>
      <c r="E28" s="3">
        <f t="shared" si="4"/>
        <v>22400</v>
      </c>
      <c r="F28" s="123">
        <f t="shared" si="3"/>
        <v>0.89600000000000002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1</v>
      </c>
      <c r="W28" s="34">
        <v>0</v>
      </c>
      <c r="X28" s="34">
        <v>0</v>
      </c>
      <c r="Y28" s="34">
        <v>1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/>
      <c r="AK28" s="34"/>
    </row>
    <row r="29" spans="1:37" hidden="1" x14ac:dyDescent="0.25">
      <c r="A29" s="34">
        <v>26</v>
      </c>
      <c r="B29" t="s">
        <v>485</v>
      </c>
      <c r="C29" s="20">
        <v>10000</v>
      </c>
      <c r="D29" s="113">
        <f t="shared" si="0"/>
        <v>3900</v>
      </c>
      <c r="E29" s="3">
        <f t="shared" si="4"/>
        <v>6100</v>
      </c>
      <c r="F29" s="123">
        <f t="shared" si="3"/>
        <v>0.61</v>
      </c>
      <c r="G29" s="34">
        <v>1</v>
      </c>
      <c r="H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1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/>
      <c r="AK29" s="34"/>
    </row>
    <row r="30" spans="1:37" hidden="1" x14ac:dyDescent="0.25">
      <c r="A30" s="34">
        <v>9</v>
      </c>
      <c r="B30" t="s">
        <v>469</v>
      </c>
      <c r="C30" s="20">
        <v>20000</v>
      </c>
      <c r="D30" s="113">
        <f t="shared" si="0"/>
        <v>8500</v>
      </c>
      <c r="E30" s="3">
        <f t="shared" si="4"/>
        <v>11500</v>
      </c>
      <c r="F30" s="123">
        <f t="shared" si="3"/>
        <v>0.57499999999999996</v>
      </c>
      <c r="G30" s="34">
        <v>1</v>
      </c>
      <c r="H30" s="34">
        <v>0</v>
      </c>
      <c r="Q30" s="34">
        <v>0</v>
      </c>
      <c r="R30" s="34">
        <v>0</v>
      </c>
      <c r="S30" s="34">
        <v>0</v>
      </c>
      <c r="T30" s="34">
        <v>1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/>
      <c r="AK30" s="34"/>
    </row>
    <row r="31" spans="1:37" hidden="1" x14ac:dyDescent="0.25">
      <c r="A31" s="34">
        <v>10</v>
      </c>
      <c r="B31" t="s">
        <v>470</v>
      </c>
      <c r="C31" s="20">
        <v>25000</v>
      </c>
      <c r="D31" s="113">
        <f t="shared" si="0"/>
        <v>10500</v>
      </c>
      <c r="E31" s="3">
        <f t="shared" si="4"/>
        <v>14500</v>
      </c>
      <c r="F31" s="123">
        <f t="shared" si="3"/>
        <v>0.58000000000000007</v>
      </c>
      <c r="G31" s="34">
        <v>1</v>
      </c>
      <c r="H31" s="34">
        <v>0</v>
      </c>
      <c r="Q31" s="34">
        <v>0</v>
      </c>
      <c r="R31" s="34">
        <v>0</v>
      </c>
      <c r="S31" s="34">
        <v>0</v>
      </c>
      <c r="T31" s="34">
        <v>1</v>
      </c>
      <c r="U31" s="34">
        <v>0</v>
      </c>
      <c r="V31" s="34">
        <v>1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/>
      <c r="AK31" s="34"/>
    </row>
    <row r="32" spans="1:37" hidden="1" x14ac:dyDescent="0.25">
      <c r="A32" s="34">
        <v>38</v>
      </c>
      <c r="B32" t="s">
        <v>496</v>
      </c>
      <c r="C32" s="20">
        <v>27000</v>
      </c>
      <c r="D32" s="113">
        <f t="shared" si="0"/>
        <v>10500</v>
      </c>
      <c r="E32" s="3">
        <f t="shared" si="4"/>
        <v>16500</v>
      </c>
      <c r="F32" s="123">
        <f t="shared" si="3"/>
        <v>0.61111111111111116</v>
      </c>
      <c r="G32" s="34">
        <v>1</v>
      </c>
      <c r="H32" s="34">
        <v>0</v>
      </c>
      <c r="Q32" s="34">
        <v>0</v>
      </c>
      <c r="R32" s="34">
        <v>0</v>
      </c>
      <c r="S32" s="34">
        <v>0</v>
      </c>
      <c r="T32" s="34">
        <v>1</v>
      </c>
      <c r="U32" s="34">
        <v>0</v>
      </c>
      <c r="V32" s="34">
        <v>1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/>
      <c r="AK32" s="34"/>
    </row>
    <row r="33" spans="1:37" hidden="1" x14ac:dyDescent="0.25">
      <c r="A33" s="34">
        <v>6</v>
      </c>
      <c r="B33" t="s">
        <v>466</v>
      </c>
      <c r="C33" s="20">
        <v>22000</v>
      </c>
      <c r="D33" s="113">
        <f t="shared" si="0"/>
        <v>10500</v>
      </c>
      <c r="E33" s="3">
        <f t="shared" si="4"/>
        <v>11500</v>
      </c>
      <c r="F33" s="123">
        <f t="shared" si="3"/>
        <v>0.52272727272727271</v>
      </c>
      <c r="G33" s="34">
        <v>1</v>
      </c>
      <c r="H33" s="34">
        <v>0</v>
      </c>
      <c r="Q33" s="34">
        <v>0</v>
      </c>
      <c r="R33" s="34">
        <v>0</v>
      </c>
      <c r="S33" s="34">
        <v>0</v>
      </c>
      <c r="T33" s="34">
        <v>1</v>
      </c>
      <c r="U33" s="34">
        <v>0</v>
      </c>
      <c r="V33" s="34">
        <v>1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/>
      <c r="AK33" s="34"/>
    </row>
    <row r="34" spans="1:37" hidden="1" x14ac:dyDescent="0.25">
      <c r="A34" s="34">
        <v>5</v>
      </c>
      <c r="B34" t="s">
        <v>465</v>
      </c>
      <c r="C34" s="20">
        <v>17000</v>
      </c>
      <c r="D34" s="113">
        <f t="shared" si="0"/>
        <v>8500</v>
      </c>
      <c r="E34" s="3">
        <f t="shared" si="4"/>
        <v>8500</v>
      </c>
      <c r="F34" s="123">
        <f t="shared" si="3"/>
        <v>0.5</v>
      </c>
      <c r="G34" s="34">
        <v>1</v>
      </c>
      <c r="H34" s="34">
        <v>0</v>
      </c>
      <c r="Q34" s="34">
        <v>0</v>
      </c>
      <c r="R34" s="34">
        <v>0</v>
      </c>
      <c r="S34" s="34">
        <v>0</v>
      </c>
      <c r="T34" s="34">
        <v>1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/>
      <c r="AK34" s="34"/>
    </row>
    <row r="35" spans="1:37" hidden="1" x14ac:dyDescent="0.25">
      <c r="A35" s="34">
        <v>37</v>
      </c>
      <c r="B35" t="s">
        <v>495</v>
      </c>
      <c r="C35" s="20">
        <v>1000000</v>
      </c>
      <c r="D35" s="113">
        <f t="shared" si="0"/>
        <v>2000</v>
      </c>
      <c r="E35" s="3">
        <f t="shared" si="4"/>
        <v>998000</v>
      </c>
      <c r="F35" s="123">
        <f t="shared" si="3"/>
        <v>0.998</v>
      </c>
      <c r="G35" s="34">
        <v>0</v>
      </c>
      <c r="H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1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/>
      <c r="AK35" s="34"/>
    </row>
    <row r="36" spans="1:37" hidden="1" x14ac:dyDescent="0.25">
      <c r="A36" s="34">
        <v>30</v>
      </c>
      <c r="B36" t="s">
        <v>489</v>
      </c>
      <c r="C36" s="20">
        <v>2000</v>
      </c>
      <c r="D36" s="113">
        <f t="shared" si="0"/>
        <v>0</v>
      </c>
      <c r="E36" s="3">
        <f t="shared" si="4"/>
        <v>2000</v>
      </c>
      <c r="F36" s="123">
        <f t="shared" si="3"/>
        <v>1</v>
      </c>
      <c r="G36" s="34">
        <v>0</v>
      </c>
      <c r="H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/>
      <c r="AK36" s="34"/>
    </row>
    <row r="37" spans="1:37" hidden="1" x14ac:dyDescent="0.25">
      <c r="A37" s="34">
        <v>31</v>
      </c>
      <c r="B37" t="s">
        <v>490</v>
      </c>
      <c r="C37" s="20">
        <v>15000</v>
      </c>
      <c r="D37" s="113">
        <f t="shared" si="0"/>
        <v>0</v>
      </c>
      <c r="E37" s="3">
        <f t="shared" si="4"/>
        <v>15000</v>
      </c>
      <c r="F37" s="123">
        <f t="shared" si="3"/>
        <v>1</v>
      </c>
      <c r="G37" s="34">
        <v>0</v>
      </c>
      <c r="H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/>
      <c r="AK37" s="34"/>
    </row>
    <row r="38" spans="1:37" hidden="1" x14ac:dyDescent="0.25">
      <c r="A38" s="34">
        <v>35</v>
      </c>
      <c r="B38" t="s">
        <v>493</v>
      </c>
      <c r="C38" s="20">
        <v>30000</v>
      </c>
      <c r="D38" s="113">
        <f t="shared" si="0"/>
        <v>17940</v>
      </c>
      <c r="E38" s="3">
        <f t="shared" si="4"/>
        <v>12060</v>
      </c>
      <c r="F38" s="123">
        <f t="shared" si="3"/>
        <v>0.40200000000000002</v>
      </c>
      <c r="G38" s="34">
        <v>1</v>
      </c>
      <c r="H38" s="34">
        <v>0</v>
      </c>
      <c r="I38" s="34">
        <v>1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1</v>
      </c>
      <c r="Y38" s="34">
        <v>1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/>
      <c r="AK38" s="34"/>
    </row>
    <row r="39" spans="1:37" hidden="1" x14ac:dyDescent="0.25">
      <c r="A39" s="34">
        <v>18</v>
      </c>
      <c r="B39" t="s">
        <v>477</v>
      </c>
      <c r="C39" s="20">
        <v>35000</v>
      </c>
      <c r="D39" s="113">
        <f t="shared" si="0"/>
        <v>17940</v>
      </c>
      <c r="E39" s="3">
        <f t="shared" si="4"/>
        <v>17060</v>
      </c>
      <c r="F39" s="123">
        <f t="shared" si="3"/>
        <v>0.48742857142857143</v>
      </c>
      <c r="G39" s="34">
        <v>1</v>
      </c>
      <c r="H39" s="34">
        <v>0</v>
      </c>
      <c r="I39" s="34">
        <v>1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1</v>
      </c>
      <c r="Y39" s="34">
        <v>1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34"/>
      <c r="AK39" s="34"/>
    </row>
    <row r="40" spans="1:37" hidden="1" x14ac:dyDescent="0.25">
      <c r="A40" s="34">
        <v>23</v>
      </c>
      <c r="B40" t="s">
        <v>482</v>
      </c>
      <c r="C40" s="20">
        <v>40000</v>
      </c>
      <c r="D40" s="113">
        <f t="shared" si="0"/>
        <v>17940</v>
      </c>
      <c r="E40" s="3">
        <f t="shared" si="4"/>
        <v>22060</v>
      </c>
      <c r="F40" s="123">
        <f t="shared" si="3"/>
        <v>0.55149999999999999</v>
      </c>
      <c r="G40" s="34">
        <v>1</v>
      </c>
      <c r="H40" s="34">
        <v>0</v>
      </c>
      <c r="I40" s="34">
        <v>1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1</v>
      </c>
      <c r="Y40" s="34">
        <v>1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/>
      <c r="AK40" s="34"/>
    </row>
    <row r="41" spans="1:37" hidden="1" x14ac:dyDescent="0.25">
      <c r="A41" s="34">
        <v>21</v>
      </c>
      <c r="B41" t="s">
        <v>480</v>
      </c>
      <c r="C41" s="20">
        <v>48000</v>
      </c>
      <c r="D41" s="113">
        <f t="shared" si="0"/>
        <v>17940</v>
      </c>
      <c r="E41" s="3">
        <f t="shared" si="4"/>
        <v>30060</v>
      </c>
      <c r="F41" s="123">
        <f t="shared" si="3"/>
        <v>0.62624999999999997</v>
      </c>
      <c r="G41" s="34">
        <v>1</v>
      </c>
      <c r="H41" s="34">
        <v>0</v>
      </c>
      <c r="I41" s="34">
        <v>1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1</v>
      </c>
      <c r="Y41" s="34">
        <v>1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/>
      <c r="AK41" s="34"/>
    </row>
    <row r="42" spans="1:37" hidden="1" x14ac:dyDescent="0.25">
      <c r="A42" s="34">
        <v>43</v>
      </c>
      <c r="B42" t="s">
        <v>501</v>
      </c>
      <c r="C42" s="20">
        <v>50000</v>
      </c>
      <c r="D42" s="113">
        <f t="shared" si="0"/>
        <v>17940</v>
      </c>
      <c r="E42" s="3">
        <f t="shared" si="4"/>
        <v>32060</v>
      </c>
      <c r="F42" s="123">
        <f t="shared" si="3"/>
        <v>0.64119999999999999</v>
      </c>
      <c r="G42" s="34">
        <v>1</v>
      </c>
      <c r="H42" s="34">
        <v>0</v>
      </c>
      <c r="I42" s="34">
        <v>1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1</v>
      </c>
      <c r="Y42" s="34">
        <v>1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/>
      <c r="AK42" s="34"/>
    </row>
    <row r="43" spans="1:37" hidden="1" x14ac:dyDescent="0.25">
      <c r="A43" s="34">
        <v>32</v>
      </c>
      <c r="B43" t="s">
        <v>491</v>
      </c>
      <c r="C43" s="20">
        <v>60000</v>
      </c>
      <c r="D43" s="113">
        <f t="shared" si="0"/>
        <v>36940</v>
      </c>
      <c r="E43" s="3">
        <f t="shared" si="4"/>
        <v>23060</v>
      </c>
      <c r="F43" s="123">
        <f t="shared" si="3"/>
        <v>0.3843333333333333</v>
      </c>
      <c r="G43" s="34">
        <v>1</v>
      </c>
      <c r="H43" s="34">
        <v>0</v>
      </c>
      <c r="I43" s="34">
        <v>1</v>
      </c>
      <c r="J43" s="34">
        <v>1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1</v>
      </c>
      <c r="Y43" s="34">
        <v>1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/>
      <c r="AK43" s="34"/>
    </row>
    <row r="44" spans="1:37" hidden="1" x14ac:dyDescent="0.25">
      <c r="A44" s="34">
        <v>22</v>
      </c>
      <c r="B44" t="s">
        <v>481</v>
      </c>
      <c r="C44" s="20">
        <v>70000</v>
      </c>
      <c r="D44" s="113">
        <f t="shared" si="0"/>
        <v>36940</v>
      </c>
      <c r="E44" s="3">
        <f t="shared" si="4"/>
        <v>33060</v>
      </c>
      <c r="F44" s="123">
        <f t="shared" si="3"/>
        <v>0.47228571428571431</v>
      </c>
      <c r="G44" s="34">
        <v>1</v>
      </c>
      <c r="H44" s="34">
        <v>0</v>
      </c>
      <c r="I44" s="34">
        <v>1</v>
      </c>
      <c r="J44" s="34">
        <v>1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1</v>
      </c>
      <c r="Y44" s="34">
        <v>1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  <c r="AH44" s="34">
        <v>0</v>
      </c>
      <c r="AI44" s="34">
        <v>0</v>
      </c>
      <c r="AJ44" s="34"/>
      <c r="AK44" s="34"/>
    </row>
    <row r="45" spans="1:37" hidden="1" x14ac:dyDescent="0.25">
      <c r="A45" s="34">
        <v>28</v>
      </c>
      <c r="B45" t="s">
        <v>487</v>
      </c>
      <c r="C45" s="20">
        <v>5000</v>
      </c>
      <c r="D45" s="113">
        <f t="shared" si="0"/>
        <v>0</v>
      </c>
      <c r="E45" s="3">
        <f t="shared" si="4"/>
        <v>5000</v>
      </c>
      <c r="F45" s="123">
        <f t="shared" si="3"/>
        <v>1</v>
      </c>
      <c r="G45" s="34">
        <v>0</v>
      </c>
      <c r="H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/>
      <c r="AK45" s="34"/>
    </row>
    <row r="46" spans="1:37" hidden="1" x14ac:dyDescent="0.25">
      <c r="A46" s="34">
        <v>20</v>
      </c>
      <c r="B46" t="s">
        <v>479</v>
      </c>
      <c r="C46" s="20">
        <v>2000</v>
      </c>
      <c r="D46" s="113">
        <f t="shared" si="0"/>
        <v>800</v>
      </c>
      <c r="E46" s="3">
        <f t="shared" si="4"/>
        <v>1200</v>
      </c>
      <c r="F46" s="123">
        <f t="shared" si="3"/>
        <v>0.6</v>
      </c>
      <c r="G46" s="34">
        <v>0</v>
      </c>
      <c r="H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1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/>
      <c r="AK46" s="34"/>
    </row>
    <row r="47" spans="1:37" hidden="1" x14ac:dyDescent="0.25">
      <c r="A47" s="34">
        <v>47</v>
      </c>
      <c r="B47" t="s">
        <v>585</v>
      </c>
      <c r="C47" s="6">
        <v>3500</v>
      </c>
      <c r="D47" s="113">
        <f t="shared" si="0"/>
        <v>3500</v>
      </c>
      <c r="E47" s="3">
        <f t="shared" si="4"/>
        <v>0</v>
      </c>
      <c r="F47" s="123">
        <f t="shared" si="3"/>
        <v>0</v>
      </c>
      <c r="G47" s="34">
        <v>1</v>
      </c>
      <c r="H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/>
      <c r="AK47" s="34"/>
    </row>
    <row r="48" spans="1:37" hidden="1" x14ac:dyDescent="0.25">
      <c r="A48" s="34">
        <v>17</v>
      </c>
      <c r="B48" t="s">
        <v>476</v>
      </c>
      <c r="C48" s="23">
        <v>4500</v>
      </c>
      <c r="D48" s="113">
        <f t="shared" si="0"/>
        <v>3500</v>
      </c>
      <c r="E48" s="3">
        <f t="shared" si="4"/>
        <v>1000</v>
      </c>
      <c r="F48" s="123">
        <f t="shared" si="3"/>
        <v>0.22222222222222221</v>
      </c>
      <c r="G48" s="34">
        <v>1</v>
      </c>
      <c r="H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4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/>
      <c r="AK48" s="34"/>
    </row>
    <row r="49" spans="1:37" hidden="1" x14ac:dyDescent="0.25">
      <c r="A49" s="34">
        <v>25</v>
      </c>
      <c r="B49" t="s">
        <v>484</v>
      </c>
      <c r="C49" s="23">
        <v>5000</v>
      </c>
      <c r="D49" s="113">
        <f t="shared" si="0"/>
        <v>0</v>
      </c>
      <c r="E49" s="3">
        <f t="shared" si="4"/>
        <v>5000</v>
      </c>
      <c r="F49" s="123">
        <f t="shared" si="3"/>
        <v>1</v>
      </c>
      <c r="G49" s="34">
        <v>0</v>
      </c>
      <c r="H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/>
      <c r="AK49" s="34"/>
    </row>
    <row r="50" spans="1:37" hidden="1" x14ac:dyDescent="0.25">
      <c r="A50" s="34">
        <v>36</v>
      </c>
      <c r="B50" t="s">
        <v>494</v>
      </c>
      <c r="C50" s="23">
        <v>70000</v>
      </c>
      <c r="D50" s="113">
        <f t="shared" si="0"/>
        <v>0</v>
      </c>
      <c r="E50" s="3">
        <f t="shared" si="4"/>
        <v>70000</v>
      </c>
      <c r="F50" s="123">
        <f t="shared" si="3"/>
        <v>1</v>
      </c>
      <c r="G50" s="34">
        <v>0</v>
      </c>
      <c r="H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4">
        <v>0</v>
      </c>
      <c r="AG50" s="34">
        <v>0</v>
      </c>
      <c r="AH50" s="34">
        <v>0</v>
      </c>
      <c r="AI50" s="34">
        <v>0</v>
      </c>
      <c r="AJ50" s="34"/>
      <c r="AK50" s="34"/>
    </row>
    <row r="51" spans="1:37" hidden="1" x14ac:dyDescent="0.25">
      <c r="A51" s="34">
        <v>8</v>
      </c>
      <c r="B51" t="s">
        <v>468</v>
      </c>
      <c r="C51" s="23">
        <v>1000</v>
      </c>
      <c r="D51" s="113">
        <f t="shared" si="0"/>
        <v>0</v>
      </c>
      <c r="E51" s="3">
        <f t="shared" ref="E51" si="5">+C51-D51</f>
        <v>1000</v>
      </c>
      <c r="F51" s="123">
        <f t="shared" ref="F51" si="6">1-D51/C51</f>
        <v>1</v>
      </c>
      <c r="G51" s="34">
        <v>0</v>
      </c>
      <c r="H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/>
      <c r="AK51" s="34"/>
    </row>
    <row r="52" spans="1:37" hidden="1" x14ac:dyDescent="0.25">
      <c r="X52" s="34">
        <v>1</v>
      </c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</row>
  </sheetData>
  <autoFilter ref="A3:AK52">
    <filterColumn colId="1">
      <filters>
        <filter val="BEBIDA - Aguila"/>
        <filter val="BEBIDA - Botella de Agua"/>
      </filters>
    </filterColumn>
  </autoFilter>
  <conditionalFormatting sqref="G4:Z51">
    <cfRule type="cellIs" dxfId="7" priority="3" operator="equal">
      <formula>1</formula>
    </cfRule>
  </conditionalFormatting>
  <conditionalFormatting sqref="I52">
    <cfRule type="cellIs" dxfId="6" priority="1" operator="equal">
      <formula>1</formula>
    </cfRule>
  </conditionalFormatting>
  <conditionalFormatting sqref="O52">
    <cfRule type="cellIs" dxfId="5" priority="2" operator="equal">
      <formula>1</formula>
    </cfRule>
  </conditionalFormatting>
  <conditionalFormatting sqref="AA4:AK52">
    <cfRule type="cellIs" dxfId="4" priority="4" operator="equal">
      <formula>1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"/>
  <sheetViews>
    <sheetView showGridLines="0" topLeftCell="A4" workbookViewId="0">
      <selection activeCell="I22" sqref="I22"/>
    </sheetView>
  </sheetViews>
  <sheetFormatPr baseColWidth="10" defaultRowHeight="15" x14ac:dyDescent="0.25"/>
  <cols>
    <col min="1" max="1" width="4" customWidth="1"/>
    <col min="2" max="2" width="10.140625" customWidth="1"/>
    <col min="3" max="3" width="7.7109375" bestFit="1" customWidth="1"/>
    <col min="4" max="4" width="2" bestFit="1" customWidth="1"/>
    <col min="5" max="5" width="10.85546875" bestFit="1" customWidth="1"/>
    <col min="6" max="6" width="9.42578125" style="3" bestFit="1" customWidth="1"/>
  </cols>
  <sheetData>
    <row r="2" spans="2:11" x14ac:dyDescent="0.25">
      <c r="C2" s="296" t="s">
        <v>670</v>
      </c>
      <c r="D2" s="296"/>
      <c r="E2" s="296"/>
      <c r="F2" s="217" t="s">
        <v>212</v>
      </c>
    </row>
    <row r="3" spans="2:11" x14ac:dyDescent="0.25">
      <c r="C3" s="301" t="s">
        <v>302</v>
      </c>
      <c r="D3" s="301"/>
      <c r="E3" s="301"/>
      <c r="F3" s="216">
        <v>10000</v>
      </c>
    </row>
    <row r="4" spans="2:11" x14ac:dyDescent="0.25">
      <c r="C4" s="301" t="s">
        <v>185</v>
      </c>
      <c r="D4" s="301"/>
      <c r="E4" s="301"/>
      <c r="F4" s="216">
        <v>14000</v>
      </c>
    </row>
    <row r="5" spans="2:11" x14ac:dyDescent="0.25">
      <c r="B5" s="297" t="s">
        <v>663</v>
      </c>
      <c r="C5" s="210" t="s">
        <v>671</v>
      </c>
      <c r="D5" s="72">
        <v>1</v>
      </c>
      <c r="E5" s="129">
        <v>4500</v>
      </c>
      <c r="F5" s="213">
        <v>3500</v>
      </c>
      <c r="G5" s="9">
        <f>+E5-F5</f>
        <v>1000</v>
      </c>
    </row>
    <row r="6" spans="2:11" x14ac:dyDescent="0.25">
      <c r="B6" s="298"/>
      <c r="C6" s="210" t="s">
        <v>671</v>
      </c>
      <c r="D6" s="72">
        <v>1</v>
      </c>
      <c r="E6" s="129">
        <v>4500</v>
      </c>
      <c r="F6" s="213">
        <v>3500</v>
      </c>
      <c r="G6" s="9">
        <f t="shared" ref="G6:G14" si="0">+E6-F6</f>
        <v>1000</v>
      </c>
    </row>
    <row r="7" spans="2:11" x14ac:dyDescent="0.25">
      <c r="B7" s="299" t="s">
        <v>664</v>
      </c>
      <c r="C7" s="221" t="s">
        <v>667</v>
      </c>
      <c r="D7" s="173">
        <v>1</v>
      </c>
      <c r="E7" s="174">
        <v>6000</v>
      </c>
      <c r="F7" s="222">
        <v>4000</v>
      </c>
      <c r="G7" s="9">
        <f t="shared" si="0"/>
        <v>2000</v>
      </c>
    </row>
    <row r="8" spans="2:11" x14ac:dyDescent="0.25">
      <c r="B8" s="299"/>
      <c r="C8" s="221" t="s">
        <v>665</v>
      </c>
      <c r="D8" s="173">
        <v>1</v>
      </c>
      <c r="E8" s="174">
        <v>3000</v>
      </c>
      <c r="F8" s="222">
        <v>2500</v>
      </c>
      <c r="G8" s="9">
        <f t="shared" si="0"/>
        <v>500</v>
      </c>
    </row>
    <row r="9" spans="2:11" x14ac:dyDescent="0.25">
      <c r="B9" s="300" t="s">
        <v>666</v>
      </c>
      <c r="C9" s="210" t="s">
        <v>665</v>
      </c>
      <c r="D9" s="72">
        <v>1</v>
      </c>
      <c r="E9" s="223">
        <v>3000</v>
      </c>
      <c r="F9" s="213">
        <v>2500</v>
      </c>
      <c r="G9" s="9">
        <f t="shared" si="0"/>
        <v>500</v>
      </c>
      <c r="K9" s="258">
        <v>0.10208333333333333</v>
      </c>
    </row>
    <row r="10" spans="2:11" x14ac:dyDescent="0.25">
      <c r="B10" s="300"/>
      <c r="C10" s="210" t="s">
        <v>665</v>
      </c>
      <c r="D10" s="72">
        <v>1</v>
      </c>
      <c r="E10" s="223">
        <v>3000</v>
      </c>
      <c r="F10" s="213">
        <v>2500</v>
      </c>
      <c r="G10" s="9">
        <f t="shared" si="0"/>
        <v>500</v>
      </c>
    </row>
    <row r="11" spans="2:11" x14ac:dyDescent="0.25">
      <c r="B11" s="299" t="s">
        <v>668</v>
      </c>
      <c r="C11" s="214" t="s">
        <v>665</v>
      </c>
      <c r="D11" s="215">
        <v>1</v>
      </c>
      <c r="E11" s="209">
        <v>3000</v>
      </c>
      <c r="F11" s="216">
        <v>2500</v>
      </c>
      <c r="G11" s="9">
        <f t="shared" si="0"/>
        <v>500</v>
      </c>
    </row>
    <row r="12" spans="2:11" x14ac:dyDescent="0.25">
      <c r="B12" s="299"/>
      <c r="C12" s="214" t="s">
        <v>665</v>
      </c>
      <c r="D12" s="215">
        <v>1</v>
      </c>
      <c r="E12" s="209">
        <v>3000</v>
      </c>
      <c r="F12" s="216">
        <v>2500</v>
      </c>
      <c r="G12" s="9">
        <f t="shared" si="0"/>
        <v>500</v>
      </c>
    </row>
    <row r="13" spans="2:11" x14ac:dyDescent="0.25">
      <c r="B13" s="300" t="s">
        <v>669</v>
      </c>
      <c r="C13" s="302" t="s">
        <v>665</v>
      </c>
      <c r="D13" s="297">
        <v>1</v>
      </c>
      <c r="E13" s="304">
        <v>3000</v>
      </c>
      <c r="F13" s="295">
        <f>+F12</f>
        <v>2500</v>
      </c>
      <c r="G13" s="9">
        <f t="shared" si="0"/>
        <v>500</v>
      </c>
    </row>
    <row r="14" spans="2:11" x14ac:dyDescent="0.25">
      <c r="B14" s="300"/>
      <c r="C14" s="303"/>
      <c r="D14" s="298"/>
      <c r="E14" s="305"/>
      <c r="F14" s="295"/>
      <c r="G14" s="9">
        <f t="shared" si="0"/>
        <v>0</v>
      </c>
    </row>
    <row r="15" spans="2:11" x14ac:dyDescent="0.25">
      <c r="E15" s="218" t="s">
        <v>121</v>
      </c>
      <c r="F15" s="219">
        <f>+SUM(F3:F14)</f>
        <v>50000</v>
      </c>
    </row>
    <row r="18" spans="5:8" x14ac:dyDescent="0.25">
      <c r="E18" s="211" t="s">
        <v>136</v>
      </c>
      <c r="F18" s="13">
        <v>16000</v>
      </c>
    </row>
    <row r="19" spans="5:8" x14ac:dyDescent="0.25">
      <c r="E19" s="212" t="s">
        <v>261</v>
      </c>
      <c r="F19" s="6">
        <f>+F15-F18</f>
        <v>34000</v>
      </c>
      <c r="H19" s="9"/>
    </row>
    <row r="20" spans="5:8" x14ac:dyDescent="0.25">
      <c r="F20"/>
    </row>
    <row r="21" spans="5:8" x14ac:dyDescent="0.25">
      <c r="F21"/>
    </row>
  </sheetData>
  <mergeCells count="12">
    <mergeCell ref="F13:F14"/>
    <mergeCell ref="C2:E2"/>
    <mergeCell ref="B5:B6"/>
    <mergeCell ref="B7:B8"/>
    <mergeCell ref="B9:B10"/>
    <mergeCell ref="B11:B12"/>
    <mergeCell ref="B13:B14"/>
    <mergeCell ref="C3:E3"/>
    <mergeCell ref="C4:E4"/>
    <mergeCell ref="C13:C14"/>
    <mergeCell ref="E13:E14"/>
    <mergeCell ref="D13:D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1:K18"/>
  <sheetViews>
    <sheetView workbookViewId="0">
      <selection activeCell="F3" sqref="F3"/>
    </sheetView>
  </sheetViews>
  <sheetFormatPr baseColWidth="10" defaultRowHeight="15" x14ac:dyDescent="0.25"/>
  <cols>
    <col min="1" max="1" width="3.5703125" customWidth="1"/>
    <col min="3" max="4" width="12" bestFit="1" customWidth="1"/>
  </cols>
  <sheetData>
    <row r="1" spans="2:11" x14ac:dyDescent="0.25">
      <c r="C1" t="s">
        <v>405</v>
      </c>
      <c r="D1" t="s">
        <v>404</v>
      </c>
      <c r="E1" t="s">
        <v>406</v>
      </c>
    </row>
    <row r="2" spans="2:11" s="3" customFormat="1" x14ac:dyDescent="0.25">
      <c r="C2" s="3">
        <v>88000</v>
      </c>
      <c r="D2" s="3">
        <f>SUM(D4:D1048576)</f>
        <v>84000</v>
      </c>
      <c r="E2" s="3">
        <v>176500</v>
      </c>
      <c r="F2" s="3">
        <f>+SUM(C2:E2)</f>
        <v>348500</v>
      </c>
    </row>
    <row r="4" spans="2:11" x14ac:dyDescent="0.25">
      <c r="B4">
        <v>3</v>
      </c>
      <c r="C4" t="s">
        <v>289</v>
      </c>
      <c r="D4">
        <f>8000*3</f>
        <v>24000</v>
      </c>
    </row>
    <row r="5" spans="2:11" x14ac:dyDescent="0.25">
      <c r="B5">
        <v>1</v>
      </c>
      <c r="C5" t="s">
        <v>289</v>
      </c>
      <c r="D5">
        <v>-4000</v>
      </c>
      <c r="I5">
        <f>190+20</f>
        <v>210</v>
      </c>
    </row>
    <row r="6" spans="2:11" x14ac:dyDescent="0.25">
      <c r="B6" s="83">
        <v>1</v>
      </c>
      <c r="C6" s="83" t="s">
        <v>289</v>
      </c>
      <c r="D6" s="83">
        <v>8000</v>
      </c>
    </row>
    <row r="7" spans="2:11" x14ac:dyDescent="0.25">
      <c r="B7" s="83">
        <v>1</v>
      </c>
      <c r="C7" s="83" t="s">
        <v>374</v>
      </c>
      <c r="D7" s="83">
        <v>3000</v>
      </c>
      <c r="I7">
        <f>257-56</f>
        <v>201</v>
      </c>
      <c r="K7">
        <f>8*7</f>
        <v>56</v>
      </c>
    </row>
    <row r="8" spans="2:11" x14ac:dyDescent="0.25">
      <c r="B8">
        <v>1</v>
      </c>
      <c r="C8" t="s">
        <v>289</v>
      </c>
      <c r="D8">
        <v>8000</v>
      </c>
    </row>
    <row r="9" spans="2:11" x14ac:dyDescent="0.25">
      <c r="B9">
        <v>1</v>
      </c>
      <c r="C9" t="s">
        <v>374</v>
      </c>
      <c r="D9">
        <v>3000</v>
      </c>
    </row>
    <row r="10" spans="2:11" x14ac:dyDescent="0.25">
      <c r="B10" s="1">
        <v>6</v>
      </c>
      <c r="C10" s="1" t="s">
        <v>289</v>
      </c>
      <c r="D10" s="1">
        <v>48000</v>
      </c>
      <c r="H10">
        <v>197</v>
      </c>
    </row>
    <row r="11" spans="2:11" x14ac:dyDescent="0.25">
      <c r="B11" s="1">
        <v>3</v>
      </c>
      <c r="C11" s="1" t="s">
        <v>374</v>
      </c>
      <c r="D11" s="1">
        <v>9000</v>
      </c>
      <c r="F11">
        <f>20000+8000+8000+48000+9000+3000+3000</f>
        <v>99000</v>
      </c>
      <c r="H11">
        <v>40</v>
      </c>
    </row>
    <row r="12" spans="2:11" x14ac:dyDescent="0.25">
      <c r="C12" t="s">
        <v>403</v>
      </c>
      <c r="D12">
        <v>-15000</v>
      </c>
      <c r="H12">
        <v>20</v>
      </c>
      <c r="I12">
        <v>50</v>
      </c>
    </row>
    <row r="13" spans="2:11" x14ac:dyDescent="0.25">
      <c r="I13">
        <f>+SUM(H10:H12)-I12</f>
        <v>207</v>
      </c>
    </row>
    <row r="14" spans="2:11" x14ac:dyDescent="0.25">
      <c r="I14" s="1">
        <v>197</v>
      </c>
    </row>
    <row r="15" spans="2:11" x14ac:dyDescent="0.25">
      <c r="B15" s="72" t="s">
        <v>271</v>
      </c>
      <c r="C15" s="72">
        <v>11000</v>
      </c>
    </row>
    <row r="16" spans="2:11" x14ac:dyDescent="0.25">
      <c r="B16" s="72" t="s">
        <v>271</v>
      </c>
      <c r="C16" s="72">
        <v>10000</v>
      </c>
      <c r="G16" s="1">
        <v>207</v>
      </c>
    </row>
    <row r="17" spans="7:7" x14ac:dyDescent="0.25">
      <c r="G17">
        <v>198</v>
      </c>
    </row>
    <row r="18" spans="7:7" x14ac:dyDescent="0.25">
      <c r="G18">
        <f>+G16-G17</f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8">
    <tabColor rgb="FF9966FF"/>
  </sheetPr>
  <dimension ref="A1:N128"/>
  <sheetViews>
    <sheetView zoomScale="115" zoomScaleNormal="115" workbookViewId="0">
      <pane ySplit="5" topLeftCell="A39" activePane="bottomLeft" state="frozen"/>
      <selection activeCell="C1" sqref="C1"/>
      <selection pane="bottomLeft" activeCell="I40" sqref="I40"/>
    </sheetView>
  </sheetViews>
  <sheetFormatPr baseColWidth="10" defaultColWidth="9.140625" defaultRowHeight="15" x14ac:dyDescent="0.25"/>
  <cols>
    <col min="1" max="1" width="11.140625" bestFit="1" customWidth="1"/>
    <col min="2" max="2" width="10.7109375" bestFit="1" customWidth="1"/>
    <col min="3" max="3" width="10.85546875" bestFit="1" customWidth="1"/>
    <col min="4" max="5" width="13.85546875" style="49" customWidth="1"/>
    <col min="6" max="6" width="10.42578125" style="3" bestFit="1" customWidth="1"/>
    <col min="7" max="7" width="8" style="3" bestFit="1" customWidth="1"/>
    <col min="8" max="8" width="11.7109375" style="3" bestFit="1" customWidth="1"/>
    <col min="10" max="10" width="56" bestFit="1" customWidth="1"/>
    <col min="11" max="11" width="13.42578125" customWidth="1"/>
    <col min="14" max="14" width="11.140625" bestFit="1" customWidth="1"/>
  </cols>
  <sheetData>
    <row r="1" spans="1:11" x14ac:dyDescent="0.25">
      <c r="A1" s="9"/>
      <c r="C1" s="25" t="s">
        <v>136</v>
      </c>
      <c r="D1" s="3">
        <f>+SUMIF($I$6:$I$1048576,C1,$D$6:$D$1048576)</f>
        <v>762600</v>
      </c>
      <c r="E1" s="3"/>
    </row>
    <row r="2" spans="1:11" ht="15.75" thickBot="1" x14ac:dyDescent="0.3">
      <c r="C2" s="26" t="s">
        <v>141</v>
      </c>
      <c r="D2" s="21">
        <f>+SUMIF($I$6:$I$1048576,C2,$D$6:$D$1048576)</f>
        <v>200000</v>
      </c>
      <c r="E2" s="136"/>
    </row>
    <row r="3" spans="1:11" ht="15.75" thickTop="1" x14ac:dyDescent="0.25">
      <c r="D3" s="3">
        <f>+SUM(D6:D1048576)</f>
        <v>1005600</v>
      </c>
      <c r="E3" s="3"/>
      <c r="I3" s="15" t="s">
        <v>121</v>
      </c>
    </row>
    <row r="4" spans="1:11" x14ac:dyDescent="0.25">
      <c r="D4" s="3"/>
      <c r="E4" s="3"/>
    </row>
    <row r="5" spans="1:11" x14ac:dyDescent="0.25">
      <c r="A5" s="29" t="s">
        <v>5</v>
      </c>
      <c r="B5" s="29" t="s">
        <v>366</v>
      </c>
      <c r="C5" s="29" t="s">
        <v>151</v>
      </c>
      <c r="D5" s="30" t="s">
        <v>6</v>
      </c>
      <c r="E5" s="30"/>
      <c r="F5" s="30" t="s">
        <v>217</v>
      </c>
      <c r="G5" s="30" t="s">
        <v>216</v>
      </c>
      <c r="H5" s="30"/>
      <c r="I5" s="29" t="s">
        <v>150</v>
      </c>
      <c r="J5" s="29" t="s">
        <v>149</v>
      </c>
      <c r="K5" s="29" t="s">
        <v>148</v>
      </c>
    </row>
    <row r="6" spans="1:11" x14ac:dyDescent="0.25">
      <c r="A6" s="10">
        <v>46076</v>
      </c>
      <c r="B6" s="2" t="str">
        <f t="shared" ref="B6:B45" si="0">+TEXT(A6,"ddd")</f>
        <v>lun</v>
      </c>
      <c r="C6" s="27">
        <v>0.72986111111111107</v>
      </c>
      <c r="D6" s="49">
        <v>6500</v>
      </c>
      <c r="F6" s="3" t="s">
        <v>216</v>
      </c>
      <c r="I6" s="25" t="s">
        <v>136</v>
      </c>
      <c r="J6" s="1" t="s">
        <v>137</v>
      </c>
      <c r="K6" t="s">
        <v>209</v>
      </c>
    </row>
    <row r="7" spans="1:11" x14ac:dyDescent="0.25">
      <c r="A7" s="10">
        <v>46076</v>
      </c>
      <c r="B7" s="2" t="str">
        <f t="shared" si="0"/>
        <v>lun</v>
      </c>
      <c r="C7" s="28"/>
      <c r="D7" s="49">
        <v>24000</v>
      </c>
      <c r="F7" s="3" t="s">
        <v>216</v>
      </c>
      <c r="I7" s="25" t="s">
        <v>136</v>
      </c>
      <c r="J7" s="1" t="s">
        <v>147</v>
      </c>
    </row>
    <row r="8" spans="1:11" x14ac:dyDescent="0.25">
      <c r="A8" s="10">
        <v>46077</v>
      </c>
      <c r="B8" s="2" t="str">
        <f t="shared" si="0"/>
        <v>mar</v>
      </c>
      <c r="C8" s="27">
        <v>0.79374999999999996</v>
      </c>
      <c r="D8" s="49">
        <v>3000</v>
      </c>
      <c r="F8" s="3" t="s">
        <v>216</v>
      </c>
      <c r="I8" s="25" t="s">
        <v>136</v>
      </c>
      <c r="J8" t="s">
        <v>146</v>
      </c>
    </row>
    <row r="9" spans="1:11" x14ac:dyDescent="0.25">
      <c r="A9" s="10">
        <v>46077</v>
      </c>
      <c r="B9" s="2" t="str">
        <f t="shared" si="0"/>
        <v>mar</v>
      </c>
      <c r="C9" s="27">
        <v>0.82777777777777772</v>
      </c>
      <c r="D9" s="49">
        <v>8000</v>
      </c>
      <c r="F9" s="3" t="s">
        <v>216</v>
      </c>
      <c r="I9" s="25" t="s">
        <v>136</v>
      </c>
      <c r="J9" t="s">
        <v>145</v>
      </c>
    </row>
    <row r="10" spans="1:11" x14ac:dyDescent="0.25">
      <c r="A10" s="2">
        <v>46078</v>
      </c>
      <c r="B10" s="2" t="str">
        <f t="shared" si="0"/>
        <v>mié</v>
      </c>
      <c r="C10" s="27">
        <v>0.69444444444444442</v>
      </c>
      <c r="D10" s="49">
        <v>8000</v>
      </c>
      <c r="F10" s="3" t="s">
        <v>216</v>
      </c>
      <c r="I10" s="25" t="s">
        <v>136</v>
      </c>
      <c r="J10" t="s">
        <v>144</v>
      </c>
    </row>
    <row r="11" spans="1:11" x14ac:dyDescent="0.25">
      <c r="A11" s="2">
        <v>46078</v>
      </c>
      <c r="B11" s="2" t="str">
        <f t="shared" si="0"/>
        <v>mié</v>
      </c>
      <c r="C11" s="27">
        <v>0.7944444444444444</v>
      </c>
      <c r="D11" s="49">
        <v>8000</v>
      </c>
      <c r="F11" s="3" t="s">
        <v>216</v>
      </c>
      <c r="I11" s="25" t="s">
        <v>136</v>
      </c>
      <c r="J11" t="s">
        <v>143</v>
      </c>
      <c r="K11" t="s">
        <v>208</v>
      </c>
    </row>
    <row r="12" spans="1:11" x14ac:dyDescent="0.25">
      <c r="A12" s="2">
        <v>46078</v>
      </c>
      <c r="B12" s="2" t="str">
        <f t="shared" si="0"/>
        <v>mié</v>
      </c>
      <c r="C12" s="27">
        <v>0.80694444444444446</v>
      </c>
      <c r="D12" s="49">
        <v>22500</v>
      </c>
      <c r="F12" s="3" t="s">
        <v>216</v>
      </c>
      <c r="I12" s="25" t="s">
        <v>136</v>
      </c>
      <c r="J12" s="1" t="s">
        <v>137</v>
      </c>
      <c r="K12" t="s">
        <v>209</v>
      </c>
    </row>
    <row r="13" spans="1:11" x14ac:dyDescent="0.25">
      <c r="A13" s="2">
        <v>46078</v>
      </c>
      <c r="B13" s="2" t="str">
        <f t="shared" si="0"/>
        <v>mié</v>
      </c>
      <c r="C13" s="27">
        <v>0.83958333333333335</v>
      </c>
      <c r="D13" s="49">
        <v>8000</v>
      </c>
      <c r="F13" s="3" t="s">
        <v>216</v>
      </c>
      <c r="I13" s="25" t="s">
        <v>136</v>
      </c>
      <c r="J13" t="s">
        <v>142</v>
      </c>
    </row>
    <row r="14" spans="1:11" x14ac:dyDescent="0.25">
      <c r="A14" s="10">
        <v>46078</v>
      </c>
      <c r="B14" s="2" t="str">
        <f t="shared" si="0"/>
        <v>mié</v>
      </c>
      <c r="C14" s="27">
        <v>0.79374999999999996</v>
      </c>
      <c r="D14" s="49">
        <v>16000</v>
      </c>
      <c r="F14" s="3" t="s">
        <v>216</v>
      </c>
      <c r="I14" s="26" t="s">
        <v>141</v>
      </c>
      <c r="J14" t="s">
        <v>140</v>
      </c>
      <c r="K14" t="s">
        <v>141</v>
      </c>
    </row>
    <row r="15" spans="1:11" x14ac:dyDescent="0.25">
      <c r="A15" s="2">
        <v>46079</v>
      </c>
      <c r="B15" s="2" t="str">
        <f t="shared" si="0"/>
        <v>jue</v>
      </c>
      <c r="C15" s="27">
        <v>0.56458333333333333</v>
      </c>
      <c r="D15" s="49">
        <v>25000</v>
      </c>
      <c r="F15" s="3" t="s">
        <v>216</v>
      </c>
      <c r="I15" s="25" t="s">
        <v>136</v>
      </c>
      <c r="J15" t="s">
        <v>139</v>
      </c>
      <c r="K15" t="s">
        <v>138</v>
      </c>
    </row>
    <row r="16" spans="1:11" x14ac:dyDescent="0.25">
      <c r="A16" s="2">
        <v>46079</v>
      </c>
      <c r="B16" s="2" t="str">
        <f t="shared" si="0"/>
        <v>jue</v>
      </c>
      <c r="C16" s="27">
        <v>0.84513888888888888</v>
      </c>
      <c r="D16" s="49">
        <v>51000</v>
      </c>
      <c r="F16" s="3" t="s">
        <v>216</v>
      </c>
      <c r="I16" s="25" t="s">
        <v>136</v>
      </c>
      <c r="J16" s="1" t="s">
        <v>137</v>
      </c>
      <c r="K16" t="s">
        <v>209</v>
      </c>
    </row>
    <row r="17" spans="1:11" x14ac:dyDescent="0.25">
      <c r="A17" s="2">
        <v>46079</v>
      </c>
      <c r="B17" s="2" t="str">
        <f t="shared" si="0"/>
        <v>jue</v>
      </c>
      <c r="C17" s="27">
        <v>0.72777777777777775</v>
      </c>
      <c r="D17" s="97">
        <v>49000</v>
      </c>
      <c r="E17" s="97"/>
      <c r="F17" s="3" t="s">
        <v>216</v>
      </c>
      <c r="I17" s="25" t="s">
        <v>136</v>
      </c>
      <c r="J17" t="s">
        <v>135</v>
      </c>
    </row>
    <row r="18" spans="1:11" x14ac:dyDescent="0.25">
      <c r="A18" s="2">
        <v>46080</v>
      </c>
      <c r="B18" s="2" t="str">
        <f t="shared" si="0"/>
        <v>vie</v>
      </c>
      <c r="C18" s="27">
        <v>0.82291666666666663</v>
      </c>
      <c r="D18" s="97">
        <v>11000</v>
      </c>
      <c r="E18" s="97"/>
      <c r="F18" s="3" t="s">
        <v>216</v>
      </c>
      <c r="I18" s="26" t="s">
        <v>141</v>
      </c>
      <c r="J18" t="s">
        <v>140</v>
      </c>
      <c r="K18" t="s">
        <v>141</v>
      </c>
    </row>
    <row r="19" spans="1:11" x14ac:dyDescent="0.25">
      <c r="A19" s="2">
        <v>46080</v>
      </c>
      <c r="B19" s="2" t="str">
        <f t="shared" si="0"/>
        <v>vie</v>
      </c>
      <c r="C19" s="27">
        <v>0.84236111111111112</v>
      </c>
      <c r="D19" s="97">
        <v>10000</v>
      </c>
      <c r="E19" s="97"/>
      <c r="F19" s="3" t="s">
        <v>216</v>
      </c>
      <c r="I19" s="25" t="s">
        <v>136</v>
      </c>
      <c r="J19" t="s">
        <v>192</v>
      </c>
    </row>
    <row r="20" spans="1:11" x14ac:dyDescent="0.25">
      <c r="A20" s="2">
        <v>46080</v>
      </c>
      <c r="B20" s="2" t="str">
        <f t="shared" si="0"/>
        <v>vie</v>
      </c>
      <c r="C20" s="27">
        <v>0.7631944444444444</v>
      </c>
      <c r="D20" s="97">
        <v>24000</v>
      </c>
      <c r="E20" s="97"/>
      <c r="F20" s="3" t="s">
        <v>216</v>
      </c>
      <c r="I20" s="25" t="s">
        <v>136</v>
      </c>
      <c r="J20" t="s">
        <v>193</v>
      </c>
    </row>
    <row r="21" spans="1:11" x14ac:dyDescent="0.25">
      <c r="A21" s="2">
        <v>46080</v>
      </c>
      <c r="B21" s="2" t="str">
        <f t="shared" si="0"/>
        <v>vie</v>
      </c>
      <c r="C21" s="27">
        <v>0.75972222222222219</v>
      </c>
      <c r="D21" s="97">
        <v>11000</v>
      </c>
      <c r="E21" s="97"/>
      <c r="F21" s="3" t="s">
        <v>216</v>
      </c>
      <c r="I21" s="25" t="s">
        <v>136</v>
      </c>
      <c r="J21" t="s">
        <v>194</v>
      </c>
    </row>
    <row r="22" spans="1:11" x14ac:dyDescent="0.25">
      <c r="A22" s="2">
        <v>46081</v>
      </c>
      <c r="B22" s="2" t="str">
        <f t="shared" si="0"/>
        <v>sáb</v>
      </c>
      <c r="C22" s="27"/>
      <c r="D22" s="97">
        <v>280000</v>
      </c>
      <c r="E22" s="97"/>
      <c r="F22" s="3" t="s">
        <v>216</v>
      </c>
      <c r="I22" s="25" t="s">
        <v>136</v>
      </c>
      <c r="J22" t="s">
        <v>202</v>
      </c>
      <c r="K22" t="s">
        <v>210</v>
      </c>
    </row>
    <row r="23" spans="1:11" x14ac:dyDescent="0.25">
      <c r="A23" s="2">
        <v>46081</v>
      </c>
      <c r="B23" s="2" t="str">
        <f t="shared" si="0"/>
        <v>sáb</v>
      </c>
      <c r="C23" s="27">
        <v>0.79305555555555562</v>
      </c>
      <c r="D23" s="49">
        <v>18000</v>
      </c>
      <c r="F23" s="3" t="s">
        <v>216</v>
      </c>
      <c r="I23" s="25" t="s">
        <v>136</v>
      </c>
      <c r="J23" t="s">
        <v>203</v>
      </c>
      <c r="K23" t="s">
        <v>208</v>
      </c>
    </row>
    <row r="24" spans="1:11" x14ac:dyDescent="0.25">
      <c r="A24" s="2">
        <v>46081</v>
      </c>
      <c r="B24" s="2" t="str">
        <f t="shared" si="0"/>
        <v>sáb</v>
      </c>
      <c r="C24" s="27">
        <v>0.65208333333333335</v>
      </c>
      <c r="D24" s="49">
        <v>16000</v>
      </c>
      <c r="F24" s="3" t="s">
        <v>216</v>
      </c>
      <c r="I24" s="25" t="s">
        <v>136</v>
      </c>
      <c r="J24" t="s">
        <v>204</v>
      </c>
      <c r="K24" t="s">
        <v>206</v>
      </c>
    </row>
    <row r="25" spans="1:11" x14ac:dyDescent="0.25">
      <c r="A25" s="2">
        <v>46081</v>
      </c>
      <c r="B25" s="2" t="str">
        <f t="shared" si="0"/>
        <v>sáb</v>
      </c>
      <c r="C25" s="27">
        <v>0.65138888888888891</v>
      </c>
      <c r="D25" s="49">
        <v>13000</v>
      </c>
      <c r="F25" s="3" t="s">
        <v>216</v>
      </c>
      <c r="I25" s="25" t="s">
        <v>136</v>
      </c>
      <c r="J25" t="s">
        <v>192</v>
      </c>
      <c r="K25" t="s">
        <v>207</v>
      </c>
    </row>
    <row r="26" spans="1:11" x14ac:dyDescent="0.25">
      <c r="A26" s="2">
        <v>46084</v>
      </c>
      <c r="B26" s="2" t="str">
        <f t="shared" si="0"/>
        <v>mar</v>
      </c>
      <c r="C26" s="28"/>
      <c r="D26" s="98">
        <f>-(D18+D14)</f>
        <v>-27000</v>
      </c>
      <c r="E26" s="98"/>
      <c r="F26" s="3" t="s">
        <v>218</v>
      </c>
      <c r="I26" s="26" t="s">
        <v>141</v>
      </c>
      <c r="J26" t="s">
        <v>219</v>
      </c>
    </row>
    <row r="27" spans="1:11" x14ac:dyDescent="0.25">
      <c r="A27" s="2">
        <v>46084</v>
      </c>
      <c r="B27" s="2" t="str">
        <f t="shared" si="0"/>
        <v>mar</v>
      </c>
      <c r="C27" s="28"/>
      <c r="D27" s="49">
        <v>27000</v>
      </c>
      <c r="F27" s="3" t="s">
        <v>218</v>
      </c>
      <c r="I27" s="25" t="s">
        <v>136</v>
      </c>
      <c r="J27" t="s">
        <v>219</v>
      </c>
    </row>
    <row r="28" spans="1:11" x14ac:dyDescent="0.25">
      <c r="A28" s="2">
        <v>46084</v>
      </c>
      <c r="B28" s="2" t="str">
        <f t="shared" si="0"/>
        <v>mar</v>
      </c>
      <c r="C28" s="1"/>
      <c r="D28" s="49">
        <v>-619850</v>
      </c>
      <c r="F28" s="3" t="s">
        <v>218</v>
      </c>
      <c r="I28" s="25" t="s">
        <v>136</v>
      </c>
      <c r="J28" t="s">
        <v>215</v>
      </c>
    </row>
    <row r="29" spans="1:11" x14ac:dyDescent="0.25">
      <c r="A29" s="2">
        <v>46084</v>
      </c>
      <c r="B29" s="2" t="str">
        <f t="shared" si="0"/>
        <v>mar</v>
      </c>
      <c r="C29" s="1"/>
      <c r="D29" s="49">
        <v>33000</v>
      </c>
      <c r="F29" s="3" t="s">
        <v>216</v>
      </c>
      <c r="I29" s="25" t="s">
        <v>136</v>
      </c>
      <c r="J29" t="s">
        <v>220</v>
      </c>
    </row>
    <row r="30" spans="1:11" x14ac:dyDescent="0.25">
      <c r="A30" s="2">
        <v>46085</v>
      </c>
      <c r="B30" s="2" t="str">
        <f t="shared" si="0"/>
        <v>mié</v>
      </c>
      <c r="D30" s="49">
        <v>19000</v>
      </c>
      <c r="F30" s="3" t="s">
        <v>216</v>
      </c>
      <c r="I30" s="25" t="s">
        <v>136</v>
      </c>
      <c r="J30" t="s">
        <v>254</v>
      </c>
    </row>
    <row r="31" spans="1:11" x14ac:dyDescent="0.25">
      <c r="A31" s="2">
        <v>46085</v>
      </c>
      <c r="B31" s="2" t="str">
        <f t="shared" si="0"/>
        <v>mié</v>
      </c>
      <c r="D31" s="49">
        <v>8000</v>
      </c>
      <c r="F31" s="3" t="s">
        <v>216</v>
      </c>
      <c r="I31" s="25" t="s">
        <v>136</v>
      </c>
      <c r="J31" t="s">
        <v>253</v>
      </c>
    </row>
    <row r="32" spans="1:11" x14ac:dyDescent="0.25">
      <c r="A32" s="2">
        <v>46085</v>
      </c>
      <c r="B32" s="2" t="str">
        <f t="shared" si="0"/>
        <v>mié</v>
      </c>
      <c r="D32" s="49">
        <v>18000</v>
      </c>
      <c r="F32" s="3" t="s">
        <v>216</v>
      </c>
      <c r="I32" s="25" t="s">
        <v>136</v>
      </c>
      <c r="J32" t="s">
        <v>252</v>
      </c>
    </row>
    <row r="33" spans="1:14" x14ac:dyDescent="0.25">
      <c r="A33" s="2">
        <v>46085</v>
      </c>
      <c r="B33" s="2" t="str">
        <f t="shared" si="0"/>
        <v>mié</v>
      </c>
      <c r="D33" s="49">
        <v>8000</v>
      </c>
      <c r="F33" s="3" t="s">
        <v>216</v>
      </c>
      <c r="I33" s="25" t="s">
        <v>136</v>
      </c>
      <c r="J33" t="s">
        <v>251</v>
      </c>
    </row>
    <row r="34" spans="1:14" x14ac:dyDescent="0.25">
      <c r="A34" s="2">
        <v>46085</v>
      </c>
      <c r="B34" s="2" t="str">
        <f t="shared" si="0"/>
        <v>mié</v>
      </c>
      <c r="D34" s="49">
        <v>64000</v>
      </c>
      <c r="F34" s="3" t="s">
        <v>216</v>
      </c>
      <c r="I34" s="25" t="s">
        <v>136</v>
      </c>
      <c r="J34" t="s">
        <v>250</v>
      </c>
      <c r="N34" s="3">
        <f>+SUM(D30:D34)</f>
        <v>117000</v>
      </c>
    </row>
    <row r="35" spans="1:14" x14ac:dyDescent="0.25">
      <c r="A35" s="2">
        <v>46086</v>
      </c>
      <c r="B35" s="2" t="str">
        <f t="shared" si="0"/>
        <v>jue</v>
      </c>
      <c r="D35" s="49">
        <v>30000</v>
      </c>
      <c r="F35" s="3" t="s">
        <v>216</v>
      </c>
      <c r="I35" s="25" t="s">
        <v>136</v>
      </c>
      <c r="J35" t="s">
        <v>259</v>
      </c>
      <c r="N35" s="3" t="e">
        <f>#REF!+8000</f>
        <v>#REF!</v>
      </c>
    </row>
    <row r="36" spans="1:14" x14ac:dyDescent="0.25">
      <c r="A36" s="2">
        <v>46086</v>
      </c>
      <c r="B36" s="2" t="str">
        <f t="shared" si="0"/>
        <v>jue</v>
      </c>
      <c r="D36" s="49">
        <v>11000</v>
      </c>
      <c r="F36" s="3" t="s">
        <v>216</v>
      </c>
      <c r="I36" s="25" t="s">
        <v>136</v>
      </c>
      <c r="J36" t="s">
        <v>258</v>
      </c>
    </row>
    <row r="37" spans="1:14" x14ac:dyDescent="0.25">
      <c r="A37" s="2">
        <v>46086</v>
      </c>
      <c r="B37" s="2" t="str">
        <f t="shared" si="0"/>
        <v>jue</v>
      </c>
      <c r="D37" s="49">
        <v>16000</v>
      </c>
      <c r="F37" s="3" t="s">
        <v>216</v>
      </c>
      <c r="I37" s="25" t="s">
        <v>136</v>
      </c>
      <c r="J37" t="s">
        <v>257</v>
      </c>
    </row>
    <row r="38" spans="1:14" x14ac:dyDescent="0.25">
      <c r="A38" s="2">
        <v>46086</v>
      </c>
      <c r="B38" s="2" t="str">
        <f t="shared" si="0"/>
        <v>jue</v>
      </c>
      <c r="D38" s="49">
        <v>39500</v>
      </c>
      <c r="F38" s="3" t="s">
        <v>216</v>
      </c>
      <c r="I38" s="25" t="s">
        <v>136</v>
      </c>
      <c r="J38" t="s">
        <v>256</v>
      </c>
      <c r="N38" t="e">
        <f>+#REF!</f>
        <v>#REF!</v>
      </c>
    </row>
    <row r="39" spans="1:14" x14ac:dyDescent="0.25">
      <c r="A39" s="2">
        <v>46086</v>
      </c>
      <c r="B39" s="2" t="str">
        <f t="shared" si="0"/>
        <v>jue</v>
      </c>
      <c r="D39" s="49">
        <v>35000</v>
      </c>
      <c r="F39" s="3" t="s">
        <v>216</v>
      </c>
      <c r="I39" s="25" t="s">
        <v>136</v>
      </c>
      <c r="J39" t="s">
        <v>255</v>
      </c>
      <c r="N39" s="9">
        <f>+SUM(D35:D39)</f>
        <v>131500</v>
      </c>
    </row>
    <row r="40" spans="1:14" x14ac:dyDescent="0.25">
      <c r="A40" s="2">
        <v>46088</v>
      </c>
      <c r="B40" s="2" t="str">
        <f t="shared" si="0"/>
        <v>sáb</v>
      </c>
      <c r="D40" s="49">
        <v>28000</v>
      </c>
      <c r="F40" s="3" t="s">
        <v>216</v>
      </c>
      <c r="I40" s="25" t="s">
        <v>136</v>
      </c>
      <c r="J40" t="s">
        <v>305</v>
      </c>
      <c r="N40" s="9"/>
    </row>
    <row r="41" spans="1:14" x14ac:dyDescent="0.25">
      <c r="A41" s="2">
        <v>46088</v>
      </c>
      <c r="B41" s="2" t="str">
        <f t="shared" si="0"/>
        <v>sáb</v>
      </c>
      <c r="D41" s="49">
        <v>43000</v>
      </c>
      <c r="F41" s="3" t="s">
        <v>216</v>
      </c>
      <c r="I41" s="25"/>
      <c r="J41" t="s">
        <v>260</v>
      </c>
      <c r="N41" s="9"/>
    </row>
    <row r="42" spans="1:14" x14ac:dyDescent="0.25">
      <c r="A42" s="2">
        <v>46089</v>
      </c>
      <c r="B42" s="2" t="str">
        <f t="shared" si="0"/>
        <v>dom</v>
      </c>
      <c r="D42" s="49">
        <v>30000</v>
      </c>
      <c r="F42" s="3" t="s">
        <v>216</v>
      </c>
      <c r="I42" s="25" t="s">
        <v>136</v>
      </c>
      <c r="J42" t="s">
        <v>349</v>
      </c>
    </row>
    <row r="43" spans="1:14" x14ac:dyDescent="0.25">
      <c r="A43" s="2">
        <v>46089</v>
      </c>
      <c r="B43" s="2" t="str">
        <f t="shared" si="0"/>
        <v>dom</v>
      </c>
      <c r="D43" s="49">
        <v>54000</v>
      </c>
      <c r="F43" s="3" t="s">
        <v>216</v>
      </c>
      <c r="I43" s="25" t="s">
        <v>136</v>
      </c>
      <c r="J43" t="s">
        <v>351</v>
      </c>
    </row>
    <row r="44" spans="1:14" x14ac:dyDescent="0.25">
      <c r="A44" s="2">
        <v>46089</v>
      </c>
      <c r="B44" s="2" t="str">
        <f t="shared" si="0"/>
        <v>dom</v>
      </c>
      <c r="D44" s="49">
        <v>8000</v>
      </c>
      <c r="F44" s="3" t="s">
        <v>216</v>
      </c>
      <c r="I44" s="25" t="s">
        <v>136</v>
      </c>
      <c r="J44" t="s">
        <v>350</v>
      </c>
    </row>
    <row r="45" spans="1:14" x14ac:dyDescent="0.25">
      <c r="A45" s="2">
        <v>46089</v>
      </c>
      <c r="B45" s="2" t="str">
        <f t="shared" si="0"/>
        <v>dom</v>
      </c>
      <c r="D45" s="49">
        <v>30000</v>
      </c>
      <c r="F45" s="3" t="s">
        <v>216</v>
      </c>
      <c r="I45" s="25" t="s">
        <v>136</v>
      </c>
      <c r="J45" t="s">
        <v>352</v>
      </c>
    </row>
    <row r="46" spans="1:14" x14ac:dyDescent="0.25">
      <c r="A46" s="2" t="s">
        <v>0</v>
      </c>
      <c r="B46" s="2" t="str">
        <f>+TEXT(A46,"ddd")</f>
        <v xml:space="preserve"> </v>
      </c>
      <c r="C46" t="s">
        <v>261</v>
      </c>
      <c r="D46" s="60">
        <v>16000</v>
      </c>
      <c r="E46" s="60"/>
      <c r="F46" s="3" t="s">
        <v>216</v>
      </c>
      <c r="I46" s="25" t="s">
        <v>136</v>
      </c>
      <c r="J46" s="1" t="s">
        <v>306</v>
      </c>
    </row>
    <row r="47" spans="1:14" x14ac:dyDescent="0.25">
      <c r="A47" s="2">
        <v>46091</v>
      </c>
      <c r="B47" s="2" t="str">
        <f>+TEXT(A47,"ddd")</f>
        <v>mar</v>
      </c>
      <c r="D47" s="49">
        <v>90000</v>
      </c>
      <c r="F47" s="3" t="s">
        <v>216</v>
      </c>
      <c r="I47" s="25" t="s">
        <v>136</v>
      </c>
      <c r="J47" s="26" t="s">
        <v>340</v>
      </c>
    </row>
    <row r="48" spans="1:14" x14ac:dyDescent="0.25">
      <c r="A48" s="2">
        <v>46091</v>
      </c>
      <c r="B48" s="2" t="str">
        <f>+TEXT(A48,"ddd")</f>
        <v>mar</v>
      </c>
      <c r="D48" s="49">
        <v>-412000</v>
      </c>
      <c r="I48" s="25" t="s">
        <v>136</v>
      </c>
      <c r="J48" t="s">
        <v>341</v>
      </c>
    </row>
    <row r="49" spans="1:10" x14ac:dyDescent="0.25">
      <c r="A49" s="2">
        <v>46091</v>
      </c>
      <c r="B49" s="2" t="str">
        <f>+TEXT(A49,"ddd")</f>
        <v>mar</v>
      </c>
      <c r="D49" s="49">
        <v>30000</v>
      </c>
      <c r="F49" s="3" t="s">
        <v>216</v>
      </c>
      <c r="I49" s="25" t="s">
        <v>136</v>
      </c>
      <c r="J49" t="s">
        <v>342</v>
      </c>
    </row>
    <row r="50" spans="1:10" x14ac:dyDescent="0.25">
      <c r="A50" s="2">
        <v>46091</v>
      </c>
      <c r="B50" s="2" t="str">
        <f>+TEXT(A50,"ddd")</f>
        <v>mar</v>
      </c>
      <c r="D50" s="49">
        <v>11000</v>
      </c>
      <c r="F50" s="3" t="s">
        <v>216</v>
      </c>
      <c r="I50" s="25" t="s">
        <v>136</v>
      </c>
      <c r="J50" t="s">
        <v>339</v>
      </c>
    </row>
    <row r="51" spans="1:10" x14ac:dyDescent="0.25">
      <c r="A51" s="2">
        <v>46092</v>
      </c>
      <c r="B51" s="2" t="str">
        <f t="shared" ref="B51:B85" si="1">+TEXT(A51,"ddd")</f>
        <v>mié</v>
      </c>
      <c r="D51" s="49">
        <v>8000</v>
      </c>
      <c r="F51" s="3" t="s">
        <v>216</v>
      </c>
      <c r="I51" s="25" t="s">
        <v>136</v>
      </c>
      <c r="J51" t="s">
        <v>343</v>
      </c>
    </row>
    <row r="52" spans="1:10" x14ac:dyDescent="0.25">
      <c r="A52" s="2">
        <v>46092</v>
      </c>
      <c r="B52" s="2" t="str">
        <f t="shared" si="1"/>
        <v>mié</v>
      </c>
      <c r="D52" s="99">
        <v>24000</v>
      </c>
      <c r="E52" s="99"/>
      <c r="F52" s="3" t="s">
        <v>216</v>
      </c>
      <c r="I52" s="25" t="s">
        <v>136</v>
      </c>
      <c r="J52" t="s">
        <v>344</v>
      </c>
    </row>
    <row r="53" spans="1:10" x14ac:dyDescent="0.25">
      <c r="A53" s="2">
        <v>46092</v>
      </c>
      <c r="B53" s="2" t="str">
        <f t="shared" si="1"/>
        <v>mié</v>
      </c>
      <c r="D53" s="49">
        <v>22000</v>
      </c>
      <c r="F53" s="3" t="s">
        <v>216</v>
      </c>
      <c r="I53" s="25" t="s">
        <v>136</v>
      </c>
      <c r="J53" t="s">
        <v>339</v>
      </c>
    </row>
    <row r="54" spans="1:10" x14ac:dyDescent="0.25">
      <c r="A54" s="2">
        <v>46092</v>
      </c>
      <c r="B54" s="2" t="str">
        <f t="shared" si="1"/>
        <v>mié</v>
      </c>
      <c r="D54" s="49">
        <v>8000</v>
      </c>
      <c r="F54" s="3" t="s">
        <v>216</v>
      </c>
      <c r="I54" s="25" t="s">
        <v>136</v>
      </c>
      <c r="J54" t="s">
        <v>345</v>
      </c>
    </row>
    <row r="55" spans="1:10" x14ac:dyDescent="0.25">
      <c r="A55" s="2">
        <v>46092</v>
      </c>
      <c r="B55" s="2" t="str">
        <f t="shared" si="1"/>
        <v>mié</v>
      </c>
      <c r="D55" s="49">
        <v>32000</v>
      </c>
      <c r="F55" s="3" t="s">
        <v>216</v>
      </c>
      <c r="I55" s="25" t="s">
        <v>136</v>
      </c>
      <c r="J55" t="s">
        <v>348</v>
      </c>
    </row>
    <row r="56" spans="1:10" x14ac:dyDescent="0.25">
      <c r="A56" s="2">
        <v>46092</v>
      </c>
      <c r="B56" s="2" t="str">
        <f t="shared" si="1"/>
        <v>mié</v>
      </c>
      <c r="D56" s="49">
        <v>8000</v>
      </c>
      <c r="F56" s="3" t="s">
        <v>216</v>
      </c>
      <c r="I56" s="25" t="s">
        <v>136</v>
      </c>
      <c r="J56" t="s">
        <v>346</v>
      </c>
    </row>
    <row r="57" spans="1:10" x14ac:dyDescent="0.25">
      <c r="A57" s="2">
        <v>46092</v>
      </c>
      <c r="B57" s="2" t="str">
        <f t="shared" si="1"/>
        <v>mié</v>
      </c>
      <c r="D57" s="49">
        <v>11000</v>
      </c>
      <c r="F57" s="3" t="s">
        <v>216</v>
      </c>
      <c r="I57" s="25" t="s">
        <v>136</v>
      </c>
      <c r="J57" t="s">
        <v>347</v>
      </c>
    </row>
    <row r="58" spans="1:10" x14ac:dyDescent="0.25">
      <c r="A58" s="2">
        <v>46084</v>
      </c>
      <c r="B58" s="2" t="str">
        <f t="shared" si="1"/>
        <v>mar</v>
      </c>
      <c r="D58" s="49">
        <v>11000</v>
      </c>
      <c r="F58" s="3" t="s">
        <v>216</v>
      </c>
      <c r="I58" s="26" t="s">
        <v>141</v>
      </c>
    </row>
    <row r="59" spans="1:10" x14ac:dyDescent="0.25">
      <c r="A59" s="2">
        <v>46089</v>
      </c>
      <c r="B59" s="2" t="str">
        <f t="shared" si="1"/>
        <v>dom</v>
      </c>
      <c r="D59" s="49">
        <v>3000</v>
      </c>
      <c r="F59" s="3" t="s">
        <v>216</v>
      </c>
      <c r="I59" s="26" t="s">
        <v>141</v>
      </c>
    </row>
    <row r="60" spans="1:10" x14ac:dyDescent="0.25">
      <c r="A60" s="2">
        <v>46089</v>
      </c>
      <c r="B60" s="2" t="str">
        <f t="shared" si="1"/>
        <v>dom</v>
      </c>
      <c r="D60" s="49">
        <v>76000</v>
      </c>
      <c r="F60" s="3" t="s">
        <v>644</v>
      </c>
      <c r="I60" s="26" t="s">
        <v>141</v>
      </c>
    </row>
    <row r="61" spans="1:10" x14ac:dyDescent="0.25">
      <c r="A61" s="2">
        <v>46091</v>
      </c>
      <c r="B61" s="2" t="str">
        <f t="shared" si="1"/>
        <v>mar</v>
      </c>
      <c r="D61" s="49">
        <v>-90000</v>
      </c>
      <c r="F61" s="3" t="s">
        <v>218</v>
      </c>
      <c r="I61" s="26" t="s">
        <v>141</v>
      </c>
    </row>
    <row r="62" spans="1:10" x14ac:dyDescent="0.25">
      <c r="A62" s="2">
        <v>46092</v>
      </c>
      <c r="B62" s="2" t="str">
        <f t="shared" si="1"/>
        <v>mié</v>
      </c>
      <c r="D62" s="49">
        <v>1000</v>
      </c>
      <c r="F62" s="3" t="s">
        <v>216</v>
      </c>
      <c r="I62" s="26" t="s">
        <v>141</v>
      </c>
    </row>
    <row r="63" spans="1:10" x14ac:dyDescent="0.25">
      <c r="A63" s="2">
        <v>46092</v>
      </c>
      <c r="B63" s="2" t="str">
        <f t="shared" si="1"/>
        <v>mié</v>
      </c>
      <c r="D63" s="49">
        <v>22000</v>
      </c>
      <c r="F63" s="3" t="s">
        <v>216</v>
      </c>
      <c r="I63" s="26" t="s">
        <v>141</v>
      </c>
    </row>
    <row r="64" spans="1:10" x14ac:dyDescent="0.25">
      <c r="A64" s="2">
        <v>46093</v>
      </c>
      <c r="B64" s="2" t="str">
        <f t="shared" si="1"/>
        <v>jue</v>
      </c>
      <c r="D64" s="49">
        <v>82000</v>
      </c>
      <c r="F64" s="3" t="s">
        <v>216</v>
      </c>
      <c r="G64" s="77" t="s">
        <v>354</v>
      </c>
      <c r="I64" s="26" t="s">
        <v>141</v>
      </c>
    </row>
    <row r="65" spans="1:10" x14ac:dyDescent="0.25">
      <c r="A65" s="2">
        <v>46093</v>
      </c>
      <c r="B65" s="2" t="str">
        <f t="shared" si="1"/>
        <v>jue</v>
      </c>
      <c r="C65" s="27">
        <v>0.73124999999999996</v>
      </c>
      <c r="D65" s="49">
        <v>11000</v>
      </c>
      <c r="F65" s="3" t="s">
        <v>216</v>
      </c>
      <c r="G65" s="77" t="s">
        <v>367</v>
      </c>
      <c r="I65" s="25" t="s">
        <v>136</v>
      </c>
      <c r="J65" t="s">
        <v>339</v>
      </c>
    </row>
    <row r="66" spans="1:10" x14ac:dyDescent="0.25">
      <c r="A66" s="2">
        <v>46093</v>
      </c>
      <c r="B66" s="2" t="str">
        <f t="shared" si="1"/>
        <v>jue</v>
      </c>
      <c r="C66" s="27">
        <v>0.78611111111111109</v>
      </c>
      <c r="D66" s="49">
        <v>24000</v>
      </c>
      <c r="F66" s="3" t="s">
        <v>216</v>
      </c>
      <c r="G66" s="77" t="s">
        <v>368</v>
      </c>
      <c r="I66" s="25" t="s">
        <v>136</v>
      </c>
      <c r="J66" t="s">
        <v>362</v>
      </c>
    </row>
    <row r="67" spans="1:10" x14ac:dyDescent="0.25">
      <c r="A67" s="2">
        <v>46093</v>
      </c>
      <c r="B67" s="2" t="str">
        <f t="shared" si="1"/>
        <v>jue</v>
      </c>
      <c r="D67" s="49">
        <v>24000</v>
      </c>
      <c r="F67" s="3" t="s">
        <v>216</v>
      </c>
      <c r="G67" s="77" t="s">
        <v>392</v>
      </c>
      <c r="I67" s="25" t="s">
        <v>136</v>
      </c>
      <c r="J67" t="s">
        <v>363</v>
      </c>
    </row>
    <row r="68" spans="1:10" x14ac:dyDescent="0.25">
      <c r="A68" s="2">
        <v>46093</v>
      </c>
      <c r="B68" s="2" t="str">
        <f t="shared" si="1"/>
        <v>jue</v>
      </c>
      <c r="D68" s="49">
        <v>11000</v>
      </c>
      <c r="F68" s="3" t="s">
        <v>216</v>
      </c>
      <c r="I68" s="25" t="s">
        <v>136</v>
      </c>
      <c r="J68" t="s">
        <v>364</v>
      </c>
    </row>
    <row r="69" spans="1:10" x14ac:dyDescent="0.25">
      <c r="A69" s="2">
        <v>46095</v>
      </c>
      <c r="B69" s="2" t="str">
        <f t="shared" si="1"/>
        <v>sáb</v>
      </c>
      <c r="D69" s="49">
        <v>23000</v>
      </c>
      <c r="F69" s="3" t="s">
        <v>216</v>
      </c>
      <c r="G69" s="77" t="s">
        <v>354</v>
      </c>
      <c r="I69" s="26" t="s">
        <v>141</v>
      </c>
    </row>
    <row r="70" spans="1:10" x14ac:dyDescent="0.25">
      <c r="A70" s="2">
        <v>46095</v>
      </c>
      <c r="B70" s="2" t="str">
        <f t="shared" si="1"/>
        <v>sáb</v>
      </c>
      <c r="D70" s="49">
        <v>11000</v>
      </c>
      <c r="F70" s="3" t="s">
        <v>216</v>
      </c>
      <c r="G70" s="77" t="s">
        <v>390</v>
      </c>
      <c r="I70" s="25" t="s">
        <v>136</v>
      </c>
      <c r="J70" t="s">
        <v>384</v>
      </c>
    </row>
    <row r="71" spans="1:10" x14ac:dyDescent="0.25">
      <c r="A71" s="2">
        <v>46095</v>
      </c>
      <c r="B71" s="2" t="str">
        <f t="shared" si="1"/>
        <v>sáb</v>
      </c>
      <c r="D71" s="49">
        <v>11000</v>
      </c>
      <c r="F71" s="3" t="s">
        <v>216</v>
      </c>
      <c r="G71" s="77" t="s">
        <v>389</v>
      </c>
      <c r="I71" s="25" t="s">
        <v>136</v>
      </c>
      <c r="J71" t="s">
        <v>385</v>
      </c>
    </row>
    <row r="72" spans="1:10" x14ac:dyDescent="0.25">
      <c r="A72" s="2">
        <v>46095</v>
      </c>
      <c r="B72" s="2" t="str">
        <f t="shared" si="1"/>
        <v>sáb</v>
      </c>
      <c r="D72" s="49">
        <v>57500</v>
      </c>
      <c r="F72" s="3" t="s">
        <v>216</v>
      </c>
      <c r="G72" s="77"/>
      <c r="I72" s="25" t="s">
        <v>136</v>
      </c>
      <c r="J72" t="s">
        <v>386</v>
      </c>
    </row>
    <row r="73" spans="1:10" x14ac:dyDescent="0.25">
      <c r="A73" s="2">
        <v>46095</v>
      </c>
      <c r="B73" s="2" t="str">
        <f t="shared" si="1"/>
        <v>sáb</v>
      </c>
      <c r="D73" s="49">
        <v>13500</v>
      </c>
      <c r="F73" s="3" t="s">
        <v>216</v>
      </c>
      <c r="G73" s="77" t="s">
        <v>388</v>
      </c>
      <c r="I73" s="25" t="s">
        <v>136</v>
      </c>
      <c r="J73" t="s">
        <v>387</v>
      </c>
    </row>
    <row r="74" spans="1:10" x14ac:dyDescent="0.25">
      <c r="A74" s="2">
        <v>46096</v>
      </c>
      <c r="B74" s="2" t="str">
        <f t="shared" si="1"/>
        <v>dom</v>
      </c>
      <c r="D74" s="49">
        <v>19000</v>
      </c>
      <c r="F74" s="3" t="s">
        <v>216</v>
      </c>
      <c r="I74" s="25" t="s">
        <v>136</v>
      </c>
      <c r="J74" t="s">
        <v>407</v>
      </c>
    </row>
    <row r="75" spans="1:10" x14ac:dyDescent="0.25">
      <c r="A75" s="2">
        <v>46096</v>
      </c>
      <c r="B75" s="2" t="str">
        <f t="shared" si="1"/>
        <v>dom</v>
      </c>
      <c r="C75" s="27">
        <v>0.78819444444444442</v>
      </c>
      <c r="D75" s="49">
        <v>36000</v>
      </c>
      <c r="F75" s="3" t="s">
        <v>216</v>
      </c>
      <c r="I75" s="25" t="s">
        <v>136</v>
      </c>
      <c r="J75" t="s">
        <v>387</v>
      </c>
    </row>
    <row r="76" spans="1:10" x14ac:dyDescent="0.25">
      <c r="A76" s="2">
        <v>46097</v>
      </c>
      <c r="B76" s="2" t="str">
        <f t="shared" si="1"/>
        <v>lun</v>
      </c>
      <c r="D76" s="49">
        <v>10000</v>
      </c>
      <c r="F76" s="3" t="s">
        <v>216</v>
      </c>
      <c r="I76" s="25" t="s">
        <v>136</v>
      </c>
      <c r="J76" t="s">
        <v>408</v>
      </c>
    </row>
    <row r="77" spans="1:10" x14ac:dyDescent="0.25">
      <c r="A77" s="2">
        <v>46097</v>
      </c>
      <c r="B77" s="2" t="str">
        <f t="shared" si="1"/>
        <v>lun</v>
      </c>
      <c r="D77" s="49">
        <v>11000</v>
      </c>
      <c r="F77" s="3" t="s">
        <v>216</v>
      </c>
      <c r="I77" s="25" t="s">
        <v>136</v>
      </c>
      <c r="J77" t="s">
        <v>409</v>
      </c>
    </row>
    <row r="78" spans="1:10" x14ac:dyDescent="0.25">
      <c r="A78" s="2">
        <v>46098</v>
      </c>
      <c r="B78" s="2" t="str">
        <f t="shared" si="1"/>
        <v>mar</v>
      </c>
      <c r="D78" s="49">
        <v>8000</v>
      </c>
      <c r="F78" s="3" t="s">
        <v>216</v>
      </c>
      <c r="I78" s="26" t="s">
        <v>141</v>
      </c>
    </row>
    <row r="79" spans="1:10" x14ac:dyDescent="0.25">
      <c r="A79" s="2">
        <v>46098</v>
      </c>
      <c r="B79" s="2" t="str">
        <f t="shared" si="1"/>
        <v>mar</v>
      </c>
      <c r="D79" s="49">
        <v>15000</v>
      </c>
      <c r="F79" s="3" t="s">
        <v>216</v>
      </c>
      <c r="I79" s="26" t="s">
        <v>141</v>
      </c>
    </row>
    <row r="80" spans="1:10" x14ac:dyDescent="0.25">
      <c r="A80" s="2">
        <v>46098</v>
      </c>
      <c r="B80" s="2" t="str">
        <f t="shared" si="1"/>
        <v>mar</v>
      </c>
      <c r="C80" s="27">
        <v>0.66041666666666665</v>
      </c>
      <c r="D80" s="60">
        <v>50000</v>
      </c>
      <c r="F80" s="3" t="s">
        <v>216</v>
      </c>
      <c r="G80" s="77" t="s">
        <v>648</v>
      </c>
      <c r="I80" s="25" t="s">
        <v>136</v>
      </c>
      <c r="J80" t="s">
        <v>410</v>
      </c>
    </row>
    <row r="81" spans="1:10" x14ac:dyDescent="0.25">
      <c r="A81" s="2">
        <v>46098</v>
      </c>
      <c r="B81" s="2" t="str">
        <f t="shared" si="1"/>
        <v>mar</v>
      </c>
      <c r="D81" s="49">
        <v>11000</v>
      </c>
      <c r="F81" s="3" t="s">
        <v>216</v>
      </c>
      <c r="G81" s="77" t="s">
        <v>647</v>
      </c>
      <c r="I81" s="25" t="s">
        <v>136</v>
      </c>
      <c r="J81" t="s">
        <v>411</v>
      </c>
    </row>
    <row r="82" spans="1:10" x14ac:dyDescent="0.25">
      <c r="A82" s="2">
        <v>46098</v>
      </c>
      <c r="B82" s="2" t="str">
        <f t="shared" si="1"/>
        <v>mar</v>
      </c>
      <c r="D82" s="49">
        <v>8000</v>
      </c>
      <c r="F82" s="3" t="s">
        <v>216</v>
      </c>
      <c r="G82" s="77" t="s">
        <v>646</v>
      </c>
      <c r="I82" s="25" t="s">
        <v>136</v>
      </c>
      <c r="J82" t="s">
        <v>412</v>
      </c>
    </row>
    <row r="83" spans="1:10" x14ac:dyDescent="0.25">
      <c r="A83" s="2">
        <v>46098</v>
      </c>
      <c r="B83" s="2" t="str">
        <f t="shared" si="1"/>
        <v>mar</v>
      </c>
      <c r="D83" s="49">
        <v>9000</v>
      </c>
      <c r="F83" s="3" t="s">
        <v>216</v>
      </c>
      <c r="G83" s="77" t="s">
        <v>645</v>
      </c>
      <c r="I83" s="25" t="s">
        <v>136</v>
      </c>
      <c r="J83" t="s">
        <v>413</v>
      </c>
    </row>
    <row r="84" spans="1:10" x14ac:dyDescent="0.25">
      <c r="A84" s="2">
        <v>46098</v>
      </c>
      <c r="B84" s="2" t="str">
        <f t="shared" si="1"/>
        <v>mar</v>
      </c>
      <c r="D84" s="49">
        <f>-(40000+20000)</f>
        <v>-60000</v>
      </c>
      <c r="F84" s="3" t="s">
        <v>414</v>
      </c>
      <c r="I84" s="25" t="s">
        <v>136</v>
      </c>
      <c r="J84" t="s">
        <v>415</v>
      </c>
    </row>
    <row r="85" spans="1:10" x14ac:dyDescent="0.25">
      <c r="A85" s="2">
        <v>46099</v>
      </c>
      <c r="B85" s="2" t="str">
        <f t="shared" si="1"/>
        <v>mié</v>
      </c>
      <c r="D85" s="49">
        <v>344950</v>
      </c>
      <c r="F85" s="3" t="s">
        <v>133</v>
      </c>
      <c r="I85" s="25" t="s">
        <v>136</v>
      </c>
      <c r="J85" t="s">
        <v>421</v>
      </c>
    </row>
    <row r="86" spans="1:10" x14ac:dyDescent="0.25">
      <c r="A86" s="2">
        <v>46098</v>
      </c>
      <c r="B86" s="10" t="str">
        <f>+TEXT(A86,"ddd")</f>
        <v>mar</v>
      </c>
      <c r="C86" s="1"/>
      <c r="D86" s="60">
        <v>24000</v>
      </c>
      <c r="E86" s="60"/>
      <c r="F86" s="11" t="s">
        <v>216</v>
      </c>
      <c r="G86" s="11" t="s">
        <v>426</v>
      </c>
      <c r="H86" s="11" t="s">
        <v>365</v>
      </c>
      <c r="I86" s="25" t="s">
        <v>136</v>
      </c>
      <c r="J86" s="11" t="s">
        <v>423</v>
      </c>
    </row>
    <row r="87" spans="1:10" x14ac:dyDescent="0.25">
      <c r="A87" s="2">
        <v>46098</v>
      </c>
      <c r="B87" s="10" t="str">
        <f>+TEXT(A87,"ddd")</f>
        <v>mar</v>
      </c>
      <c r="C87" s="1"/>
      <c r="D87" s="60">
        <v>-24000</v>
      </c>
      <c r="E87" s="60"/>
      <c r="F87" s="11" t="s">
        <v>216</v>
      </c>
      <c r="G87" s="11" t="s">
        <v>426</v>
      </c>
      <c r="H87" s="11" t="s">
        <v>365</v>
      </c>
      <c r="I87" s="25" t="s">
        <v>136</v>
      </c>
      <c r="J87" s="11" t="s">
        <v>424</v>
      </c>
    </row>
    <row r="88" spans="1:10" x14ac:dyDescent="0.25">
      <c r="A88" s="2">
        <v>46098</v>
      </c>
      <c r="B88" s="10" t="str">
        <f>+TEXT(A88,"ddd")</f>
        <v>mar</v>
      </c>
      <c r="C88" s="1"/>
      <c r="D88" s="60">
        <f>8000*4</f>
        <v>32000</v>
      </c>
      <c r="E88" s="60"/>
      <c r="F88" s="11" t="s">
        <v>216</v>
      </c>
      <c r="G88" s="77" t="s">
        <v>425</v>
      </c>
      <c r="H88" s="11" t="s">
        <v>365</v>
      </c>
      <c r="I88" s="25" t="s">
        <v>136</v>
      </c>
      <c r="J88" s="11" t="s">
        <v>423</v>
      </c>
    </row>
    <row r="89" spans="1:10" x14ac:dyDescent="0.25">
      <c r="A89" s="2">
        <v>46099</v>
      </c>
      <c r="B89" s="2" t="str">
        <f t="shared" ref="B89:B92" si="2">+TEXT(A89,"ddd")</f>
        <v>mié</v>
      </c>
      <c r="D89" s="49">
        <v>-40000</v>
      </c>
      <c r="F89" s="3" t="s">
        <v>414</v>
      </c>
      <c r="I89" s="25" t="s">
        <v>136</v>
      </c>
      <c r="J89" t="s">
        <v>420</v>
      </c>
    </row>
    <row r="90" spans="1:10" x14ac:dyDescent="0.25">
      <c r="A90" s="2">
        <v>46099</v>
      </c>
      <c r="B90" s="2" t="str">
        <f t="shared" si="2"/>
        <v>mié</v>
      </c>
      <c r="D90" s="49">
        <v>-40000</v>
      </c>
      <c r="F90" s="3" t="s">
        <v>414</v>
      </c>
      <c r="I90" s="25" t="s">
        <v>136</v>
      </c>
      <c r="J90" t="s">
        <v>422</v>
      </c>
    </row>
    <row r="91" spans="1:10" x14ac:dyDescent="0.25">
      <c r="A91" s="2">
        <v>46099</v>
      </c>
      <c r="B91" s="2" t="str">
        <f t="shared" si="2"/>
        <v>mié</v>
      </c>
      <c r="D91" s="49">
        <v>-116000</v>
      </c>
      <c r="F91" s="3" t="s">
        <v>414</v>
      </c>
      <c r="I91" s="25" t="s">
        <v>136</v>
      </c>
      <c r="J91" s="11" t="s">
        <v>436</v>
      </c>
    </row>
    <row r="92" spans="1:10" x14ac:dyDescent="0.25">
      <c r="A92" s="2">
        <v>46099</v>
      </c>
      <c r="B92" s="2" t="str">
        <f t="shared" si="2"/>
        <v>mié</v>
      </c>
      <c r="D92" s="98">
        <f>+-8500-6000</f>
        <v>-14500</v>
      </c>
      <c r="E92" s="98"/>
      <c r="F92" s="3" t="s">
        <v>414</v>
      </c>
      <c r="I92" s="25" t="s">
        <v>136</v>
      </c>
      <c r="J92" s="11" t="s">
        <v>437</v>
      </c>
    </row>
    <row r="93" spans="1:10" x14ac:dyDescent="0.25">
      <c r="A93" s="2">
        <v>46099</v>
      </c>
      <c r="B93" s="2" t="str">
        <f>+TEXT(A93,"ddd")</f>
        <v>mié</v>
      </c>
      <c r="D93" s="98">
        <v>-50000</v>
      </c>
      <c r="E93" s="98"/>
      <c r="F93" s="3" t="s">
        <v>414</v>
      </c>
      <c r="I93" s="25" t="s">
        <v>136</v>
      </c>
      <c r="J93" t="s">
        <v>440</v>
      </c>
    </row>
    <row r="94" spans="1:10" x14ac:dyDescent="0.25">
      <c r="A94" s="2">
        <v>46099</v>
      </c>
      <c r="B94" s="2" t="str">
        <f t="shared" ref="B94:B115" si="3">+TEXT(A94,"ddd")</f>
        <v>mié</v>
      </c>
      <c r="D94" s="49">
        <v>38000</v>
      </c>
      <c r="F94" s="3" t="s">
        <v>216</v>
      </c>
      <c r="I94" s="25" t="s">
        <v>136</v>
      </c>
    </row>
    <row r="95" spans="1:10" x14ac:dyDescent="0.25">
      <c r="A95" s="2">
        <v>46099</v>
      </c>
      <c r="B95" s="2" t="str">
        <f t="shared" si="3"/>
        <v>mié</v>
      </c>
      <c r="D95" s="49">
        <v>16000</v>
      </c>
      <c r="F95" s="3" t="s">
        <v>216</v>
      </c>
      <c r="I95" s="25" t="s">
        <v>136</v>
      </c>
    </row>
    <row r="96" spans="1:10" x14ac:dyDescent="0.25">
      <c r="A96" s="2">
        <v>46099</v>
      </c>
      <c r="B96" s="2" t="str">
        <f t="shared" si="3"/>
        <v>mié</v>
      </c>
      <c r="D96" s="49">
        <v>8000</v>
      </c>
      <c r="F96" s="3" t="s">
        <v>216</v>
      </c>
      <c r="I96" s="25" t="s">
        <v>136</v>
      </c>
    </row>
    <row r="97" spans="1:10" x14ac:dyDescent="0.25">
      <c r="A97" s="2">
        <v>46099</v>
      </c>
      <c r="B97" s="2" t="str">
        <f t="shared" si="3"/>
        <v>mié</v>
      </c>
      <c r="D97" s="49">
        <v>9000</v>
      </c>
      <c r="F97" s="3" t="s">
        <v>216</v>
      </c>
      <c r="I97" s="25" t="s">
        <v>136</v>
      </c>
    </row>
    <row r="98" spans="1:10" x14ac:dyDescent="0.25">
      <c r="A98" s="2">
        <v>46100</v>
      </c>
      <c r="B98" s="2" t="str">
        <f t="shared" si="3"/>
        <v>jue</v>
      </c>
      <c r="D98" s="49">
        <v>11000</v>
      </c>
      <c r="F98" s="3" t="s">
        <v>216</v>
      </c>
      <c r="I98" s="26" t="s">
        <v>141</v>
      </c>
    </row>
    <row r="99" spans="1:10" x14ac:dyDescent="0.25">
      <c r="A99" s="2">
        <v>46100</v>
      </c>
      <c r="B99" s="2" t="str">
        <f t="shared" si="3"/>
        <v>jue</v>
      </c>
      <c r="D99" s="49">
        <v>8000</v>
      </c>
      <c r="F99" s="3" t="s">
        <v>216</v>
      </c>
      <c r="G99" s="101">
        <v>268</v>
      </c>
      <c r="I99" s="25" t="s">
        <v>136</v>
      </c>
      <c r="J99" t="s">
        <v>509</v>
      </c>
    </row>
    <row r="100" spans="1:10" x14ac:dyDescent="0.25">
      <c r="A100" s="2">
        <v>46100</v>
      </c>
      <c r="B100" s="2" t="str">
        <f t="shared" si="3"/>
        <v>jue</v>
      </c>
      <c r="D100" s="49">
        <v>14000</v>
      </c>
      <c r="F100" s="3" t="s">
        <v>216</v>
      </c>
      <c r="G100" s="102">
        <v>270</v>
      </c>
      <c r="I100" s="25" t="s">
        <v>136</v>
      </c>
      <c r="J100" t="s">
        <v>510</v>
      </c>
    </row>
    <row r="101" spans="1:10" x14ac:dyDescent="0.25">
      <c r="A101" s="2">
        <v>46100</v>
      </c>
      <c r="B101" s="2" t="str">
        <f t="shared" si="3"/>
        <v>jue</v>
      </c>
      <c r="D101" s="49">
        <v>8000</v>
      </c>
      <c r="F101" s="3" t="s">
        <v>216</v>
      </c>
      <c r="G101" s="102">
        <v>270</v>
      </c>
      <c r="I101" s="25" t="s">
        <v>136</v>
      </c>
      <c r="J101" t="s">
        <v>510</v>
      </c>
    </row>
    <row r="102" spans="1:10" x14ac:dyDescent="0.25">
      <c r="A102" s="2">
        <v>46100</v>
      </c>
      <c r="B102" s="2" t="str">
        <f t="shared" si="3"/>
        <v>jue</v>
      </c>
      <c r="D102" s="49">
        <v>30000</v>
      </c>
      <c r="F102" s="3" t="s">
        <v>216</v>
      </c>
      <c r="G102" s="101">
        <v>271</v>
      </c>
      <c r="I102" s="25" t="s">
        <v>136</v>
      </c>
      <c r="J102" t="s">
        <v>511</v>
      </c>
    </row>
    <row r="103" spans="1:10" x14ac:dyDescent="0.25">
      <c r="A103" s="2">
        <v>46100</v>
      </c>
      <c r="B103" s="2" t="str">
        <f t="shared" si="3"/>
        <v>jue</v>
      </c>
      <c r="D103" s="49">
        <v>19000</v>
      </c>
      <c r="F103" s="3" t="s">
        <v>216</v>
      </c>
      <c r="G103" s="100">
        <v>272</v>
      </c>
      <c r="I103" s="25" t="s">
        <v>136</v>
      </c>
      <c r="J103" t="s">
        <v>512</v>
      </c>
    </row>
    <row r="104" spans="1:10" x14ac:dyDescent="0.25">
      <c r="A104" s="2">
        <v>46100</v>
      </c>
      <c r="B104" s="2" t="str">
        <f t="shared" si="3"/>
        <v>jue</v>
      </c>
      <c r="D104" s="49">
        <v>16000</v>
      </c>
      <c r="F104" s="3" t="s">
        <v>216</v>
      </c>
      <c r="G104" s="101">
        <v>278</v>
      </c>
      <c r="I104" s="25" t="s">
        <v>136</v>
      </c>
      <c r="J104" t="s">
        <v>513</v>
      </c>
    </row>
    <row r="105" spans="1:10" x14ac:dyDescent="0.25">
      <c r="A105" s="2">
        <v>46100</v>
      </c>
      <c r="B105" s="2" t="str">
        <f t="shared" si="3"/>
        <v>jue</v>
      </c>
      <c r="D105" s="49">
        <v>16000</v>
      </c>
      <c r="F105" s="3" t="s">
        <v>216</v>
      </c>
      <c r="G105" s="100">
        <v>279</v>
      </c>
      <c r="I105" s="25" t="s">
        <v>136</v>
      </c>
      <c r="J105" t="s">
        <v>514</v>
      </c>
    </row>
    <row r="106" spans="1:10" x14ac:dyDescent="0.25">
      <c r="A106" s="2">
        <v>46100</v>
      </c>
      <c r="B106" s="2" t="str">
        <f t="shared" si="3"/>
        <v>jue</v>
      </c>
      <c r="D106" s="49">
        <v>2800</v>
      </c>
      <c r="F106" s="3" t="s">
        <v>216</v>
      </c>
      <c r="G106" s="101">
        <v>286</v>
      </c>
      <c r="I106" s="25" t="s">
        <v>136</v>
      </c>
      <c r="J106" t="s">
        <v>510</v>
      </c>
    </row>
    <row r="107" spans="1:10" x14ac:dyDescent="0.25">
      <c r="A107" s="2">
        <v>46100</v>
      </c>
      <c r="B107" s="2" t="str">
        <f t="shared" si="3"/>
        <v>jue</v>
      </c>
      <c r="C107" s="27">
        <v>0.79166666666666663</v>
      </c>
      <c r="D107" s="60">
        <v>8000</v>
      </c>
      <c r="E107" s="60"/>
      <c r="F107" s="3" t="s">
        <v>216</v>
      </c>
      <c r="G107" s="101">
        <v>282</v>
      </c>
      <c r="I107" s="25" t="s">
        <v>136</v>
      </c>
      <c r="J107" t="s">
        <v>515</v>
      </c>
    </row>
    <row r="108" spans="1:10" x14ac:dyDescent="0.25">
      <c r="A108" s="2">
        <v>46100</v>
      </c>
      <c r="B108" s="2" t="str">
        <f t="shared" si="3"/>
        <v>jue</v>
      </c>
      <c r="D108" s="49">
        <v>40000</v>
      </c>
      <c r="F108" s="3" t="s">
        <v>216</v>
      </c>
      <c r="G108" s="100">
        <v>285</v>
      </c>
      <c r="I108" s="25" t="s">
        <v>136</v>
      </c>
      <c r="J108" t="s">
        <v>516</v>
      </c>
    </row>
    <row r="109" spans="1:10" x14ac:dyDescent="0.25">
      <c r="A109" s="2">
        <v>46100</v>
      </c>
      <c r="B109" s="2" t="str">
        <f t="shared" si="3"/>
        <v>jue</v>
      </c>
      <c r="C109" s="27">
        <v>0.84930555555555554</v>
      </c>
      <c r="D109" s="60">
        <v>8000</v>
      </c>
      <c r="E109" s="60"/>
      <c r="F109" s="3" t="s">
        <v>216</v>
      </c>
      <c r="I109" s="25" t="s">
        <v>136</v>
      </c>
      <c r="J109" t="s">
        <v>518</v>
      </c>
    </row>
    <row r="110" spans="1:10" x14ac:dyDescent="0.25">
      <c r="A110" s="2">
        <v>46100</v>
      </c>
      <c r="B110" s="2" t="str">
        <f t="shared" si="3"/>
        <v>jue</v>
      </c>
      <c r="D110" s="49">
        <f>-40000-10000</f>
        <v>-50000</v>
      </c>
      <c r="F110" s="3" t="s">
        <v>414</v>
      </c>
      <c r="I110" s="25" t="s">
        <v>136</v>
      </c>
      <c r="J110" t="s">
        <v>403</v>
      </c>
    </row>
    <row r="111" spans="1:10" x14ac:dyDescent="0.25">
      <c r="A111" s="2">
        <v>46100</v>
      </c>
      <c r="B111" s="2" t="str">
        <f t="shared" si="3"/>
        <v>jue</v>
      </c>
      <c r="D111" s="49">
        <v>-404000</v>
      </c>
      <c r="F111" s="3" t="s">
        <v>216</v>
      </c>
      <c r="I111" s="25" t="s">
        <v>136</v>
      </c>
      <c r="J111" t="s">
        <v>517</v>
      </c>
    </row>
    <row r="112" spans="1:10" x14ac:dyDescent="0.25">
      <c r="A112" s="2">
        <v>46101</v>
      </c>
      <c r="B112" s="2" t="str">
        <f t="shared" si="3"/>
        <v>vie</v>
      </c>
      <c r="D112" s="49">
        <v>33000</v>
      </c>
      <c r="F112" s="3" t="s">
        <v>216</v>
      </c>
      <c r="I112" s="25" t="s">
        <v>136</v>
      </c>
      <c r="J112" t="s">
        <v>536</v>
      </c>
    </row>
    <row r="113" spans="1:10" x14ac:dyDescent="0.25">
      <c r="A113" s="2">
        <v>46101</v>
      </c>
      <c r="B113" s="2" t="str">
        <f t="shared" si="3"/>
        <v>vie</v>
      </c>
      <c r="D113" s="49">
        <v>32700</v>
      </c>
      <c r="F113" s="3" t="s">
        <v>216</v>
      </c>
      <c r="I113" s="25" t="s">
        <v>136</v>
      </c>
      <c r="J113" t="s">
        <v>535</v>
      </c>
    </row>
    <row r="114" spans="1:10" x14ac:dyDescent="0.25">
      <c r="A114" s="2">
        <v>46101</v>
      </c>
      <c r="B114" s="2" t="str">
        <f t="shared" si="3"/>
        <v>vie</v>
      </c>
      <c r="D114" s="49">
        <v>230000</v>
      </c>
      <c r="F114" s="3" t="s">
        <v>537</v>
      </c>
      <c r="I114" s="25" t="s">
        <v>136</v>
      </c>
      <c r="J114" t="s">
        <v>538</v>
      </c>
    </row>
    <row r="115" spans="1:10" x14ac:dyDescent="0.25">
      <c r="A115" s="2">
        <v>46101</v>
      </c>
      <c r="B115" s="2" t="str">
        <f t="shared" si="3"/>
        <v>vie</v>
      </c>
      <c r="D115" s="49">
        <v>-21000</v>
      </c>
      <c r="F115" s="3" t="s">
        <v>414</v>
      </c>
      <c r="I115" s="25" t="s">
        <v>136</v>
      </c>
      <c r="J115" t="s">
        <v>539</v>
      </c>
    </row>
    <row r="116" spans="1:10" x14ac:dyDescent="0.25">
      <c r="A116" s="2">
        <v>46102</v>
      </c>
      <c r="B116" s="2" t="str">
        <f>+TEXT(A116,"ddd")</f>
        <v>sáb</v>
      </c>
      <c r="D116" s="49">
        <v>11000</v>
      </c>
      <c r="F116" s="3" t="s">
        <v>216</v>
      </c>
      <c r="I116" s="25" t="s">
        <v>136</v>
      </c>
      <c r="J116" t="s">
        <v>574</v>
      </c>
    </row>
    <row r="117" spans="1:10" x14ac:dyDescent="0.25">
      <c r="A117" s="2">
        <v>46105</v>
      </c>
      <c r="B117" s="2" t="str">
        <f t="shared" ref="B117" si="4">+TEXT(A117,"ddd")</f>
        <v>mar</v>
      </c>
      <c r="D117" s="49">
        <v>27000</v>
      </c>
      <c r="F117" s="3" t="s">
        <v>216</v>
      </c>
      <c r="I117" s="26" t="s">
        <v>141</v>
      </c>
    </row>
    <row r="118" spans="1:10" x14ac:dyDescent="0.25">
      <c r="A118" s="2">
        <v>46105</v>
      </c>
      <c r="B118" s="2" t="str">
        <f>+TEXT(A118,"ddd")</f>
        <v>mar</v>
      </c>
      <c r="D118" s="49">
        <v>13000</v>
      </c>
      <c r="F118" s="3" t="s">
        <v>216</v>
      </c>
      <c r="I118" s="25" t="s">
        <v>136</v>
      </c>
    </row>
    <row r="119" spans="1:10" x14ac:dyDescent="0.25">
      <c r="A119" s="2">
        <v>46105</v>
      </c>
      <c r="B119" s="2" t="str">
        <f t="shared" ref="B119:B128" si="5">+TEXT(A119,"ddd")</f>
        <v>mar</v>
      </c>
      <c r="D119" s="49">
        <v>10000</v>
      </c>
      <c r="F119" s="3" t="s">
        <v>216</v>
      </c>
      <c r="I119" s="25" t="s">
        <v>136</v>
      </c>
    </row>
    <row r="120" spans="1:10" x14ac:dyDescent="0.25">
      <c r="A120" s="2">
        <v>46105</v>
      </c>
      <c r="B120" s="2" t="str">
        <f t="shared" si="5"/>
        <v>mar</v>
      </c>
      <c r="D120" s="49">
        <v>16000</v>
      </c>
      <c r="F120" s="3" t="s">
        <v>216</v>
      </c>
      <c r="I120" s="25" t="s">
        <v>136</v>
      </c>
    </row>
    <row r="121" spans="1:10" x14ac:dyDescent="0.25">
      <c r="A121" s="2">
        <v>46105</v>
      </c>
      <c r="B121" s="2" t="str">
        <f t="shared" si="5"/>
        <v>mar</v>
      </c>
      <c r="D121" s="49">
        <v>88000</v>
      </c>
      <c r="F121" s="3" t="s">
        <v>216</v>
      </c>
      <c r="I121" s="25" t="s">
        <v>136</v>
      </c>
    </row>
    <row r="122" spans="1:10" x14ac:dyDescent="0.25">
      <c r="A122" s="2">
        <v>46106</v>
      </c>
      <c r="B122" s="2" t="str">
        <f t="shared" si="5"/>
        <v>mié</v>
      </c>
      <c r="D122" s="49">
        <v>11000</v>
      </c>
      <c r="F122" s="3" t="s">
        <v>216</v>
      </c>
      <c r="I122" s="26" t="s">
        <v>141</v>
      </c>
    </row>
    <row r="123" spans="1:10" x14ac:dyDescent="0.25">
      <c r="A123" s="2">
        <v>46106</v>
      </c>
      <c r="B123" s="2" t="str">
        <f t="shared" si="5"/>
        <v>mié</v>
      </c>
      <c r="D123" s="49">
        <v>4000</v>
      </c>
      <c r="F123" s="3" t="s">
        <v>216</v>
      </c>
      <c r="I123" s="25" t="s">
        <v>136</v>
      </c>
      <c r="J123" t="s">
        <v>611</v>
      </c>
    </row>
    <row r="124" spans="1:10" x14ac:dyDescent="0.25">
      <c r="A124" s="2">
        <v>46106</v>
      </c>
      <c r="B124" s="2" t="str">
        <f t="shared" si="5"/>
        <v>mié</v>
      </c>
      <c r="D124" s="49">
        <v>11000</v>
      </c>
      <c r="F124" s="3" t="s">
        <v>216</v>
      </c>
      <c r="I124" s="25" t="s">
        <v>136</v>
      </c>
      <c r="J124" t="s">
        <v>610</v>
      </c>
    </row>
    <row r="125" spans="1:10" x14ac:dyDescent="0.25">
      <c r="A125" s="2">
        <v>46106</v>
      </c>
      <c r="B125" s="2" t="str">
        <f t="shared" si="5"/>
        <v>mié</v>
      </c>
      <c r="D125" s="60">
        <v>33000</v>
      </c>
      <c r="E125" s="60"/>
      <c r="F125" s="3" t="s">
        <v>216</v>
      </c>
      <c r="I125" s="25" t="s">
        <v>136</v>
      </c>
      <c r="J125" t="s">
        <v>612</v>
      </c>
    </row>
    <row r="126" spans="1:10" x14ac:dyDescent="0.25">
      <c r="A126" s="2">
        <v>46106</v>
      </c>
      <c r="B126" s="2" t="str">
        <f t="shared" si="5"/>
        <v>mié</v>
      </c>
      <c r="D126" s="49">
        <v>-154000</v>
      </c>
      <c r="F126" s="3" t="s">
        <v>414</v>
      </c>
      <c r="I126" s="25" t="s">
        <v>136</v>
      </c>
      <c r="J126" t="s">
        <v>613</v>
      </c>
    </row>
    <row r="127" spans="1:10" x14ac:dyDescent="0.25">
      <c r="A127" s="2">
        <v>46107</v>
      </c>
      <c r="B127" s="2" t="str">
        <f t="shared" si="5"/>
        <v>jue</v>
      </c>
      <c r="C127" s="27">
        <v>0.77152777777777781</v>
      </c>
      <c r="D127" s="49">
        <v>16000</v>
      </c>
      <c r="F127" s="3" t="s">
        <v>216</v>
      </c>
      <c r="I127" s="25" t="s">
        <v>136</v>
      </c>
      <c r="J127" t="s">
        <v>640</v>
      </c>
    </row>
    <row r="128" spans="1:10" x14ac:dyDescent="0.25">
      <c r="A128" s="2">
        <v>46107</v>
      </c>
      <c r="B128" s="2" t="str">
        <f t="shared" si="5"/>
        <v>jue</v>
      </c>
      <c r="C128" s="27">
        <v>0.77777777777777779</v>
      </c>
      <c r="D128" s="49">
        <v>8000</v>
      </c>
      <c r="F128" s="3" t="s">
        <v>216</v>
      </c>
      <c r="I128" s="25" t="s">
        <v>136</v>
      </c>
      <c r="J128" t="s">
        <v>639</v>
      </c>
    </row>
  </sheetData>
  <autoFilter ref="A5:K128"/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66FF"/>
  </sheetPr>
  <dimension ref="A1:E30"/>
  <sheetViews>
    <sheetView topLeftCell="A7" workbookViewId="0">
      <selection activeCell="D6" sqref="D6"/>
    </sheetView>
  </sheetViews>
  <sheetFormatPr baseColWidth="10" defaultRowHeight="15" x14ac:dyDescent="0.25"/>
  <cols>
    <col min="1" max="1" width="17.5703125" bestFit="1" customWidth="1"/>
    <col min="2" max="2" width="13.42578125" bestFit="1" customWidth="1"/>
    <col min="5" max="5" width="9.28515625" bestFit="1" customWidth="1"/>
  </cols>
  <sheetData>
    <row r="1" spans="1:5" x14ac:dyDescent="0.25">
      <c r="A1" s="7" t="s">
        <v>150</v>
      </c>
      <c r="B1" t="s">
        <v>136</v>
      </c>
    </row>
    <row r="3" spans="1:5" x14ac:dyDescent="0.25">
      <c r="A3" s="7" t="s">
        <v>32</v>
      </c>
      <c r="B3" t="s">
        <v>34</v>
      </c>
      <c r="C3" s="15" t="s">
        <v>162</v>
      </c>
      <c r="E3" s="15" t="s">
        <v>673</v>
      </c>
    </row>
    <row r="4" spans="1:5" x14ac:dyDescent="0.25">
      <c r="A4" s="220">
        <v>46076</v>
      </c>
      <c r="B4" s="32">
        <v>30500</v>
      </c>
    </row>
    <row r="5" spans="1:5" x14ac:dyDescent="0.25">
      <c r="A5" s="220">
        <v>46077</v>
      </c>
      <c r="B5" s="32">
        <v>11000</v>
      </c>
      <c r="C5" s="32">
        <f>+B4+B5</f>
        <v>41500</v>
      </c>
      <c r="D5" s="32" t="e">
        <f ca="1">+_xlfn.XLOOKUP(A5,'[1]inf_Libro Auxiliar'!$A:$A,'[1]inf_Libro Auxiliar'!$G:$G)</f>
        <v>#NAME?</v>
      </c>
      <c r="E5" s="32" t="e">
        <f ca="1">+C5-D5</f>
        <v>#NAME?</v>
      </c>
    </row>
    <row r="6" spans="1:5" x14ac:dyDescent="0.25">
      <c r="A6" s="220">
        <v>46078</v>
      </c>
      <c r="B6" s="32">
        <v>46500</v>
      </c>
      <c r="C6" s="32">
        <f>+C5+B6</f>
        <v>88000</v>
      </c>
      <c r="D6" s="32" t="e">
        <f ca="1">+_xlfn.XLOOKUP(A6,'[1]inf_Libro Auxiliar'!$A:$A,'[1]inf_Libro Auxiliar'!$G:$G)</f>
        <v>#NAME?</v>
      </c>
      <c r="E6" s="32" t="e">
        <f t="shared" ref="E6:E30" ca="1" si="0">+C6-D6</f>
        <v>#NAME?</v>
      </c>
    </row>
    <row r="7" spans="1:5" x14ac:dyDescent="0.25">
      <c r="A7" s="220">
        <v>46079</v>
      </c>
      <c r="B7" s="32">
        <v>125000</v>
      </c>
      <c r="C7" s="32">
        <f t="shared" ref="C7:C29" si="1">+C6+B7</f>
        <v>213000</v>
      </c>
      <c r="D7" s="32" t="e">
        <f ca="1">+_xlfn.XLOOKUP(A7,'[1]inf_Libro Auxiliar'!$A:$A,'[1]inf_Libro Auxiliar'!$G:$G)</f>
        <v>#NAME?</v>
      </c>
      <c r="E7" s="32" t="e">
        <f t="shared" ca="1" si="0"/>
        <v>#NAME?</v>
      </c>
    </row>
    <row r="8" spans="1:5" x14ac:dyDescent="0.25">
      <c r="A8" s="220">
        <v>46080</v>
      </c>
      <c r="B8" s="32">
        <v>45000</v>
      </c>
      <c r="C8" s="32">
        <f t="shared" si="1"/>
        <v>258000</v>
      </c>
      <c r="D8" s="32" t="e">
        <f ca="1">+_xlfn.XLOOKUP(A8,'[1]inf_Libro Auxiliar'!$A:$A,'[1]inf_Libro Auxiliar'!$G:$G)</f>
        <v>#NAME?</v>
      </c>
      <c r="E8" s="32" t="e">
        <f t="shared" ca="1" si="0"/>
        <v>#NAME?</v>
      </c>
    </row>
    <row r="9" spans="1:5" x14ac:dyDescent="0.25">
      <c r="A9" s="220">
        <v>46081</v>
      </c>
      <c r="B9" s="32">
        <v>327000</v>
      </c>
      <c r="C9" s="32">
        <f t="shared" si="1"/>
        <v>585000</v>
      </c>
      <c r="D9" s="32" t="e">
        <f ca="1">+_xlfn.XLOOKUP(A9,'[1]inf_Libro Auxiliar'!$A:$A,'[1]inf_Libro Auxiliar'!$G:$G)</f>
        <v>#NAME?</v>
      </c>
      <c r="E9" s="32" t="e">
        <f t="shared" ca="1" si="0"/>
        <v>#NAME?</v>
      </c>
    </row>
    <row r="10" spans="1:5" x14ac:dyDescent="0.25">
      <c r="A10" s="220">
        <v>46084</v>
      </c>
      <c r="B10" s="32">
        <v>-539850</v>
      </c>
      <c r="C10" s="32">
        <f t="shared" si="1"/>
        <v>45150</v>
      </c>
      <c r="D10" s="32" t="e">
        <f ca="1">+_xlfn.XLOOKUP(A10,'[1]inf_Libro Auxiliar'!$A:$A,'[1]inf_Libro Auxiliar'!$G:$G)</f>
        <v>#NAME?</v>
      </c>
      <c r="E10" s="32" t="e">
        <f t="shared" ca="1" si="0"/>
        <v>#NAME?</v>
      </c>
    </row>
    <row r="11" spans="1:5" x14ac:dyDescent="0.25">
      <c r="A11" s="220">
        <v>46085</v>
      </c>
      <c r="B11" s="32">
        <v>117000</v>
      </c>
      <c r="C11" s="32">
        <f t="shared" si="1"/>
        <v>162150</v>
      </c>
      <c r="D11" s="32" t="e">
        <f ca="1">+_xlfn.XLOOKUP(A11,'[1]inf_Libro Auxiliar'!$A:$A,'[1]inf_Libro Auxiliar'!$G:$G)</f>
        <v>#NAME?</v>
      </c>
      <c r="E11" s="32" t="e">
        <f t="shared" ca="1" si="0"/>
        <v>#NAME?</v>
      </c>
    </row>
    <row r="12" spans="1:5" x14ac:dyDescent="0.25">
      <c r="A12" s="220">
        <v>46086</v>
      </c>
      <c r="B12" s="32">
        <v>131500</v>
      </c>
      <c r="C12" s="32">
        <f t="shared" si="1"/>
        <v>293650</v>
      </c>
      <c r="D12" s="32" t="e">
        <f ca="1">+_xlfn.XLOOKUP(A12,'[1]inf_Libro Auxiliar'!$A:$A,'[1]inf_Libro Auxiliar'!$G:$G)</f>
        <v>#NAME?</v>
      </c>
      <c r="E12" s="32" t="e">
        <f t="shared" ca="1" si="0"/>
        <v>#NAME?</v>
      </c>
    </row>
    <row r="13" spans="1:5" x14ac:dyDescent="0.25">
      <c r="A13" s="220">
        <v>46088</v>
      </c>
      <c r="B13" s="32">
        <v>71000</v>
      </c>
      <c r="C13" s="32">
        <f t="shared" si="1"/>
        <v>364650</v>
      </c>
      <c r="D13" s="32" t="e">
        <f ca="1">+_xlfn.XLOOKUP(A13,'[1]inf_Libro Auxiliar'!$A:$A,'[1]inf_Libro Auxiliar'!$G:$G)</f>
        <v>#NAME?</v>
      </c>
      <c r="E13" s="32" t="e">
        <f t="shared" ca="1" si="0"/>
        <v>#NAME?</v>
      </c>
    </row>
    <row r="14" spans="1:5" x14ac:dyDescent="0.25">
      <c r="A14" s="220">
        <v>46089</v>
      </c>
      <c r="B14" s="32">
        <v>138000</v>
      </c>
      <c r="C14" s="32">
        <f t="shared" si="1"/>
        <v>502650</v>
      </c>
      <c r="D14" s="32" t="e">
        <f ca="1">+_xlfn.XLOOKUP(A14,'[1]inf_Libro Auxiliar'!$A:$A,'[1]inf_Libro Auxiliar'!$G:$G)</f>
        <v>#NAME?</v>
      </c>
      <c r="E14" s="32" t="e">
        <f t="shared" ca="1" si="0"/>
        <v>#NAME?</v>
      </c>
    </row>
    <row r="15" spans="1:5" x14ac:dyDescent="0.25">
      <c r="A15" s="220">
        <v>46091</v>
      </c>
      <c r="B15" s="32">
        <v>-281000</v>
      </c>
      <c r="C15" s="32">
        <f t="shared" si="1"/>
        <v>221650</v>
      </c>
      <c r="D15" s="32" t="e">
        <f ca="1">+_xlfn.XLOOKUP(A15,'[1]inf_Libro Auxiliar'!$A:$A,'[1]inf_Libro Auxiliar'!$G:$G)</f>
        <v>#NAME?</v>
      </c>
      <c r="E15" s="32" t="e">
        <f t="shared" ca="1" si="0"/>
        <v>#NAME?</v>
      </c>
    </row>
    <row r="16" spans="1:5" x14ac:dyDescent="0.25">
      <c r="A16" s="220">
        <v>46092</v>
      </c>
      <c r="B16" s="32">
        <v>113000</v>
      </c>
      <c r="C16" s="32">
        <f t="shared" si="1"/>
        <v>334650</v>
      </c>
      <c r="D16" s="32" t="e">
        <f ca="1">+_xlfn.XLOOKUP(A16,'[1]inf_Libro Auxiliar'!$A:$A,'[1]inf_Libro Auxiliar'!$G:$G)</f>
        <v>#NAME?</v>
      </c>
      <c r="E16" s="32" t="e">
        <f t="shared" ca="1" si="0"/>
        <v>#NAME?</v>
      </c>
    </row>
    <row r="17" spans="1:5" x14ac:dyDescent="0.25">
      <c r="A17" s="220">
        <v>46093</v>
      </c>
      <c r="B17" s="32">
        <v>70000</v>
      </c>
      <c r="C17" s="32">
        <f t="shared" si="1"/>
        <v>404650</v>
      </c>
      <c r="D17" s="32" t="e">
        <f ca="1">+_xlfn.XLOOKUP(A17,'[1]inf_Libro Auxiliar'!$A:$A,'[1]inf_Libro Auxiliar'!$G:$G)</f>
        <v>#NAME?</v>
      </c>
      <c r="E17" s="32" t="e">
        <f t="shared" ca="1" si="0"/>
        <v>#NAME?</v>
      </c>
    </row>
    <row r="18" spans="1:5" x14ac:dyDescent="0.25">
      <c r="A18" s="220">
        <v>46095</v>
      </c>
      <c r="B18" s="32">
        <v>93000</v>
      </c>
      <c r="C18" s="32">
        <f t="shared" si="1"/>
        <v>497650</v>
      </c>
      <c r="D18" s="32" t="e">
        <f ca="1">+_xlfn.XLOOKUP(A18,'[1]inf_Libro Auxiliar'!$A:$A,'[1]inf_Libro Auxiliar'!$G:$G)</f>
        <v>#NAME?</v>
      </c>
      <c r="E18" s="32" t="e">
        <f t="shared" ca="1" si="0"/>
        <v>#NAME?</v>
      </c>
    </row>
    <row r="19" spans="1:5" x14ac:dyDescent="0.25">
      <c r="A19" s="220">
        <v>46096</v>
      </c>
      <c r="B19" s="32">
        <v>55000</v>
      </c>
      <c r="C19" s="32">
        <f t="shared" si="1"/>
        <v>552650</v>
      </c>
      <c r="D19" s="32" t="e">
        <f ca="1">+_xlfn.XLOOKUP(A19,'[1]inf_Libro Auxiliar'!$A:$A,'[1]inf_Libro Auxiliar'!$G:$G)</f>
        <v>#NAME?</v>
      </c>
      <c r="E19" s="32" t="e">
        <f t="shared" ca="1" si="0"/>
        <v>#NAME?</v>
      </c>
    </row>
    <row r="20" spans="1:5" x14ac:dyDescent="0.25">
      <c r="A20" s="220">
        <v>46097</v>
      </c>
      <c r="B20" s="32">
        <v>21000</v>
      </c>
      <c r="C20" s="32">
        <f t="shared" si="1"/>
        <v>573650</v>
      </c>
      <c r="D20" s="32" t="e">
        <f ca="1">+_xlfn.XLOOKUP(A20,'[1]inf_Libro Auxiliar'!$A:$A,'[1]inf_Libro Auxiliar'!$G:$G)</f>
        <v>#NAME?</v>
      </c>
      <c r="E20" s="32" t="e">
        <f t="shared" ca="1" si="0"/>
        <v>#NAME?</v>
      </c>
    </row>
    <row r="21" spans="1:5" x14ac:dyDescent="0.25">
      <c r="A21" s="220">
        <v>46098</v>
      </c>
      <c r="B21" s="32">
        <v>50000</v>
      </c>
      <c r="C21" s="32">
        <f t="shared" si="1"/>
        <v>623650</v>
      </c>
      <c r="D21" s="32" t="e">
        <f ca="1">+_xlfn.XLOOKUP(A21,'[1]inf_Libro Auxiliar'!$A:$A,'[1]inf_Libro Auxiliar'!$G:$G)</f>
        <v>#NAME?</v>
      </c>
      <c r="E21" s="32" t="e">
        <f t="shared" ca="1" si="0"/>
        <v>#NAME?</v>
      </c>
    </row>
    <row r="22" spans="1:5" x14ac:dyDescent="0.25">
      <c r="A22" s="220">
        <v>46099</v>
      </c>
      <c r="B22" s="32">
        <v>155450</v>
      </c>
      <c r="C22" s="32">
        <f t="shared" si="1"/>
        <v>779100</v>
      </c>
      <c r="D22" s="32" t="e">
        <f ca="1">+_xlfn.XLOOKUP(A22,'[1]inf_Libro Auxiliar'!$A:$A,'[1]inf_Libro Auxiliar'!$G:$G)</f>
        <v>#NAME?</v>
      </c>
      <c r="E22" s="32" t="e">
        <f t="shared" ca="1" si="0"/>
        <v>#NAME?</v>
      </c>
    </row>
    <row r="23" spans="1:5" x14ac:dyDescent="0.25">
      <c r="A23" s="220">
        <v>46100</v>
      </c>
      <c r="B23" s="32">
        <v>-284200</v>
      </c>
      <c r="C23" s="32">
        <f t="shared" si="1"/>
        <v>494900</v>
      </c>
      <c r="D23" s="32" t="e">
        <f ca="1">+_xlfn.XLOOKUP(A23,'[1]inf_Libro Auxiliar'!$A:$A,'[1]inf_Libro Auxiliar'!$G:$G)</f>
        <v>#NAME?</v>
      </c>
      <c r="E23" s="32" t="e">
        <f t="shared" ca="1" si="0"/>
        <v>#NAME?</v>
      </c>
    </row>
    <row r="24" spans="1:5" x14ac:dyDescent="0.25">
      <c r="A24" s="220">
        <v>46101</v>
      </c>
      <c r="B24" s="32">
        <v>274700</v>
      </c>
      <c r="C24" s="32">
        <f t="shared" si="1"/>
        <v>769600</v>
      </c>
      <c r="D24" s="32" t="e">
        <f ca="1">+_xlfn.XLOOKUP(A24,'[1]inf_Libro Auxiliar'!$A:$A,'[1]inf_Libro Auxiliar'!$G:$G)</f>
        <v>#NAME?</v>
      </c>
      <c r="E24" s="32" t="e">
        <f t="shared" ca="1" si="0"/>
        <v>#NAME?</v>
      </c>
    </row>
    <row r="25" spans="1:5" x14ac:dyDescent="0.25">
      <c r="A25" s="220">
        <v>46102</v>
      </c>
      <c r="B25" s="32">
        <v>11000</v>
      </c>
      <c r="C25" s="32">
        <f t="shared" si="1"/>
        <v>780600</v>
      </c>
      <c r="D25" s="32" t="e">
        <f ca="1">+_xlfn.XLOOKUP(A25,'[1]inf_Libro Auxiliar'!$A:$A,'[1]inf_Libro Auxiliar'!$G:$G)</f>
        <v>#NAME?</v>
      </c>
      <c r="E25" s="32" t="e">
        <f t="shared" ca="1" si="0"/>
        <v>#NAME?</v>
      </c>
    </row>
    <row r="26" spans="1:5" x14ac:dyDescent="0.25">
      <c r="A26" s="220">
        <v>46105</v>
      </c>
      <c r="B26" s="32">
        <v>127000</v>
      </c>
      <c r="C26" s="32">
        <f t="shared" si="1"/>
        <v>907600</v>
      </c>
      <c r="D26" s="32" t="e">
        <f ca="1">+_xlfn.XLOOKUP(A26,'[1]inf_Libro Auxiliar'!$A:$A,'[1]inf_Libro Auxiliar'!$G:$G)</f>
        <v>#NAME?</v>
      </c>
      <c r="E26" s="32" t="e">
        <f t="shared" ca="1" si="0"/>
        <v>#NAME?</v>
      </c>
    </row>
    <row r="27" spans="1:5" x14ac:dyDescent="0.25">
      <c r="A27" s="220">
        <v>46106</v>
      </c>
      <c r="B27" s="32">
        <v>-106000</v>
      </c>
      <c r="C27" s="32">
        <f t="shared" si="1"/>
        <v>801600</v>
      </c>
      <c r="D27" s="32" t="e">
        <f ca="1">+_xlfn.XLOOKUP(A27,'[1]inf_Libro Auxiliar'!$A:$A,'[1]inf_Libro Auxiliar'!$G:$G)</f>
        <v>#NAME?</v>
      </c>
      <c r="E27" s="32" t="e">
        <f t="shared" ca="1" si="0"/>
        <v>#NAME?</v>
      </c>
    </row>
    <row r="28" spans="1:5" x14ac:dyDescent="0.25">
      <c r="A28" s="220">
        <v>46107</v>
      </c>
      <c r="B28" s="32">
        <v>24000</v>
      </c>
      <c r="C28" s="32">
        <f t="shared" si="1"/>
        <v>825600</v>
      </c>
      <c r="D28" s="32" t="e">
        <f ca="1">+_xlfn.XLOOKUP(A28,'[1]inf_Libro Auxiliar'!$A:$A,'[1]inf_Libro Auxiliar'!$G:$G)</f>
        <v>#NAME?</v>
      </c>
      <c r="E28" s="32" t="e">
        <f t="shared" ca="1" si="0"/>
        <v>#NAME?</v>
      </c>
    </row>
    <row r="29" spans="1:5" x14ac:dyDescent="0.25">
      <c r="A29" s="220">
        <v>46109</v>
      </c>
      <c r="B29" s="32">
        <v>86000</v>
      </c>
      <c r="C29" s="32">
        <f t="shared" si="1"/>
        <v>911600</v>
      </c>
      <c r="D29" s="32" t="e">
        <f ca="1">+_xlfn.XLOOKUP(A29,'[1]inf_Libro Auxiliar'!$A:$A,'[1]inf_Libro Auxiliar'!$G:$G)</f>
        <v>#NAME?</v>
      </c>
      <c r="E29" s="32" t="e">
        <f t="shared" ca="1" si="0"/>
        <v>#NAME?</v>
      </c>
    </row>
    <row r="30" spans="1:5" x14ac:dyDescent="0.25">
      <c r="A30" s="220" t="s">
        <v>33</v>
      </c>
      <c r="B30" s="32">
        <v>911600</v>
      </c>
      <c r="D30" s="32" t="e">
        <f ca="1">+_xlfn.XLOOKUP(A30,'[1]inf_Libro Auxiliar'!$A:$A,'[1]inf_Libro Auxiliar'!$G:$G)</f>
        <v>#NAME?</v>
      </c>
      <c r="E30" s="32" t="e">
        <f t="shared" ca="1" si="0"/>
        <v>#NAME?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tabColor rgb="FF00B0F0"/>
  </sheetPr>
  <dimension ref="A1:D28"/>
  <sheetViews>
    <sheetView zoomScale="145" zoomScaleNormal="145" workbookViewId="0">
      <pane ySplit="2" topLeftCell="A3" activePane="bottomLeft" state="frozen"/>
      <selection pane="bottomLeft" activeCell="E18" sqref="E18"/>
    </sheetView>
  </sheetViews>
  <sheetFormatPr baseColWidth="10" defaultRowHeight="15" x14ac:dyDescent="0.25"/>
  <cols>
    <col min="1" max="1" width="11" bestFit="1" customWidth="1"/>
    <col min="2" max="2" width="30.7109375" bestFit="1" customWidth="1"/>
    <col min="3" max="3" width="13.28515625" style="49" bestFit="1" customWidth="1"/>
  </cols>
  <sheetData>
    <row r="1" spans="1:3" x14ac:dyDescent="0.25">
      <c r="B1" s="52" t="s">
        <v>201</v>
      </c>
      <c r="C1" s="51">
        <f>+SUM(C3:C1048576)</f>
        <v>40</v>
      </c>
    </row>
    <row r="2" spans="1:3" x14ac:dyDescent="0.25">
      <c r="A2" s="29" t="s">
        <v>5</v>
      </c>
      <c r="B2" s="29" t="s">
        <v>3</v>
      </c>
      <c r="C2" s="50" t="s">
        <v>212</v>
      </c>
    </row>
    <row r="3" spans="1:3" x14ac:dyDescent="0.25">
      <c r="A3" s="47">
        <v>46076</v>
      </c>
      <c r="B3" t="s">
        <v>196</v>
      </c>
      <c r="C3" s="49">
        <v>73700</v>
      </c>
    </row>
    <row r="4" spans="1:3" x14ac:dyDescent="0.25">
      <c r="A4" s="47">
        <v>46080</v>
      </c>
      <c r="B4" t="s">
        <v>190</v>
      </c>
      <c r="C4" s="49">
        <v>-300000</v>
      </c>
    </row>
    <row r="5" spans="1:3" x14ac:dyDescent="0.25">
      <c r="A5" s="47">
        <v>46081</v>
      </c>
      <c r="B5" t="s">
        <v>199</v>
      </c>
      <c r="C5" s="49">
        <v>280000</v>
      </c>
    </row>
    <row r="6" spans="1:3" x14ac:dyDescent="0.25">
      <c r="A6" s="47">
        <v>46080</v>
      </c>
      <c r="B6" s="61" t="s">
        <v>200</v>
      </c>
      <c r="C6" s="49">
        <v>-16000</v>
      </c>
    </row>
    <row r="7" spans="1:3" x14ac:dyDescent="0.25">
      <c r="A7" s="47">
        <v>46081</v>
      </c>
      <c r="B7" s="61" t="s">
        <v>205</v>
      </c>
      <c r="C7" s="49">
        <v>-350000</v>
      </c>
    </row>
    <row r="8" spans="1:3" x14ac:dyDescent="0.25">
      <c r="A8" s="47">
        <v>46081</v>
      </c>
      <c r="B8" t="s">
        <v>211</v>
      </c>
      <c r="C8" s="49">
        <v>30000</v>
      </c>
    </row>
    <row r="9" spans="1:3" x14ac:dyDescent="0.25">
      <c r="A9" s="56">
        <v>46076</v>
      </c>
      <c r="B9" t="s">
        <v>213</v>
      </c>
      <c r="C9" s="49">
        <f>195000+140000+20000</f>
        <v>355000</v>
      </c>
    </row>
    <row r="10" spans="1:3" x14ac:dyDescent="0.25">
      <c r="A10" s="2">
        <v>46084</v>
      </c>
      <c r="B10" t="s">
        <v>235</v>
      </c>
      <c r="C10" s="49">
        <v>619850</v>
      </c>
    </row>
    <row r="11" spans="1:3" x14ac:dyDescent="0.25">
      <c r="A11" s="2">
        <v>46084</v>
      </c>
      <c r="B11" t="s">
        <v>221</v>
      </c>
      <c r="C11" s="49">
        <v>-619850</v>
      </c>
    </row>
    <row r="12" spans="1:3" x14ac:dyDescent="0.25">
      <c r="A12" s="2">
        <v>46083</v>
      </c>
      <c r="B12" t="s">
        <v>224</v>
      </c>
      <c r="C12" s="49">
        <v>50000</v>
      </c>
    </row>
    <row r="13" spans="1:3" x14ac:dyDescent="0.25">
      <c r="A13" s="2">
        <v>46085</v>
      </c>
      <c r="B13" t="s">
        <v>231</v>
      </c>
      <c r="C13" s="60">
        <v>46350</v>
      </c>
    </row>
    <row r="14" spans="1:3" x14ac:dyDescent="0.25">
      <c r="A14" s="2">
        <v>46085</v>
      </c>
      <c r="B14" t="s">
        <v>229</v>
      </c>
      <c r="C14" s="60">
        <v>16500</v>
      </c>
    </row>
    <row r="15" spans="1:3" x14ac:dyDescent="0.25">
      <c r="A15" s="2">
        <v>46085</v>
      </c>
      <c r="B15" t="s">
        <v>230</v>
      </c>
      <c r="C15" s="60">
        <v>11000</v>
      </c>
    </row>
    <row r="16" spans="1:3" x14ac:dyDescent="0.25">
      <c r="A16" s="2">
        <v>46085</v>
      </c>
      <c r="B16" t="s">
        <v>234</v>
      </c>
      <c r="C16" s="60">
        <v>3500</v>
      </c>
    </row>
    <row r="17" spans="1:4" x14ac:dyDescent="0.25">
      <c r="A17" s="2">
        <v>46085</v>
      </c>
      <c r="B17" t="s">
        <v>232</v>
      </c>
      <c r="C17" s="60">
        <v>124400</v>
      </c>
    </row>
    <row r="18" spans="1:4" x14ac:dyDescent="0.25">
      <c r="A18" s="2">
        <v>46085</v>
      </c>
      <c r="B18" s="61" t="s">
        <v>233</v>
      </c>
      <c r="C18" s="49">
        <v>-201750</v>
      </c>
    </row>
    <row r="19" spans="1:4" x14ac:dyDescent="0.25">
      <c r="A19" s="2">
        <v>46085</v>
      </c>
      <c r="B19" s="61" t="s">
        <v>233</v>
      </c>
      <c r="C19" s="49">
        <v>-122700</v>
      </c>
    </row>
    <row r="20" spans="1:4" x14ac:dyDescent="0.25">
      <c r="A20" s="2"/>
      <c r="B20" s="61"/>
    </row>
    <row r="21" spans="1:4" x14ac:dyDescent="0.25">
      <c r="A21" s="2">
        <v>46086</v>
      </c>
      <c r="B21" t="s">
        <v>236</v>
      </c>
      <c r="C21" s="49">
        <v>5000</v>
      </c>
    </row>
    <row r="22" spans="1:4" x14ac:dyDescent="0.25">
      <c r="A22" s="2">
        <v>46089</v>
      </c>
      <c r="B22" t="s">
        <v>283</v>
      </c>
      <c r="C22" s="49">
        <v>129000</v>
      </c>
    </row>
    <row r="23" spans="1:4" x14ac:dyDescent="0.25">
      <c r="A23" s="2">
        <v>46089</v>
      </c>
      <c r="B23" t="s">
        <v>282</v>
      </c>
      <c r="C23" s="49">
        <f>6*8000</f>
        <v>48000</v>
      </c>
    </row>
    <row r="24" spans="1:4" x14ac:dyDescent="0.25">
      <c r="A24" s="2">
        <v>46089</v>
      </c>
      <c r="B24" s="61" t="s">
        <v>233</v>
      </c>
      <c r="C24" s="49">
        <v>-100000</v>
      </c>
    </row>
    <row r="25" spans="1:4" x14ac:dyDescent="0.25">
      <c r="A25" s="2">
        <v>46092</v>
      </c>
      <c r="B25" s="61" t="s">
        <v>358</v>
      </c>
      <c r="C25" s="49">
        <v>-100000</v>
      </c>
    </row>
    <row r="26" spans="1:4" x14ac:dyDescent="0.25">
      <c r="A26" s="2">
        <v>46093</v>
      </c>
      <c r="B26" t="s">
        <v>357</v>
      </c>
      <c r="C26" s="49">
        <v>23990</v>
      </c>
      <c r="D26" t="s">
        <v>356</v>
      </c>
    </row>
    <row r="27" spans="1:4" x14ac:dyDescent="0.25">
      <c r="A27" s="2">
        <v>46093</v>
      </c>
      <c r="B27" t="s">
        <v>359</v>
      </c>
      <c r="C27" s="49">
        <v>45400</v>
      </c>
    </row>
    <row r="28" spans="1:4" x14ac:dyDescent="0.25">
      <c r="A28" s="2">
        <v>46185</v>
      </c>
      <c r="B28" s="61" t="s">
        <v>233</v>
      </c>
      <c r="C28" s="49">
        <v>-51350</v>
      </c>
    </row>
  </sheetData>
  <autoFilter ref="A2:C28"/>
  <pageMargins left="0.7" right="0.7" top="0.75" bottom="0.75" header="0.3" footer="0.3"/>
  <pageSetup paperSize="119" orientation="portrait" horizontalDpi="203" verticalDpi="203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7">
    <tabColor theme="9" tint="-0.249977111117893"/>
  </sheetPr>
  <dimension ref="A1:BK44"/>
  <sheetViews>
    <sheetView showGridLines="0" zoomScaleNormal="100" workbookViewId="0">
      <pane xSplit="1" ySplit="2" topLeftCell="AM9" activePane="bottomRight" state="frozen"/>
      <selection pane="topRight" activeCell="B1" sqref="B1"/>
      <selection pane="bottomLeft" activeCell="A3" sqref="A3"/>
      <selection pane="bottomRight" activeCell="AS18" sqref="AS18"/>
    </sheetView>
  </sheetViews>
  <sheetFormatPr baseColWidth="10" defaultRowHeight="15" outlineLevelRow="1" outlineLevelCol="1" x14ac:dyDescent="0.25"/>
  <cols>
    <col min="1" max="1" width="23.85546875" style="3" bestFit="1" customWidth="1"/>
    <col min="2" max="2" width="4.28515625" customWidth="1" outlineLevel="1"/>
    <col min="3" max="3" width="13" style="3" customWidth="1" outlineLevel="1"/>
    <col min="4" max="4" width="3.42578125" style="3" customWidth="1" outlineLevel="1"/>
    <col min="5" max="5" width="11.42578125" customWidth="1" outlineLevel="1"/>
    <col min="6" max="6" width="3.140625" customWidth="1" outlineLevel="1"/>
    <col min="7" max="7" width="11.42578125" customWidth="1" outlineLevel="1"/>
    <col min="8" max="8" width="3.140625" customWidth="1" outlineLevel="1"/>
    <col min="9" max="9" width="11.42578125" customWidth="1" outlineLevel="1"/>
    <col min="10" max="10" width="3.140625" customWidth="1" outlineLevel="1"/>
    <col min="11" max="11" width="11.42578125" customWidth="1" outlineLevel="1"/>
    <col min="12" max="12" width="3.140625" customWidth="1" outlineLevel="1"/>
    <col min="13" max="13" width="11.42578125" customWidth="1" outlineLevel="1"/>
    <col min="14" max="14" width="3.140625" customWidth="1" outlineLevel="1"/>
    <col min="15" max="15" width="11.42578125" customWidth="1" outlineLevel="1"/>
    <col min="16" max="16" width="3.140625" customWidth="1" outlineLevel="1" collapsed="1"/>
    <col min="17" max="17" width="11.42578125" customWidth="1" outlineLevel="1"/>
    <col min="18" max="18" width="3.140625" customWidth="1" outlineLevel="1" collapsed="1"/>
    <col min="19" max="19" width="11.42578125" customWidth="1" outlineLevel="1"/>
    <col min="20" max="20" width="3.140625" customWidth="1" outlineLevel="1" collapsed="1"/>
    <col min="21" max="21" width="11.42578125" customWidth="1" outlineLevel="1"/>
    <col min="22" max="22" width="3.140625" customWidth="1"/>
    <col min="23" max="23" width="11.42578125" customWidth="1"/>
    <col min="24" max="24" width="3.140625" customWidth="1" collapsed="1"/>
    <col min="25" max="25" width="11.42578125" customWidth="1"/>
    <col min="26" max="26" width="3.140625" customWidth="1" collapsed="1"/>
    <col min="27" max="27" width="11.42578125" customWidth="1"/>
    <col min="28" max="28" width="3.140625" customWidth="1" collapsed="1"/>
    <col min="29" max="29" width="11.42578125" customWidth="1"/>
    <col min="30" max="30" width="3.140625" customWidth="1" collapsed="1"/>
    <col min="31" max="31" width="11.42578125" customWidth="1"/>
    <col min="32" max="32" width="3.140625" customWidth="1" collapsed="1"/>
    <col min="33" max="33" width="11.42578125" customWidth="1"/>
    <col min="34" max="34" width="3.140625" customWidth="1" collapsed="1"/>
    <col min="35" max="35" width="11.42578125" customWidth="1"/>
    <col min="36" max="36" width="3.140625" customWidth="1" collapsed="1"/>
    <col min="37" max="37" width="11.42578125" customWidth="1"/>
    <col min="38" max="38" width="3.140625" customWidth="1" collapsed="1"/>
    <col min="39" max="39" width="11.42578125" customWidth="1"/>
    <col min="40" max="40" width="3.140625" customWidth="1" collapsed="1"/>
    <col min="41" max="41" width="11.42578125" customWidth="1"/>
    <col min="42" max="42" width="3.140625" customWidth="1" collapsed="1"/>
    <col min="43" max="43" width="11.42578125" customWidth="1"/>
    <col min="44" max="44" width="3.140625" customWidth="1" collapsed="1"/>
    <col min="45" max="45" width="11.42578125" customWidth="1"/>
    <col min="46" max="46" width="3.140625" customWidth="1" collapsed="1"/>
    <col min="47" max="47" width="12" bestFit="1" customWidth="1"/>
    <col min="48" max="48" width="3.140625" customWidth="1" collapsed="1"/>
    <col min="49" max="49" width="11.42578125" customWidth="1"/>
    <col min="50" max="50" width="3.140625" customWidth="1" collapsed="1"/>
    <col min="51" max="51" width="10.42578125" bestFit="1" customWidth="1"/>
    <col min="52" max="52" width="3.140625" customWidth="1" collapsed="1"/>
    <col min="53" max="53" width="12" bestFit="1" customWidth="1"/>
    <col min="54" max="54" width="3.140625" customWidth="1" collapsed="1"/>
    <col min="55" max="55" width="13" customWidth="1"/>
    <col min="56" max="56" width="3.140625" bestFit="1" customWidth="1" collapsed="1"/>
    <col min="57" max="57" width="13" bestFit="1" customWidth="1"/>
    <col min="58" max="58" width="3.140625" bestFit="1" customWidth="1" collapsed="1"/>
    <col min="59" max="59" width="13" bestFit="1" customWidth="1"/>
    <col min="60" max="60" width="3.140625" bestFit="1" customWidth="1" collapsed="1"/>
    <col min="61" max="61" width="13" bestFit="1" customWidth="1"/>
    <col min="62" max="62" width="3.140625" bestFit="1" customWidth="1" collapsed="1"/>
    <col min="63" max="63" width="13" bestFit="1" customWidth="1"/>
  </cols>
  <sheetData>
    <row r="1" spans="1:63" x14ac:dyDescent="0.25">
      <c r="A1" s="33"/>
      <c r="C1" s="34" t="str">
        <f>+TEXT(C2,"ddd")</f>
        <v>lun</v>
      </c>
      <c r="D1" s="33"/>
      <c r="E1" s="34" t="str">
        <f>+TEXT(E2,"ddd")</f>
        <v>mar</v>
      </c>
      <c r="F1" s="34"/>
      <c r="G1" s="34" t="str">
        <f>+TEXT(G2,"ddd")</f>
        <v>mié</v>
      </c>
      <c r="I1" s="34" t="str">
        <f>+TEXT(I2,"ddd")</f>
        <v>jue</v>
      </c>
      <c r="K1" s="34" t="str">
        <f>+TEXT(K2,"ddd")</f>
        <v>vie</v>
      </c>
      <c r="M1" s="34" t="str">
        <f>+TEXT(M2,"ddd")</f>
        <v>sáb</v>
      </c>
      <c r="O1" s="34" t="str">
        <f>+TEXT(O2,"ddd")</f>
        <v>dom</v>
      </c>
      <c r="P1" s="34"/>
      <c r="Q1" s="34" t="str">
        <f>+TEXT(Q2,"ddd")</f>
        <v>lun</v>
      </c>
      <c r="R1" s="34"/>
      <c r="S1" s="34" t="str">
        <f>+TEXT(S2,"ddd")</f>
        <v>mar</v>
      </c>
      <c r="T1" s="34"/>
      <c r="U1" s="34" t="str">
        <f>+TEXT(U2,"ddd")</f>
        <v>mié</v>
      </c>
      <c r="V1" s="34"/>
      <c r="W1" s="34" t="str">
        <f>+TEXT(W2,"ddd")</f>
        <v>jue</v>
      </c>
      <c r="X1" s="34"/>
      <c r="Y1" s="34" t="str">
        <f>+TEXT(Y2,"ddd")</f>
        <v>sáb</v>
      </c>
      <c r="Z1" s="34"/>
      <c r="AA1" s="34" t="str">
        <f>+TEXT(AA2,"ddd")</f>
        <v>dom</v>
      </c>
      <c r="AB1" s="34"/>
      <c r="AC1" s="34" t="str">
        <f>+TEXT(AC2,"ddd")</f>
        <v>lun</v>
      </c>
      <c r="AD1" s="34"/>
      <c r="AE1" s="34" t="str">
        <f>+TEXT(AE2,"ddd")</f>
        <v>mar</v>
      </c>
      <c r="AF1" s="34"/>
      <c r="AG1" s="34" t="str">
        <f>+TEXT(AG2,"ddd")</f>
        <v>mié</v>
      </c>
      <c r="AH1" s="34"/>
      <c r="AI1" s="34" t="str">
        <f>+TEXT(AI2,"ddd")</f>
        <v>jue</v>
      </c>
      <c r="AJ1" s="34"/>
      <c r="AK1" s="34" t="str">
        <f>+TEXT(AK2,"ddd")</f>
        <v>vie</v>
      </c>
      <c r="AL1" s="34"/>
      <c r="AM1" s="34" t="str">
        <f>+TEXT(AM2,"ddd")</f>
        <v>sáb</v>
      </c>
      <c r="AN1" s="34"/>
      <c r="AO1" s="34" t="str">
        <f>+TEXT(AO2,"ddd")</f>
        <v>dom</v>
      </c>
      <c r="AP1" s="34"/>
      <c r="AQ1" s="34" t="str">
        <f>+TEXT(AQ2,"ddd")</f>
        <v>lun</v>
      </c>
      <c r="AR1" s="34"/>
      <c r="AS1" s="34" t="str">
        <f>+TEXT(AS2,"ddd")</f>
        <v>mar</v>
      </c>
      <c r="AT1" s="34"/>
      <c r="AU1" s="34" t="str">
        <f>+TEXT(AU2,"ddd")</f>
        <v>mié</v>
      </c>
      <c r="AV1" s="34"/>
      <c r="AW1" s="34" t="str">
        <f>+TEXT(AW2,"ddd")</f>
        <v>jue</v>
      </c>
      <c r="AX1" s="34"/>
      <c r="AY1" s="34" t="str">
        <f>+TEXT(AY2,"ddd")</f>
        <v>vie</v>
      </c>
      <c r="AZ1" s="34"/>
      <c r="BA1" s="34" t="str">
        <f>+TEXT(BA2,"ddd")</f>
        <v>sáb</v>
      </c>
      <c r="BB1" s="34"/>
      <c r="BC1" s="34" t="str">
        <f>+TEXT(BC2,"ddd")</f>
        <v>dom</v>
      </c>
      <c r="BD1" s="34"/>
      <c r="BE1" s="34" t="str">
        <f>+TEXT(BE2,"ddd")</f>
        <v>lun</v>
      </c>
      <c r="BF1" s="34"/>
      <c r="BG1" s="34" t="str">
        <f>+TEXT(BG2,"ddd")</f>
        <v>mar</v>
      </c>
      <c r="BH1" s="34"/>
      <c r="BI1" s="34" t="str">
        <f>+TEXT(BI2,"ddd")</f>
        <v>mié</v>
      </c>
      <c r="BJ1" s="34"/>
      <c r="BK1" s="34" t="str">
        <f>+TEXT(BK2,"ddd")</f>
        <v>jue</v>
      </c>
    </row>
    <row r="2" spans="1:63" x14ac:dyDescent="0.25">
      <c r="A2" s="35" t="s">
        <v>130</v>
      </c>
      <c r="B2" s="36" t="s">
        <v>131</v>
      </c>
      <c r="C2" s="37">
        <v>46076</v>
      </c>
      <c r="D2" s="36" t="s">
        <v>131</v>
      </c>
      <c r="E2" s="37">
        <v>46077</v>
      </c>
      <c r="F2" s="36" t="s">
        <v>131</v>
      </c>
      <c r="G2" s="37">
        <v>46078</v>
      </c>
      <c r="H2" s="36" t="s">
        <v>131</v>
      </c>
      <c r="I2" s="37">
        <v>46079</v>
      </c>
      <c r="J2" s="36" t="s">
        <v>131</v>
      </c>
      <c r="K2" s="37">
        <v>46080</v>
      </c>
      <c r="L2" s="36" t="s">
        <v>131</v>
      </c>
      <c r="M2" s="37">
        <v>46081</v>
      </c>
      <c r="N2" s="36" t="s">
        <v>131</v>
      </c>
      <c r="O2" s="37">
        <v>46082</v>
      </c>
      <c r="P2" s="36" t="s">
        <v>131</v>
      </c>
      <c r="Q2" s="37">
        <v>46083</v>
      </c>
      <c r="R2" s="36" t="s">
        <v>131</v>
      </c>
      <c r="S2" s="37">
        <v>46084</v>
      </c>
      <c r="T2" s="36" t="s">
        <v>131</v>
      </c>
      <c r="U2" s="37">
        <v>46085</v>
      </c>
      <c r="V2" s="36" t="s">
        <v>131</v>
      </c>
      <c r="W2" s="37">
        <v>46086</v>
      </c>
      <c r="X2" s="36" t="s">
        <v>131</v>
      </c>
      <c r="Y2" s="37">
        <v>46088</v>
      </c>
      <c r="Z2" s="36" t="s">
        <v>131</v>
      </c>
      <c r="AA2" s="37">
        <v>46089</v>
      </c>
      <c r="AB2" s="36" t="s">
        <v>131</v>
      </c>
      <c r="AC2" s="37">
        <v>46090</v>
      </c>
      <c r="AD2" s="36" t="s">
        <v>131</v>
      </c>
      <c r="AE2" s="37">
        <v>46091</v>
      </c>
      <c r="AF2" s="36" t="s">
        <v>131</v>
      </c>
      <c r="AG2" s="37">
        <v>46092</v>
      </c>
      <c r="AH2" s="36" t="s">
        <v>131</v>
      </c>
      <c r="AI2" s="37">
        <v>46093</v>
      </c>
      <c r="AJ2" s="36" t="s">
        <v>131</v>
      </c>
      <c r="AK2" s="37">
        <v>46094</v>
      </c>
      <c r="AL2" s="36" t="s">
        <v>131</v>
      </c>
      <c r="AM2" s="37">
        <v>46095</v>
      </c>
      <c r="AN2" s="36" t="s">
        <v>131</v>
      </c>
      <c r="AO2" s="37">
        <v>46096</v>
      </c>
      <c r="AP2" s="36" t="s">
        <v>131</v>
      </c>
      <c r="AQ2" s="37">
        <f>+AO2+1</f>
        <v>46097</v>
      </c>
      <c r="AR2" s="36" t="s">
        <v>131</v>
      </c>
      <c r="AS2" s="37">
        <f>+AQ2+1</f>
        <v>46098</v>
      </c>
      <c r="AT2" s="36" t="s">
        <v>131</v>
      </c>
      <c r="AU2" s="37">
        <f>+AS2+1</f>
        <v>46099</v>
      </c>
      <c r="AV2" s="36" t="s">
        <v>131</v>
      </c>
      <c r="AW2" s="37">
        <f>+AU2+1</f>
        <v>46100</v>
      </c>
      <c r="AX2" s="36" t="s">
        <v>131</v>
      </c>
      <c r="AY2" s="37">
        <f>+AW2+1</f>
        <v>46101</v>
      </c>
      <c r="AZ2" s="36" t="s">
        <v>131</v>
      </c>
      <c r="BA2" s="37">
        <f>+AY2+1</f>
        <v>46102</v>
      </c>
      <c r="BB2" s="36" t="s">
        <v>131</v>
      </c>
      <c r="BC2" s="37">
        <f>+BA2+1</f>
        <v>46103</v>
      </c>
      <c r="BD2" s="36" t="s">
        <v>131</v>
      </c>
      <c r="BE2" s="37">
        <f>+BC2+1</f>
        <v>46104</v>
      </c>
      <c r="BF2" s="36" t="s">
        <v>131</v>
      </c>
      <c r="BG2" s="37">
        <f>+BE2+1</f>
        <v>46105</v>
      </c>
      <c r="BH2" s="36" t="s">
        <v>131</v>
      </c>
      <c r="BI2" s="37">
        <f>+BG2+1</f>
        <v>46106</v>
      </c>
      <c r="BJ2" s="36" t="s">
        <v>131</v>
      </c>
      <c r="BK2" s="37">
        <f>+BI2+1</f>
        <v>46107</v>
      </c>
    </row>
    <row r="3" spans="1:63" outlineLevel="1" x14ac:dyDescent="0.25">
      <c r="A3" s="20">
        <v>100000</v>
      </c>
      <c r="B3" s="19">
        <v>0</v>
      </c>
      <c r="C3" s="3">
        <f>+$A3*B3</f>
        <v>0</v>
      </c>
      <c r="D3" s="19">
        <v>0</v>
      </c>
      <c r="E3" s="3">
        <f>+$A3*D3</f>
        <v>0</v>
      </c>
      <c r="F3" s="19">
        <v>0</v>
      </c>
      <c r="G3" s="3"/>
      <c r="H3" s="19">
        <v>0</v>
      </c>
      <c r="I3" s="3">
        <f>+$A3*H3</f>
        <v>0</v>
      </c>
      <c r="J3" s="19">
        <v>1</v>
      </c>
      <c r="K3" s="3">
        <f>+$A3*J3</f>
        <v>100000</v>
      </c>
      <c r="L3" s="19"/>
      <c r="M3" s="3">
        <f>+$A3*L3</f>
        <v>0</v>
      </c>
      <c r="N3" s="19"/>
      <c r="O3" s="3">
        <f>+$A3*N3</f>
        <v>0</v>
      </c>
      <c r="P3" s="19">
        <v>0</v>
      </c>
      <c r="Q3" s="3">
        <f>+$A3*P3</f>
        <v>0</v>
      </c>
      <c r="R3" s="19">
        <v>0</v>
      </c>
      <c r="S3" s="3"/>
      <c r="T3" s="19">
        <v>0</v>
      </c>
      <c r="U3" s="3">
        <v>0</v>
      </c>
      <c r="V3" s="1">
        <v>0</v>
      </c>
      <c r="W3" s="3">
        <v>0</v>
      </c>
      <c r="X3" s="1">
        <v>0</v>
      </c>
      <c r="Y3" s="3">
        <v>0</v>
      </c>
      <c r="Z3" s="1">
        <v>0</v>
      </c>
      <c r="AA3" s="3">
        <v>0</v>
      </c>
      <c r="AB3" s="1">
        <v>2</v>
      </c>
      <c r="AC3" s="3">
        <f t="shared" ref="AA3:AC5" si="0">+$A3*AB3</f>
        <v>200000</v>
      </c>
      <c r="AD3" s="1">
        <v>0</v>
      </c>
      <c r="AE3" s="3">
        <f t="shared" ref="AE3:AG13" si="1">+$A3*AD3</f>
        <v>0</v>
      </c>
      <c r="AF3" s="1">
        <v>0</v>
      </c>
      <c r="AG3" s="3">
        <f t="shared" si="1"/>
        <v>0</v>
      </c>
      <c r="AH3" s="1">
        <v>0</v>
      </c>
      <c r="AI3" s="3">
        <f t="shared" ref="AI3:AI13" si="2">+$A3*AH3</f>
        <v>0</v>
      </c>
      <c r="AJ3" s="1"/>
      <c r="AK3" s="3"/>
      <c r="AL3" s="1">
        <v>0</v>
      </c>
      <c r="AM3" s="3">
        <f t="shared" ref="AM3:AM13" si="3">+$A3*AL3</f>
        <v>0</v>
      </c>
      <c r="AN3" s="1">
        <v>0</v>
      </c>
      <c r="AO3" s="3">
        <f t="shared" ref="AO3:AO13" si="4">+$A3*AN3</f>
        <v>0</v>
      </c>
      <c r="AP3" s="1"/>
      <c r="AQ3" s="3">
        <f t="shared" ref="AQ3:AQ13" si="5">+$A3*AP3</f>
        <v>0</v>
      </c>
      <c r="AR3" s="1">
        <v>0</v>
      </c>
      <c r="AS3" s="3">
        <f t="shared" ref="AS3:AS13" si="6">+$A3*AR3</f>
        <v>0</v>
      </c>
      <c r="AT3" s="1">
        <v>0</v>
      </c>
      <c r="AU3" s="3">
        <f t="shared" ref="AU3:AU13" si="7">+$A3*AT3</f>
        <v>0</v>
      </c>
      <c r="AV3" s="1">
        <v>1</v>
      </c>
      <c r="AW3" s="3">
        <f t="shared" ref="AW3:AW13" si="8">+$A3*AV3</f>
        <v>100000</v>
      </c>
      <c r="AX3" s="1">
        <v>0</v>
      </c>
      <c r="AY3" s="3">
        <f t="shared" ref="AY3:AY13" si="9">+$A3*AX3</f>
        <v>0</v>
      </c>
      <c r="AZ3" s="1">
        <v>0</v>
      </c>
      <c r="BA3" s="3">
        <f t="shared" ref="BA3:BA13" si="10">+$A3*AZ3</f>
        <v>0</v>
      </c>
      <c r="BB3" s="1">
        <v>0</v>
      </c>
      <c r="BC3" s="3">
        <f t="shared" ref="BC3:BC13" si="11">+$A3*BB3</f>
        <v>0</v>
      </c>
      <c r="BD3" s="1">
        <v>0</v>
      </c>
      <c r="BE3" s="3">
        <f t="shared" ref="BE3:BE13" si="12">+$A3*BD3</f>
        <v>0</v>
      </c>
      <c r="BF3" s="1">
        <v>0</v>
      </c>
      <c r="BG3" s="3">
        <f t="shared" ref="BG3:BG13" si="13">+$A3*BF3</f>
        <v>0</v>
      </c>
      <c r="BH3" s="1">
        <v>0</v>
      </c>
      <c r="BI3" s="3">
        <f t="shared" ref="BI3:BI13" si="14">+$A3*BH3</f>
        <v>0</v>
      </c>
      <c r="BJ3" s="1">
        <v>0</v>
      </c>
      <c r="BK3" s="3">
        <f t="shared" ref="BK3:BK13" si="15">+$A3*BJ3</f>
        <v>0</v>
      </c>
    </row>
    <row r="4" spans="1:63" outlineLevel="1" x14ac:dyDescent="0.25">
      <c r="A4" s="20">
        <v>50000</v>
      </c>
      <c r="B4" s="19">
        <v>1</v>
      </c>
      <c r="C4" s="3">
        <f t="shared" ref="C4:C13" si="16">+A4*B4</f>
        <v>50000</v>
      </c>
      <c r="D4" s="19">
        <v>1</v>
      </c>
      <c r="E4" s="3">
        <f t="shared" ref="E4:E13" si="17">+$A4*D4</f>
        <v>50000</v>
      </c>
      <c r="F4" s="19">
        <v>1</v>
      </c>
      <c r="G4" s="3"/>
      <c r="H4" s="19">
        <v>0</v>
      </c>
      <c r="I4" s="3">
        <f t="shared" ref="I4" si="18">+$A4*H4</f>
        <v>0</v>
      </c>
      <c r="J4" s="19">
        <v>2</v>
      </c>
      <c r="K4" s="3">
        <f t="shared" ref="K4" si="19">+$A4*J4</f>
        <v>100000</v>
      </c>
      <c r="L4" s="19">
        <v>0</v>
      </c>
      <c r="M4" s="3">
        <f t="shared" ref="M4" si="20">+$A4*L4</f>
        <v>0</v>
      </c>
      <c r="N4" s="19">
        <v>0</v>
      </c>
      <c r="O4" s="3">
        <f t="shared" ref="O4" si="21">+$A4*N4</f>
        <v>0</v>
      </c>
      <c r="P4" s="19">
        <v>1</v>
      </c>
      <c r="Q4" s="3">
        <f t="shared" ref="Q4" si="22">+$A4*P4</f>
        <v>50000</v>
      </c>
      <c r="R4" s="19">
        <v>1</v>
      </c>
      <c r="S4" s="3"/>
      <c r="T4" s="19">
        <v>0</v>
      </c>
      <c r="U4" s="3">
        <f t="shared" ref="U4:U5" si="23">+$A4*T4</f>
        <v>0</v>
      </c>
      <c r="V4" s="1">
        <v>1</v>
      </c>
      <c r="W4" s="3">
        <f t="shared" ref="W4:W5" si="24">+$A4*V4</f>
        <v>50000</v>
      </c>
      <c r="X4" s="1">
        <v>0</v>
      </c>
      <c r="Y4" s="3">
        <f t="shared" ref="Y4:Y5" si="25">+$A4*X4</f>
        <v>0</v>
      </c>
      <c r="Z4" s="1">
        <v>1</v>
      </c>
      <c r="AA4" s="3">
        <f t="shared" si="0"/>
        <v>50000</v>
      </c>
      <c r="AB4" s="1">
        <v>0</v>
      </c>
      <c r="AC4" s="3">
        <f t="shared" si="0"/>
        <v>0</v>
      </c>
      <c r="AD4" s="1">
        <v>1</v>
      </c>
      <c r="AE4" s="3">
        <f t="shared" si="1"/>
        <v>50000</v>
      </c>
      <c r="AF4" s="1">
        <v>0</v>
      </c>
      <c r="AG4" s="3">
        <f t="shared" si="1"/>
        <v>0</v>
      </c>
      <c r="AH4" s="1">
        <v>0</v>
      </c>
      <c r="AI4" s="3">
        <f t="shared" si="2"/>
        <v>0</v>
      </c>
      <c r="AJ4" s="1"/>
      <c r="AK4" s="3"/>
      <c r="AL4" s="1">
        <v>0</v>
      </c>
      <c r="AM4" s="3">
        <f t="shared" si="3"/>
        <v>0</v>
      </c>
      <c r="AN4" s="1">
        <v>0</v>
      </c>
      <c r="AO4" s="3">
        <f t="shared" si="4"/>
        <v>0</v>
      </c>
      <c r="AP4" s="1"/>
      <c r="AQ4" s="3">
        <f t="shared" si="5"/>
        <v>0</v>
      </c>
      <c r="AR4" s="1">
        <v>0</v>
      </c>
      <c r="AS4" s="3">
        <f t="shared" si="6"/>
        <v>0</v>
      </c>
      <c r="AT4" s="1">
        <v>0</v>
      </c>
      <c r="AU4" s="3">
        <f t="shared" si="7"/>
        <v>0</v>
      </c>
      <c r="AV4" s="1">
        <v>2</v>
      </c>
      <c r="AW4" s="3">
        <f t="shared" si="8"/>
        <v>100000</v>
      </c>
      <c r="AX4" s="1">
        <v>0</v>
      </c>
      <c r="AY4" s="3">
        <f t="shared" si="9"/>
        <v>0</v>
      </c>
      <c r="AZ4" s="1">
        <v>0</v>
      </c>
      <c r="BA4" s="3">
        <f t="shared" si="10"/>
        <v>0</v>
      </c>
      <c r="BB4" s="1">
        <v>0</v>
      </c>
      <c r="BC4" s="3">
        <f t="shared" si="11"/>
        <v>0</v>
      </c>
      <c r="BD4" s="1">
        <v>0</v>
      </c>
      <c r="BE4" s="3">
        <f t="shared" si="12"/>
        <v>0</v>
      </c>
      <c r="BF4" s="1">
        <v>0</v>
      </c>
      <c r="BG4" s="3">
        <f t="shared" si="13"/>
        <v>0</v>
      </c>
      <c r="BH4" s="1">
        <v>0</v>
      </c>
      <c r="BI4" s="3">
        <f t="shared" si="14"/>
        <v>0</v>
      </c>
      <c r="BJ4" s="1">
        <v>0</v>
      </c>
      <c r="BK4" s="3">
        <f t="shared" si="15"/>
        <v>0</v>
      </c>
    </row>
    <row r="5" spans="1:63" outlineLevel="1" x14ac:dyDescent="0.25">
      <c r="A5" s="20">
        <v>20000</v>
      </c>
      <c r="B5" s="19">
        <v>4</v>
      </c>
      <c r="C5" s="3">
        <f t="shared" si="16"/>
        <v>80000</v>
      </c>
      <c r="D5" s="19">
        <v>5</v>
      </c>
      <c r="E5" s="3">
        <f>+$A5*D5</f>
        <v>100000</v>
      </c>
      <c r="F5" s="19">
        <v>5</v>
      </c>
      <c r="G5" s="3"/>
      <c r="H5" s="19">
        <v>4</v>
      </c>
      <c r="I5" s="3">
        <f>+$A5*H5</f>
        <v>80000</v>
      </c>
      <c r="J5" s="19"/>
      <c r="K5" s="3">
        <f>+$A5*J5</f>
        <v>0</v>
      </c>
      <c r="L5" s="19">
        <v>0</v>
      </c>
      <c r="M5" s="3">
        <f>+$A5*L5</f>
        <v>0</v>
      </c>
      <c r="N5" s="19">
        <v>0</v>
      </c>
      <c r="O5" s="3">
        <f>+$A5*N5</f>
        <v>0</v>
      </c>
      <c r="P5" s="19">
        <v>1</v>
      </c>
      <c r="Q5" s="3">
        <f>+$A5*P5</f>
        <v>20000</v>
      </c>
      <c r="R5" s="19">
        <v>1</v>
      </c>
      <c r="S5" s="3"/>
      <c r="T5" s="19">
        <v>0</v>
      </c>
      <c r="U5" s="3">
        <f t="shared" si="23"/>
        <v>0</v>
      </c>
      <c r="V5" s="1">
        <v>0</v>
      </c>
      <c r="W5" s="3">
        <f t="shared" si="24"/>
        <v>0</v>
      </c>
      <c r="X5" s="1">
        <v>0</v>
      </c>
      <c r="Y5" s="3">
        <f t="shared" si="25"/>
        <v>0</v>
      </c>
      <c r="Z5" s="1">
        <v>1</v>
      </c>
      <c r="AA5" s="3">
        <f t="shared" si="0"/>
        <v>20000</v>
      </c>
      <c r="AB5" s="1">
        <v>0</v>
      </c>
      <c r="AC5" s="3">
        <f t="shared" si="0"/>
        <v>0</v>
      </c>
      <c r="AD5" s="1">
        <v>0</v>
      </c>
      <c r="AE5" s="3">
        <f t="shared" si="1"/>
        <v>0</v>
      </c>
      <c r="AF5" s="1">
        <v>0</v>
      </c>
      <c r="AG5" s="3">
        <f t="shared" si="1"/>
        <v>0</v>
      </c>
      <c r="AH5" s="1">
        <v>0</v>
      </c>
      <c r="AI5" s="3">
        <f t="shared" si="2"/>
        <v>0</v>
      </c>
      <c r="AJ5" s="1"/>
      <c r="AK5" s="3"/>
      <c r="AL5" s="1">
        <v>2</v>
      </c>
      <c r="AM5" s="3">
        <f t="shared" si="3"/>
        <v>40000</v>
      </c>
      <c r="AN5" s="1">
        <v>0</v>
      </c>
      <c r="AO5" s="3">
        <f t="shared" si="4"/>
        <v>0</v>
      </c>
      <c r="AP5" s="1"/>
      <c r="AQ5" s="3">
        <f t="shared" si="5"/>
        <v>0</v>
      </c>
      <c r="AR5" s="1">
        <v>0</v>
      </c>
      <c r="AS5" s="3">
        <f t="shared" si="6"/>
        <v>0</v>
      </c>
      <c r="AT5" s="1">
        <v>0</v>
      </c>
      <c r="AU5" s="3">
        <f t="shared" si="7"/>
        <v>0</v>
      </c>
      <c r="AV5" s="1">
        <v>0</v>
      </c>
      <c r="AW5" s="3">
        <f t="shared" si="8"/>
        <v>0</v>
      </c>
      <c r="AX5" s="1">
        <v>0</v>
      </c>
      <c r="AY5" s="3">
        <f t="shared" si="9"/>
        <v>0</v>
      </c>
      <c r="AZ5" s="1">
        <v>3</v>
      </c>
      <c r="BA5" s="3">
        <f t="shared" si="10"/>
        <v>60000</v>
      </c>
      <c r="BB5" s="1">
        <v>0</v>
      </c>
      <c r="BC5" s="3">
        <f t="shared" si="11"/>
        <v>0</v>
      </c>
      <c r="BD5" s="1">
        <v>0</v>
      </c>
      <c r="BE5" s="3">
        <f t="shared" si="12"/>
        <v>0</v>
      </c>
      <c r="BF5" s="1">
        <v>4</v>
      </c>
      <c r="BG5" s="3">
        <f t="shared" si="13"/>
        <v>80000</v>
      </c>
      <c r="BH5" s="1">
        <v>0</v>
      </c>
      <c r="BI5" s="3">
        <f t="shared" si="14"/>
        <v>0</v>
      </c>
      <c r="BJ5" s="1">
        <v>0</v>
      </c>
      <c r="BK5" s="3">
        <f t="shared" si="15"/>
        <v>0</v>
      </c>
    </row>
    <row r="6" spans="1:63" outlineLevel="1" x14ac:dyDescent="0.25">
      <c r="A6" s="20">
        <v>10000</v>
      </c>
      <c r="B6" s="19">
        <v>2</v>
      </c>
      <c r="C6" s="3">
        <f t="shared" si="16"/>
        <v>20000</v>
      </c>
      <c r="D6" s="19">
        <v>2</v>
      </c>
      <c r="E6" s="3">
        <f>+$A6*D6</f>
        <v>20000</v>
      </c>
      <c r="F6" s="19">
        <v>2</v>
      </c>
      <c r="G6" s="3"/>
      <c r="H6" s="19">
        <v>1</v>
      </c>
      <c r="I6" s="3">
        <f>+$A6*H6</f>
        <v>10000</v>
      </c>
      <c r="J6" s="19">
        <v>1</v>
      </c>
      <c r="K6" s="3">
        <f>+$A6*J6</f>
        <v>10000</v>
      </c>
      <c r="L6" s="19">
        <v>5</v>
      </c>
      <c r="M6" s="3">
        <f>+$A6*L6</f>
        <v>50000</v>
      </c>
      <c r="N6" s="19">
        <v>5</v>
      </c>
      <c r="O6" s="3">
        <f>+$A6*N6</f>
        <v>50000</v>
      </c>
      <c r="P6" s="19">
        <v>4</v>
      </c>
      <c r="Q6" s="3">
        <f>+$A6*P6</f>
        <v>40000</v>
      </c>
      <c r="R6" s="19">
        <v>4</v>
      </c>
      <c r="S6" s="3"/>
      <c r="T6" s="19">
        <v>4</v>
      </c>
      <c r="U6" s="3">
        <f>+$A6*T6</f>
        <v>40000</v>
      </c>
      <c r="V6" s="1">
        <v>2</v>
      </c>
      <c r="W6" s="3">
        <f>+$A6*V6</f>
        <v>20000</v>
      </c>
      <c r="X6" s="1">
        <v>1</v>
      </c>
      <c r="Y6" s="3">
        <f>+$A6*X6</f>
        <v>10000</v>
      </c>
      <c r="Z6" s="1">
        <v>1</v>
      </c>
      <c r="AA6" s="3">
        <f>+$A6*Z6</f>
        <v>10000</v>
      </c>
      <c r="AB6" s="1">
        <v>2</v>
      </c>
      <c r="AC6" s="3">
        <f>+$A6*AB6</f>
        <v>20000</v>
      </c>
      <c r="AD6" s="1">
        <v>1</v>
      </c>
      <c r="AE6" s="3">
        <f t="shared" si="1"/>
        <v>10000</v>
      </c>
      <c r="AF6" s="1">
        <v>0</v>
      </c>
      <c r="AG6" s="3">
        <f t="shared" si="1"/>
        <v>0</v>
      </c>
      <c r="AH6" s="1">
        <v>1</v>
      </c>
      <c r="AI6" s="3">
        <f t="shared" si="2"/>
        <v>10000</v>
      </c>
      <c r="AJ6" s="1"/>
      <c r="AK6" s="3"/>
      <c r="AL6" s="1">
        <v>4</v>
      </c>
      <c r="AM6" s="3">
        <f t="shared" si="3"/>
        <v>40000</v>
      </c>
      <c r="AN6" s="1">
        <v>0</v>
      </c>
      <c r="AO6" s="3">
        <f t="shared" si="4"/>
        <v>0</v>
      </c>
      <c r="AP6" s="1"/>
      <c r="AQ6" s="3">
        <f t="shared" si="5"/>
        <v>0</v>
      </c>
      <c r="AR6" s="1">
        <v>4</v>
      </c>
      <c r="AS6" s="3">
        <f t="shared" si="6"/>
        <v>40000</v>
      </c>
      <c r="AT6" s="1">
        <v>5</v>
      </c>
      <c r="AU6" s="3">
        <f t="shared" si="7"/>
        <v>50000</v>
      </c>
      <c r="AV6" s="1">
        <v>1</v>
      </c>
      <c r="AW6" s="3">
        <f t="shared" si="8"/>
        <v>10000</v>
      </c>
      <c r="AX6" s="1">
        <v>0</v>
      </c>
      <c r="AY6" s="3">
        <f t="shared" si="9"/>
        <v>0</v>
      </c>
      <c r="AZ6" s="1">
        <v>0</v>
      </c>
      <c r="BA6" s="3">
        <f t="shared" si="10"/>
        <v>0</v>
      </c>
      <c r="BB6" s="1">
        <v>0</v>
      </c>
      <c r="BC6" s="3">
        <f t="shared" si="11"/>
        <v>0</v>
      </c>
      <c r="BD6" s="1">
        <v>0</v>
      </c>
      <c r="BE6" s="3">
        <f t="shared" si="12"/>
        <v>0</v>
      </c>
      <c r="BF6" s="1">
        <v>6</v>
      </c>
      <c r="BG6" s="3">
        <f t="shared" si="13"/>
        <v>60000</v>
      </c>
      <c r="BH6" s="1">
        <v>0</v>
      </c>
      <c r="BI6" s="3">
        <f t="shared" si="14"/>
        <v>0</v>
      </c>
      <c r="BJ6" s="1">
        <v>0</v>
      </c>
      <c r="BK6" s="3">
        <f t="shared" si="15"/>
        <v>0</v>
      </c>
    </row>
    <row r="7" spans="1:63" outlineLevel="1" x14ac:dyDescent="0.25">
      <c r="A7" s="20">
        <v>5000</v>
      </c>
      <c r="B7" s="19">
        <v>2</v>
      </c>
      <c r="C7" s="3">
        <f t="shared" si="16"/>
        <v>10000</v>
      </c>
      <c r="D7" s="19">
        <v>4</v>
      </c>
      <c r="E7" s="3">
        <f t="shared" si="17"/>
        <v>20000</v>
      </c>
      <c r="F7" s="19">
        <v>4</v>
      </c>
      <c r="G7" s="3"/>
      <c r="H7" s="19">
        <v>6</v>
      </c>
      <c r="I7" s="3">
        <f t="shared" ref="I7:I13" si="26">+$A7*H7</f>
        <v>30000</v>
      </c>
      <c r="J7" s="19">
        <v>5</v>
      </c>
      <c r="K7" s="3">
        <f t="shared" ref="K7:K13" si="27">+$A7*J7</f>
        <v>25000</v>
      </c>
      <c r="L7" s="19">
        <v>5</v>
      </c>
      <c r="M7" s="3">
        <f t="shared" ref="M7:M13" si="28">+$A7*L7</f>
        <v>25000</v>
      </c>
      <c r="N7" s="19">
        <v>5</v>
      </c>
      <c r="O7" s="3">
        <f t="shared" ref="O7:O13" si="29">+$A7*N7</f>
        <v>25000</v>
      </c>
      <c r="P7" s="19">
        <v>3</v>
      </c>
      <c r="Q7" s="3">
        <f t="shared" ref="Q7:Q13" si="30">+$A7*P7</f>
        <v>15000</v>
      </c>
      <c r="R7" s="19">
        <v>3</v>
      </c>
      <c r="S7" s="3"/>
      <c r="T7" s="19">
        <v>3</v>
      </c>
      <c r="U7" s="3">
        <f t="shared" ref="U7:U13" si="31">+$A7*T7</f>
        <v>15000</v>
      </c>
      <c r="V7" s="1">
        <v>4</v>
      </c>
      <c r="W7" s="3">
        <f t="shared" ref="W7:W13" si="32">+$A7*V7</f>
        <v>20000</v>
      </c>
      <c r="X7" s="1">
        <v>0</v>
      </c>
      <c r="Y7" s="3">
        <f t="shared" ref="Y7:Y13" si="33">+$A7*X7</f>
        <v>0</v>
      </c>
      <c r="Z7" s="1">
        <v>0</v>
      </c>
      <c r="AA7" s="3">
        <f t="shared" ref="AA7:AC13" si="34">+$A7*Z7</f>
        <v>0</v>
      </c>
      <c r="AB7" s="1">
        <v>3</v>
      </c>
      <c r="AC7" s="3">
        <f t="shared" si="34"/>
        <v>15000</v>
      </c>
      <c r="AD7" s="1">
        <v>3</v>
      </c>
      <c r="AE7" s="3">
        <f t="shared" si="1"/>
        <v>15000</v>
      </c>
      <c r="AF7" s="1">
        <v>5</v>
      </c>
      <c r="AG7" s="3">
        <f t="shared" si="1"/>
        <v>25000</v>
      </c>
      <c r="AH7" s="1">
        <v>3</v>
      </c>
      <c r="AI7" s="3">
        <f t="shared" si="2"/>
        <v>15000</v>
      </c>
      <c r="AJ7" s="1"/>
      <c r="AK7" s="3"/>
      <c r="AL7" s="1">
        <v>8</v>
      </c>
      <c r="AM7" s="3">
        <f t="shared" si="3"/>
        <v>40000</v>
      </c>
      <c r="AN7" s="1">
        <v>3</v>
      </c>
      <c r="AO7" s="3">
        <f t="shared" si="4"/>
        <v>15000</v>
      </c>
      <c r="AP7" s="1"/>
      <c r="AQ7" s="3">
        <f t="shared" si="5"/>
        <v>0</v>
      </c>
      <c r="AR7" s="1">
        <v>3</v>
      </c>
      <c r="AS7" s="3">
        <f t="shared" si="6"/>
        <v>15000</v>
      </c>
      <c r="AT7" s="1">
        <v>10</v>
      </c>
      <c r="AU7" s="3">
        <f t="shared" si="7"/>
        <v>50000</v>
      </c>
      <c r="AV7" s="1">
        <v>8</v>
      </c>
      <c r="AW7" s="3">
        <f t="shared" si="8"/>
        <v>40000</v>
      </c>
      <c r="AX7" s="1">
        <v>6</v>
      </c>
      <c r="AY7" s="3">
        <f t="shared" si="9"/>
        <v>30000</v>
      </c>
      <c r="AZ7" s="1">
        <v>3</v>
      </c>
      <c r="BA7" s="3">
        <f t="shared" si="10"/>
        <v>15000</v>
      </c>
      <c r="BB7" s="1">
        <v>0</v>
      </c>
      <c r="BC7" s="3">
        <f t="shared" si="11"/>
        <v>0</v>
      </c>
      <c r="BD7" s="1">
        <v>0</v>
      </c>
      <c r="BE7" s="3">
        <f t="shared" si="12"/>
        <v>0</v>
      </c>
      <c r="BF7" s="1">
        <v>1</v>
      </c>
      <c r="BG7" s="3">
        <f t="shared" si="13"/>
        <v>5000</v>
      </c>
      <c r="BH7" s="1">
        <v>0</v>
      </c>
      <c r="BI7" s="3">
        <f t="shared" si="14"/>
        <v>0</v>
      </c>
      <c r="BJ7" s="1">
        <v>0</v>
      </c>
      <c r="BK7" s="3">
        <f t="shared" si="15"/>
        <v>0</v>
      </c>
    </row>
    <row r="8" spans="1:63" outlineLevel="1" x14ac:dyDescent="0.25">
      <c r="A8" s="20">
        <v>2000</v>
      </c>
      <c r="B8" s="19">
        <v>4</v>
      </c>
      <c r="C8" s="3">
        <f t="shared" si="16"/>
        <v>8000</v>
      </c>
      <c r="D8" s="19">
        <v>5</v>
      </c>
      <c r="E8" s="3">
        <f t="shared" si="17"/>
        <v>10000</v>
      </c>
      <c r="F8" s="19">
        <v>5</v>
      </c>
      <c r="G8" s="3"/>
      <c r="H8" s="19">
        <v>12</v>
      </c>
      <c r="I8" s="3">
        <f t="shared" si="26"/>
        <v>24000</v>
      </c>
      <c r="J8" s="19">
        <v>17</v>
      </c>
      <c r="K8" s="3">
        <f t="shared" si="27"/>
        <v>34000</v>
      </c>
      <c r="L8" s="19">
        <v>14</v>
      </c>
      <c r="M8" s="3">
        <f t="shared" si="28"/>
        <v>28000</v>
      </c>
      <c r="N8" s="19">
        <v>14</v>
      </c>
      <c r="O8" s="3">
        <f t="shared" si="29"/>
        <v>28000</v>
      </c>
      <c r="P8" s="19">
        <v>10</v>
      </c>
      <c r="Q8" s="3">
        <f t="shared" si="30"/>
        <v>20000</v>
      </c>
      <c r="R8" s="19">
        <v>10</v>
      </c>
      <c r="S8" s="3"/>
      <c r="T8" s="19">
        <v>12</v>
      </c>
      <c r="U8" s="3">
        <f t="shared" si="31"/>
        <v>24000</v>
      </c>
      <c r="V8" s="1">
        <v>22</v>
      </c>
      <c r="W8" s="3">
        <f t="shared" si="32"/>
        <v>44000</v>
      </c>
      <c r="X8" s="1">
        <v>23</v>
      </c>
      <c r="Y8" s="3">
        <f t="shared" si="33"/>
        <v>46000</v>
      </c>
      <c r="Z8" s="1">
        <v>20</v>
      </c>
      <c r="AA8" s="3">
        <f t="shared" si="34"/>
        <v>40000</v>
      </c>
      <c r="AB8" s="1">
        <v>25</v>
      </c>
      <c r="AC8" s="3">
        <f t="shared" si="34"/>
        <v>50000</v>
      </c>
      <c r="AD8" s="1">
        <v>25</v>
      </c>
      <c r="AE8" s="3">
        <f t="shared" si="1"/>
        <v>50000</v>
      </c>
      <c r="AF8" s="1">
        <v>25</v>
      </c>
      <c r="AG8" s="3">
        <f t="shared" si="1"/>
        <v>50000</v>
      </c>
      <c r="AH8" s="1">
        <v>20</v>
      </c>
      <c r="AI8" s="3">
        <f t="shared" si="2"/>
        <v>40000</v>
      </c>
      <c r="AJ8" s="1"/>
      <c r="AK8" s="3"/>
      <c r="AL8" s="1">
        <v>23</v>
      </c>
      <c r="AM8" s="3">
        <f t="shared" si="3"/>
        <v>46000</v>
      </c>
      <c r="AN8" s="1">
        <v>18</v>
      </c>
      <c r="AO8" s="3">
        <f t="shared" si="4"/>
        <v>36000</v>
      </c>
      <c r="AP8" s="1"/>
      <c r="AQ8" s="3">
        <f t="shared" si="5"/>
        <v>0</v>
      </c>
      <c r="AR8" s="1">
        <v>3</v>
      </c>
      <c r="AS8" s="3">
        <f t="shared" si="6"/>
        <v>6000</v>
      </c>
      <c r="AT8" s="1">
        <v>15</v>
      </c>
      <c r="AU8" s="3">
        <f t="shared" si="7"/>
        <v>30000</v>
      </c>
      <c r="AV8" s="1">
        <v>23</v>
      </c>
      <c r="AW8" s="3">
        <f t="shared" si="8"/>
        <v>46000</v>
      </c>
      <c r="AX8" s="1">
        <v>21</v>
      </c>
      <c r="AY8" s="3">
        <f t="shared" si="9"/>
        <v>42000</v>
      </c>
      <c r="AZ8" s="1">
        <v>18</v>
      </c>
      <c r="BA8" s="3">
        <f t="shared" si="10"/>
        <v>36000</v>
      </c>
      <c r="BB8" s="1">
        <v>0</v>
      </c>
      <c r="BC8" s="3">
        <f t="shared" si="11"/>
        <v>0</v>
      </c>
      <c r="BD8" s="1">
        <v>0</v>
      </c>
      <c r="BE8" s="3">
        <f t="shared" si="12"/>
        <v>0</v>
      </c>
      <c r="BF8" s="1">
        <v>18</v>
      </c>
      <c r="BG8" s="3">
        <f t="shared" si="13"/>
        <v>36000</v>
      </c>
      <c r="BH8" s="1">
        <v>0</v>
      </c>
      <c r="BI8" s="3">
        <f t="shared" si="14"/>
        <v>0</v>
      </c>
      <c r="BJ8" s="1">
        <v>0</v>
      </c>
      <c r="BK8" s="3">
        <f t="shared" si="15"/>
        <v>0</v>
      </c>
    </row>
    <row r="9" spans="1:63" outlineLevel="1" x14ac:dyDescent="0.25">
      <c r="A9" s="20">
        <v>1000</v>
      </c>
      <c r="B9" s="19">
        <v>7</v>
      </c>
      <c r="C9" s="3">
        <f t="shared" si="16"/>
        <v>7000</v>
      </c>
      <c r="D9" s="19">
        <v>8</v>
      </c>
      <c r="E9" s="3">
        <f t="shared" si="17"/>
        <v>8000</v>
      </c>
      <c r="F9" s="19">
        <v>8</v>
      </c>
      <c r="G9" s="3"/>
      <c r="H9" s="19">
        <v>3</v>
      </c>
      <c r="I9" s="3">
        <f t="shared" si="26"/>
        <v>3000</v>
      </c>
      <c r="J9" s="19">
        <v>2</v>
      </c>
      <c r="K9" s="3">
        <f t="shared" si="27"/>
        <v>2000</v>
      </c>
      <c r="L9" s="19">
        <v>0</v>
      </c>
      <c r="M9" s="3">
        <f t="shared" si="28"/>
        <v>0</v>
      </c>
      <c r="N9" s="19">
        <v>0</v>
      </c>
      <c r="O9" s="3">
        <f t="shared" si="29"/>
        <v>0</v>
      </c>
      <c r="P9" s="19">
        <v>0</v>
      </c>
      <c r="Q9" s="3">
        <f t="shared" si="30"/>
        <v>0</v>
      </c>
      <c r="R9" s="19">
        <v>0</v>
      </c>
      <c r="S9" s="3"/>
      <c r="T9" s="19">
        <v>20</v>
      </c>
      <c r="U9" s="3">
        <f t="shared" si="31"/>
        <v>20000</v>
      </c>
      <c r="V9" s="1">
        <v>16</v>
      </c>
      <c r="W9" s="3">
        <f t="shared" si="32"/>
        <v>16000</v>
      </c>
      <c r="X9" s="1">
        <v>12</v>
      </c>
      <c r="Y9" s="3">
        <f t="shared" si="33"/>
        <v>12000</v>
      </c>
      <c r="Z9" s="1">
        <v>9</v>
      </c>
      <c r="AA9" s="3">
        <f t="shared" si="34"/>
        <v>9000</v>
      </c>
      <c r="AB9" s="1">
        <v>6</v>
      </c>
      <c r="AC9" s="3">
        <f t="shared" si="34"/>
        <v>6000</v>
      </c>
      <c r="AD9" s="1">
        <v>11</v>
      </c>
      <c r="AE9" s="3">
        <f t="shared" si="1"/>
        <v>11000</v>
      </c>
      <c r="AF9" s="1">
        <v>10</v>
      </c>
      <c r="AG9" s="3">
        <f t="shared" si="1"/>
        <v>10000</v>
      </c>
      <c r="AH9" s="1">
        <v>6</v>
      </c>
      <c r="AI9" s="3">
        <f t="shared" si="2"/>
        <v>6000</v>
      </c>
      <c r="AJ9" s="1"/>
      <c r="AK9" s="3"/>
      <c r="AL9" s="1">
        <v>11</v>
      </c>
      <c r="AM9" s="3">
        <f t="shared" si="3"/>
        <v>11000</v>
      </c>
      <c r="AN9" s="1">
        <v>9</v>
      </c>
      <c r="AO9" s="3">
        <f t="shared" si="4"/>
        <v>9000</v>
      </c>
      <c r="AP9" s="1"/>
      <c r="AQ9" s="3">
        <f t="shared" si="5"/>
        <v>0</v>
      </c>
      <c r="AR9" s="1">
        <v>3</v>
      </c>
      <c r="AS9" s="3">
        <f t="shared" si="6"/>
        <v>3000</v>
      </c>
      <c r="AT9" s="1">
        <v>14</v>
      </c>
      <c r="AU9" s="3">
        <f t="shared" si="7"/>
        <v>14000</v>
      </c>
      <c r="AV9" s="1">
        <v>7</v>
      </c>
      <c r="AW9" s="3">
        <f t="shared" si="8"/>
        <v>7000</v>
      </c>
      <c r="AX9" s="1">
        <v>7</v>
      </c>
      <c r="AY9" s="3">
        <f t="shared" si="9"/>
        <v>7000</v>
      </c>
      <c r="AZ9" s="1">
        <v>6</v>
      </c>
      <c r="BA9" s="3">
        <f t="shared" si="10"/>
        <v>6000</v>
      </c>
      <c r="BB9" s="1">
        <v>0</v>
      </c>
      <c r="BC9" s="3">
        <f t="shared" si="11"/>
        <v>0</v>
      </c>
      <c r="BD9" s="1">
        <v>0</v>
      </c>
      <c r="BE9" s="3">
        <f t="shared" si="12"/>
        <v>0</v>
      </c>
      <c r="BF9" s="1">
        <v>6</v>
      </c>
      <c r="BG9" s="3">
        <f t="shared" si="13"/>
        <v>6000</v>
      </c>
      <c r="BH9" s="1">
        <v>0</v>
      </c>
      <c r="BI9" s="3">
        <f t="shared" si="14"/>
        <v>0</v>
      </c>
      <c r="BJ9" s="1">
        <v>0</v>
      </c>
      <c r="BK9" s="3">
        <f t="shared" si="15"/>
        <v>0</v>
      </c>
    </row>
    <row r="10" spans="1:63" outlineLevel="1" x14ac:dyDescent="0.25">
      <c r="A10" s="20">
        <v>500</v>
      </c>
      <c r="B10" s="19">
        <v>31</v>
      </c>
      <c r="C10" s="3">
        <f t="shared" si="16"/>
        <v>15500</v>
      </c>
      <c r="D10" s="19">
        <v>32</v>
      </c>
      <c r="E10" s="3">
        <f t="shared" si="17"/>
        <v>16000</v>
      </c>
      <c r="F10" s="19">
        <v>32</v>
      </c>
      <c r="G10" s="3"/>
      <c r="H10" s="19">
        <v>38</v>
      </c>
      <c r="I10" s="3">
        <f t="shared" si="26"/>
        <v>19000</v>
      </c>
      <c r="J10" s="19">
        <v>37</v>
      </c>
      <c r="K10" s="3">
        <f t="shared" si="27"/>
        <v>18500</v>
      </c>
      <c r="L10" s="19">
        <v>36</v>
      </c>
      <c r="M10" s="3">
        <f t="shared" si="28"/>
        <v>18000</v>
      </c>
      <c r="N10" s="19">
        <v>36</v>
      </c>
      <c r="O10" s="3">
        <f t="shared" si="29"/>
        <v>18000</v>
      </c>
      <c r="P10" s="19">
        <v>36</v>
      </c>
      <c r="Q10" s="3">
        <f t="shared" si="30"/>
        <v>18000</v>
      </c>
      <c r="R10" s="19">
        <v>36</v>
      </c>
      <c r="S10" s="3"/>
      <c r="T10" s="19">
        <v>40</v>
      </c>
      <c r="U10" s="3">
        <f t="shared" si="31"/>
        <v>20000</v>
      </c>
      <c r="V10" s="1">
        <v>45</v>
      </c>
      <c r="W10" s="3">
        <f t="shared" si="32"/>
        <v>22500</v>
      </c>
      <c r="X10" s="1">
        <v>31</v>
      </c>
      <c r="Y10" s="3">
        <f t="shared" si="33"/>
        <v>15500</v>
      </c>
      <c r="Z10" s="1">
        <v>20</v>
      </c>
      <c r="AA10" s="3">
        <f t="shared" si="34"/>
        <v>10000</v>
      </c>
      <c r="AB10" s="1">
        <v>21</v>
      </c>
      <c r="AC10" s="3">
        <f t="shared" si="34"/>
        <v>10500</v>
      </c>
      <c r="AD10" s="1">
        <v>21</v>
      </c>
      <c r="AE10" s="3">
        <f t="shared" si="1"/>
        <v>10500</v>
      </c>
      <c r="AF10" s="1">
        <v>35</v>
      </c>
      <c r="AG10" s="3">
        <f t="shared" si="1"/>
        <v>17500</v>
      </c>
      <c r="AH10" s="1">
        <v>20</v>
      </c>
      <c r="AI10" s="3">
        <f t="shared" si="2"/>
        <v>10000</v>
      </c>
      <c r="AJ10" s="1"/>
      <c r="AK10" s="3"/>
      <c r="AL10" s="1">
        <v>42</v>
      </c>
      <c r="AM10" s="3">
        <f t="shared" si="3"/>
        <v>21000</v>
      </c>
      <c r="AN10" s="1">
        <v>44</v>
      </c>
      <c r="AO10" s="3">
        <f t="shared" si="4"/>
        <v>22000</v>
      </c>
      <c r="AP10" s="1"/>
      <c r="AQ10" s="3">
        <f t="shared" si="5"/>
        <v>0</v>
      </c>
      <c r="AR10" s="1">
        <v>46</v>
      </c>
      <c r="AS10" s="3">
        <f t="shared" si="6"/>
        <v>23000</v>
      </c>
      <c r="AT10" s="1">
        <v>50</v>
      </c>
      <c r="AU10" s="3">
        <f t="shared" si="7"/>
        <v>25000</v>
      </c>
      <c r="AV10" s="1">
        <v>49</v>
      </c>
      <c r="AW10" s="3">
        <f t="shared" si="8"/>
        <v>24500</v>
      </c>
      <c r="AX10" s="1">
        <v>49</v>
      </c>
      <c r="AY10" s="3">
        <f t="shared" si="9"/>
        <v>24500</v>
      </c>
      <c r="AZ10" s="1">
        <v>48</v>
      </c>
      <c r="BA10" s="3">
        <f t="shared" si="10"/>
        <v>24000</v>
      </c>
      <c r="BB10" s="1">
        <v>0</v>
      </c>
      <c r="BC10" s="3">
        <f t="shared" si="11"/>
        <v>0</v>
      </c>
      <c r="BD10" s="1">
        <v>0</v>
      </c>
      <c r="BE10" s="3">
        <f t="shared" si="12"/>
        <v>0</v>
      </c>
      <c r="BF10" s="1">
        <v>49</v>
      </c>
      <c r="BG10" s="3">
        <f t="shared" si="13"/>
        <v>24500</v>
      </c>
      <c r="BH10" s="1">
        <v>0</v>
      </c>
      <c r="BI10" s="3">
        <f t="shared" si="14"/>
        <v>0</v>
      </c>
      <c r="BJ10" s="1">
        <v>0</v>
      </c>
      <c r="BK10" s="3">
        <f t="shared" si="15"/>
        <v>0</v>
      </c>
    </row>
    <row r="11" spans="1:63" outlineLevel="1" x14ac:dyDescent="0.25">
      <c r="A11" s="20">
        <v>200</v>
      </c>
      <c r="B11" s="19">
        <v>54</v>
      </c>
      <c r="C11" s="3">
        <f t="shared" si="16"/>
        <v>10800</v>
      </c>
      <c r="D11" s="19">
        <v>56</v>
      </c>
      <c r="E11" s="3">
        <f t="shared" si="17"/>
        <v>11200</v>
      </c>
      <c r="F11" s="19">
        <v>56</v>
      </c>
      <c r="G11" s="3"/>
      <c r="H11" s="19">
        <v>62</v>
      </c>
      <c r="I11" s="3">
        <f t="shared" si="26"/>
        <v>12400</v>
      </c>
      <c r="J11" s="19">
        <v>62</v>
      </c>
      <c r="K11" s="3">
        <f t="shared" si="27"/>
        <v>12400</v>
      </c>
      <c r="L11" s="19">
        <v>68</v>
      </c>
      <c r="M11" s="3">
        <f t="shared" si="28"/>
        <v>13600</v>
      </c>
      <c r="N11" s="19">
        <v>68</v>
      </c>
      <c r="O11" s="3">
        <f t="shared" si="29"/>
        <v>13600</v>
      </c>
      <c r="P11" s="19">
        <v>81</v>
      </c>
      <c r="Q11" s="3">
        <f t="shared" si="30"/>
        <v>16200</v>
      </c>
      <c r="R11" s="19">
        <v>81</v>
      </c>
      <c r="S11" s="3"/>
      <c r="T11" s="19">
        <v>3</v>
      </c>
      <c r="U11" s="3">
        <f t="shared" si="31"/>
        <v>600</v>
      </c>
      <c r="V11" s="1">
        <v>5</v>
      </c>
      <c r="W11" s="3">
        <f t="shared" si="32"/>
        <v>1000</v>
      </c>
      <c r="X11" s="1">
        <v>4</v>
      </c>
      <c r="Y11" s="3">
        <f t="shared" si="33"/>
        <v>800</v>
      </c>
      <c r="Z11" s="1">
        <v>4</v>
      </c>
      <c r="AA11" s="3">
        <f t="shared" si="34"/>
        <v>800</v>
      </c>
      <c r="AB11" s="1">
        <v>7</v>
      </c>
      <c r="AC11" s="3">
        <f t="shared" si="34"/>
        <v>1400</v>
      </c>
      <c r="AD11" s="1">
        <v>13</v>
      </c>
      <c r="AE11" s="3">
        <f t="shared" si="1"/>
        <v>2600</v>
      </c>
      <c r="AF11" s="1">
        <v>9</v>
      </c>
      <c r="AG11" s="3">
        <f t="shared" si="1"/>
        <v>1800</v>
      </c>
      <c r="AH11" s="1">
        <v>6</v>
      </c>
      <c r="AI11" s="3">
        <f t="shared" si="2"/>
        <v>1200</v>
      </c>
      <c r="AJ11" s="1"/>
      <c r="AK11" s="3"/>
      <c r="AL11" s="1">
        <v>10</v>
      </c>
      <c r="AM11" s="3">
        <f t="shared" si="3"/>
        <v>2000</v>
      </c>
      <c r="AN11" s="1">
        <v>13</v>
      </c>
      <c r="AO11" s="3">
        <f t="shared" si="4"/>
        <v>2600</v>
      </c>
      <c r="AP11" s="1"/>
      <c r="AQ11" s="3">
        <f t="shared" si="5"/>
        <v>0</v>
      </c>
      <c r="AR11" s="1">
        <v>25</v>
      </c>
      <c r="AS11" s="3">
        <f t="shared" si="6"/>
        <v>5000</v>
      </c>
      <c r="AT11" s="1">
        <v>10</v>
      </c>
      <c r="AU11" s="3">
        <f t="shared" si="7"/>
        <v>2000</v>
      </c>
      <c r="AV11" s="1">
        <v>10</v>
      </c>
      <c r="AW11" s="3">
        <f t="shared" si="8"/>
        <v>2000</v>
      </c>
      <c r="AX11" s="1">
        <v>14</v>
      </c>
      <c r="AY11" s="3">
        <f t="shared" si="9"/>
        <v>2800</v>
      </c>
      <c r="AZ11" s="1">
        <v>9</v>
      </c>
      <c r="BA11" s="3">
        <f t="shared" si="10"/>
        <v>1800</v>
      </c>
      <c r="BB11" s="1">
        <v>0</v>
      </c>
      <c r="BC11" s="3">
        <f t="shared" si="11"/>
        <v>0</v>
      </c>
      <c r="BD11" s="1">
        <v>0</v>
      </c>
      <c r="BE11" s="3">
        <f t="shared" si="12"/>
        <v>0</v>
      </c>
      <c r="BF11" s="1">
        <v>9</v>
      </c>
      <c r="BG11" s="3">
        <f t="shared" si="13"/>
        <v>1800</v>
      </c>
      <c r="BH11" s="1">
        <v>0</v>
      </c>
      <c r="BI11" s="3">
        <f t="shared" si="14"/>
        <v>0</v>
      </c>
      <c r="BJ11" s="1">
        <v>0</v>
      </c>
      <c r="BK11" s="3">
        <f t="shared" si="15"/>
        <v>0</v>
      </c>
    </row>
    <row r="12" spans="1:63" outlineLevel="1" x14ac:dyDescent="0.25">
      <c r="A12" s="20">
        <v>100</v>
      </c>
      <c r="B12" s="19">
        <v>38</v>
      </c>
      <c r="C12" s="3">
        <f t="shared" si="16"/>
        <v>3800</v>
      </c>
      <c r="D12" s="19">
        <v>39</v>
      </c>
      <c r="E12" s="3">
        <f t="shared" si="17"/>
        <v>3900</v>
      </c>
      <c r="F12" s="19">
        <v>39</v>
      </c>
      <c r="G12" s="3"/>
      <c r="H12" s="19">
        <v>51</v>
      </c>
      <c r="I12" s="3">
        <f t="shared" si="26"/>
        <v>5100</v>
      </c>
      <c r="J12" s="19">
        <v>48</v>
      </c>
      <c r="K12" s="3">
        <f t="shared" si="27"/>
        <v>4800</v>
      </c>
      <c r="L12" s="19">
        <v>63</v>
      </c>
      <c r="M12" s="3">
        <f t="shared" si="28"/>
        <v>6300</v>
      </c>
      <c r="N12" s="19">
        <v>63</v>
      </c>
      <c r="O12" s="3">
        <f t="shared" si="29"/>
        <v>6300</v>
      </c>
      <c r="P12" s="19">
        <v>77</v>
      </c>
      <c r="Q12" s="3">
        <f t="shared" si="30"/>
        <v>7700</v>
      </c>
      <c r="R12" s="19">
        <v>77</v>
      </c>
      <c r="S12" s="3"/>
      <c r="T12" s="19">
        <v>9</v>
      </c>
      <c r="U12" s="3">
        <f t="shared" si="31"/>
        <v>900</v>
      </c>
      <c r="V12" s="1">
        <v>11</v>
      </c>
      <c r="W12" s="3">
        <f t="shared" si="32"/>
        <v>1100</v>
      </c>
      <c r="X12" s="1">
        <v>13</v>
      </c>
      <c r="Y12" s="3">
        <f t="shared" si="33"/>
        <v>1300</v>
      </c>
      <c r="Z12" s="1">
        <v>13</v>
      </c>
      <c r="AA12" s="3">
        <f t="shared" si="34"/>
        <v>1300</v>
      </c>
      <c r="AB12" s="1">
        <v>14</v>
      </c>
      <c r="AC12" s="3">
        <f t="shared" si="34"/>
        <v>1400</v>
      </c>
      <c r="AD12" s="1">
        <v>15</v>
      </c>
      <c r="AE12" s="3">
        <f t="shared" si="1"/>
        <v>1500</v>
      </c>
      <c r="AF12" s="1">
        <v>15</v>
      </c>
      <c r="AG12" s="3">
        <f t="shared" si="1"/>
        <v>1500</v>
      </c>
      <c r="AH12" s="1">
        <v>17</v>
      </c>
      <c r="AI12" s="3">
        <f t="shared" si="2"/>
        <v>1700</v>
      </c>
      <c r="AJ12" s="1"/>
      <c r="AK12" s="3"/>
      <c r="AL12" s="1">
        <v>29</v>
      </c>
      <c r="AM12" s="3">
        <f t="shared" si="3"/>
        <v>2900</v>
      </c>
      <c r="AN12" s="1">
        <v>29</v>
      </c>
      <c r="AO12" s="3">
        <f t="shared" si="4"/>
        <v>2900</v>
      </c>
      <c r="AP12" s="1"/>
      <c r="AQ12" s="3">
        <f t="shared" si="5"/>
        <v>0</v>
      </c>
      <c r="AR12" s="1">
        <v>30</v>
      </c>
      <c r="AS12" s="3">
        <f t="shared" si="6"/>
        <v>3000</v>
      </c>
      <c r="AT12" s="1">
        <v>12</v>
      </c>
      <c r="AU12" s="3">
        <f t="shared" si="7"/>
        <v>1200</v>
      </c>
      <c r="AV12" s="1">
        <v>11</v>
      </c>
      <c r="AW12" s="3">
        <f t="shared" si="8"/>
        <v>1100</v>
      </c>
      <c r="AX12" s="1">
        <v>13</v>
      </c>
      <c r="AY12" s="3">
        <f t="shared" si="9"/>
        <v>1300</v>
      </c>
      <c r="AZ12" s="1">
        <v>13</v>
      </c>
      <c r="BA12" s="3">
        <f t="shared" si="10"/>
        <v>1300</v>
      </c>
      <c r="BB12" s="1">
        <v>0</v>
      </c>
      <c r="BC12" s="3">
        <f t="shared" si="11"/>
        <v>0</v>
      </c>
      <c r="BD12" s="1">
        <v>0</v>
      </c>
      <c r="BE12" s="3">
        <f t="shared" si="12"/>
        <v>0</v>
      </c>
      <c r="BF12" s="1">
        <v>13</v>
      </c>
      <c r="BG12" s="3">
        <f t="shared" si="13"/>
        <v>1300</v>
      </c>
      <c r="BH12" s="1">
        <v>0</v>
      </c>
      <c r="BI12" s="3">
        <f t="shared" si="14"/>
        <v>0</v>
      </c>
      <c r="BJ12" s="1">
        <v>0</v>
      </c>
      <c r="BK12" s="3">
        <f t="shared" si="15"/>
        <v>0</v>
      </c>
    </row>
    <row r="13" spans="1:63" ht="15.75" outlineLevel="1" thickBot="1" x14ac:dyDescent="0.3">
      <c r="A13" s="20">
        <v>50</v>
      </c>
      <c r="B13" s="19">
        <v>10</v>
      </c>
      <c r="C13" s="21">
        <f t="shared" si="16"/>
        <v>500</v>
      </c>
      <c r="D13" s="19">
        <v>10</v>
      </c>
      <c r="E13" s="21">
        <f t="shared" si="17"/>
        <v>500</v>
      </c>
      <c r="F13" s="19">
        <v>10</v>
      </c>
      <c r="G13" s="21"/>
      <c r="H13" s="19">
        <v>10</v>
      </c>
      <c r="I13" s="21">
        <f t="shared" si="26"/>
        <v>500</v>
      </c>
      <c r="J13" s="19">
        <v>10</v>
      </c>
      <c r="K13" s="21">
        <f t="shared" si="27"/>
        <v>500</v>
      </c>
      <c r="L13" s="19">
        <v>10</v>
      </c>
      <c r="M13" s="21">
        <f t="shared" si="28"/>
        <v>500</v>
      </c>
      <c r="N13" s="19">
        <v>10</v>
      </c>
      <c r="O13" s="21">
        <f t="shared" si="29"/>
        <v>500</v>
      </c>
      <c r="P13" s="19">
        <v>14</v>
      </c>
      <c r="Q13" s="21">
        <f t="shared" si="30"/>
        <v>700</v>
      </c>
      <c r="R13" s="19">
        <v>14</v>
      </c>
      <c r="S13" s="21"/>
      <c r="T13" s="19">
        <v>9</v>
      </c>
      <c r="U13" s="21">
        <f t="shared" si="31"/>
        <v>450</v>
      </c>
      <c r="V13" s="1">
        <v>9</v>
      </c>
      <c r="W13" s="21">
        <f t="shared" si="32"/>
        <v>450</v>
      </c>
      <c r="X13" s="1">
        <v>8</v>
      </c>
      <c r="Y13" s="21">
        <f t="shared" si="33"/>
        <v>400</v>
      </c>
      <c r="Z13" s="1">
        <v>11</v>
      </c>
      <c r="AA13" s="21">
        <f t="shared" si="34"/>
        <v>550</v>
      </c>
      <c r="AB13" s="1">
        <v>9</v>
      </c>
      <c r="AC13" s="21">
        <f t="shared" si="34"/>
        <v>450</v>
      </c>
      <c r="AD13" s="1">
        <v>8</v>
      </c>
      <c r="AE13" s="21">
        <f t="shared" si="1"/>
        <v>400</v>
      </c>
      <c r="AF13" s="1">
        <v>8</v>
      </c>
      <c r="AG13" s="21">
        <f t="shared" si="1"/>
        <v>400</v>
      </c>
      <c r="AH13" s="1">
        <v>7</v>
      </c>
      <c r="AI13" s="21">
        <f t="shared" si="2"/>
        <v>350</v>
      </c>
      <c r="AJ13" s="1"/>
      <c r="AK13" s="21"/>
      <c r="AL13" s="1">
        <v>9</v>
      </c>
      <c r="AM13" s="21">
        <f t="shared" si="3"/>
        <v>450</v>
      </c>
      <c r="AN13" s="1">
        <v>10</v>
      </c>
      <c r="AO13" s="21">
        <f t="shared" si="4"/>
        <v>500</v>
      </c>
      <c r="AP13" s="1"/>
      <c r="AQ13" s="21">
        <f t="shared" si="5"/>
        <v>0</v>
      </c>
      <c r="AR13" s="1">
        <v>10</v>
      </c>
      <c r="AS13" s="21">
        <f t="shared" si="6"/>
        <v>500</v>
      </c>
      <c r="AT13" s="1">
        <v>11</v>
      </c>
      <c r="AU13" s="21">
        <f t="shared" si="7"/>
        <v>550</v>
      </c>
      <c r="AV13" s="1">
        <v>12</v>
      </c>
      <c r="AW13" s="21">
        <f t="shared" si="8"/>
        <v>600</v>
      </c>
      <c r="AX13" s="1">
        <v>12</v>
      </c>
      <c r="AY13" s="21">
        <f t="shared" si="9"/>
        <v>600</v>
      </c>
      <c r="AZ13" s="1">
        <v>12</v>
      </c>
      <c r="BA13" s="21">
        <f t="shared" si="10"/>
        <v>600</v>
      </c>
      <c r="BB13" s="1">
        <v>0</v>
      </c>
      <c r="BC13" s="21">
        <f t="shared" si="11"/>
        <v>0</v>
      </c>
      <c r="BD13" s="1">
        <v>0</v>
      </c>
      <c r="BE13" s="21">
        <f t="shared" si="12"/>
        <v>0</v>
      </c>
      <c r="BF13" s="1">
        <v>12</v>
      </c>
      <c r="BG13" s="21">
        <f t="shared" si="13"/>
        <v>600</v>
      </c>
      <c r="BH13" s="1">
        <v>0</v>
      </c>
      <c r="BI13" s="21">
        <f t="shared" si="14"/>
        <v>0</v>
      </c>
      <c r="BJ13" s="1">
        <v>0</v>
      </c>
      <c r="BK13" s="21">
        <f t="shared" si="15"/>
        <v>0</v>
      </c>
    </row>
    <row r="14" spans="1:63" ht="15.75" thickTop="1" x14ac:dyDescent="0.25">
      <c r="C14" s="13">
        <f>+SUM(C3:C13)</f>
        <v>205600</v>
      </c>
      <c r="E14" s="13">
        <f>+SUM(E3:E13)+SUM('historial de venta'!G32:G37)</f>
        <v>315600</v>
      </c>
      <c r="G14" s="12">
        <v>0</v>
      </c>
      <c r="I14" s="13">
        <f>100000+(315000-10000)</f>
        <v>405000</v>
      </c>
      <c r="K14" s="46">
        <f>115000+105200</f>
        <v>220200</v>
      </c>
      <c r="M14" s="12">
        <f>SUM(M3:M13)</f>
        <v>141400</v>
      </c>
      <c r="O14" s="12">
        <f>SUM(O3:O13)</f>
        <v>141400</v>
      </c>
      <c r="Q14" s="12">
        <f>SUM(Q3:Q13)</f>
        <v>187600</v>
      </c>
      <c r="S14" s="59"/>
      <c r="U14" s="12">
        <f>SUM(U3:U13)</f>
        <v>120950</v>
      </c>
      <c r="W14" s="12">
        <f>SUM(W3:W13)</f>
        <v>175050</v>
      </c>
      <c r="Y14" s="12">
        <f>SUM(Y3:Y13)</f>
        <v>86000</v>
      </c>
      <c r="AA14" s="12">
        <f>SUM(AA3:AA13)</f>
        <v>141650</v>
      </c>
      <c r="AC14" s="12">
        <f>SUM(AC3:AC13)</f>
        <v>304750</v>
      </c>
      <c r="AE14" s="12">
        <f>SUM(AE3:AE13)</f>
        <v>151000</v>
      </c>
      <c r="AG14" s="12">
        <f>SUM(AG3:AG13)</f>
        <v>106200</v>
      </c>
      <c r="AI14" s="12">
        <f>SUM(AI3:AI13)</f>
        <v>84250</v>
      </c>
      <c r="AK14" s="12">
        <f>SUM(AK3:AK13)</f>
        <v>0</v>
      </c>
      <c r="AM14" s="12">
        <f>SUM(AM3:AM13)</f>
        <v>203350</v>
      </c>
      <c r="AO14" s="12">
        <f>SUM(AO3:AO13)</f>
        <v>88000</v>
      </c>
      <c r="AQ14" s="12">
        <f>SUM(AQ3:AQ13)</f>
        <v>0</v>
      </c>
      <c r="AS14" s="12">
        <f>SUM(AS3:AS13)</f>
        <v>95500</v>
      </c>
      <c r="AU14" s="12">
        <f>SUM(AU3:AU13)</f>
        <v>172750</v>
      </c>
      <c r="AW14" s="12">
        <f>SUM(AW3:AW13)</f>
        <v>331200</v>
      </c>
      <c r="AY14" s="12">
        <f>SUM(AY3:AY13)</f>
        <v>108200</v>
      </c>
      <c r="BA14" s="12">
        <f>SUM(BA3:BA13)</f>
        <v>144700</v>
      </c>
      <c r="BC14" s="12">
        <f>SUM(BC3:BC13)</f>
        <v>0</v>
      </c>
      <c r="BE14" s="12">
        <f>SUM(BE3:BE13)</f>
        <v>0</v>
      </c>
      <c r="BG14" s="12">
        <f>SUM(BG3:BG13)</f>
        <v>215200</v>
      </c>
      <c r="BI14" s="12">
        <f>SUM(BI3:BI13)</f>
        <v>0</v>
      </c>
      <c r="BK14" s="12">
        <f>SUM(BK3:BK13)</f>
        <v>0</v>
      </c>
    </row>
    <row r="15" spans="1:63" x14ac:dyDescent="0.25">
      <c r="U15">
        <v>324300</v>
      </c>
      <c r="AE15" s="12"/>
      <c r="AG15" s="12"/>
      <c r="AI15" s="12"/>
      <c r="AK15" s="12"/>
      <c r="AM15" s="12"/>
      <c r="AO15" s="12"/>
      <c r="AQ15" s="12"/>
      <c r="BC15" s="9">
        <f>+BA14-BG18</f>
        <v>0</v>
      </c>
    </row>
    <row r="16" spans="1:63" x14ac:dyDescent="0.25">
      <c r="M16" s="9">
        <f>+K14-M18</f>
        <v>95200</v>
      </c>
      <c r="O16" s="9"/>
      <c r="Q16" s="9"/>
      <c r="S16" s="9"/>
      <c r="U16" s="9"/>
      <c r="W16" s="9"/>
      <c r="Y16" s="9"/>
      <c r="AA16" s="9"/>
      <c r="AC16" s="9"/>
      <c r="AE16" s="9"/>
      <c r="AG16" s="9"/>
      <c r="AI16" s="9"/>
      <c r="AK16" s="9"/>
      <c r="AM16" s="9"/>
      <c r="AO16" s="9"/>
      <c r="AQ16" s="9"/>
      <c r="BA16" s="9">
        <f>+BA18+BC15</f>
        <v>108200</v>
      </c>
    </row>
    <row r="17" spans="1:63" x14ac:dyDescent="0.25">
      <c r="A17" s="40" t="s">
        <v>3</v>
      </c>
      <c r="C17" s="40" t="s">
        <v>158</v>
      </c>
      <c r="D17" s="38"/>
      <c r="E17" s="40" t="s">
        <v>159</v>
      </c>
      <c r="F17" s="39"/>
      <c r="G17" s="40" t="s">
        <v>160</v>
      </c>
      <c r="H17" s="39"/>
      <c r="I17" s="40" t="s">
        <v>161</v>
      </c>
      <c r="J17" s="39"/>
      <c r="K17" s="40" t="s">
        <v>189</v>
      </c>
      <c r="L17" s="39"/>
      <c r="M17" s="40" t="s">
        <v>197</v>
      </c>
      <c r="N17" s="39"/>
      <c r="O17" s="40" t="str">
        <f>+O1</f>
        <v>dom</v>
      </c>
      <c r="P17" s="39"/>
      <c r="Q17" s="40" t="str">
        <f>+Q1</f>
        <v>lun</v>
      </c>
      <c r="R17" s="39"/>
      <c r="S17" s="40" t="str">
        <f>+S1</f>
        <v>mar</v>
      </c>
      <c r="T17" s="39"/>
      <c r="U17" s="40" t="str">
        <f>+U1</f>
        <v>mié</v>
      </c>
      <c r="V17" s="39"/>
      <c r="W17" s="40" t="str">
        <f>+W1</f>
        <v>jue</v>
      </c>
      <c r="X17" s="39"/>
      <c r="Y17" s="40" t="str">
        <f>+Y1</f>
        <v>sáb</v>
      </c>
      <c r="Z17" s="39"/>
      <c r="AA17" s="40" t="str">
        <f>+AA1</f>
        <v>dom</v>
      </c>
      <c r="AB17" s="39"/>
      <c r="AC17" s="40" t="str">
        <f>+AC1</f>
        <v>lun</v>
      </c>
      <c r="AD17" s="39"/>
      <c r="AE17" s="40" t="str">
        <f>+AE1</f>
        <v>mar</v>
      </c>
      <c r="AF17" s="39"/>
      <c r="AG17" s="40" t="str">
        <f>+AG1</f>
        <v>mié</v>
      </c>
      <c r="AH17" s="39"/>
      <c r="AI17" s="40" t="str">
        <f>+AI1</f>
        <v>jue</v>
      </c>
      <c r="AJ17" s="39"/>
      <c r="AK17" s="40" t="str">
        <f>+AK1</f>
        <v>vie</v>
      </c>
      <c r="AL17" s="39"/>
      <c r="AM17" s="40" t="str">
        <f>+AM1</f>
        <v>sáb</v>
      </c>
      <c r="AN17" s="39"/>
      <c r="AO17" s="40" t="str">
        <f>+AO1</f>
        <v>dom</v>
      </c>
      <c r="AP17" s="39"/>
      <c r="AQ17" s="40" t="str">
        <f>+AQ1</f>
        <v>lun</v>
      </c>
      <c r="AR17" s="39"/>
      <c r="AS17" s="40" t="str">
        <f>+AS1</f>
        <v>mar</v>
      </c>
      <c r="AT17" s="39"/>
      <c r="AU17" s="40" t="str">
        <f>+AU1</f>
        <v>mié</v>
      </c>
      <c r="AV17" s="39"/>
      <c r="AW17" s="40" t="str">
        <f>+AW1</f>
        <v>jue</v>
      </c>
      <c r="AX17" s="39"/>
      <c r="AY17" s="40" t="str">
        <f>+AY1</f>
        <v>vie</v>
      </c>
      <c r="AZ17" s="39"/>
      <c r="BA17" s="40" t="str">
        <f>+BA1</f>
        <v>sáb</v>
      </c>
      <c r="BB17" s="39"/>
      <c r="BC17" s="40" t="str">
        <f>+BC1</f>
        <v>dom</v>
      </c>
      <c r="BD17" s="39"/>
      <c r="BE17" s="40" t="str">
        <f>+BE1</f>
        <v>lun</v>
      </c>
      <c r="BF17" s="39"/>
      <c r="BG17" s="40" t="str">
        <f>+BG1</f>
        <v>mar</v>
      </c>
      <c r="BH17" s="39"/>
      <c r="BI17" s="40" t="str">
        <f>+BI1</f>
        <v>mié</v>
      </c>
      <c r="BJ17" s="39"/>
      <c r="BK17" s="40" t="str">
        <f>+BK1</f>
        <v>jue</v>
      </c>
    </row>
    <row r="18" spans="1:63" x14ac:dyDescent="0.25">
      <c r="A18" s="14" t="s">
        <v>133</v>
      </c>
      <c r="C18" s="14">
        <v>73700</v>
      </c>
      <c r="E18" s="41">
        <f>$C$23</f>
        <v>205600</v>
      </c>
      <c r="G18" s="41">
        <f>+E23</f>
        <v>315600</v>
      </c>
      <c r="I18" s="41">
        <f>+G23</f>
        <v>412900</v>
      </c>
      <c r="K18" s="41">
        <f>+I23</f>
        <v>405000</v>
      </c>
      <c r="M18" s="24">
        <v>125000</v>
      </c>
      <c r="O18" s="24">
        <f>+M14</f>
        <v>141400</v>
      </c>
      <c r="Q18" s="24">
        <f>+O18</f>
        <v>141400</v>
      </c>
      <c r="S18" s="24">
        <f>+Q23</f>
        <v>201400</v>
      </c>
      <c r="U18" s="58">
        <f>+S23</f>
        <v>252000</v>
      </c>
      <c r="W18" s="14">
        <f>+U23</f>
        <v>103550</v>
      </c>
      <c r="Y18" s="14">
        <f>+W23</f>
        <v>179050</v>
      </c>
      <c r="AA18" s="14">
        <f>$Y$14</f>
        <v>86000</v>
      </c>
      <c r="AC18" s="14">
        <f>+AA14</f>
        <v>141650</v>
      </c>
      <c r="AE18" s="14">
        <v>100000</v>
      </c>
      <c r="AG18" s="14">
        <f>+AE18+AE20</f>
        <v>151000</v>
      </c>
      <c r="AI18" s="14">
        <f>+AG14</f>
        <v>106200</v>
      </c>
      <c r="AK18" s="14">
        <f>+AI14</f>
        <v>84250</v>
      </c>
      <c r="AM18" s="14">
        <f>+AK23</f>
        <v>216750</v>
      </c>
      <c r="AO18" s="14">
        <f>+AM14</f>
        <v>203350</v>
      </c>
      <c r="AQ18" s="14">
        <f>+AO14</f>
        <v>88000</v>
      </c>
      <c r="AS18" s="14">
        <f>+AQ23</f>
        <v>172000</v>
      </c>
      <c r="AU18" s="14">
        <f>+AS23</f>
        <v>95500</v>
      </c>
      <c r="AW18" s="14">
        <f>+AU14</f>
        <v>172750</v>
      </c>
      <c r="AY18" s="14">
        <f>+AW14</f>
        <v>331200</v>
      </c>
      <c r="BA18" s="14">
        <f>+AY23</f>
        <v>108200</v>
      </c>
      <c r="BC18" s="14">
        <f>+BA14</f>
        <v>144700</v>
      </c>
      <c r="BE18" s="14">
        <f>+BC18</f>
        <v>144700</v>
      </c>
      <c r="BG18" s="14">
        <f>+BC23</f>
        <v>144700</v>
      </c>
      <c r="BI18" s="14">
        <f>$BG$14</f>
        <v>215200</v>
      </c>
      <c r="BK18" s="14">
        <f>+BI23</f>
        <v>212850</v>
      </c>
    </row>
    <row r="19" spans="1:63" x14ac:dyDescent="0.25">
      <c r="A19" s="14" t="s">
        <v>198</v>
      </c>
      <c r="C19" s="14">
        <v>0</v>
      </c>
      <c r="E19" s="41">
        <v>0</v>
      </c>
      <c r="G19" s="41">
        <v>0</v>
      </c>
      <c r="I19" s="55">
        <v>-7900</v>
      </c>
      <c r="K19" s="41">
        <v>0</v>
      </c>
      <c r="M19" s="55">
        <v>-350000</v>
      </c>
      <c r="O19" s="57">
        <v>0</v>
      </c>
      <c r="Q19" s="57">
        <v>0</v>
      </c>
      <c r="S19" s="57">
        <v>4300</v>
      </c>
      <c r="U19" s="55"/>
      <c r="W19" s="57">
        <f>+U25</f>
        <v>17400</v>
      </c>
      <c r="Y19" s="57"/>
      <c r="AA19" s="57">
        <v>75050</v>
      </c>
      <c r="AC19" s="57"/>
      <c r="AE19" s="57">
        <v>0</v>
      </c>
      <c r="AG19" s="55">
        <v>-100000</v>
      </c>
      <c r="AI19" s="57">
        <v>0</v>
      </c>
      <c r="AK19" s="57">
        <v>0</v>
      </c>
      <c r="AM19" s="57">
        <v>-100000</v>
      </c>
      <c r="AO19" s="57"/>
      <c r="AQ19" s="57">
        <f>'16mar'!$F$11</f>
        <v>99000</v>
      </c>
      <c r="AS19" s="57">
        <v>-250000</v>
      </c>
      <c r="AU19" s="57">
        <v>0</v>
      </c>
      <c r="AW19" s="57">
        <v>0</v>
      </c>
      <c r="AY19" s="57">
        <v>-230000</v>
      </c>
      <c r="BA19" s="57"/>
      <c r="BC19" s="57"/>
      <c r="BE19" s="41">
        <v>0</v>
      </c>
      <c r="BG19" s="57">
        <f>1800</f>
        <v>1800</v>
      </c>
      <c r="BI19" s="57">
        <v>0</v>
      </c>
      <c r="BK19" s="57">
        <v>0</v>
      </c>
    </row>
    <row r="20" spans="1:63" x14ac:dyDescent="0.25">
      <c r="A20" s="14" t="s">
        <v>132</v>
      </c>
      <c r="C20" s="14">
        <v>192000</v>
      </c>
      <c r="E20" s="41">
        <v>213000</v>
      </c>
      <c r="G20" s="41">
        <v>344000</v>
      </c>
      <c r="I20" s="41">
        <v>84000</v>
      </c>
      <c r="K20" s="41">
        <v>186000</v>
      </c>
      <c r="M20" s="41">
        <v>456500</v>
      </c>
      <c r="O20" s="41">
        <v>0</v>
      </c>
      <c r="Q20" s="24">
        <v>60000</v>
      </c>
      <c r="S20" s="57">
        <v>105000</v>
      </c>
      <c r="U20" s="24">
        <v>260000</v>
      </c>
      <c r="W20" s="24">
        <v>143500</v>
      </c>
      <c r="Y20" s="24"/>
      <c r="AA20" s="24">
        <v>123500</v>
      </c>
      <c r="AC20" s="57">
        <v>172500</v>
      </c>
      <c r="AE20" s="57">
        <v>51000</v>
      </c>
      <c r="AG20" s="57">
        <v>335500</v>
      </c>
      <c r="AI20" s="57">
        <v>67000</v>
      </c>
      <c r="AK20" s="57">
        <f>Registros!$C$13</f>
        <v>132500</v>
      </c>
      <c r="AM20" s="57">
        <v>271000</v>
      </c>
      <c r="AO20" s="81">
        <v>99000</v>
      </c>
      <c r="AQ20" s="81"/>
      <c r="AS20" s="81">
        <v>176500</v>
      </c>
      <c r="AU20" s="81">
        <v>77250</v>
      </c>
      <c r="AW20" s="57">
        <v>207700</v>
      </c>
      <c r="AY20" s="57">
        <v>107000</v>
      </c>
      <c r="BA20" s="57">
        <v>126500</v>
      </c>
      <c r="BC20" s="57"/>
      <c r="BE20" s="41">
        <v>0</v>
      </c>
      <c r="BG20" s="57">
        <f>130700+8000</f>
        <v>138700</v>
      </c>
      <c r="BI20" s="57">
        <v>58500</v>
      </c>
      <c r="BK20" s="57">
        <v>104000</v>
      </c>
    </row>
    <row r="21" spans="1:63" x14ac:dyDescent="0.25">
      <c r="A21" s="14" t="s">
        <v>134</v>
      </c>
      <c r="C21" s="41">
        <f>60000+100</f>
        <v>60100</v>
      </c>
      <c r="E21" s="41">
        <v>103000</v>
      </c>
      <c r="G21" s="41">
        <f>70000+36700+120000+20000</f>
        <v>246700</v>
      </c>
      <c r="I21" s="41">
        <f>$I$20</f>
        <v>84000</v>
      </c>
      <c r="K21" s="41">
        <f>10000+70000+20000+20000+(120000+300000)+7900</f>
        <v>547900</v>
      </c>
      <c r="M21" s="41">
        <f>20000+70000+6400</f>
        <v>96400</v>
      </c>
      <c r="O21" s="41"/>
      <c r="Q21" s="41"/>
      <c r="S21" s="41">
        <f>30000+28700</f>
        <v>58700</v>
      </c>
      <c r="U21" s="41">
        <f>20000+122700+124400+3500+11000+16500+46350+50000+14000</f>
        <v>408450</v>
      </c>
      <c r="W21" s="41">
        <f>38050+17000+7450+22400+500</f>
        <v>85400</v>
      </c>
      <c r="Y21" s="41"/>
      <c r="AA21" s="41">
        <f>10000+20000+26850</f>
        <v>56850</v>
      </c>
      <c r="AC21" s="41">
        <v>30000</v>
      </c>
      <c r="AE21" s="41">
        <v>0</v>
      </c>
      <c r="AG21" s="41">
        <f>140000+1000+20500+55800+43800+40000</f>
        <v>301100</v>
      </c>
      <c r="AI21" s="57">
        <f>4500+21600</f>
        <v>26100</v>
      </c>
      <c r="AK21" s="57"/>
      <c r="AM21" s="57">
        <f>30000+120000+50000+51500</f>
        <v>251500</v>
      </c>
      <c r="AO21" s="57">
        <f>Gas!$C$15</f>
        <v>221350</v>
      </c>
      <c r="AQ21" s="57">
        <v>15000</v>
      </c>
      <c r="AS21" s="57"/>
      <c r="AU21" s="57"/>
      <c r="AW21" s="57">
        <f>13500+7800+27950</f>
        <v>49250</v>
      </c>
      <c r="AY21" s="57">
        <f>30000+70000</f>
        <v>100000</v>
      </c>
      <c r="BA21" s="57">
        <f>70000+20000</f>
        <v>90000</v>
      </c>
      <c r="BC21" s="57"/>
      <c r="BE21" s="41">
        <v>0</v>
      </c>
      <c r="BG21" s="57">
        <v>70000</v>
      </c>
      <c r="BI21" s="41">
        <v>60850</v>
      </c>
      <c r="BK21" s="57">
        <v>20000</v>
      </c>
    </row>
    <row r="22" spans="1:63" ht="15.75" thickBot="1" x14ac:dyDescent="0.3">
      <c r="A22" s="14" t="s">
        <v>298</v>
      </c>
      <c r="C22" s="42"/>
      <c r="E22" s="42"/>
      <c r="G22" s="42"/>
      <c r="I22" s="42"/>
      <c r="K22" s="42"/>
      <c r="M22" s="42"/>
      <c r="O22" s="42"/>
      <c r="Q22" s="42"/>
      <c r="S22" s="42"/>
      <c r="U22" s="42"/>
      <c r="W22" s="42"/>
      <c r="Y22" s="42"/>
      <c r="AA22" s="42">
        <v>100000</v>
      </c>
      <c r="AC22" s="42">
        <v>82000</v>
      </c>
      <c r="AE22" s="42">
        <v>0</v>
      </c>
      <c r="AG22" s="42">
        <v>0</v>
      </c>
      <c r="AI22" s="42">
        <f>4000+51350</f>
        <v>55350</v>
      </c>
      <c r="AK22" s="42"/>
      <c r="AM22" s="42"/>
      <c r="AO22" s="42"/>
      <c r="AQ22" s="42"/>
      <c r="AS22" s="42">
        <v>3000</v>
      </c>
      <c r="AU22" s="42">
        <v>0</v>
      </c>
      <c r="AW22" s="42">
        <v>0</v>
      </c>
      <c r="AY22" s="42">
        <v>0</v>
      </c>
      <c r="BA22" s="42">
        <v>0</v>
      </c>
      <c r="BC22" s="42">
        <v>0</v>
      </c>
      <c r="BE22" s="42">
        <v>0</v>
      </c>
      <c r="BG22" s="42">
        <v>0</v>
      </c>
      <c r="BI22" s="42">
        <v>0</v>
      </c>
      <c r="BK22" s="42">
        <v>0</v>
      </c>
    </row>
    <row r="23" spans="1:63" ht="15.75" thickTop="1" x14ac:dyDescent="0.25">
      <c r="C23" s="13">
        <f>+C18+C20-C21</f>
        <v>205600</v>
      </c>
      <c r="E23" s="13">
        <f>+E18+E20-E21</f>
        <v>315600</v>
      </c>
      <c r="G23" s="9">
        <f>+G18+G20-G21</f>
        <v>412900</v>
      </c>
      <c r="I23" s="13">
        <f>+SUM(I18:I20)-I21</f>
        <v>405000</v>
      </c>
      <c r="K23" s="13">
        <f>+SUM(K18:K20)-K21</f>
        <v>43100</v>
      </c>
      <c r="M23" s="9">
        <f>+SUM(M18:M20)-M21</f>
        <v>135100</v>
      </c>
      <c r="O23" s="9">
        <f>+SUM(O18:O20)-O21</f>
        <v>141400</v>
      </c>
      <c r="Q23" s="9">
        <f>+SUM(Q18:Q20)-Q21</f>
        <v>201400</v>
      </c>
      <c r="S23" s="9">
        <f>+SUM(S18:S20)-S21</f>
        <v>252000</v>
      </c>
      <c r="U23" s="9">
        <f>+SUM(U18:U20)-U21</f>
        <v>103550</v>
      </c>
      <c r="W23" s="9">
        <f>+SUM(W18:W20)-W21</f>
        <v>179050</v>
      </c>
      <c r="Y23" s="9">
        <f>+SUM(Y18:Y20)-Y21</f>
        <v>179050</v>
      </c>
      <c r="AA23" s="9">
        <f>+SUM(AA18:AA20)-SUM(AA21:AA22)</f>
        <v>127700</v>
      </c>
      <c r="AC23" s="9">
        <f>+SUM(AC18:AC20)-SUM(AC21:AC22)</f>
        <v>202150</v>
      </c>
      <c r="AE23" s="9">
        <f>+SUM(AE18:AE20)-SUM(AE21:AE22)</f>
        <v>151000</v>
      </c>
      <c r="AG23" s="9">
        <f>+SUM(AG18:AG20)-SUM(AG21:AG22)</f>
        <v>85400</v>
      </c>
      <c r="AI23" s="9">
        <f>+SUM(AI18:AI20)-SUM(AI21:AI22)</f>
        <v>91750</v>
      </c>
      <c r="AK23" s="9">
        <f>+SUM(AK18:AK20)-SUM(AK21:AK22)</f>
        <v>216750</v>
      </c>
      <c r="AM23" s="9">
        <f>+SUM(AM18:AM20)-SUM(AM21:AM22)</f>
        <v>136250</v>
      </c>
      <c r="AO23" s="9">
        <f>+SUM(AO18:AO20)-SUM(AO21:AO22)</f>
        <v>81000</v>
      </c>
      <c r="AQ23" s="9">
        <f>+SUM(AQ18:AQ20)-SUM(AQ21:AQ22)</f>
        <v>172000</v>
      </c>
      <c r="AS23" s="9">
        <f>+SUM(AS18:AS20)-SUM(AS21:AS22)</f>
        <v>95500</v>
      </c>
      <c r="AU23" s="9">
        <f>+SUM(AU18:AU20)-SUM(AU21:AU22)</f>
        <v>172750</v>
      </c>
      <c r="AW23" s="9">
        <f>+SUM(AW18:AW20)-SUM(AW21:AW22)</f>
        <v>331200</v>
      </c>
      <c r="AY23" s="9">
        <f>+SUM(AY18:AY20)-SUM(AY21:AY22)</f>
        <v>108200</v>
      </c>
      <c r="BA23" s="9">
        <f>+SUM(BA18:BA20)-SUM(BA21:BA22)</f>
        <v>144700</v>
      </c>
      <c r="BC23" s="9">
        <f>+SUM(BC18:BC20)-SUM(BC21:BC22)</f>
        <v>144700</v>
      </c>
      <c r="BE23" s="9">
        <f>+SUM(BE18:BE20)-SUM(BE21:BE22)</f>
        <v>144700</v>
      </c>
      <c r="BG23" s="9">
        <f>+SUM(BG18:BG20)-SUM(BG21:BG22)</f>
        <v>215200</v>
      </c>
      <c r="BI23" s="9">
        <f>+SUM(BI18:BI20)-SUM(BI21:BI22)</f>
        <v>212850</v>
      </c>
      <c r="BK23" s="9">
        <f>+SUM(BK18:BK20)-SUM(BK21:BK22)</f>
        <v>296850</v>
      </c>
    </row>
    <row r="25" spans="1:63" x14ac:dyDescent="0.25">
      <c r="A25" s="48" t="s">
        <v>191</v>
      </c>
      <c r="C25" s="49">
        <f>C14-C23</f>
        <v>0</v>
      </c>
      <c r="D25" s="49"/>
      <c r="E25" s="49">
        <f>E14-E23</f>
        <v>0</v>
      </c>
      <c r="F25" s="49"/>
      <c r="G25" s="49">
        <f>G14-G23</f>
        <v>-412900</v>
      </c>
      <c r="H25" s="49"/>
      <c r="I25" s="49">
        <f>I14-I23</f>
        <v>0</v>
      </c>
      <c r="J25" s="49"/>
      <c r="K25" s="49">
        <f>K14-K23</f>
        <v>177100</v>
      </c>
      <c r="L25" s="49"/>
      <c r="M25" s="60">
        <f>M14-M23</f>
        <v>6300</v>
      </c>
      <c r="N25" s="49"/>
      <c r="O25" s="49">
        <f>O14-O23</f>
        <v>0</v>
      </c>
      <c r="P25" s="49"/>
      <c r="Q25" s="49">
        <f>Q14-Q23</f>
        <v>-13800</v>
      </c>
      <c r="R25" s="49"/>
      <c r="S25" s="49">
        <f>S14-S23</f>
        <v>-252000</v>
      </c>
      <c r="T25" s="49"/>
      <c r="U25" s="49">
        <f>U14-U23</f>
        <v>17400</v>
      </c>
      <c r="V25" s="49"/>
      <c r="W25" s="49">
        <f>W14-W23</f>
        <v>-4000</v>
      </c>
      <c r="X25" s="49"/>
      <c r="Y25" s="49">
        <f>Y14-Y23</f>
        <v>-93050</v>
      </c>
      <c r="Z25" s="49"/>
      <c r="AA25" s="49">
        <f>AA14-AA23</f>
        <v>13950</v>
      </c>
      <c r="AB25" s="49"/>
      <c r="AC25" s="49">
        <f>AC14-AC23</f>
        <v>102600</v>
      </c>
      <c r="AD25" s="49"/>
      <c r="AE25" s="74">
        <f>AE14-AE23</f>
        <v>0</v>
      </c>
      <c r="AF25" s="49"/>
      <c r="AG25" s="49">
        <f>AG14-AG23</f>
        <v>20800</v>
      </c>
      <c r="AH25" s="49"/>
      <c r="AI25" s="49">
        <f>AI14-AI23</f>
        <v>-7500</v>
      </c>
      <c r="AJ25" s="49"/>
      <c r="AK25" s="49">
        <f>AK14-AK23</f>
        <v>-216750</v>
      </c>
      <c r="AL25" s="49"/>
      <c r="AM25" s="49">
        <f>AM14-AM23</f>
        <v>67100</v>
      </c>
      <c r="AN25" s="49"/>
      <c r="AO25" s="49">
        <f>AO14-AO23</f>
        <v>7000</v>
      </c>
      <c r="AP25" s="49"/>
      <c r="AQ25" s="49">
        <f>AQ14-AQ23</f>
        <v>-172000</v>
      </c>
      <c r="AR25" s="49"/>
      <c r="AS25" s="49">
        <f>AS14-AS23</f>
        <v>0</v>
      </c>
      <c r="AT25" s="49"/>
      <c r="AU25" s="49">
        <f>AU14-AU23</f>
        <v>0</v>
      </c>
      <c r="AV25" s="49"/>
      <c r="AW25" s="49">
        <f>AW14-AW23</f>
        <v>0</v>
      </c>
      <c r="AX25" s="49"/>
      <c r="AY25" s="49">
        <f>AY14-AY23</f>
        <v>0</v>
      </c>
      <c r="AZ25" s="49"/>
      <c r="BA25" s="49">
        <f>BA14-BA23</f>
        <v>0</v>
      </c>
      <c r="BB25" s="49"/>
      <c r="BC25" s="49">
        <f>BC14-BC23</f>
        <v>-144700</v>
      </c>
      <c r="BD25" s="49"/>
      <c r="BE25" s="49">
        <f>BE14-BE23</f>
        <v>-144700</v>
      </c>
      <c r="BF25" s="49"/>
      <c r="BG25" s="49">
        <f>BG14-BG23</f>
        <v>0</v>
      </c>
      <c r="BH25" s="49"/>
      <c r="BI25" s="49">
        <f>BI14-BI23</f>
        <v>-212850</v>
      </c>
      <c r="BJ25" s="49"/>
      <c r="BK25" s="49">
        <f>BK14-BK23</f>
        <v>-296850</v>
      </c>
    </row>
    <row r="26" spans="1:63" x14ac:dyDescent="0.25">
      <c r="A26"/>
    </row>
    <row r="27" spans="1:63" x14ac:dyDescent="0.25">
      <c r="A27" s="14" t="s">
        <v>318</v>
      </c>
      <c r="E27" s="9">
        <f>+E23+E18</f>
        <v>521200</v>
      </c>
      <c r="AE27" s="57">
        <f>100000-12050</f>
        <v>87950</v>
      </c>
      <c r="AG27" s="57">
        <f>100000-12050</f>
        <v>87950</v>
      </c>
      <c r="AI27" s="57">
        <f>+AG27-43000</f>
        <v>44950</v>
      </c>
      <c r="AK27" s="57">
        <f>+AI27</f>
        <v>44950</v>
      </c>
      <c r="AM27" s="57">
        <f>+AK27+100000</f>
        <v>144950</v>
      </c>
      <c r="AO27" s="57">
        <f>+AM27-50000</f>
        <v>94950</v>
      </c>
      <c r="AQ27" s="57">
        <f>+AO27</f>
        <v>94950</v>
      </c>
      <c r="AS27" s="57">
        <f>+AQ27-AS19</f>
        <v>344950</v>
      </c>
      <c r="AU27" s="57">
        <v>0</v>
      </c>
      <c r="AW27" s="57">
        <v>0</v>
      </c>
      <c r="AY27" s="57">
        <v>0</v>
      </c>
      <c r="BA27" s="57">
        <v>0</v>
      </c>
      <c r="BC27" s="57">
        <v>0</v>
      </c>
      <c r="BE27" s="57">
        <v>0</v>
      </c>
      <c r="BG27" s="57">
        <v>0</v>
      </c>
      <c r="BI27" s="57">
        <v>0</v>
      </c>
      <c r="BK27" s="57">
        <v>0</v>
      </c>
    </row>
    <row r="28" spans="1:63" x14ac:dyDescent="0.25">
      <c r="A28" s="14" t="s">
        <v>317</v>
      </c>
      <c r="W28">
        <v>75050</v>
      </c>
      <c r="Y28">
        <v>75050</v>
      </c>
      <c r="AG28" s="57">
        <v>100000</v>
      </c>
      <c r="AI28" s="57">
        <v>0</v>
      </c>
      <c r="AK28" s="57">
        <v>0</v>
      </c>
      <c r="AM28" s="57">
        <v>0</v>
      </c>
      <c r="AO28" s="57">
        <v>0</v>
      </c>
      <c r="AQ28" s="57">
        <v>0</v>
      </c>
      <c r="AS28" s="57">
        <v>0</v>
      </c>
      <c r="AU28" s="57">
        <v>0</v>
      </c>
      <c r="AW28" s="57">
        <v>0</v>
      </c>
      <c r="AY28" s="57">
        <v>0</v>
      </c>
      <c r="BA28" s="57">
        <v>0</v>
      </c>
      <c r="BC28" s="57">
        <v>0</v>
      </c>
      <c r="BE28" s="57">
        <v>0</v>
      </c>
      <c r="BG28" s="57">
        <v>0</v>
      </c>
      <c r="BI28" s="57">
        <v>0</v>
      </c>
      <c r="BK28" s="57">
        <v>0</v>
      </c>
    </row>
    <row r="30" spans="1:63" x14ac:dyDescent="0.25">
      <c r="A30" s="79" t="s">
        <v>534</v>
      </c>
      <c r="B30" s="3"/>
      <c r="C30" s="79">
        <f>24000+8000</f>
        <v>32000</v>
      </c>
      <c r="E30" s="79">
        <v>8000</v>
      </c>
      <c r="F30" s="3"/>
      <c r="G30" s="79">
        <v>46500</v>
      </c>
      <c r="H30" s="3"/>
      <c r="I30" s="79">
        <v>125000</v>
      </c>
      <c r="J30" s="3"/>
      <c r="K30" s="79">
        <v>51000</v>
      </c>
      <c r="L30" s="3"/>
      <c r="M30" s="79">
        <v>47000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79">
        <f>+(32000-2000)+11000+90000+3650</f>
        <v>134650</v>
      </c>
      <c r="AF30" s="3"/>
      <c r="AG30" s="79">
        <v>113000</v>
      </c>
      <c r="AH30" s="3"/>
      <c r="AI30" s="79">
        <v>94000</v>
      </c>
      <c r="AJ30" s="3"/>
      <c r="AK30" s="79">
        <v>0</v>
      </c>
      <c r="AL30" s="3"/>
      <c r="AM30" s="79">
        <f>+(98000-5000)</f>
        <v>93000</v>
      </c>
      <c r="AN30" s="3"/>
      <c r="AO30" s="79">
        <f>19000+(45000-9000)</f>
        <v>55000</v>
      </c>
      <c r="AP30" s="3"/>
      <c r="AQ30" s="79">
        <f>11000+10000</f>
        <v>21000</v>
      </c>
      <c r="AR30" s="3"/>
      <c r="AS30" s="79">
        <v>78000</v>
      </c>
      <c r="AT30" s="3"/>
      <c r="AU30" s="79">
        <f>71000+(8000*4)</f>
        <v>103000</v>
      </c>
      <c r="AV30" s="3"/>
      <c r="AW30" s="79">
        <v>169800</v>
      </c>
      <c r="AX30" s="3"/>
      <c r="AY30" s="79">
        <v>65700</v>
      </c>
      <c r="AZ30" s="3"/>
      <c r="BA30" s="79">
        <v>11000</v>
      </c>
      <c r="BB30" s="3"/>
      <c r="BC30" s="79">
        <v>0</v>
      </c>
      <c r="BD30" s="3"/>
      <c r="BE30" s="79">
        <v>0</v>
      </c>
      <c r="BF30" s="3"/>
      <c r="BG30" s="79">
        <v>127000</v>
      </c>
      <c r="BH30" s="3"/>
      <c r="BI30" s="79">
        <v>48000</v>
      </c>
      <c r="BJ30" s="3"/>
      <c r="BK30" s="79">
        <v>24000</v>
      </c>
    </row>
    <row r="31" spans="1:63" x14ac:dyDescent="0.25">
      <c r="A31" s="79" t="s">
        <v>540</v>
      </c>
      <c r="B31" s="3"/>
      <c r="C31" s="79">
        <v>0</v>
      </c>
      <c r="E31" s="79">
        <v>0</v>
      </c>
      <c r="F31" s="3"/>
      <c r="G31" s="79">
        <v>0</v>
      </c>
      <c r="H31" s="3"/>
      <c r="I31" s="79">
        <v>0</v>
      </c>
      <c r="J31" s="3"/>
      <c r="K31" s="79">
        <v>0</v>
      </c>
      <c r="L31" s="3"/>
      <c r="M31" s="79"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79"/>
      <c r="AF31" s="3"/>
      <c r="AG31" s="79"/>
      <c r="AH31" s="3"/>
      <c r="AI31" s="79"/>
      <c r="AJ31" s="3"/>
      <c r="AK31" s="79"/>
      <c r="AL31" s="3"/>
      <c r="AM31" s="79"/>
      <c r="AN31" s="3"/>
      <c r="AO31" s="79"/>
      <c r="AP31" s="3"/>
      <c r="AQ31" s="79"/>
      <c r="AR31" s="3"/>
      <c r="AS31" s="79"/>
      <c r="AT31" s="3"/>
      <c r="AU31" s="79">
        <f>+AS27-(40000+40000+50000+8500+6000+116000)</f>
        <v>84450</v>
      </c>
      <c r="AV31" s="3"/>
      <c r="AW31" s="79">
        <v>-454000</v>
      </c>
      <c r="AX31" s="3"/>
      <c r="AY31" s="79">
        <f>230000-21000</f>
        <v>209000</v>
      </c>
      <c r="AZ31" s="3"/>
      <c r="BA31" s="79">
        <v>0</v>
      </c>
      <c r="BB31" s="3"/>
      <c r="BC31" s="79">
        <v>0</v>
      </c>
      <c r="BD31" s="3"/>
      <c r="BE31" s="79">
        <v>0</v>
      </c>
      <c r="BF31" s="3"/>
      <c r="BG31" s="79">
        <v>0</v>
      </c>
      <c r="BH31" s="3"/>
      <c r="BI31" s="79">
        <f>-114000-40000</f>
        <v>-154000</v>
      </c>
      <c r="BJ31" s="3"/>
      <c r="BK31" s="79">
        <v>0</v>
      </c>
    </row>
    <row r="32" spans="1:63" x14ac:dyDescent="0.25">
      <c r="A32" s="79" t="s">
        <v>394</v>
      </c>
      <c r="B32" s="3"/>
      <c r="C32" s="79">
        <f>SUM(C30:C31)</f>
        <v>32000</v>
      </c>
      <c r="E32" s="79">
        <f>+C32+SUM(E30:E31)</f>
        <v>40000</v>
      </c>
      <c r="F32" s="3"/>
      <c r="G32" s="79">
        <f>+E32+SUM(G30:G31)</f>
        <v>86500</v>
      </c>
      <c r="H32" s="3"/>
      <c r="I32" s="79">
        <f>+G32+SUM(I30:I31)</f>
        <v>211500</v>
      </c>
      <c r="J32" s="3"/>
      <c r="K32" s="79">
        <f>+I32+SUM(K30:K31)</f>
        <v>262500</v>
      </c>
      <c r="L32" s="3"/>
      <c r="M32" s="79">
        <f>+K32+SUM(M30:M31)</f>
        <v>309500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79">
        <f>+AE30</f>
        <v>134650</v>
      </c>
      <c r="AF32" s="3"/>
      <c r="AG32" s="79">
        <f>+AG30+AE32</f>
        <v>247650</v>
      </c>
      <c r="AH32" s="3"/>
      <c r="AI32" s="79">
        <f>+AI30+AG32</f>
        <v>341650</v>
      </c>
      <c r="AJ32" s="3"/>
      <c r="AK32" s="79">
        <f>+AK30+AI32</f>
        <v>341650</v>
      </c>
      <c r="AL32" s="3"/>
      <c r="AM32" s="79">
        <f>+AM30+AK32</f>
        <v>434650</v>
      </c>
      <c r="AN32" s="3"/>
      <c r="AO32" s="79">
        <f>+AO30+AM32</f>
        <v>489650</v>
      </c>
      <c r="AP32" s="3"/>
      <c r="AQ32" s="79">
        <f>+AQ30+AO32</f>
        <v>510650</v>
      </c>
      <c r="AR32" s="3"/>
      <c r="AS32" s="79">
        <f>+AS30+AQ32-(40000+20000)</f>
        <v>528650</v>
      </c>
      <c r="AT32" s="3"/>
      <c r="AU32" s="79">
        <f>+AS32+SUM(AU30:AU31)</f>
        <v>716100</v>
      </c>
      <c r="AV32" s="3"/>
      <c r="AW32" s="79">
        <f>+AU32+SUM(AW30:AW31)</f>
        <v>431900</v>
      </c>
      <c r="AX32" s="3"/>
      <c r="AY32" s="79">
        <f>+AW32+SUM(AY30:AY31)</f>
        <v>706600</v>
      </c>
      <c r="AZ32" s="3"/>
      <c r="BA32" s="79">
        <f>+AY32+SUM(BA30:BA31)</f>
        <v>717600</v>
      </c>
      <c r="BB32" s="3"/>
      <c r="BC32" s="79">
        <f>+BA32+SUM(BC30:BC31)</f>
        <v>717600</v>
      </c>
      <c r="BD32" s="3"/>
      <c r="BE32" s="79">
        <f>+BA32+SUM(BE30:BE31)</f>
        <v>717600</v>
      </c>
      <c r="BF32" s="3"/>
      <c r="BG32" s="79">
        <f>+BE32+SUM(BG30:BG31)</f>
        <v>844600</v>
      </c>
      <c r="BH32" s="3"/>
      <c r="BI32" s="79">
        <f>+BG32+SUM(BI30:BI31)</f>
        <v>738600</v>
      </c>
      <c r="BJ32" s="3"/>
      <c r="BK32" s="79">
        <f>+BI32+SUM(BK30:BK31)</f>
        <v>762600</v>
      </c>
    </row>
    <row r="33" spans="1:63" x14ac:dyDescent="0.25">
      <c r="A33" s="80" t="s">
        <v>383</v>
      </c>
      <c r="B33" s="3"/>
      <c r="C33" s="80">
        <v>0</v>
      </c>
      <c r="E33" s="80">
        <v>0</v>
      </c>
      <c r="F33" s="3"/>
      <c r="G33" s="80">
        <v>0</v>
      </c>
      <c r="H33" s="3"/>
      <c r="I33" s="80">
        <v>0</v>
      </c>
      <c r="J33" s="3"/>
      <c r="K33" s="80">
        <v>11000</v>
      </c>
      <c r="L33" s="3"/>
      <c r="M33" s="80">
        <v>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80">
        <v>0</v>
      </c>
      <c r="AF33" s="3"/>
      <c r="AG33" s="80">
        <f>22000+1000</f>
        <v>23000</v>
      </c>
      <c r="AH33" s="3"/>
      <c r="AI33" s="80">
        <v>82000</v>
      </c>
      <c r="AJ33" s="3"/>
      <c r="AK33" s="80">
        <v>0</v>
      </c>
      <c r="AL33" s="3"/>
      <c r="AM33" s="80">
        <f>23000</f>
        <v>23000</v>
      </c>
      <c r="AN33" s="3"/>
      <c r="AO33" s="80">
        <v>0</v>
      </c>
      <c r="AP33" s="3"/>
      <c r="AQ33" s="80">
        <v>0</v>
      </c>
      <c r="AR33" s="3"/>
      <c r="AS33" s="80">
        <f>15000+8000</f>
        <v>23000</v>
      </c>
      <c r="AT33" s="3"/>
      <c r="AU33" s="80">
        <v>0</v>
      </c>
      <c r="AV33" s="3"/>
      <c r="AW33" s="80">
        <v>11000</v>
      </c>
      <c r="AX33" s="3"/>
      <c r="AY33" s="80">
        <v>0</v>
      </c>
      <c r="AZ33" s="3"/>
      <c r="BA33" s="80">
        <v>0</v>
      </c>
      <c r="BB33" s="3"/>
      <c r="BC33" s="80">
        <v>0</v>
      </c>
      <c r="BD33" s="3"/>
      <c r="BE33" s="80">
        <v>0</v>
      </c>
      <c r="BF33" s="3"/>
      <c r="BG33" s="80">
        <v>27000</v>
      </c>
      <c r="BH33" s="3"/>
      <c r="BI33" s="80">
        <v>11000</v>
      </c>
      <c r="BJ33" s="3"/>
      <c r="BK33" s="80">
        <v>0</v>
      </c>
    </row>
    <row r="34" spans="1:63" x14ac:dyDescent="0.25">
      <c r="A34" s="80" t="s">
        <v>393</v>
      </c>
      <c r="B34" s="3"/>
      <c r="C34" s="80">
        <f>+C33</f>
        <v>0</v>
      </c>
      <c r="E34" s="80">
        <f>+E33+C34</f>
        <v>0</v>
      </c>
      <c r="F34" s="3"/>
      <c r="G34" s="80">
        <f>+G33+E34</f>
        <v>0</v>
      </c>
      <c r="H34" s="3"/>
      <c r="I34" s="80">
        <f>+I33+G34</f>
        <v>0</v>
      </c>
      <c r="J34" s="3"/>
      <c r="K34" s="80">
        <f>+K33+I34</f>
        <v>11000</v>
      </c>
      <c r="L34" s="3"/>
      <c r="M34" s="80">
        <f>+M33+K34</f>
        <v>11000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80">
        <v>0</v>
      </c>
      <c r="AF34" s="3"/>
      <c r="AG34" s="80">
        <f>+AG33</f>
        <v>23000</v>
      </c>
      <c r="AH34" s="3"/>
      <c r="AI34" s="80">
        <f>+AI33+AG34</f>
        <v>105000</v>
      </c>
      <c r="AJ34" s="3"/>
      <c r="AK34" s="80">
        <f>+AK33+AI34</f>
        <v>105000</v>
      </c>
      <c r="AL34" s="3"/>
      <c r="AM34" s="80">
        <f>+AM33+AK34</f>
        <v>128000</v>
      </c>
      <c r="AN34" s="3"/>
      <c r="AO34" s="80">
        <f>+AO33+AM34</f>
        <v>128000</v>
      </c>
      <c r="AP34" s="3"/>
      <c r="AQ34" s="80">
        <f>+AQ33+AO34</f>
        <v>128000</v>
      </c>
      <c r="AR34" s="3"/>
      <c r="AS34" s="80">
        <f>+AS33+AQ34</f>
        <v>151000</v>
      </c>
      <c r="AT34" s="3"/>
      <c r="AU34" s="80">
        <f>+AU33+AS34</f>
        <v>151000</v>
      </c>
      <c r="AV34" s="3"/>
      <c r="AW34" s="80">
        <f>+AW33+AU34</f>
        <v>162000</v>
      </c>
      <c r="AX34" s="3"/>
      <c r="AY34" s="80">
        <f>+AY33+AW34</f>
        <v>162000</v>
      </c>
      <c r="AZ34" s="3"/>
      <c r="BA34" s="80">
        <f>+BA33+AY34</f>
        <v>162000</v>
      </c>
      <c r="BB34" s="3"/>
      <c r="BC34" s="80">
        <f>+BC33+BA34</f>
        <v>162000</v>
      </c>
      <c r="BD34" s="3"/>
      <c r="BE34" s="80">
        <f>+BE33+BA34</f>
        <v>162000</v>
      </c>
      <c r="BF34" s="3"/>
      <c r="BG34" s="80">
        <f>+BG33+BE34</f>
        <v>189000</v>
      </c>
      <c r="BH34" s="3"/>
      <c r="BI34" s="80">
        <f>+BI33+BG34</f>
        <v>200000</v>
      </c>
      <c r="BJ34" s="3"/>
      <c r="BK34" s="80">
        <f>+BK33+BI34</f>
        <v>200000</v>
      </c>
    </row>
    <row r="35" spans="1:63" x14ac:dyDescent="0.25">
      <c r="C35"/>
    </row>
    <row r="36" spans="1:63" x14ac:dyDescent="0.25">
      <c r="A36" s="67" t="s">
        <v>132</v>
      </c>
      <c r="C36" s="103">
        <f>+C20+C30+C33</f>
        <v>224000</v>
      </c>
      <c r="E36" s="103">
        <f>+E20+E30+E33</f>
        <v>221000</v>
      </c>
      <c r="G36" s="103">
        <f>+G20+G30+G33</f>
        <v>390500</v>
      </c>
      <c r="I36" s="103">
        <f>+I20+I30+I33</f>
        <v>209000</v>
      </c>
      <c r="K36" s="103">
        <f>+K20+K30+K33</f>
        <v>248000</v>
      </c>
      <c r="M36" s="103">
        <f>+M20+M30+M33</f>
        <v>503500</v>
      </c>
      <c r="AS36" s="103">
        <f>+AS20+AS30+AS33</f>
        <v>277500</v>
      </c>
      <c r="AU36" s="103">
        <f>+AU20+AU30+AU33</f>
        <v>180250</v>
      </c>
      <c r="AW36" s="103">
        <f>+AW20+AW30+AW33</f>
        <v>388500</v>
      </c>
      <c r="AY36" s="103">
        <f>+AY20+AY30+AY33</f>
        <v>172700</v>
      </c>
      <c r="BA36" s="103">
        <f>+BA20+BA30+BA33</f>
        <v>137500</v>
      </c>
      <c r="BC36" s="103">
        <f>+BC20+BC30+BC33</f>
        <v>0</v>
      </c>
      <c r="BE36" s="103">
        <f>+BE20+BE30+BE33</f>
        <v>0</v>
      </c>
      <c r="BG36" s="103">
        <f>+BG20+BG30+BG33</f>
        <v>292700</v>
      </c>
      <c r="BI36" s="103">
        <f>+BI20+BI30+BI33</f>
        <v>117500</v>
      </c>
      <c r="BK36" s="103">
        <f>+BK20+BK30+BK33</f>
        <v>128000</v>
      </c>
    </row>
    <row r="37" spans="1:63" x14ac:dyDescent="0.25">
      <c r="A37" s="185" t="s">
        <v>641</v>
      </c>
      <c r="C37" s="186">
        <f>+C23+C32+C34</f>
        <v>237600</v>
      </c>
      <c r="E37" s="186">
        <f>+E23+E32+E34</f>
        <v>355600</v>
      </c>
      <c r="G37" s="186">
        <f>+G23+G32+G34</f>
        <v>499400</v>
      </c>
      <c r="I37" s="186">
        <f>+I23+I32+I34</f>
        <v>616500</v>
      </c>
      <c r="K37" s="186">
        <f>+K23+K32+K34</f>
        <v>316600</v>
      </c>
      <c r="M37" s="186">
        <f>+M23+M32+M34</f>
        <v>455600</v>
      </c>
      <c r="AS37" s="186">
        <f>+AS23+AS32+AS34</f>
        <v>775150</v>
      </c>
      <c r="AU37" s="186">
        <f>+AU23+AU32+AU34</f>
        <v>1039850</v>
      </c>
      <c r="AW37" s="186">
        <f>+AW23+AW32+AW34</f>
        <v>925100</v>
      </c>
      <c r="AY37" s="186">
        <f>+AY23+AY32+AY34</f>
        <v>976800</v>
      </c>
      <c r="BA37" s="186">
        <f>+BA23+BA32+BA34</f>
        <v>1024300</v>
      </c>
      <c r="BC37" s="186">
        <f>+BC23+BC32+BC34</f>
        <v>1024300</v>
      </c>
      <c r="BE37" s="186">
        <f>+BE23+BE32+BE34</f>
        <v>1024300</v>
      </c>
      <c r="BG37" s="186">
        <f>+BG23+BG32+BG34</f>
        <v>1248800</v>
      </c>
      <c r="BI37" s="186">
        <f>+BI23+BI32+BI34</f>
        <v>1151450</v>
      </c>
      <c r="BK37" s="186">
        <f>+BK23+BK32+BK34</f>
        <v>1259450</v>
      </c>
    </row>
    <row r="38" spans="1:63" x14ac:dyDescent="0.25">
      <c r="C38"/>
    </row>
    <row r="39" spans="1:63" x14ac:dyDescent="0.25">
      <c r="A39" s="11" t="s">
        <v>395</v>
      </c>
      <c r="B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79"/>
      <c r="AH39" s="3"/>
      <c r="AI39" s="79">
        <v>24000</v>
      </c>
      <c r="AJ39" s="3"/>
      <c r="AK39" s="79">
        <f>16000+AI39</f>
        <v>40000</v>
      </c>
      <c r="AL39" s="3"/>
      <c r="AM39" s="11">
        <f>8000*5</f>
        <v>40000</v>
      </c>
      <c r="AN39" s="3"/>
      <c r="AO39" s="79"/>
      <c r="AP39" s="3"/>
      <c r="AQ39" s="11">
        <f>16000+AM39</f>
        <v>56000</v>
      </c>
      <c r="AR39" s="3"/>
      <c r="AS39" s="79"/>
      <c r="AT39" s="3"/>
      <c r="AU39" s="79"/>
      <c r="AV39" s="3"/>
      <c r="AW39" s="79"/>
      <c r="AX39" s="3"/>
      <c r="AY39" s="79"/>
      <c r="AZ39" s="3"/>
      <c r="BA39" s="79"/>
      <c r="BB39" s="3"/>
      <c r="BC39" s="79"/>
      <c r="BD39" s="3"/>
      <c r="BE39" s="79"/>
      <c r="BF39" s="3"/>
      <c r="BG39" s="79"/>
      <c r="BH39" s="3"/>
      <c r="BI39" s="79"/>
      <c r="BJ39" s="3"/>
      <c r="BK39" s="79"/>
    </row>
    <row r="40" spans="1:63" x14ac:dyDescent="0.25">
      <c r="A40" s="11" t="s">
        <v>391</v>
      </c>
      <c r="AY40" s="3">
        <v>423300</v>
      </c>
      <c r="BA40" s="9">
        <f>+AY40</f>
        <v>423300</v>
      </c>
      <c r="BC40" s="9">
        <f>+BA40</f>
        <v>423300</v>
      </c>
      <c r="BE40" s="9">
        <f>+BA40</f>
        <v>423300</v>
      </c>
      <c r="BG40" s="9">
        <f>+BC40</f>
        <v>423300</v>
      </c>
      <c r="BI40" s="9">
        <f>+BG40</f>
        <v>423300</v>
      </c>
      <c r="BK40" s="9">
        <f>+BI40</f>
        <v>423300</v>
      </c>
    </row>
    <row r="42" spans="1:63" x14ac:dyDescent="0.25">
      <c r="AM42" s="9">
        <f>+SUM(AM23,AM27,AM32,AM34)</f>
        <v>843850</v>
      </c>
    </row>
    <row r="44" spans="1:63" x14ac:dyDescent="0.25">
      <c r="AM44" s="9"/>
    </row>
  </sheetData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C2:G4"/>
  <sheetViews>
    <sheetView workbookViewId="0">
      <selection activeCell="D25" sqref="D25"/>
    </sheetView>
  </sheetViews>
  <sheetFormatPr baseColWidth="10" defaultRowHeight="15" x14ac:dyDescent="0.25"/>
  <sheetData>
    <row r="2" spans="3:7" x14ac:dyDescent="0.25">
      <c r="D2" t="s">
        <v>607</v>
      </c>
    </row>
    <row r="3" spans="3:7" x14ac:dyDescent="0.25">
      <c r="E3" t="s">
        <v>605</v>
      </c>
    </row>
    <row r="4" spans="3:7" x14ac:dyDescent="0.25">
      <c r="C4" t="s">
        <v>244</v>
      </c>
      <c r="D4">
        <v>106500</v>
      </c>
      <c r="E4">
        <v>6.66</v>
      </c>
      <c r="F4" t="s">
        <v>605</v>
      </c>
      <c r="G4" t="s">
        <v>606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"/>
  <dimension ref="A1:H15"/>
  <sheetViews>
    <sheetView topLeftCell="A3" workbookViewId="0">
      <selection activeCell="C15" sqref="C15"/>
    </sheetView>
  </sheetViews>
  <sheetFormatPr baseColWidth="10" defaultRowHeight="15" x14ac:dyDescent="0.25"/>
  <cols>
    <col min="1" max="1" width="13" style="3" bestFit="1" customWidth="1"/>
    <col min="3" max="3" width="13" style="3" bestFit="1" customWidth="1"/>
    <col min="5" max="5" width="13" style="3" bestFit="1" customWidth="1"/>
  </cols>
  <sheetData>
    <row r="1" spans="1:8" x14ac:dyDescent="0.25">
      <c r="A1" s="3">
        <v>161810</v>
      </c>
    </row>
    <row r="2" spans="1:8" x14ac:dyDescent="0.25">
      <c r="A2" s="3">
        <v>45000</v>
      </c>
    </row>
    <row r="3" spans="1:8" x14ac:dyDescent="0.25">
      <c r="A3" s="3">
        <f>+A1-A2</f>
        <v>116810</v>
      </c>
      <c r="E3" s="11">
        <v>84250</v>
      </c>
    </row>
    <row r="4" spans="1:8" x14ac:dyDescent="0.25">
      <c r="B4">
        <f>20-9</f>
        <v>11</v>
      </c>
      <c r="E4" s="11">
        <v>134500</v>
      </c>
    </row>
    <row r="5" spans="1:8" x14ac:dyDescent="0.25">
      <c r="B5">
        <f>+B4-4</f>
        <v>7</v>
      </c>
      <c r="E5" s="11">
        <v>271000</v>
      </c>
    </row>
    <row r="6" spans="1:8" ht="15.75" thickBot="1" x14ac:dyDescent="0.3">
      <c r="E6" s="82">
        <f>30000+120000+50000+51500</f>
        <v>251500</v>
      </c>
      <c r="G6" s="82" t="e">
        <f>#REF!</f>
        <v>#REF!</v>
      </c>
      <c r="H6" s="9" t="e">
        <f>+E6-G6</f>
        <v>#REF!</v>
      </c>
    </row>
    <row r="7" spans="1:8" ht="15.75" thickTop="1" x14ac:dyDescent="0.25">
      <c r="E7" s="3">
        <f>+SUM(E3:E5)-E6</f>
        <v>238250</v>
      </c>
    </row>
    <row r="10" spans="1:8" x14ac:dyDescent="0.25">
      <c r="B10" t="s">
        <v>400</v>
      </c>
      <c r="C10" s="11">
        <v>116300</v>
      </c>
      <c r="D10" t="s">
        <v>401</v>
      </c>
    </row>
    <row r="11" spans="1:8" x14ac:dyDescent="0.25">
      <c r="B11" t="s">
        <v>398</v>
      </c>
      <c r="C11" s="3">
        <v>17400</v>
      </c>
    </row>
    <row r="12" spans="1:8" x14ac:dyDescent="0.25">
      <c r="B12" t="s">
        <v>399</v>
      </c>
      <c r="C12" s="3">
        <v>8000</v>
      </c>
    </row>
    <row r="13" spans="1:8" x14ac:dyDescent="0.25">
      <c r="B13" t="s">
        <v>402</v>
      </c>
      <c r="C13" s="3">
        <v>72150</v>
      </c>
      <c r="D13" s="9">
        <f>+C13+C14</f>
        <v>79650</v>
      </c>
    </row>
    <row r="14" spans="1:8" x14ac:dyDescent="0.25">
      <c r="B14" t="s">
        <v>402</v>
      </c>
      <c r="C14" s="3">
        <v>7500</v>
      </c>
    </row>
    <row r="15" spans="1:8" x14ac:dyDescent="0.25">
      <c r="C15" s="3">
        <f>+SUM(C10:C14)</f>
        <v>221350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G34"/>
  <sheetViews>
    <sheetView workbookViewId="0">
      <selection activeCell="E11" sqref="E11"/>
    </sheetView>
  </sheetViews>
  <sheetFormatPr baseColWidth="10" defaultRowHeight="15" x14ac:dyDescent="0.25"/>
  <cols>
    <col min="2" max="2" width="19.5703125" customWidth="1"/>
  </cols>
  <sheetData>
    <row r="1" spans="1:7" x14ac:dyDescent="0.25">
      <c r="A1" s="78">
        <v>41334</v>
      </c>
    </row>
    <row r="2" spans="1:7" x14ac:dyDescent="0.25">
      <c r="E2">
        <f>8000+16000+13500+18000+8000+6000+9000+30000+24000</f>
        <v>132500</v>
      </c>
    </row>
    <row r="3" spans="1:7" x14ac:dyDescent="0.25">
      <c r="G3">
        <v>216</v>
      </c>
    </row>
    <row r="4" spans="1:7" x14ac:dyDescent="0.25">
      <c r="A4">
        <v>1</v>
      </c>
      <c r="B4" t="s">
        <v>289</v>
      </c>
      <c r="C4" s="71">
        <v>8000</v>
      </c>
      <c r="D4" t="s">
        <v>382</v>
      </c>
      <c r="F4" t="s">
        <v>380</v>
      </c>
    </row>
    <row r="5" spans="1:7" x14ac:dyDescent="0.25">
      <c r="A5" s="1">
        <v>2</v>
      </c>
      <c r="B5" s="1" t="s">
        <v>372</v>
      </c>
      <c r="C5" s="76">
        <v>16000</v>
      </c>
      <c r="D5" t="s">
        <v>382</v>
      </c>
      <c r="F5" t="s">
        <v>381</v>
      </c>
    </row>
    <row r="6" spans="1:7" x14ac:dyDescent="0.25">
      <c r="A6" s="1">
        <v>2</v>
      </c>
      <c r="B6" s="1" t="s">
        <v>375</v>
      </c>
      <c r="C6" s="76">
        <v>6000</v>
      </c>
      <c r="D6">
        <v>3</v>
      </c>
    </row>
    <row r="7" spans="1:7" x14ac:dyDescent="0.25">
      <c r="A7">
        <v>3</v>
      </c>
      <c r="B7" t="s">
        <v>379</v>
      </c>
      <c r="C7" s="71">
        <f>4500*3</f>
        <v>13500</v>
      </c>
      <c r="D7">
        <v>3</v>
      </c>
    </row>
    <row r="8" spans="1:7" x14ac:dyDescent="0.25">
      <c r="A8" s="1">
        <v>3</v>
      </c>
      <c r="B8" s="1" t="s">
        <v>372</v>
      </c>
      <c r="C8" s="76">
        <v>24000</v>
      </c>
    </row>
    <row r="9" spans="1:7" x14ac:dyDescent="0.25">
      <c r="A9" s="1">
        <v>3</v>
      </c>
      <c r="B9" s="1" t="s">
        <v>375</v>
      </c>
      <c r="C9" s="76">
        <f>3000*3</f>
        <v>9000</v>
      </c>
      <c r="D9">
        <v>3</v>
      </c>
      <c r="F9" s="1">
        <v>35</v>
      </c>
      <c r="G9">
        <v>60</v>
      </c>
    </row>
    <row r="10" spans="1:7" x14ac:dyDescent="0.25">
      <c r="A10">
        <v>4</v>
      </c>
      <c r="B10" t="s">
        <v>379</v>
      </c>
      <c r="C10" s="71">
        <f>4500*4</f>
        <v>18000</v>
      </c>
      <c r="D10">
        <v>3</v>
      </c>
      <c r="F10" s="1">
        <v>12</v>
      </c>
    </row>
    <row r="11" spans="1:7" x14ac:dyDescent="0.25">
      <c r="A11">
        <v>1</v>
      </c>
      <c r="B11" t="s">
        <v>289</v>
      </c>
      <c r="C11" s="71">
        <v>8000</v>
      </c>
      <c r="F11" s="1">
        <v>6</v>
      </c>
    </row>
    <row r="12" spans="1:7" ht="15.75" thickBot="1" x14ac:dyDescent="0.3">
      <c r="B12" t="s">
        <v>277</v>
      </c>
      <c r="C12" s="75">
        <v>30000</v>
      </c>
      <c r="F12" s="1">
        <v>4.5</v>
      </c>
    </row>
    <row r="13" spans="1:7" ht="15.75" thickTop="1" x14ac:dyDescent="0.25">
      <c r="C13" s="71">
        <f>+SUM(C3:C12)</f>
        <v>132500</v>
      </c>
      <c r="F13" s="1">
        <v>57500</v>
      </c>
    </row>
    <row r="17" spans="1:5" x14ac:dyDescent="0.25">
      <c r="A17" s="78">
        <v>41699</v>
      </c>
    </row>
    <row r="19" spans="1:5" x14ac:dyDescent="0.25">
      <c r="A19">
        <v>2</v>
      </c>
      <c r="B19" t="s">
        <v>372</v>
      </c>
      <c r="C19">
        <v>16000</v>
      </c>
    </row>
    <row r="20" spans="1:5" x14ac:dyDescent="0.25">
      <c r="A20">
        <v>2</v>
      </c>
      <c r="B20" t="s">
        <v>375</v>
      </c>
      <c r="C20">
        <v>6000</v>
      </c>
    </row>
    <row r="21" spans="1:5" x14ac:dyDescent="0.25">
      <c r="A21" s="1">
        <v>1</v>
      </c>
      <c r="B21" s="1" t="s">
        <v>289</v>
      </c>
      <c r="C21" s="1">
        <v>8000</v>
      </c>
    </row>
    <row r="22" spans="1:5" x14ac:dyDescent="0.25">
      <c r="A22" s="1">
        <v>1</v>
      </c>
      <c r="B22" s="1" t="s">
        <v>374</v>
      </c>
      <c r="C22" s="1">
        <v>3000</v>
      </c>
    </row>
    <row r="23" spans="1:5" x14ac:dyDescent="0.25">
      <c r="A23">
        <v>2</v>
      </c>
      <c r="B23" t="s">
        <v>376</v>
      </c>
      <c r="C23">
        <v>9000</v>
      </c>
    </row>
    <row r="24" spans="1:5" x14ac:dyDescent="0.25">
      <c r="A24" s="1">
        <v>2</v>
      </c>
      <c r="B24" s="1" t="s">
        <v>372</v>
      </c>
      <c r="C24" s="1">
        <v>16000</v>
      </c>
    </row>
    <row r="25" spans="1:5" x14ac:dyDescent="0.25">
      <c r="A25" s="1">
        <v>2</v>
      </c>
      <c r="B25" s="1" t="s">
        <v>375</v>
      </c>
      <c r="C25" s="1">
        <v>6000</v>
      </c>
    </row>
    <row r="27" spans="1:5" x14ac:dyDescent="0.25">
      <c r="A27">
        <v>1</v>
      </c>
      <c r="B27" t="s">
        <v>373</v>
      </c>
      <c r="C27">
        <v>37000</v>
      </c>
      <c r="D27" t="s">
        <v>377</v>
      </c>
      <c r="E27">
        <f>30+7</f>
        <v>37</v>
      </c>
    </row>
    <row r="28" spans="1:5" x14ac:dyDescent="0.25">
      <c r="A28" s="1">
        <v>3</v>
      </c>
      <c r="B28" s="1" t="s">
        <v>372</v>
      </c>
      <c r="C28" s="1">
        <v>24000</v>
      </c>
    </row>
    <row r="29" spans="1:5" x14ac:dyDescent="0.25">
      <c r="A29" s="1">
        <v>1</v>
      </c>
      <c r="B29" s="1" t="s">
        <v>371</v>
      </c>
      <c r="C29" s="1">
        <v>15000</v>
      </c>
    </row>
    <row r="30" spans="1:5" x14ac:dyDescent="0.25">
      <c r="A30" s="1">
        <v>1</v>
      </c>
      <c r="B30" s="1" t="s">
        <v>374</v>
      </c>
      <c r="C30" s="1">
        <v>3000</v>
      </c>
    </row>
    <row r="31" spans="1:5" x14ac:dyDescent="0.25">
      <c r="B31" t="s">
        <v>373</v>
      </c>
      <c r="C31" s="1">
        <v>23000</v>
      </c>
      <c r="D31" t="s">
        <v>378</v>
      </c>
    </row>
    <row r="33" spans="1:4" x14ac:dyDescent="0.25">
      <c r="A33" s="1">
        <v>1</v>
      </c>
      <c r="B33" s="1" t="s">
        <v>289</v>
      </c>
      <c r="C33" s="1">
        <v>8000</v>
      </c>
      <c r="D33" t="s">
        <v>271</v>
      </c>
    </row>
    <row r="34" spans="1:4" x14ac:dyDescent="0.25">
      <c r="A34" s="1">
        <v>1</v>
      </c>
      <c r="B34" s="1" t="s">
        <v>374</v>
      </c>
      <c r="C34" s="1">
        <v>3000</v>
      </c>
      <c r="D34" t="s">
        <v>271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"/>
  <sheetViews>
    <sheetView workbookViewId="0">
      <selection activeCell="C9" sqref="C9"/>
    </sheetView>
  </sheetViews>
  <sheetFormatPr baseColWidth="10" defaultRowHeight="15" x14ac:dyDescent="0.25"/>
  <cols>
    <col min="2" max="2" width="23" bestFit="1" customWidth="1"/>
  </cols>
  <sheetData>
    <row r="3" spans="1:2" x14ac:dyDescent="0.25">
      <c r="A3" s="2">
        <v>46110</v>
      </c>
      <c r="B3" t="s">
        <v>675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B2:K9"/>
  <sheetViews>
    <sheetView workbookViewId="0">
      <selection activeCell="D11" sqref="D11"/>
    </sheetView>
  </sheetViews>
  <sheetFormatPr baseColWidth="10" defaultRowHeight="15" x14ac:dyDescent="0.25"/>
  <cols>
    <col min="2" max="2" width="14.5703125" style="71" bestFit="1" customWidth="1"/>
    <col min="3" max="3" width="13" bestFit="1" customWidth="1"/>
    <col min="4" max="4" width="13" customWidth="1"/>
    <col min="5" max="5" width="13.140625" bestFit="1" customWidth="1"/>
    <col min="6" max="7" width="13.140625" customWidth="1"/>
    <col min="8" max="8" width="17.85546875" bestFit="1" customWidth="1"/>
    <col min="9" max="9" width="27.28515625" bestFit="1" customWidth="1"/>
    <col min="10" max="10" width="14" bestFit="1" customWidth="1"/>
  </cols>
  <sheetData>
    <row r="2" spans="2:11" x14ac:dyDescent="0.25">
      <c r="C2">
        <v>100</v>
      </c>
    </row>
    <row r="5" spans="2:11" x14ac:dyDescent="0.25">
      <c r="C5" s="17">
        <v>0.1</v>
      </c>
      <c r="D5" s="17">
        <v>0.9</v>
      </c>
      <c r="E5" t="s">
        <v>430</v>
      </c>
      <c r="F5" t="s">
        <v>432</v>
      </c>
      <c r="G5" t="s">
        <v>433</v>
      </c>
      <c r="H5" t="s">
        <v>431</v>
      </c>
      <c r="I5" t="s">
        <v>434</v>
      </c>
    </row>
    <row r="6" spans="2:11" x14ac:dyDescent="0.25">
      <c r="B6" s="3">
        <v>2000000</v>
      </c>
      <c r="C6" s="3">
        <f>+B6*$C$5</f>
        <v>200000</v>
      </c>
      <c r="D6" s="3">
        <f>+B6*$D$5</f>
        <v>1800000</v>
      </c>
      <c r="E6" s="76">
        <v>10</v>
      </c>
      <c r="F6" s="76">
        <f>3+1+1+1+1</f>
        <v>7</v>
      </c>
      <c r="G6" s="76">
        <f>+E6*F6</f>
        <v>70</v>
      </c>
      <c r="H6" s="3">
        <f>+E6*C6</f>
        <v>2000000</v>
      </c>
      <c r="I6" s="3">
        <f>+D6*E6</f>
        <v>18000000</v>
      </c>
      <c r="J6" s="3">
        <f>+G6*D6</f>
        <v>126000000</v>
      </c>
      <c r="K6" s="3"/>
    </row>
    <row r="7" spans="2:11" x14ac:dyDescent="0.25">
      <c r="B7" s="3">
        <v>250000</v>
      </c>
      <c r="C7" s="3"/>
      <c r="D7" s="3"/>
      <c r="E7" s="3"/>
      <c r="F7" s="3"/>
      <c r="G7" s="3"/>
      <c r="H7" s="3"/>
      <c r="I7" s="3"/>
      <c r="J7" s="3">
        <f>+J6*35%</f>
        <v>44100000</v>
      </c>
      <c r="K7" s="3" t="s">
        <v>435</v>
      </c>
    </row>
    <row r="8" spans="2:11" x14ac:dyDescent="0.25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5">
      <c r="B9" s="3"/>
      <c r="C9" s="3"/>
      <c r="D9" s="3"/>
      <c r="E9" s="3"/>
      <c r="F9" s="3"/>
      <c r="G9" s="3"/>
      <c r="H9" s="3"/>
      <c r="I9" s="3"/>
      <c r="J9" s="3">
        <f>+J6-J7</f>
        <v>81900000</v>
      </c>
      <c r="K9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B1"/>
  <sheetViews>
    <sheetView workbookViewId="0">
      <selection activeCell="C12" sqref="C12"/>
    </sheetView>
  </sheetViews>
  <sheetFormatPr baseColWidth="10" defaultRowHeight="15" x14ac:dyDescent="0.25"/>
  <cols>
    <col min="1" max="1" width="14" bestFit="1" customWidth="1"/>
  </cols>
  <sheetData>
    <row r="1" spans="1:2" x14ac:dyDescent="0.25">
      <c r="A1" t="s">
        <v>319</v>
      </c>
      <c r="B1" t="s">
        <v>320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tabColor rgb="FFFFC000"/>
  </sheetPr>
  <dimension ref="A1:E18"/>
  <sheetViews>
    <sheetView zoomScale="85" zoomScaleNormal="85" workbookViewId="0">
      <selection activeCell="F13" sqref="F13"/>
    </sheetView>
  </sheetViews>
  <sheetFormatPr baseColWidth="10" defaultRowHeight="15" x14ac:dyDescent="0.25"/>
  <cols>
    <col min="1" max="1" width="21" bestFit="1" customWidth="1"/>
    <col min="2" max="2" width="9.42578125" customWidth="1"/>
    <col min="3" max="3" width="8.140625" bestFit="1" customWidth="1"/>
  </cols>
  <sheetData>
    <row r="1" spans="1:5" x14ac:dyDescent="0.25">
      <c r="A1" s="19" t="s">
        <v>303</v>
      </c>
    </row>
    <row r="2" spans="1:5" x14ac:dyDescent="0.25">
      <c r="A2" t="s">
        <v>299</v>
      </c>
      <c r="B2">
        <v>10000</v>
      </c>
      <c r="C2">
        <f>+B2*4</f>
        <v>40000</v>
      </c>
    </row>
    <row r="3" spans="1:5" x14ac:dyDescent="0.25">
      <c r="A3" t="s">
        <v>300</v>
      </c>
    </row>
    <row r="4" spans="1:5" x14ac:dyDescent="0.25">
      <c r="A4" t="s">
        <v>301</v>
      </c>
    </row>
    <row r="5" spans="1:5" x14ac:dyDescent="0.25">
      <c r="A5" s="73" t="s">
        <v>302</v>
      </c>
      <c r="B5" s="73"/>
      <c r="C5" s="73"/>
    </row>
    <row r="6" spans="1:5" x14ac:dyDescent="0.25">
      <c r="E6">
        <f>100000-16000</f>
        <v>84000</v>
      </c>
    </row>
    <row r="9" spans="1:5" x14ac:dyDescent="0.25">
      <c r="A9" t="s">
        <v>225</v>
      </c>
      <c r="B9" t="s">
        <v>228</v>
      </c>
    </row>
    <row r="10" spans="1:5" x14ac:dyDescent="0.25">
      <c r="A10" t="s">
        <v>226</v>
      </c>
      <c r="B10" t="s">
        <v>227</v>
      </c>
    </row>
    <row r="13" spans="1:5" x14ac:dyDescent="0.25">
      <c r="A13" t="s">
        <v>303</v>
      </c>
    </row>
    <row r="16" spans="1:5" x14ac:dyDescent="0.25">
      <c r="C16" t="s">
        <v>268</v>
      </c>
      <c r="D16" t="s">
        <v>268</v>
      </c>
    </row>
    <row r="17" spans="1:5" x14ac:dyDescent="0.25">
      <c r="A17" t="s">
        <v>396</v>
      </c>
      <c r="B17">
        <v>9000</v>
      </c>
      <c r="C17">
        <v>20</v>
      </c>
      <c r="D17">
        <f>+B17/C17</f>
        <v>450</v>
      </c>
      <c r="E17" t="s">
        <v>397</v>
      </c>
    </row>
    <row r="18" spans="1:5" x14ac:dyDescent="0.25">
      <c r="A18" t="s">
        <v>396</v>
      </c>
      <c r="B18">
        <v>8400</v>
      </c>
      <c r="C18">
        <v>20</v>
      </c>
      <c r="D18">
        <f>+B18/C18</f>
        <v>420</v>
      </c>
      <c r="E18" t="s">
        <v>397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7">
    <tabColor rgb="FFFFFF00"/>
  </sheetPr>
  <dimension ref="A1:D16"/>
  <sheetViews>
    <sheetView workbookViewId="0">
      <selection activeCell="A13" sqref="A13"/>
    </sheetView>
  </sheetViews>
  <sheetFormatPr baseColWidth="10" defaultRowHeight="15" x14ac:dyDescent="0.25"/>
  <cols>
    <col min="1" max="1" width="32.5703125" bestFit="1" customWidth="1"/>
    <col min="2" max="2" width="23" bestFit="1" customWidth="1"/>
    <col min="3" max="3" width="20.140625" bestFit="1" customWidth="1"/>
    <col min="4" max="4" width="64.140625" bestFit="1" customWidth="1"/>
  </cols>
  <sheetData>
    <row r="1" spans="1:4" x14ac:dyDescent="0.25">
      <c r="A1" s="4" t="s">
        <v>15</v>
      </c>
      <c r="B1" s="4" t="s">
        <v>46</v>
      </c>
      <c r="C1" s="4" t="s">
        <v>47</v>
      </c>
      <c r="D1" s="4" t="s">
        <v>49</v>
      </c>
    </row>
    <row r="2" spans="1:4" x14ac:dyDescent="0.25">
      <c r="A2" t="s">
        <v>20</v>
      </c>
      <c r="B2" t="s">
        <v>67</v>
      </c>
      <c r="C2">
        <v>3206946710</v>
      </c>
      <c r="D2" t="s">
        <v>76</v>
      </c>
    </row>
    <row r="3" spans="1:4" x14ac:dyDescent="0.25">
      <c r="A3" s="3" t="s">
        <v>40</v>
      </c>
      <c r="B3" t="s">
        <v>48</v>
      </c>
      <c r="C3">
        <v>3104158673</v>
      </c>
      <c r="D3" t="s">
        <v>50</v>
      </c>
    </row>
    <row r="4" spans="1:4" x14ac:dyDescent="0.25">
      <c r="A4" s="3" t="s">
        <v>51</v>
      </c>
      <c r="B4" t="s">
        <v>52</v>
      </c>
      <c r="C4" t="s">
        <v>53</v>
      </c>
      <c r="D4" t="s">
        <v>75</v>
      </c>
    </row>
    <row r="5" spans="1:4" x14ac:dyDescent="0.25">
      <c r="A5" t="s">
        <v>55</v>
      </c>
      <c r="B5" t="s">
        <v>56</v>
      </c>
      <c r="C5" t="s">
        <v>57</v>
      </c>
      <c r="D5" t="s">
        <v>74</v>
      </c>
    </row>
    <row r="6" spans="1:4" x14ac:dyDescent="0.25">
      <c r="A6" t="s">
        <v>58</v>
      </c>
      <c r="B6" t="s">
        <v>59</v>
      </c>
      <c r="C6">
        <v>3103232264</v>
      </c>
      <c r="D6" t="s">
        <v>60</v>
      </c>
    </row>
    <row r="7" spans="1:4" x14ac:dyDescent="0.25">
      <c r="A7" t="s">
        <v>63</v>
      </c>
      <c r="B7" t="s">
        <v>64</v>
      </c>
      <c r="C7">
        <v>3222124844</v>
      </c>
      <c r="D7" t="s">
        <v>73</v>
      </c>
    </row>
    <row r="8" spans="1:4" x14ac:dyDescent="0.25">
      <c r="A8" s="3" t="s">
        <v>69</v>
      </c>
      <c r="B8" t="s">
        <v>70</v>
      </c>
      <c r="C8" t="s">
        <v>71</v>
      </c>
      <c r="D8" t="s">
        <v>72</v>
      </c>
    </row>
    <row r="9" spans="1:4" x14ac:dyDescent="0.25">
      <c r="A9" t="s">
        <v>244</v>
      </c>
      <c r="B9" t="s">
        <v>126</v>
      </c>
      <c r="C9">
        <v>3213130050</v>
      </c>
      <c r="D9" t="s">
        <v>125</v>
      </c>
    </row>
    <row r="10" spans="1:4" ht="30" x14ac:dyDescent="0.25">
      <c r="A10" t="s">
        <v>242</v>
      </c>
      <c r="C10" s="62" t="s">
        <v>243</v>
      </c>
      <c r="D10" t="s">
        <v>245</v>
      </c>
    </row>
    <row r="11" spans="1:4" x14ac:dyDescent="0.25">
      <c r="A11" t="s">
        <v>249</v>
      </c>
      <c r="C11" t="s">
        <v>248</v>
      </c>
    </row>
    <row r="12" spans="1:4" x14ac:dyDescent="0.25">
      <c r="A12" s="1" t="s">
        <v>316</v>
      </c>
      <c r="B12" s="1"/>
      <c r="C12" s="1" t="s">
        <v>304</v>
      </c>
    </row>
    <row r="13" spans="1:4" x14ac:dyDescent="0.25">
      <c r="A13" t="s">
        <v>237</v>
      </c>
      <c r="B13">
        <v>6016050600</v>
      </c>
    </row>
    <row r="16" spans="1:4" x14ac:dyDescent="0.25">
      <c r="C16" t="s">
        <v>638</v>
      </c>
    </row>
  </sheetData>
  <conditionalFormatting sqref="A2:A4">
    <cfRule type="containsText" dxfId="3" priority="3" operator="containsText" text="Patrimonio">
      <formula>NOT(ISERROR(SEARCH("Patrimonio",A2)))</formula>
    </cfRule>
    <cfRule type="containsText" dxfId="2" priority="4" operator="containsText" text="Por Pagar">
      <formula>NOT(ISERROR(SEARCH("Por Pagar",A2)))</formula>
    </cfRule>
  </conditionalFormatting>
  <conditionalFormatting sqref="A8">
    <cfRule type="containsText" dxfId="1" priority="1" operator="containsText" text="Patrimonio">
      <formula>NOT(ISERROR(SEARCH("Patrimonio",A8)))</formula>
    </cfRule>
    <cfRule type="containsText" dxfId="0" priority="2" operator="containsText" text="Por Pagar">
      <formula>NOT(ISERROR(SEARCH("Por Pagar",A8)))</formula>
    </cfRule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tabColor theme="7" tint="0.39997558519241921"/>
  </sheetPr>
  <dimension ref="A1:G17"/>
  <sheetViews>
    <sheetView zoomScale="85" zoomScaleNormal="85" workbookViewId="0">
      <selection activeCell="A27" sqref="A27"/>
    </sheetView>
  </sheetViews>
  <sheetFormatPr baseColWidth="10" defaultRowHeight="15" x14ac:dyDescent="0.25"/>
  <cols>
    <col min="1" max="1" width="36.140625" bestFit="1" customWidth="1"/>
    <col min="2" max="2" width="13.42578125" bestFit="1" customWidth="1"/>
    <col min="4" max="4" width="17.5703125" customWidth="1"/>
    <col min="5" max="5" width="13.7109375" customWidth="1"/>
    <col min="6" max="6" width="14.42578125" bestFit="1" customWidth="1"/>
    <col min="7" max="7" width="15.42578125" bestFit="1" customWidth="1"/>
  </cols>
  <sheetData>
    <row r="1" spans="1:7" x14ac:dyDescent="0.25">
      <c r="A1" s="7" t="s">
        <v>35</v>
      </c>
      <c r="B1" t="s">
        <v>37</v>
      </c>
      <c r="D1" s="7" t="s">
        <v>35</v>
      </c>
      <c r="E1" t="s">
        <v>37</v>
      </c>
    </row>
    <row r="3" spans="1:7" x14ac:dyDescent="0.25">
      <c r="A3" s="7" t="s">
        <v>32</v>
      </c>
      <c r="B3" t="s">
        <v>34</v>
      </c>
      <c r="D3" s="7" t="s">
        <v>32</v>
      </c>
      <c r="E3" t="s">
        <v>34</v>
      </c>
      <c r="F3" t="s">
        <v>97</v>
      </c>
    </row>
    <row r="4" spans="1:7" x14ac:dyDescent="0.25">
      <c r="A4" s="5" t="s">
        <v>79</v>
      </c>
      <c r="B4" s="9">
        <v>4637265</v>
      </c>
      <c r="D4" s="5" t="s">
        <v>9</v>
      </c>
      <c r="E4" s="9">
        <v>18622650</v>
      </c>
      <c r="F4" s="17">
        <v>0.64590738721684227</v>
      </c>
      <c r="G4" s="3"/>
    </row>
    <row r="5" spans="1:7" x14ac:dyDescent="0.25">
      <c r="A5" s="8" t="s">
        <v>62</v>
      </c>
      <c r="B5" s="9">
        <v>1700000</v>
      </c>
      <c r="D5" s="5" t="s">
        <v>79</v>
      </c>
      <c r="E5" s="9">
        <v>4637265</v>
      </c>
      <c r="F5" s="17">
        <v>0.16083874851227456</v>
      </c>
    </row>
    <row r="6" spans="1:7" x14ac:dyDescent="0.25">
      <c r="A6" s="8" t="s">
        <v>87</v>
      </c>
      <c r="B6" s="9">
        <v>730000</v>
      </c>
      <c r="D6" s="5" t="s">
        <v>22</v>
      </c>
      <c r="E6" s="9">
        <v>3371850</v>
      </c>
      <c r="F6" s="17">
        <v>0.11694913578825299</v>
      </c>
    </row>
    <row r="7" spans="1:7" x14ac:dyDescent="0.25">
      <c r="A7" s="8" t="s">
        <v>80</v>
      </c>
      <c r="B7" s="9">
        <v>630000</v>
      </c>
      <c r="D7" s="5" t="s">
        <v>8</v>
      </c>
      <c r="E7" s="9">
        <v>1710000</v>
      </c>
      <c r="F7" s="17">
        <v>5.9309584411498917E-2</v>
      </c>
    </row>
    <row r="8" spans="1:7" x14ac:dyDescent="0.25">
      <c r="A8" s="8" t="s">
        <v>95</v>
      </c>
      <c r="B8" s="9">
        <v>420000</v>
      </c>
      <c r="D8" s="5" t="s">
        <v>93</v>
      </c>
      <c r="E8" s="9">
        <v>490000</v>
      </c>
      <c r="F8" s="17">
        <v>1.6995144071131268E-2</v>
      </c>
    </row>
    <row r="9" spans="1:7" x14ac:dyDescent="0.25">
      <c r="A9" s="8" t="s">
        <v>85</v>
      </c>
      <c r="B9" s="9">
        <v>300000</v>
      </c>
      <c r="D9" s="5" t="s">
        <v>33</v>
      </c>
      <c r="E9" s="9">
        <v>28831765</v>
      </c>
      <c r="F9" s="17">
        <v>1</v>
      </c>
    </row>
    <row r="10" spans="1:7" x14ac:dyDescent="0.25">
      <c r="A10" s="8" t="s">
        <v>81</v>
      </c>
      <c r="B10" s="9">
        <v>258615</v>
      </c>
    </row>
    <row r="11" spans="1:7" x14ac:dyDescent="0.25">
      <c r="A11" s="8" t="s">
        <v>91</v>
      </c>
      <c r="B11" s="9">
        <v>151300</v>
      </c>
    </row>
    <row r="12" spans="1:7" x14ac:dyDescent="0.25">
      <c r="A12" s="8" t="s">
        <v>83</v>
      </c>
      <c r="B12" s="9">
        <v>150000</v>
      </c>
    </row>
    <row r="13" spans="1:7" x14ac:dyDescent="0.25">
      <c r="A13" s="8" t="s">
        <v>89</v>
      </c>
      <c r="B13" s="9">
        <v>140000</v>
      </c>
    </row>
    <row r="14" spans="1:7" x14ac:dyDescent="0.25">
      <c r="A14" s="8" t="s">
        <v>84</v>
      </c>
      <c r="B14" s="9">
        <v>115450</v>
      </c>
    </row>
    <row r="15" spans="1:7" x14ac:dyDescent="0.25">
      <c r="A15" s="8" t="s">
        <v>4</v>
      </c>
      <c r="B15" s="9">
        <v>21900</v>
      </c>
    </row>
    <row r="16" spans="1:7" x14ac:dyDescent="0.25">
      <c r="A16" s="8" t="s">
        <v>102</v>
      </c>
      <c r="B16" s="9">
        <v>20000</v>
      </c>
    </row>
    <row r="17" spans="1:2" x14ac:dyDescent="0.25">
      <c r="A17" s="5" t="s">
        <v>33</v>
      </c>
      <c r="B17" s="9">
        <v>4637265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3:F9"/>
  <sheetViews>
    <sheetView workbookViewId="0">
      <selection activeCell="D9" sqref="D9"/>
    </sheetView>
  </sheetViews>
  <sheetFormatPr baseColWidth="10" defaultRowHeight="15" x14ac:dyDescent="0.25"/>
  <cols>
    <col min="3" max="3" width="13" style="3" bestFit="1" customWidth="1"/>
    <col min="4" max="4" width="11.42578125" style="3"/>
    <col min="5" max="5" width="3" style="3" bestFit="1" customWidth="1"/>
  </cols>
  <sheetData>
    <row r="3" spans="1:6" x14ac:dyDescent="0.25">
      <c r="B3" t="s">
        <v>118</v>
      </c>
      <c r="C3" s="3" t="s">
        <v>119</v>
      </c>
      <c r="D3" s="3" t="s">
        <v>121</v>
      </c>
      <c r="E3" s="3" t="s">
        <v>123</v>
      </c>
      <c r="F3" t="s">
        <v>122</v>
      </c>
    </row>
    <row r="4" spans="1:6" x14ac:dyDescent="0.25">
      <c r="A4" t="s">
        <v>116</v>
      </c>
      <c r="B4">
        <v>1</v>
      </c>
      <c r="C4" s="3">
        <v>33000</v>
      </c>
      <c r="D4" s="3">
        <f>+B4*C4</f>
        <v>33000</v>
      </c>
      <c r="E4" s="18">
        <v>24</v>
      </c>
      <c r="F4" s="9">
        <f>C4/E4</f>
        <v>1375</v>
      </c>
    </row>
    <row r="5" spans="1:6" x14ac:dyDescent="0.25">
      <c r="A5" t="s">
        <v>120</v>
      </c>
      <c r="B5">
        <v>2</v>
      </c>
      <c r="C5" s="3">
        <v>29000</v>
      </c>
      <c r="D5" s="3">
        <f t="shared" ref="D5:D7" si="0">+B5*C5</f>
        <v>58000</v>
      </c>
      <c r="E5" s="18">
        <v>12</v>
      </c>
      <c r="F5" s="9">
        <f t="shared" ref="F5:F7" si="1">C5/E5</f>
        <v>2416.6666666666665</v>
      </c>
    </row>
    <row r="6" spans="1:6" x14ac:dyDescent="0.25">
      <c r="A6" t="s">
        <v>117</v>
      </c>
      <c r="B6">
        <v>3</v>
      </c>
      <c r="C6" s="3">
        <v>35000</v>
      </c>
      <c r="D6" s="3">
        <f t="shared" si="0"/>
        <v>105000</v>
      </c>
      <c r="E6" s="18">
        <v>30</v>
      </c>
      <c r="F6" s="9">
        <f t="shared" si="1"/>
        <v>1166.6666666666667</v>
      </c>
    </row>
    <row r="7" spans="1:6" x14ac:dyDescent="0.25">
      <c r="A7" t="s">
        <v>115</v>
      </c>
      <c r="B7">
        <v>6</v>
      </c>
      <c r="C7" s="3">
        <v>36000</v>
      </c>
      <c r="D7" s="3">
        <f t="shared" si="0"/>
        <v>216000</v>
      </c>
      <c r="E7" s="18">
        <v>30</v>
      </c>
      <c r="F7" s="9">
        <f t="shared" si="1"/>
        <v>1200</v>
      </c>
    </row>
    <row r="9" spans="1:6" x14ac:dyDescent="0.25">
      <c r="D9" s="3">
        <f>+SUM(D4:D7)</f>
        <v>412000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C1"/>
  <sheetViews>
    <sheetView workbookViewId="0">
      <selection activeCell="D9" sqref="D9"/>
    </sheetView>
  </sheetViews>
  <sheetFormatPr baseColWidth="10" defaultRowHeight="15" x14ac:dyDescent="0.25"/>
  <sheetData>
    <row r="1" spans="1:3" x14ac:dyDescent="0.25">
      <c r="A1" s="1">
        <v>5</v>
      </c>
      <c r="B1" s="1">
        <v>100</v>
      </c>
      <c r="C1">
        <f>+A1*B1*3500</f>
        <v>1750000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1">
    <tabColor rgb="FF9966FF"/>
  </sheetPr>
  <dimension ref="A2:G22"/>
  <sheetViews>
    <sheetView topLeftCell="A14" zoomScale="115" zoomScaleNormal="115" workbookViewId="0">
      <selection activeCell="A5" sqref="A5"/>
    </sheetView>
  </sheetViews>
  <sheetFormatPr baseColWidth="10" defaultRowHeight="15" x14ac:dyDescent="0.25"/>
  <cols>
    <col min="1" max="1" width="17.5703125" bestFit="1" customWidth="1"/>
    <col min="2" max="2" width="13.5703125" customWidth="1"/>
    <col min="3" max="3" width="11.28515625" bestFit="1" customWidth="1"/>
    <col min="4" max="4" width="12.5703125" customWidth="1"/>
    <col min="5" max="5" width="12.5703125" bestFit="1" customWidth="1"/>
  </cols>
  <sheetData>
    <row r="2" spans="1:7" x14ac:dyDescent="0.25">
      <c r="A2" s="15" t="s">
        <v>162</v>
      </c>
      <c r="E2" s="32">
        <f>+SUM(E4:E9)</f>
        <v>-4500</v>
      </c>
    </row>
    <row r="3" spans="1:7" x14ac:dyDescent="0.25">
      <c r="A3" s="7" t="s">
        <v>32</v>
      </c>
      <c r="B3" t="s">
        <v>34</v>
      </c>
      <c r="D3" s="15" t="s">
        <v>195</v>
      </c>
      <c r="E3" s="15" t="s">
        <v>157</v>
      </c>
    </row>
    <row r="4" spans="1:7" x14ac:dyDescent="0.25">
      <c r="A4" s="31">
        <v>46076</v>
      </c>
      <c r="B4" s="9">
        <v>30500</v>
      </c>
      <c r="C4" s="9"/>
      <c r="D4" s="53">
        <v>32000</v>
      </c>
      <c r="E4" s="32">
        <f>+B4-D4</f>
        <v>-1500</v>
      </c>
      <c r="F4" s="15" t="s">
        <v>156</v>
      </c>
      <c r="G4" t="s">
        <v>155</v>
      </c>
    </row>
    <row r="5" spans="1:7" x14ac:dyDescent="0.25">
      <c r="A5" s="31">
        <v>46077</v>
      </c>
      <c r="B5" s="9">
        <v>11000</v>
      </c>
      <c r="C5" s="9"/>
      <c r="D5" s="53">
        <v>8000</v>
      </c>
      <c r="E5" s="32">
        <f>+B5-D5</f>
        <v>3000</v>
      </c>
      <c r="F5" s="15" t="s">
        <v>154</v>
      </c>
      <c r="G5" t="s">
        <v>153</v>
      </c>
    </row>
    <row r="6" spans="1:7" x14ac:dyDescent="0.25">
      <c r="A6" s="31">
        <v>46078</v>
      </c>
      <c r="B6" s="9">
        <v>62500</v>
      </c>
      <c r="C6" s="9"/>
      <c r="D6" s="9">
        <v>62500</v>
      </c>
      <c r="E6" s="32">
        <f t="shared" ref="E6:E9" si="0">+B6-D6</f>
        <v>0</v>
      </c>
      <c r="F6" t="s">
        <v>152</v>
      </c>
    </row>
    <row r="7" spans="1:7" x14ac:dyDescent="0.25">
      <c r="A7" s="31">
        <v>46079</v>
      </c>
      <c r="B7" s="9">
        <v>125000</v>
      </c>
      <c r="C7" s="9"/>
      <c r="D7" s="53">
        <v>125000</v>
      </c>
      <c r="E7" s="32">
        <f t="shared" si="0"/>
        <v>0</v>
      </c>
      <c r="F7" t="s">
        <v>152</v>
      </c>
    </row>
    <row r="8" spans="1:7" x14ac:dyDescent="0.25">
      <c r="A8" s="31">
        <v>46080</v>
      </c>
      <c r="B8" s="9">
        <v>56000</v>
      </c>
      <c r="C8" s="9"/>
      <c r="D8" s="53">
        <f>11000+51000</f>
        <v>62000</v>
      </c>
      <c r="E8" s="32">
        <f t="shared" si="0"/>
        <v>-6000</v>
      </c>
    </row>
    <row r="9" spans="1:7" x14ac:dyDescent="0.25">
      <c r="A9" s="31">
        <v>46081</v>
      </c>
      <c r="B9" s="9">
        <v>327000</v>
      </c>
      <c r="C9" s="9"/>
      <c r="D9" s="54">
        <f>47000+280000</f>
        <v>327000</v>
      </c>
      <c r="E9" s="32">
        <f t="shared" si="0"/>
        <v>0</v>
      </c>
      <c r="F9" t="s">
        <v>152</v>
      </c>
    </row>
    <row r="10" spans="1:7" x14ac:dyDescent="0.25">
      <c r="A10" s="5" t="s">
        <v>33</v>
      </c>
      <c r="B10" s="9">
        <v>612000</v>
      </c>
    </row>
    <row r="15" spans="1:7" x14ac:dyDescent="0.25">
      <c r="A15" s="7" t="s">
        <v>34</v>
      </c>
      <c r="B15" s="7" t="s">
        <v>164</v>
      </c>
    </row>
    <row r="16" spans="1:7" x14ac:dyDescent="0.25">
      <c r="A16" s="7" t="s">
        <v>32</v>
      </c>
      <c r="B16" t="s">
        <v>141</v>
      </c>
      <c r="C16" t="s">
        <v>136</v>
      </c>
      <c r="D16" t="s">
        <v>33</v>
      </c>
    </row>
    <row r="17" spans="1:4" x14ac:dyDescent="0.25">
      <c r="A17" s="31">
        <v>46076</v>
      </c>
      <c r="B17" s="9"/>
      <c r="C17" s="9">
        <v>30500</v>
      </c>
      <c r="D17" s="9">
        <v>30500</v>
      </c>
    </row>
    <row r="18" spans="1:4" x14ac:dyDescent="0.25">
      <c r="A18" s="31">
        <v>46077</v>
      </c>
      <c r="B18" s="9"/>
      <c r="C18" s="9">
        <v>11000</v>
      </c>
      <c r="D18" s="9">
        <v>11000</v>
      </c>
    </row>
    <row r="19" spans="1:4" x14ac:dyDescent="0.25">
      <c r="A19" s="31">
        <v>46078</v>
      </c>
      <c r="B19" s="9">
        <v>16000</v>
      </c>
      <c r="C19" s="9">
        <v>46500</v>
      </c>
      <c r="D19" s="9">
        <v>62500</v>
      </c>
    </row>
    <row r="20" spans="1:4" x14ac:dyDescent="0.25">
      <c r="A20" s="31">
        <v>46079</v>
      </c>
      <c r="B20" s="9"/>
      <c r="C20" s="9">
        <v>125000</v>
      </c>
      <c r="D20" s="9">
        <v>125000</v>
      </c>
    </row>
    <row r="21" spans="1:4" x14ac:dyDescent="0.25">
      <c r="A21" s="31">
        <v>46080</v>
      </c>
      <c r="B21" s="9">
        <v>11000</v>
      </c>
      <c r="C21" s="9">
        <v>45000</v>
      </c>
      <c r="D21" s="9">
        <v>56000</v>
      </c>
    </row>
    <row r="22" spans="1:4" x14ac:dyDescent="0.25">
      <c r="A22" s="5" t="s">
        <v>33</v>
      </c>
      <c r="B22" s="9">
        <v>27000</v>
      </c>
      <c r="C22" s="9">
        <v>258000</v>
      </c>
      <c r="D22" s="9">
        <v>285000</v>
      </c>
    </row>
  </sheetData>
  <pageMargins left="0.7" right="0.7" top="0.75" bottom="0.75" header="0.3" footer="0.3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>
    <tabColor rgb="FFFF9933"/>
  </sheetPr>
  <dimension ref="B2:G11"/>
  <sheetViews>
    <sheetView workbookViewId="0">
      <selection activeCell="F11" sqref="F11"/>
    </sheetView>
  </sheetViews>
  <sheetFormatPr baseColWidth="10" defaultRowHeight="15" x14ac:dyDescent="0.25"/>
  <cols>
    <col min="1" max="1" width="5.140625" customWidth="1"/>
    <col min="2" max="2" width="16.7109375" bestFit="1" customWidth="1"/>
    <col min="4" max="4" width="12" bestFit="1" customWidth="1"/>
  </cols>
  <sheetData>
    <row r="2" spans="2:7" x14ac:dyDescent="0.25">
      <c r="B2" t="s">
        <v>307</v>
      </c>
      <c r="E2" t="s">
        <v>314</v>
      </c>
    </row>
    <row r="3" spans="2:7" x14ac:dyDescent="0.25">
      <c r="B3" t="s">
        <v>308</v>
      </c>
    </row>
    <row r="4" spans="2:7" x14ac:dyDescent="0.25">
      <c r="B4" t="s">
        <v>309</v>
      </c>
    </row>
    <row r="5" spans="2:7" x14ac:dyDescent="0.25">
      <c r="B5" t="s">
        <v>310</v>
      </c>
      <c r="D5">
        <v>7</v>
      </c>
      <c r="E5" t="s">
        <v>313</v>
      </c>
    </row>
    <row r="6" spans="2:7" x14ac:dyDescent="0.25">
      <c r="B6" s="17">
        <v>0</v>
      </c>
      <c r="C6" t="s">
        <v>312</v>
      </c>
      <c r="G6" t="s">
        <v>315</v>
      </c>
    </row>
    <row r="7" spans="2:7" x14ac:dyDescent="0.25">
      <c r="G7">
        <v>26</v>
      </c>
    </row>
    <row r="8" spans="2:7" x14ac:dyDescent="0.25">
      <c r="B8" t="s">
        <v>311</v>
      </c>
      <c r="D8" s="3">
        <v>10000</v>
      </c>
    </row>
    <row r="9" spans="2:7" x14ac:dyDescent="0.25">
      <c r="D9" s="3">
        <f>+E9*D8</f>
        <v>2300</v>
      </c>
      <c r="E9" s="17">
        <v>0.23</v>
      </c>
    </row>
    <row r="11" spans="2:7" x14ac:dyDescent="0.25">
      <c r="G11">
        <f>4.5*4</f>
        <v>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zoomScale="130" zoomScaleNormal="130" workbookViewId="0">
      <pane ySplit="1" topLeftCell="A47" activePane="bottomLeft" state="frozen"/>
      <selection pane="bottomLeft" activeCell="B52" sqref="B52"/>
    </sheetView>
  </sheetViews>
  <sheetFormatPr baseColWidth="10" defaultRowHeight="15" x14ac:dyDescent="0.25"/>
  <cols>
    <col min="1" max="1" width="3.28515625" bestFit="1" customWidth="1"/>
    <col min="2" max="2" width="32.85546875" bestFit="1" customWidth="1"/>
    <col min="3" max="3" width="12" style="3" bestFit="1" customWidth="1"/>
    <col min="4" max="4" width="17.85546875" style="3" bestFit="1" customWidth="1"/>
    <col min="5" max="5" width="12" style="3" customWidth="1"/>
  </cols>
  <sheetData>
    <row r="1" spans="1:8" x14ac:dyDescent="0.25">
      <c r="A1" s="306" t="s">
        <v>65</v>
      </c>
      <c r="B1" s="306" t="s">
        <v>179</v>
      </c>
      <c r="C1" s="308" t="s">
        <v>791</v>
      </c>
      <c r="D1" s="309" t="s">
        <v>790</v>
      </c>
      <c r="E1" s="307"/>
    </row>
    <row r="2" spans="1:8" x14ac:dyDescent="0.25">
      <c r="A2">
        <v>39</v>
      </c>
      <c r="B2" t="s">
        <v>497</v>
      </c>
      <c r="C2" s="3">
        <v>7000</v>
      </c>
      <c r="D2" s="71">
        <v>10000</v>
      </c>
      <c r="F2">
        <f>+C2*23%</f>
        <v>1610</v>
      </c>
      <c r="G2" s="9">
        <f>+C2-F2</f>
        <v>5390</v>
      </c>
    </row>
    <row r="3" spans="1:8" x14ac:dyDescent="0.25">
      <c r="A3">
        <v>19</v>
      </c>
      <c r="B3" t="s">
        <v>478</v>
      </c>
      <c r="C3" s="3">
        <v>25000</v>
      </c>
      <c r="D3" s="71"/>
      <c r="F3">
        <f>+C3*23%</f>
        <v>5750</v>
      </c>
      <c r="G3" s="9">
        <f>+C3-F3</f>
        <v>19250</v>
      </c>
    </row>
    <row r="4" spans="1:8" x14ac:dyDescent="0.25">
      <c r="A4">
        <v>24</v>
      </c>
      <c r="B4" t="s">
        <v>483</v>
      </c>
      <c r="C4" s="3">
        <v>30000</v>
      </c>
      <c r="D4" s="71"/>
      <c r="F4">
        <f>+C4*23%</f>
        <v>6900</v>
      </c>
      <c r="G4" s="9">
        <f>+C4-F4</f>
        <v>23100</v>
      </c>
    </row>
    <row r="5" spans="1:8" x14ac:dyDescent="0.25">
      <c r="A5">
        <v>29</v>
      </c>
      <c r="B5" t="s">
        <v>488</v>
      </c>
      <c r="C5" s="3">
        <v>35000</v>
      </c>
      <c r="D5" s="71"/>
      <c r="F5">
        <f>+C5*23%</f>
        <v>8050</v>
      </c>
      <c r="G5" s="9">
        <f>+C5-F5</f>
        <v>26950</v>
      </c>
    </row>
    <row r="6" spans="1:8" x14ac:dyDescent="0.25">
      <c r="A6">
        <v>4</v>
      </c>
      <c r="B6" t="s">
        <v>464</v>
      </c>
      <c r="C6" s="3">
        <v>3500</v>
      </c>
      <c r="D6" s="71">
        <f>+C6*1.25</f>
        <v>4375</v>
      </c>
      <c r="F6">
        <f>+C6*23%</f>
        <v>805</v>
      </c>
      <c r="G6" s="9">
        <f>+C6-F6</f>
        <v>2695</v>
      </c>
    </row>
    <row r="7" spans="1:8" x14ac:dyDescent="0.25">
      <c r="A7">
        <v>44</v>
      </c>
      <c r="B7" t="s">
        <v>781</v>
      </c>
      <c r="C7" s="3">
        <v>4500</v>
      </c>
      <c r="D7" s="71">
        <f>+C7*1.25</f>
        <v>5625</v>
      </c>
      <c r="F7">
        <f>+C7*23%</f>
        <v>1035</v>
      </c>
      <c r="G7" s="9">
        <f>+C7-F7</f>
        <v>3465</v>
      </c>
    </row>
    <row r="8" spans="1:8" x14ac:dyDescent="0.25">
      <c r="A8">
        <v>53</v>
      </c>
      <c r="B8" t="s">
        <v>729</v>
      </c>
      <c r="C8" s="3">
        <v>3000</v>
      </c>
      <c r="D8" s="71">
        <f>+C8*1.25</f>
        <v>3750</v>
      </c>
      <c r="F8">
        <f>+C8*23%</f>
        <v>690</v>
      </c>
      <c r="G8" s="9">
        <f>+C8-F8</f>
        <v>2310</v>
      </c>
    </row>
    <row r="9" spans="1:8" x14ac:dyDescent="0.25">
      <c r="A9">
        <v>45</v>
      </c>
      <c r="B9" t="s">
        <v>741</v>
      </c>
      <c r="C9" s="3">
        <v>6000</v>
      </c>
      <c r="D9" s="71">
        <f>+C9*1.25</f>
        <v>7500</v>
      </c>
      <c r="F9">
        <f>+C9*23%</f>
        <v>1380</v>
      </c>
      <c r="G9" s="9">
        <f>+C9-F9</f>
        <v>4620</v>
      </c>
    </row>
    <row r="10" spans="1:8" x14ac:dyDescent="0.25">
      <c r="A10">
        <v>2</v>
      </c>
      <c r="B10" t="s">
        <v>462</v>
      </c>
      <c r="C10" s="3">
        <v>3000</v>
      </c>
      <c r="D10" s="71">
        <f>+C10*1.25</f>
        <v>3750</v>
      </c>
      <c r="F10">
        <f>+C10*23%</f>
        <v>690</v>
      </c>
      <c r="G10" s="9">
        <f>+C10-F10</f>
        <v>2310</v>
      </c>
    </row>
    <row r="11" spans="1:8" x14ac:dyDescent="0.25">
      <c r="A11">
        <v>49</v>
      </c>
      <c r="B11" t="s">
        <v>583</v>
      </c>
      <c r="C11" s="3">
        <v>3000</v>
      </c>
      <c r="D11" s="71">
        <f>+C11*1.25</f>
        <v>3750</v>
      </c>
      <c r="F11">
        <f>+C11*23%</f>
        <v>690</v>
      </c>
      <c r="G11" s="9">
        <f>+C11-F11</f>
        <v>2310</v>
      </c>
    </row>
    <row r="12" spans="1:8" x14ac:dyDescent="0.25">
      <c r="A12">
        <v>48</v>
      </c>
      <c r="B12" t="s">
        <v>505</v>
      </c>
      <c r="C12" s="3">
        <v>3200</v>
      </c>
      <c r="D12" s="71">
        <f>+C12*1.25</f>
        <v>4000</v>
      </c>
      <c r="F12">
        <f>+C12*23%</f>
        <v>736</v>
      </c>
      <c r="G12" s="9">
        <f>+C12-F12</f>
        <v>2464</v>
      </c>
    </row>
    <row r="13" spans="1:8" x14ac:dyDescent="0.25">
      <c r="A13">
        <v>7</v>
      </c>
      <c r="B13" t="s">
        <v>467</v>
      </c>
      <c r="C13" s="3">
        <v>4500</v>
      </c>
      <c r="D13" s="71">
        <f>+C13*1.25</f>
        <v>5625</v>
      </c>
      <c r="F13">
        <f>+C13*23%</f>
        <v>1035</v>
      </c>
      <c r="G13" s="9">
        <f>+C13-F13</f>
        <v>3465</v>
      </c>
      <c r="H13">
        <v>4.5</v>
      </c>
    </row>
    <row r="14" spans="1:8" x14ac:dyDescent="0.25">
      <c r="A14">
        <v>3</v>
      </c>
      <c r="B14" t="s">
        <v>463</v>
      </c>
      <c r="C14" s="3">
        <v>3000</v>
      </c>
      <c r="D14" s="71">
        <f>+C14*1.25</f>
        <v>3750</v>
      </c>
      <c r="F14">
        <f>+C14*23%</f>
        <v>690</v>
      </c>
      <c r="G14" s="9">
        <f>+C14-F14</f>
        <v>2310</v>
      </c>
    </row>
    <row r="15" spans="1:8" x14ac:dyDescent="0.25">
      <c r="A15">
        <v>50</v>
      </c>
      <c r="B15" t="s">
        <v>584</v>
      </c>
      <c r="C15" s="3">
        <v>3000</v>
      </c>
      <c r="D15" s="71">
        <f>+C15*1.25</f>
        <v>3750</v>
      </c>
      <c r="F15">
        <f>+C15*23%</f>
        <v>690</v>
      </c>
      <c r="G15" s="9">
        <f>+C15-F15</f>
        <v>2310</v>
      </c>
    </row>
    <row r="16" spans="1:8" x14ac:dyDescent="0.25">
      <c r="A16">
        <v>42</v>
      </c>
      <c r="B16" t="s">
        <v>500</v>
      </c>
      <c r="C16" s="3">
        <v>20000</v>
      </c>
      <c r="D16" s="71">
        <f>+C16*1.25</f>
        <v>25000</v>
      </c>
      <c r="F16">
        <f>+C16*23%</f>
        <v>4600</v>
      </c>
      <c r="G16" s="9">
        <f>+C16-F16</f>
        <v>15400</v>
      </c>
    </row>
    <row r="17" spans="1:7" x14ac:dyDescent="0.25">
      <c r="A17">
        <v>41</v>
      </c>
      <c r="B17" t="s">
        <v>499</v>
      </c>
      <c r="C17" s="3">
        <v>23000</v>
      </c>
      <c r="D17" s="71">
        <f>+C17*1.25</f>
        <v>28750</v>
      </c>
      <c r="F17">
        <f>+C17*23%</f>
        <v>5290</v>
      </c>
      <c r="G17" s="9">
        <f>+C17-F17</f>
        <v>17710</v>
      </c>
    </row>
    <row r="18" spans="1:7" x14ac:dyDescent="0.25">
      <c r="A18">
        <v>58</v>
      </c>
      <c r="B18" t="s">
        <v>789</v>
      </c>
      <c r="C18" s="3">
        <v>30000</v>
      </c>
      <c r="D18" s="71">
        <f>+C18*1.25</f>
        <v>37500</v>
      </c>
      <c r="F18">
        <f>+C18*23%</f>
        <v>6900</v>
      </c>
      <c r="G18" s="9">
        <f>+C18-F18</f>
        <v>23100</v>
      </c>
    </row>
    <row r="19" spans="1:7" x14ac:dyDescent="0.25">
      <c r="A19">
        <v>33</v>
      </c>
      <c r="B19" t="s">
        <v>492</v>
      </c>
      <c r="C19" s="3">
        <v>40000</v>
      </c>
      <c r="D19" s="71">
        <f>+C19*1.25</f>
        <v>50000</v>
      </c>
      <c r="F19">
        <f>+C19*23%</f>
        <v>9200</v>
      </c>
      <c r="G19" s="9">
        <f>+C19-F19</f>
        <v>30800</v>
      </c>
    </row>
    <row r="20" spans="1:7" x14ac:dyDescent="0.25">
      <c r="A20">
        <v>11</v>
      </c>
      <c r="B20" t="s">
        <v>471</v>
      </c>
      <c r="C20" s="3">
        <v>30000</v>
      </c>
      <c r="D20" s="71">
        <f>+C20*1.25</f>
        <v>37500</v>
      </c>
      <c r="F20">
        <f>+C20*23%</f>
        <v>6900</v>
      </c>
      <c r="G20" s="9">
        <f>+C20-F20</f>
        <v>23100</v>
      </c>
    </row>
    <row r="21" spans="1:7" x14ac:dyDescent="0.25">
      <c r="A21">
        <v>27</v>
      </c>
      <c r="B21" t="s">
        <v>486</v>
      </c>
      <c r="C21" s="3">
        <v>50000</v>
      </c>
      <c r="D21" s="71">
        <f>+C21*1.25</f>
        <v>62500</v>
      </c>
      <c r="F21">
        <f>+C21*23%</f>
        <v>11500</v>
      </c>
      <c r="G21" s="9">
        <f>+C21-F21</f>
        <v>38500</v>
      </c>
    </row>
    <row r="22" spans="1:7" x14ac:dyDescent="0.25">
      <c r="A22">
        <v>14</v>
      </c>
      <c r="B22" t="s">
        <v>474</v>
      </c>
      <c r="C22" s="3">
        <v>25000</v>
      </c>
      <c r="D22" s="71">
        <f>+C22*1.25</f>
        <v>31250</v>
      </c>
      <c r="F22">
        <f>+C22*23%</f>
        <v>5750</v>
      </c>
      <c r="G22" s="9">
        <f>+C22-F22</f>
        <v>19250</v>
      </c>
    </row>
    <row r="23" spans="1:7" x14ac:dyDescent="0.25">
      <c r="A23">
        <v>12</v>
      </c>
      <c r="B23" t="s">
        <v>472</v>
      </c>
      <c r="C23" s="3">
        <v>25000</v>
      </c>
      <c r="D23" s="71">
        <f>+C23*1.25</f>
        <v>31250</v>
      </c>
      <c r="F23">
        <f>+C23*23%</f>
        <v>5750</v>
      </c>
      <c r="G23" s="9">
        <f>+C23-F23</f>
        <v>19250</v>
      </c>
    </row>
    <row r="24" spans="1:7" x14ac:dyDescent="0.25">
      <c r="A24">
        <v>57</v>
      </c>
      <c r="B24" t="s">
        <v>788</v>
      </c>
      <c r="C24" s="3">
        <v>10000</v>
      </c>
      <c r="D24" s="71">
        <f>+C24*1.25</f>
        <v>12500</v>
      </c>
      <c r="F24">
        <f>+C24*23%</f>
        <v>2300</v>
      </c>
      <c r="G24" s="9">
        <f>+C24-F24</f>
        <v>7700</v>
      </c>
    </row>
    <row r="25" spans="1:7" x14ac:dyDescent="0.25">
      <c r="A25">
        <v>40</v>
      </c>
      <c r="B25" t="s">
        <v>780</v>
      </c>
      <c r="C25" s="3">
        <v>15000</v>
      </c>
      <c r="D25" s="71">
        <f>+C25*1.25</f>
        <v>18750</v>
      </c>
      <c r="F25">
        <f>+C25*23%</f>
        <v>3450</v>
      </c>
      <c r="G25" s="9">
        <f>+C25-F25</f>
        <v>11550</v>
      </c>
    </row>
    <row r="26" spans="1:7" x14ac:dyDescent="0.25">
      <c r="A26">
        <v>46</v>
      </c>
      <c r="B26" t="s">
        <v>782</v>
      </c>
      <c r="C26" s="3">
        <v>30000</v>
      </c>
      <c r="D26" s="71">
        <f>+C26*1.25</f>
        <v>37500</v>
      </c>
      <c r="F26">
        <f>+C26*23%</f>
        <v>6900</v>
      </c>
      <c r="G26" s="9">
        <f>+C26-F26</f>
        <v>23100</v>
      </c>
    </row>
    <row r="27" spans="1:7" x14ac:dyDescent="0.25">
      <c r="A27">
        <v>13</v>
      </c>
      <c r="B27" t="s">
        <v>779</v>
      </c>
      <c r="C27" s="3">
        <v>25000</v>
      </c>
      <c r="D27" s="71">
        <f>+C27*1.25</f>
        <v>31250</v>
      </c>
      <c r="F27">
        <f>+C27*23%</f>
        <v>5750</v>
      </c>
      <c r="G27" s="9">
        <f>+C27-F27</f>
        <v>19250</v>
      </c>
    </row>
    <row r="28" spans="1:7" x14ac:dyDescent="0.25">
      <c r="A28">
        <v>15</v>
      </c>
      <c r="B28" t="s">
        <v>475</v>
      </c>
      <c r="C28" s="3">
        <v>25000</v>
      </c>
      <c r="D28" s="71">
        <f>+C28*1.25</f>
        <v>31250</v>
      </c>
      <c r="F28">
        <f>+C28*23%</f>
        <v>5750</v>
      </c>
      <c r="G28" s="9">
        <f>+C28-F28</f>
        <v>19250</v>
      </c>
    </row>
    <row r="29" spans="1:7" x14ac:dyDescent="0.25">
      <c r="A29">
        <v>26</v>
      </c>
      <c r="B29" t="s">
        <v>485</v>
      </c>
      <c r="C29" s="3">
        <v>10000</v>
      </c>
      <c r="D29" s="71">
        <f>+C29*1.25</f>
        <v>12500</v>
      </c>
      <c r="F29">
        <f>+C29*23%</f>
        <v>2300</v>
      </c>
      <c r="G29" s="9">
        <f>+C29-F29</f>
        <v>7700</v>
      </c>
    </row>
    <row r="30" spans="1:7" x14ac:dyDescent="0.25">
      <c r="A30">
        <v>52</v>
      </c>
      <c r="B30" t="s">
        <v>784</v>
      </c>
      <c r="C30" s="3">
        <v>10000</v>
      </c>
      <c r="D30" s="71">
        <f>+C30*1.25</f>
        <v>12500</v>
      </c>
      <c r="F30">
        <f>+C30*23%</f>
        <v>2300</v>
      </c>
      <c r="G30" s="9">
        <f>+C30-F30</f>
        <v>7700</v>
      </c>
    </row>
    <row r="31" spans="1:7" x14ac:dyDescent="0.25">
      <c r="A31">
        <v>47</v>
      </c>
      <c r="B31" t="s">
        <v>585</v>
      </c>
      <c r="C31" s="3">
        <v>3500</v>
      </c>
      <c r="D31" s="71">
        <f>+C31*1.25</f>
        <v>4375</v>
      </c>
      <c r="F31">
        <f>+C31*23%</f>
        <v>805</v>
      </c>
      <c r="G31" s="9">
        <f>+C31-F31</f>
        <v>2695</v>
      </c>
    </row>
    <row r="32" spans="1:7" x14ac:dyDescent="0.25">
      <c r="A32">
        <v>1</v>
      </c>
      <c r="B32" t="s">
        <v>792</v>
      </c>
      <c r="C32" s="3">
        <v>8000</v>
      </c>
      <c r="D32" s="71">
        <f>+C32*1.25</f>
        <v>10000</v>
      </c>
      <c r="E32" s="3">
        <v>10000</v>
      </c>
      <c r="F32">
        <f>+C32*23%</f>
        <v>1840</v>
      </c>
      <c r="G32" s="9">
        <f>+C32-F32</f>
        <v>6160</v>
      </c>
    </row>
    <row r="33" spans="1:8" x14ac:dyDescent="0.25">
      <c r="A33">
        <v>10</v>
      </c>
      <c r="B33" t="s">
        <v>470</v>
      </c>
      <c r="C33" s="3">
        <v>25000</v>
      </c>
      <c r="D33" s="71">
        <f>+C33*1.25</f>
        <v>31250</v>
      </c>
      <c r="F33">
        <f>+C33*23%</f>
        <v>5750</v>
      </c>
      <c r="G33" s="9">
        <f>+C33-F33</f>
        <v>19250</v>
      </c>
    </row>
    <row r="34" spans="1:8" x14ac:dyDescent="0.25">
      <c r="A34">
        <v>9</v>
      </c>
      <c r="B34" t="s">
        <v>778</v>
      </c>
      <c r="C34" s="3">
        <v>20000</v>
      </c>
      <c r="D34" s="71">
        <f>+C34*1.25</f>
        <v>25000</v>
      </c>
      <c r="F34">
        <f>+C34*23%</f>
        <v>4600</v>
      </c>
      <c r="G34" s="9">
        <f>+C34-F34</f>
        <v>15400</v>
      </c>
    </row>
    <row r="35" spans="1:8" x14ac:dyDescent="0.25">
      <c r="A35">
        <v>6</v>
      </c>
      <c r="B35" t="s">
        <v>777</v>
      </c>
      <c r="C35" s="3">
        <v>22000</v>
      </c>
      <c r="D35" s="71">
        <f>+C35*1.25</f>
        <v>27500</v>
      </c>
      <c r="F35">
        <f>+C35*23%</f>
        <v>5060</v>
      </c>
      <c r="G35" s="9">
        <f>+C35-F35</f>
        <v>16940</v>
      </c>
      <c r="H35">
        <v>3</v>
      </c>
    </row>
    <row r="36" spans="1:8" x14ac:dyDescent="0.25">
      <c r="A36">
        <v>38</v>
      </c>
      <c r="B36" t="s">
        <v>496</v>
      </c>
      <c r="C36" s="3">
        <v>27000</v>
      </c>
      <c r="D36" s="71">
        <f>+C36*1.25</f>
        <v>33750</v>
      </c>
      <c r="F36">
        <f>+C36*23%</f>
        <v>6210</v>
      </c>
      <c r="G36" s="9">
        <f>+C36-F36</f>
        <v>20790</v>
      </c>
    </row>
    <row r="37" spans="1:8" x14ac:dyDescent="0.25">
      <c r="A37">
        <v>5</v>
      </c>
      <c r="B37" t="s">
        <v>776</v>
      </c>
      <c r="C37" s="3">
        <v>17000</v>
      </c>
      <c r="D37" s="71">
        <f>+C37*1.25</f>
        <v>21250</v>
      </c>
      <c r="F37">
        <f>+C37*23%</f>
        <v>3910</v>
      </c>
      <c r="G37" s="9">
        <f>+C37-F37</f>
        <v>13090</v>
      </c>
      <c r="H37">
        <f>8*3</f>
        <v>24</v>
      </c>
    </row>
    <row r="38" spans="1:8" x14ac:dyDescent="0.25">
      <c r="A38">
        <v>35</v>
      </c>
      <c r="B38" t="s">
        <v>493</v>
      </c>
      <c r="C38" s="3">
        <v>30000</v>
      </c>
      <c r="D38" s="71">
        <f>+C38*1.25</f>
        <v>37500</v>
      </c>
      <c r="F38">
        <f>+C38*23%</f>
        <v>6900</v>
      </c>
      <c r="G38" s="9">
        <f>+C38-F38</f>
        <v>23100</v>
      </c>
    </row>
    <row r="39" spans="1:8" x14ac:dyDescent="0.25">
      <c r="A39">
        <v>18</v>
      </c>
      <c r="B39" t="s">
        <v>477</v>
      </c>
      <c r="C39" s="3">
        <v>35000</v>
      </c>
      <c r="D39" s="71">
        <f>+C39*1.25</f>
        <v>43750</v>
      </c>
      <c r="F39">
        <f>+C39*23%</f>
        <v>8050</v>
      </c>
      <c r="G39" s="9">
        <f>+C39-F39</f>
        <v>26950</v>
      </c>
    </row>
    <row r="40" spans="1:8" x14ac:dyDescent="0.25">
      <c r="A40">
        <v>23</v>
      </c>
      <c r="B40" t="s">
        <v>482</v>
      </c>
      <c r="C40" s="3">
        <v>40000</v>
      </c>
      <c r="D40" s="71">
        <f>+C40*1.25</f>
        <v>50000</v>
      </c>
      <c r="F40">
        <f>+C40*23%</f>
        <v>9200</v>
      </c>
      <c r="G40" s="9">
        <f>+C40-F40</f>
        <v>30800</v>
      </c>
    </row>
    <row r="41" spans="1:8" x14ac:dyDescent="0.25">
      <c r="A41">
        <v>21</v>
      </c>
      <c r="B41" t="s">
        <v>480</v>
      </c>
      <c r="C41" s="3">
        <v>48000</v>
      </c>
      <c r="D41" s="71">
        <f>+C41*1.25</f>
        <v>60000</v>
      </c>
      <c r="F41">
        <f>+C41*23%</f>
        <v>11040</v>
      </c>
      <c r="G41" s="9">
        <f>+C41-F41</f>
        <v>36960</v>
      </c>
    </row>
    <row r="42" spans="1:8" x14ac:dyDescent="0.25">
      <c r="A42">
        <v>43</v>
      </c>
      <c r="B42" t="s">
        <v>501</v>
      </c>
      <c r="C42" s="3">
        <v>50000</v>
      </c>
      <c r="D42" s="71">
        <f>+C42*1.25</f>
        <v>62500</v>
      </c>
      <c r="F42">
        <f>+C42*23%</f>
        <v>11500</v>
      </c>
      <c r="G42" s="9">
        <f>+C42-F42</f>
        <v>38500</v>
      </c>
    </row>
    <row r="43" spans="1:8" x14ac:dyDescent="0.25">
      <c r="A43">
        <v>32</v>
      </c>
      <c r="B43" t="s">
        <v>491</v>
      </c>
      <c r="C43" s="3">
        <v>60000</v>
      </c>
      <c r="D43" s="71">
        <f>+C43*1.25</f>
        <v>75000</v>
      </c>
      <c r="F43">
        <f>+C43*23%</f>
        <v>13800</v>
      </c>
      <c r="G43" s="9">
        <f>+C43-F43</f>
        <v>46200</v>
      </c>
    </row>
    <row r="44" spans="1:8" x14ac:dyDescent="0.25">
      <c r="A44">
        <v>22</v>
      </c>
      <c r="B44" t="s">
        <v>481</v>
      </c>
      <c r="C44" s="3">
        <v>70000</v>
      </c>
      <c r="D44" s="71">
        <f>+C44*1.25</f>
        <v>87500</v>
      </c>
      <c r="F44">
        <f>+C44*23%</f>
        <v>16100</v>
      </c>
      <c r="G44" s="9">
        <f>+C44-F44</f>
        <v>53900</v>
      </c>
    </row>
    <row r="45" spans="1:8" x14ac:dyDescent="0.25">
      <c r="A45">
        <v>56</v>
      </c>
      <c r="B45" t="s">
        <v>787</v>
      </c>
      <c r="C45" s="3">
        <v>80000</v>
      </c>
      <c r="D45" s="71">
        <f>+C45*1.25</f>
        <v>100000</v>
      </c>
      <c r="F45">
        <f>+C45*23%</f>
        <v>18400</v>
      </c>
      <c r="G45" s="9">
        <f>+C45-F45</f>
        <v>61600</v>
      </c>
    </row>
    <row r="46" spans="1:8" x14ac:dyDescent="0.25">
      <c r="A46">
        <v>55</v>
      </c>
      <c r="B46" t="s">
        <v>786</v>
      </c>
      <c r="C46" s="3">
        <v>20000</v>
      </c>
      <c r="D46" s="71">
        <f>+C46*1.25</f>
        <v>25000</v>
      </c>
      <c r="F46">
        <f>+C46*23%</f>
        <v>4600</v>
      </c>
      <c r="G46" s="9">
        <f>+C46-F46</f>
        <v>15400</v>
      </c>
    </row>
    <row r="47" spans="1:8" x14ac:dyDescent="0.25">
      <c r="A47">
        <v>54</v>
      </c>
      <c r="B47" t="s">
        <v>785</v>
      </c>
      <c r="C47" s="3">
        <v>15000</v>
      </c>
      <c r="D47" s="71">
        <f>+C47*1.25</f>
        <v>18750</v>
      </c>
      <c r="F47">
        <f>+C47*23%</f>
        <v>3450</v>
      </c>
      <c r="G47" s="9">
        <f>+C47-F47</f>
        <v>11550</v>
      </c>
    </row>
    <row r="48" spans="1:8" x14ac:dyDescent="0.25">
      <c r="A48">
        <v>37</v>
      </c>
      <c r="B48" t="s">
        <v>495</v>
      </c>
      <c r="C48" s="3">
        <v>2000</v>
      </c>
      <c r="D48" s="71">
        <f>+C48*1.25</f>
        <v>2500</v>
      </c>
      <c r="F48">
        <f>+C48*23%</f>
        <v>460</v>
      </c>
      <c r="G48" s="9">
        <f>+C48-F48</f>
        <v>1540</v>
      </c>
    </row>
    <row r="49" spans="1:7" x14ac:dyDescent="0.25">
      <c r="A49">
        <v>30</v>
      </c>
      <c r="B49" t="s">
        <v>489</v>
      </c>
      <c r="C49" s="3">
        <v>2000</v>
      </c>
      <c r="D49" s="71">
        <f>+C49*1.25</f>
        <v>2500</v>
      </c>
      <c r="F49">
        <f>+C49*23%</f>
        <v>460</v>
      </c>
      <c r="G49" s="9">
        <f>+C49-F49</f>
        <v>1540</v>
      </c>
    </row>
    <row r="50" spans="1:7" x14ac:dyDescent="0.25">
      <c r="A50">
        <v>31</v>
      </c>
      <c r="B50" t="s">
        <v>490</v>
      </c>
      <c r="C50" s="3">
        <v>15000</v>
      </c>
      <c r="D50" s="71">
        <f>+C50*1.25</f>
        <v>18750</v>
      </c>
      <c r="F50">
        <f>+C50*23%</f>
        <v>3450</v>
      </c>
      <c r="G50" s="9">
        <f>+C50-F50</f>
        <v>11550</v>
      </c>
    </row>
    <row r="51" spans="1:7" x14ac:dyDescent="0.25">
      <c r="A51">
        <v>28</v>
      </c>
      <c r="B51" t="s">
        <v>487</v>
      </c>
      <c r="C51" s="3">
        <v>5000</v>
      </c>
      <c r="D51" s="71">
        <f>+C51*1.25</f>
        <v>6250</v>
      </c>
      <c r="F51">
        <f>+C51*23%</f>
        <v>1150</v>
      </c>
      <c r="G51" s="9">
        <f>+C51-F51</f>
        <v>3850</v>
      </c>
    </row>
    <row r="52" spans="1:7" x14ac:dyDescent="0.25">
      <c r="A52">
        <v>51</v>
      </c>
      <c r="B52" t="s">
        <v>783</v>
      </c>
      <c r="C52" s="3">
        <v>1000</v>
      </c>
      <c r="D52" s="71">
        <f>+C52*1.25</f>
        <v>1250</v>
      </c>
      <c r="F52">
        <f>+C52*23%</f>
        <v>230</v>
      </c>
      <c r="G52" s="9">
        <f>+C52-F52</f>
        <v>770</v>
      </c>
    </row>
    <row r="53" spans="1:7" x14ac:dyDescent="0.25">
      <c r="A53">
        <v>20</v>
      </c>
      <c r="B53" t="s">
        <v>479</v>
      </c>
      <c r="C53" s="3">
        <v>2000</v>
      </c>
      <c r="D53" s="71">
        <f>+C53*1.25</f>
        <v>2500</v>
      </c>
      <c r="F53">
        <f>+C53*23%</f>
        <v>460</v>
      </c>
      <c r="G53" s="9">
        <f>+C53-F53</f>
        <v>1540</v>
      </c>
    </row>
    <row r="54" spans="1:7" x14ac:dyDescent="0.25">
      <c r="A54">
        <v>17</v>
      </c>
      <c r="B54" t="s">
        <v>476</v>
      </c>
      <c r="C54" s="3">
        <v>4500</v>
      </c>
      <c r="D54" s="71">
        <f>+C54*1.25</f>
        <v>5625</v>
      </c>
      <c r="F54">
        <f>+C54*23%</f>
        <v>1035</v>
      </c>
      <c r="G54" s="9">
        <f>+C54-F54</f>
        <v>3465</v>
      </c>
    </row>
    <row r="55" spans="1:7" x14ac:dyDescent="0.25">
      <c r="A55">
        <v>25</v>
      </c>
      <c r="B55" t="s">
        <v>484</v>
      </c>
      <c r="C55" s="3">
        <v>5000</v>
      </c>
      <c r="D55" s="71">
        <f>+C55*1.25</f>
        <v>6250</v>
      </c>
      <c r="F55">
        <f>+C55*23%</f>
        <v>1150</v>
      </c>
      <c r="G55" s="9">
        <f>+C55-F55</f>
        <v>3850</v>
      </c>
    </row>
  </sheetData>
  <autoFilter ref="A1:H55">
    <sortState ref="A2:H55">
      <sortCondition ref="B1:B55"/>
    </sortState>
  </autoFilter>
  <pageMargins left="0.7" right="0.7" top="0.75" bottom="0.75" header="0.3" footer="0.3"/>
  <pageSetup paperSize="119" orientation="portrait" horizontalDpi="203" verticalDpi="203"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3"/>
  <dimension ref="A1:J22"/>
  <sheetViews>
    <sheetView showGridLines="0" zoomScaleNormal="100" workbookViewId="0">
      <pane ySplit="2" topLeftCell="A3" activePane="bottomLeft" state="frozen"/>
      <selection pane="bottomLeft" activeCell="G4" sqref="A4:XFD4"/>
    </sheetView>
  </sheetViews>
  <sheetFormatPr baseColWidth="10" defaultRowHeight="15" x14ac:dyDescent="0.25"/>
  <cols>
    <col min="2" max="2" width="3.28515625" bestFit="1" customWidth="1"/>
    <col min="3" max="3" width="6.5703125" bestFit="1" customWidth="1"/>
    <col min="4" max="4" width="23.140625" bestFit="1" customWidth="1"/>
    <col min="5" max="5" width="23.140625" customWidth="1"/>
    <col min="6" max="6" width="12" style="49" bestFit="1" customWidth="1"/>
    <col min="8" max="8" width="12" bestFit="1" customWidth="1"/>
  </cols>
  <sheetData>
    <row r="1" spans="1:10" x14ac:dyDescent="0.25">
      <c r="F1" s="60">
        <f>+SUM(F3:F1048576)</f>
        <v>89700</v>
      </c>
      <c r="H1" s="3" t="e">
        <f>#REF!</f>
        <v>#REF!</v>
      </c>
      <c r="I1" s="32" t="e">
        <f>+F1-H1</f>
        <v>#REF!</v>
      </c>
      <c r="J1" s="70">
        <v>93000</v>
      </c>
    </row>
    <row r="2" spans="1:10" x14ac:dyDescent="0.25">
      <c r="A2" s="63" t="s">
        <v>274</v>
      </c>
      <c r="B2" s="63" t="s">
        <v>268</v>
      </c>
      <c r="C2" s="63" t="s">
        <v>269</v>
      </c>
      <c r="D2" s="63" t="s">
        <v>3</v>
      </c>
      <c r="E2" s="63"/>
      <c r="F2" s="64" t="s">
        <v>272</v>
      </c>
      <c r="G2" s="64" t="s">
        <v>273</v>
      </c>
      <c r="I2" s="32"/>
    </row>
    <row r="3" spans="1:10" x14ac:dyDescent="0.25">
      <c r="A3" s="65" t="s">
        <v>133</v>
      </c>
      <c r="B3" s="65"/>
      <c r="C3" s="65"/>
      <c r="D3" s="65" t="s">
        <v>133</v>
      </c>
      <c r="E3" s="65"/>
      <c r="F3" s="68">
        <v>93000</v>
      </c>
      <c r="G3" s="65"/>
    </row>
    <row r="4" spans="1:10" x14ac:dyDescent="0.25">
      <c r="A4" s="65" t="s">
        <v>262</v>
      </c>
      <c r="B4" s="65"/>
      <c r="C4" s="65"/>
      <c r="D4" s="65" t="s">
        <v>262</v>
      </c>
      <c r="E4" s="65"/>
      <c r="F4" s="68">
        <v>-70000</v>
      </c>
      <c r="G4" s="65"/>
    </row>
    <row r="5" spans="1:10" x14ac:dyDescent="0.25">
      <c r="A5" s="65" t="s">
        <v>134</v>
      </c>
      <c r="B5" s="65"/>
      <c r="C5" s="65"/>
      <c r="D5" s="65" t="s">
        <v>263</v>
      </c>
      <c r="E5" s="65" t="s">
        <v>264</v>
      </c>
      <c r="F5" s="68">
        <f>-3800*10</f>
        <v>-38000</v>
      </c>
      <c r="G5" s="65"/>
    </row>
    <row r="6" spans="1:10" x14ac:dyDescent="0.25">
      <c r="A6" s="65" t="s">
        <v>134</v>
      </c>
      <c r="B6" s="65"/>
      <c r="C6" s="65"/>
      <c r="D6" s="65" t="s">
        <v>263</v>
      </c>
      <c r="E6" s="65" t="s">
        <v>265</v>
      </c>
      <c r="F6" s="68">
        <v>-28500</v>
      </c>
      <c r="G6" s="65"/>
    </row>
    <row r="7" spans="1:10" x14ac:dyDescent="0.25">
      <c r="A7" s="65" t="s">
        <v>134</v>
      </c>
      <c r="B7" s="65"/>
      <c r="C7" s="65"/>
      <c r="D7" s="65" t="s">
        <v>266</v>
      </c>
      <c r="E7" s="65"/>
      <c r="F7" s="68">
        <v>-27800</v>
      </c>
      <c r="G7" s="65"/>
    </row>
    <row r="8" spans="1:10" x14ac:dyDescent="0.25">
      <c r="A8" s="65" t="s">
        <v>134</v>
      </c>
      <c r="B8" s="65"/>
      <c r="C8" s="65"/>
      <c r="D8" s="65" t="s">
        <v>267</v>
      </c>
      <c r="E8" s="65"/>
      <c r="F8" s="68">
        <v>-27000</v>
      </c>
      <c r="G8" s="65"/>
    </row>
    <row r="9" spans="1:10" x14ac:dyDescent="0.25">
      <c r="A9" s="65"/>
      <c r="B9" s="65"/>
      <c r="C9" s="65"/>
      <c r="D9" s="65" t="s">
        <v>281</v>
      </c>
      <c r="E9" s="65"/>
      <c r="F9" s="68">
        <v>-22000</v>
      </c>
      <c r="G9" s="65"/>
    </row>
    <row r="10" spans="1:10" x14ac:dyDescent="0.25">
      <c r="A10" s="65" t="s">
        <v>270</v>
      </c>
      <c r="B10" s="65">
        <v>2</v>
      </c>
      <c r="C10" s="65">
        <v>8000</v>
      </c>
      <c r="D10" s="65" t="s">
        <v>185</v>
      </c>
      <c r="E10" s="65"/>
      <c r="F10" s="68">
        <f t="shared" ref="F10:F15" si="0">+B10*C10</f>
        <v>16000</v>
      </c>
      <c r="G10" s="65"/>
    </row>
    <row r="11" spans="1:10" x14ac:dyDescent="0.25">
      <c r="A11" s="65" t="s">
        <v>270</v>
      </c>
      <c r="B11" s="65">
        <v>2</v>
      </c>
      <c r="C11" s="65">
        <v>8000</v>
      </c>
      <c r="D11" s="65" t="s">
        <v>185</v>
      </c>
      <c r="E11" s="65"/>
      <c r="F11" s="68">
        <f t="shared" si="0"/>
        <v>16000</v>
      </c>
      <c r="G11" s="65"/>
    </row>
    <row r="12" spans="1:10" x14ac:dyDescent="0.25">
      <c r="A12" s="65" t="s">
        <v>270</v>
      </c>
      <c r="B12" s="65">
        <v>4</v>
      </c>
      <c r="C12" s="65">
        <v>8000</v>
      </c>
      <c r="D12" s="65" t="s">
        <v>185</v>
      </c>
      <c r="E12" s="65"/>
      <c r="F12" s="68">
        <f t="shared" si="0"/>
        <v>32000</v>
      </c>
      <c r="G12" s="65"/>
    </row>
    <row r="13" spans="1:10" x14ac:dyDescent="0.25">
      <c r="A13" s="65" t="s">
        <v>270</v>
      </c>
      <c r="B13" s="65">
        <v>1</v>
      </c>
      <c r="C13" s="65">
        <v>8000</v>
      </c>
      <c r="D13" s="65" t="s">
        <v>185</v>
      </c>
      <c r="E13" s="65"/>
      <c r="F13" s="68">
        <f t="shared" si="0"/>
        <v>8000</v>
      </c>
      <c r="G13" s="65"/>
    </row>
    <row r="14" spans="1:10" x14ac:dyDescent="0.25">
      <c r="A14" s="65" t="s">
        <v>270</v>
      </c>
      <c r="B14" s="65">
        <v>2</v>
      </c>
      <c r="C14" s="65">
        <v>8000</v>
      </c>
      <c r="D14" s="65" t="s">
        <v>185</v>
      </c>
      <c r="E14" s="65"/>
      <c r="F14" s="68">
        <f t="shared" si="0"/>
        <v>16000</v>
      </c>
      <c r="G14" s="65"/>
    </row>
    <row r="15" spans="1:10" x14ac:dyDescent="0.25">
      <c r="A15" s="65" t="s">
        <v>270</v>
      </c>
      <c r="B15" s="65">
        <v>5</v>
      </c>
      <c r="C15" s="65">
        <v>3000</v>
      </c>
      <c r="D15" s="65" t="s">
        <v>115</v>
      </c>
      <c r="E15" s="65"/>
      <c r="F15" s="68">
        <f t="shared" si="0"/>
        <v>15000</v>
      </c>
      <c r="G15" s="65"/>
    </row>
    <row r="16" spans="1:10" x14ac:dyDescent="0.25">
      <c r="A16" s="65" t="s">
        <v>271</v>
      </c>
      <c r="B16" s="65">
        <v>2</v>
      </c>
      <c r="C16" s="65">
        <v>8000</v>
      </c>
      <c r="D16" s="65" t="s">
        <v>185</v>
      </c>
      <c r="E16" s="65"/>
      <c r="F16" s="66"/>
      <c r="G16" s="68">
        <f>+B16*C16</f>
        <v>16000</v>
      </c>
    </row>
    <row r="17" spans="1:7" x14ac:dyDescent="0.25">
      <c r="A17" s="65" t="s">
        <v>271</v>
      </c>
      <c r="B17" s="65"/>
      <c r="C17" s="65"/>
      <c r="D17" s="65" t="s">
        <v>276</v>
      </c>
      <c r="E17" s="65"/>
      <c r="F17" s="66"/>
      <c r="G17" s="69">
        <v>28000</v>
      </c>
    </row>
    <row r="18" spans="1:7" x14ac:dyDescent="0.25">
      <c r="A18" s="65" t="s">
        <v>270</v>
      </c>
      <c r="B18" s="65"/>
      <c r="C18" s="65"/>
      <c r="D18" s="65" t="s">
        <v>279</v>
      </c>
      <c r="E18" s="65"/>
      <c r="F18" s="68">
        <v>15000</v>
      </c>
      <c r="G18" s="67"/>
    </row>
    <row r="19" spans="1:7" x14ac:dyDescent="0.25">
      <c r="A19" s="65" t="s">
        <v>270</v>
      </c>
      <c r="B19" s="65"/>
      <c r="C19" s="65"/>
      <c r="D19" s="65" t="s">
        <v>277</v>
      </c>
      <c r="E19" s="65"/>
      <c r="F19" s="68">
        <v>60000</v>
      </c>
      <c r="G19" s="67"/>
    </row>
    <row r="20" spans="1:7" x14ac:dyDescent="0.25">
      <c r="A20" s="65" t="s">
        <v>270</v>
      </c>
      <c r="B20" s="65"/>
      <c r="C20" s="65"/>
      <c r="D20" s="65" t="s">
        <v>278</v>
      </c>
      <c r="E20" s="65"/>
      <c r="F20" s="68">
        <v>12000</v>
      </c>
      <c r="G20" s="67"/>
    </row>
    <row r="21" spans="1:7" x14ac:dyDescent="0.25">
      <c r="A21" s="65" t="s">
        <v>271</v>
      </c>
      <c r="B21" s="65"/>
      <c r="C21" s="65"/>
      <c r="D21" s="65" t="s">
        <v>275</v>
      </c>
      <c r="E21" s="65"/>
      <c r="F21" s="66"/>
      <c r="G21" s="69">
        <v>43000</v>
      </c>
    </row>
    <row r="22" spans="1:7" x14ac:dyDescent="0.25">
      <c r="A22" s="65" t="s">
        <v>270</v>
      </c>
      <c r="D22" s="65" t="s">
        <v>280</v>
      </c>
      <c r="F22" s="68">
        <f>16000+4000</f>
        <v>20000</v>
      </c>
    </row>
  </sheetData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tabColor rgb="FF92D050"/>
  </sheetPr>
  <dimension ref="A3:N22"/>
  <sheetViews>
    <sheetView workbookViewId="0">
      <selection activeCell="E6" sqref="E6"/>
    </sheetView>
  </sheetViews>
  <sheetFormatPr baseColWidth="10" defaultRowHeight="15" x14ac:dyDescent="0.25"/>
  <cols>
    <col min="1" max="1" width="19.140625" bestFit="1" customWidth="1"/>
    <col min="2" max="2" width="22.42578125" bestFit="1" customWidth="1"/>
    <col min="3" max="3" width="10.42578125" bestFit="1" customWidth="1"/>
    <col min="4" max="4" width="12.5703125" bestFit="1" customWidth="1"/>
    <col min="5" max="6" width="10.42578125" bestFit="1" customWidth="1"/>
    <col min="7" max="7" width="12.5703125" bestFit="1" customWidth="1"/>
    <col min="8" max="8" width="10.42578125" bestFit="1" customWidth="1"/>
    <col min="9" max="9" width="7.28515625" bestFit="1" customWidth="1"/>
    <col min="10" max="10" width="7" bestFit="1" customWidth="1"/>
    <col min="11" max="11" width="8.7109375" bestFit="1" customWidth="1"/>
    <col min="12" max="12" width="12.5703125" bestFit="1" customWidth="1"/>
  </cols>
  <sheetData>
    <row r="3" spans="1:14" x14ac:dyDescent="0.25">
      <c r="A3" s="7" t="s">
        <v>163</v>
      </c>
      <c r="B3" s="7" t="s">
        <v>164</v>
      </c>
      <c r="F3" s="7" t="s">
        <v>165</v>
      </c>
      <c r="G3" s="7" t="s">
        <v>164</v>
      </c>
    </row>
    <row r="4" spans="1:14" x14ac:dyDescent="0.25">
      <c r="B4" t="s">
        <v>166</v>
      </c>
      <c r="D4" t="s">
        <v>33</v>
      </c>
      <c r="G4" t="s">
        <v>166</v>
      </c>
      <c r="K4" t="s">
        <v>167</v>
      </c>
      <c r="L4" t="s">
        <v>33</v>
      </c>
    </row>
    <row r="5" spans="1:14" x14ac:dyDescent="0.25">
      <c r="A5" s="7" t="s">
        <v>32</v>
      </c>
      <c r="B5" t="s">
        <v>168</v>
      </c>
      <c r="C5" t="s">
        <v>169</v>
      </c>
      <c r="F5" s="7" t="s">
        <v>32</v>
      </c>
      <c r="G5" t="s">
        <v>168</v>
      </c>
      <c r="H5" t="s">
        <v>170</v>
      </c>
      <c r="I5" t="s">
        <v>171</v>
      </c>
      <c r="J5" t="s">
        <v>169</v>
      </c>
      <c r="K5" t="s">
        <v>169</v>
      </c>
      <c r="N5" s="1" t="s">
        <v>166</v>
      </c>
    </row>
    <row r="6" spans="1:14" x14ac:dyDescent="0.25">
      <c r="A6" s="5" t="s">
        <v>172</v>
      </c>
      <c r="B6" s="9">
        <v>73700</v>
      </c>
      <c r="C6" s="9">
        <v>192000</v>
      </c>
      <c r="D6" s="9">
        <v>265700</v>
      </c>
      <c r="F6" s="5" t="s">
        <v>172</v>
      </c>
      <c r="G6" s="9">
        <v>0</v>
      </c>
      <c r="H6" s="9">
        <v>60000</v>
      </c>
      <c r="I6" s="9">
        <v>100</v>
      </c>
      <c r="J6" s="9">
        <v>0</v>
      </c>
      <c r="K6" s="9">
        <v>0</v>
      </c>
      <c r="L6" s="9">
        <v>60100</v>
      </c>
      <c r="N6" s="13">
        <f>+D6-L6</f>
        <v>205600</v>
      </c>
    </row>
    <row r="7" spans="1:14" x14ac:dyDescent="0.25">
      <c r="A7" s="5" t="s">
        <v>173</v>
      </c>
      <c r="B7" s="9">
        <v>205600</v>
      </c>
      <c r="C7" s="9">
        <v>213000</v>
      </c>
      <c r="D7" s="9">
        <v>418600</v>
      </c>
      <c r="F7" s="5" t="s">
        <v>173</v>
      </c>
      <c r="G7" s="9">
        <v>0</v>
      </c>
      <c r="H7" s="9">
        <v>103000</v>
      </c>
      <c r="I7" s="9"/>
      <c r="J7" s="9">
        <v>0</v>
      </c>
      <c r="K7" s="9">
        <v>0</v>
      </c>
      <c r="L7" s="9">
        <v>103000</v>
      </c>
      <c r="N7" s="23">
        <f>+D7-L7</f>
        <v>315600</v>
      </c>
    </row>
    <row r="8" spans="1:14" x14ac:dyDescent="0.25">
      <c r="A8" s="5" t="s">
        <v>174</v>
      </c>
      <c r="B8" s="9"/>
      <c r="C8" s="9">
        <v>344000</v>
      </c>
      <c r="D8" s="9">
        <v>344000</v>
      </c>
      <c r="F8" s="5" t="s">
        <v>174</v>
      </c>
      <c r="G8" s="9"/>
      <c r="H8" s="9">
        <v>226700</v>
      </c>
      <c r="I8" s="9"/>
      <c r="J8" s="9">
        <v>0</v>
      </c>
      <c r="K8" s="9">
        <v>0</v>
      </c>
      <c r="L8" s="9">
        <v>226700</v>
      </c>
      <c r="N8" s="23">
        <f>+D8-L8</f>
        <v>117300</v>
      </c>
    </row>
    <row r="9" spans="1:14" x14ac:dyDescent="0.25">
      <c r="A9" s="5" t="s">
        <v>175</v>
      </c>
      <c r="B9" s="9"/>
      <c r="C9" s="9">
        <v>84000</v>
      </c>
      <c r="D9" s="9">
        <v>84000</v>
      </c>
      <c r="F9" s="5" t="s">
        <v>175</v>
      </c>
      <c r="G9" s="9"/>
      <c r="H9" s="9">
        <v>84000</v>
      </c>
      <c r="I9" s="9"/>
      <c r="J9" s="9">
        <v>0</v>
      </c>
      <c r="K9" s="9">
        <v>0</v>
      </c>
      <c r="L9" s="9">
        <v>84000</v>
      </c>
      <c r="N9" s="9">
        <f>+D9-L9</f>
        <v>0</v>
      </c>
    </row>
    <row r="10" spans="1:14" x14ac:dyDescent="0.25">
      <c r="A10" s="5" t="s">
        <v>33</v>
      </c>
      <c r="B10" s="9">
        <v>279300</v>
      </c>
      <c r="C10" s="9">
        <v>833000</v>
      </c>
      <c r="D10" s="9">
        <v>1112300</v>
      </c>
      <c r="F10" s="5" t="s">
        <v>33</v>
      </c>
      <c r="G10" s="9">
        <v>0</v>
      </c>
      <c r="H10" s="9">
        <v>473700</v>
      </c>
      <c r="I10" s="9">
        <v>100</v>
      </c>
      <c r="J10" s="9">
        <v>0</v>
      </c>
      <c r="K10" s="9">
        <v>0</v>
      </c>
      <c r="L10" s="9">
        <v>473800</v>
      </c>
    </row>
    <row r="14" spans="1:14" x14ac:dyDescent="0.25">
      <c r="A14" s="7" t="s">
        <v>176</v>
      </c>
      <c r="B14" t="s" vm="1">
        <v>169</v>
      </c>
    </row>
    <row r="16" spans="1:14" x14ac:dyDescent="0.25">
      <c r="A16" s="7" t="s">
        <v>163</v>
      </c>
      <c r="B16" s="7" t="s">
        <v>164</v>
      </c>
    </row>
    <row r="17" spans="1:4" x14ac:dyDescent="0.25">
      <c r="A17" s="7" t="s">
        <v>32</v>
      </c>
      <c r="B17" t="s">
        <v>166</v>
      </c>
      <c r="C17" t="s">
        <v>167</v>
      </c>
      <c r="D17" t="s">
        <v>33</v>
      </c>
    </row>
    <row r="18" spans="1:4" x14ac:dyDescent="0.25">
      <c r="A18" s="5" t="s">
        <v>172</v>
      </c>
      <c r="B18" s="9">
        <v>192000</v>
      </c>
      <c r="C18" s="9">
        <v>32000</v>
      </c>
      <c r="D18" s="9">
        <v>224000</v>
      </c>
    </row>
    <row r="19" spans="1:4" x14ac:dyDescent="0.25">
      <c r="A19" s="5" t="s">
        <v>173</v>
      </c>
      <c r="B19" s="9">
        <v>213000</v>
      </c>
      <c r="C19" s="9">
        <v>8000</v>
      </c>
      <c r="D19" s="9">
        <v>221000</v>
      </c>
    </row>
    <row r="20" spans="1:4" x14ac:dyDescent="0.25">
      <c r="A20" s="5" t="s">
        <v>174</v>
      </c>
      <c r="B20" s="9">
        <v>344000</v>
      </c>
      <c r="C20" s="9">
        <v>46500</v>
      </c>
      <c r="D20" s="9">
        <v>390500</v>
      </c>
    </row>
    <row r="21" spans="1:4" x14ac:dyDescent="0.25">
      <c r="A21" s="5" t="s">
        <v>175</v>
      </c>
      <c r="B21" s="9">
        <v>84000</v>
      </c>
      <c r="C21" s="9">
        <v>125000</v>
      </c>
      <c r="D21" s="9">
        <v>209000</v>
      </c>
    </row>
    <row r="22" spans="1:4" x14ac:dyDescent="0.25">
      <c r="A22" s="5" t="s">
        <v>33</v>
      </c>
      <c r="B22" s="9">
        <v>833000</v>
      </c>
      <c r="C22" s="9">
        <v>211500</v>
      </c>
      <c r="D22" s="9">
        <v>1044500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tabColor rgb="FF92D050"/>
  </sheetPr>
  <dimension ref="A1:K69"/>
  <sheetViews>
    <sheetView workbookViewId="0">
      <pane ySplit="4" topLeftCell="A65" activePane="bottomLeft" state="frozen"/>
      <selection pane="bottomLeft" activeCell="H38" sqref="H38"/>
    </sheetView>
  </sheetViews>
  <sheetFormatPr baseColWidth="10" defaultRowHeight="15" x14ac:dyDescent="0.25"/>
  <cols>
    <col min="1" max="1" width="20" bestFit="1" customWidth="1"/>
    <col min="2" max="2" width="17.7109375" bestFit="1" customWidth="1"/>
    <col min="3" max="3" width="19.42578125" bestFit="1" customWidth="1"/>
    <col min="4" max="5" width="10.85546875" bestFit="1" customWidth="1"/>
    <col min="6" max="6" width="19.5703125" bestFit="1" customWidth="1"/>
    <col min="7" max="7" width="14.28515625" style="3" bestFit="1" customWidth="1"/>
    <col min="8" max="8" width="13.85546875" bestFit="1" customWidth="1"/>
    <col min="9" max="9" width="12.5703125" bestFit="1" customWidth="1"/>
    <col min="11" max="11" width="23.85546875" bestFit="1" customWidth="1"/>
  </cols>
  <sheetData>
    <row r="1" spans="1:11" x14ac:dyDescent="0.25">
      <c r="A1" s="7" t="s">
        <v>176</v>
      </c>
      <c r="B1" t="s" vm="1">
        <v>169</v>
      </c>
    </row>
    <row r="2" spans="1:11" x14ac:dyDescent="0.25">
      <c r="A2" s="7" t="s">
        <v>177</v>
      </c>
      <c r="B2" t="s" vm="2">
        <v>166</v>
      </c>
      <c r="H2" s="9"/>
    </row>
    <row r="4" spans="1:11" x14ac:dyDescent="0.25">
      <c r="A4" s="7" t="s">
        <v>178</v>
      </c>
      <c r="B4" s="7" t="s">
        <v>5</v>
      </c>
      <c r="C4" s="7" t="s">
        <v>179</v>
      </c>
      <c r="D4" s="7" t="s">
        <v>180</v>
      </c>
      <c r="E4" s="7" t="s">
        <v>181</v>
      </c>
      <c r="F4" t="s">
        <v>182</v>
      </c>
      <c r="G4" s="16" t="s">
        <v>183</v>
      </c>
      <c r="J4" s="43" t="s">
        <v>178</v>
      </c>
      <c r="K4" s="43" t="s">
        <v>184</v>
      </c>
    </row>
    <row r="5" spans="1:11" x14ac:dyDescent="0.25">
      <c r="A5" t="s">
        <v>172</v>
      </c>
      <c r="B5" s="44">
        <v>46076.692083333335</v>
      </c>
      <c r="C5" t="s">
        <v>185</v>
      </c>
      <c r="D5">
        <v>8000</v>
      </c>
      <c r="E5">
        <v>2</v>
      </c>
      <c r="F5" s="9">
        <v>1</v>
      </c>
      <c r="G5" s="3">
        <f>+D5*E5</f>
        <v>16000</v>
      </c>
      <c r="J5" s="45">
        <v>46076</v>
      </c>
      <c r="K5" s="3">
        <f>+SUMIF(A:A,J5,G:G)</f>
        <v>192000</v>
      </c>
    </row>
    <row r="6" spans="1:11" x14ac:dyDescent="0.25">
      <c r="A6" t="s">
        <v>172</v>
      </c>
      <c r="B6" s="44">
        <v>46076.717372685183</v>
      </c>
      <c r="C6" t="s">
        <v>185</v>
      </c>
      <c r="D6">
        <v>8000</v>
      </c>
      <c r="E6">
        <v>2</v>
      </c>
      <c r="F6" s="9">
        <v>1</v>
      </c>
      <c r="G6" s="3">
        <f t="shared" ref="G6:G68" si="0">+D6*E6</f>
        <v>16000</v>
      </c>
      <c r="J6" s="45">
        <v>46077</v>
      </c>
      <c r="K6" s="3">
        <f>+SUMIF(A:A,J6,G:G)</f>
        <v>213000</v>
      </c>
    </row>
    <row r="7" spans="1:11" x14ac:dyDescent="0.25">
      <c r="A7" t="s">
        <v>172</v>
      </c>
      <c r="C7" t="s">
        <v>186</v>
      </c>
      <c r="D7">
        <v>3000</v>
      </c>
      <c r="E7">
        <v>2</v>
      </c>
      <c r="F7" s="9">
        <v>1</v>
      </c>
      <c r="G7" s="3">
        <f t="shared" si="0"/>
        <v>6000</v>
      </c>
      <c r="J7" s="45">
        <v>46078</v>
      </c>
      <c r="K7" s="3">
        <f>+SUMIF(A:A,J7,G:G)</f>
        <v>344000</v>
      </c>
    </row>
    <row r="8" spans="1:11" x14ac:dyDescent="0.25">
      <c r="A8" t="s">
        <v>172</v>
      </c>
      <c r="B8" s="44">
        <v>46076.750289351854</v>
      </c>
      <c r="C8" t="s">
        <v>116</v>
      </c>
      <c r="D8">
        <v>3000</v>
      </c>
      <c r="E8">
        <v>2</v>
      </c>
      <c r="F8" s="9">
        <v>1</v>
      </c>
      <c r="G8" s="3">
        <f t="shared" si="0"/>
        <v>6000</v>
      </c>
      <c r="J8" s="45">
        <v>46079</v>
      </c>
      <c r="K8" s="3">
        <f>+SUMIF(A:A,J8,G:G)</f>
        <v>84000</v>
      </c>
    </row>
    <row r="9" spans="1:11" x14ac:dyDescent="0.25">
      <c r="A9" t="s">
        <v>172</v>
      </c>
      <c r="C9" t="s">
        <v>185</v>
      </c>
      <c r="D9">
        <v>8000</v>
      </c>
      <c r="E9">
        <v>2</v>
      </c>
      <c r="F9" s="9">
        <v>1</v>
      </c>
      <c r="G9" s="3">
        <f t="shared" si="0"/>
        <v>16000</v>
      </c>
    </row>
    <row r="10" spans="1:11" x14ac:dyDescent="0.25">
      <c r="A10" t="s">
        <v>172</v>
      </c>
      <c r="B10" s="44">
        <v>46076.751967592594</v>
      </c>
      <c r="C10" t="s">
        <v>185</v>
      </c>
      <c r="D10">
        <v>8000</v>
      </c>
      <c r="E10">
        <v>2</v>
      </c>
      <c r="F10" s="9">
        <v>1</v>
      </c>
      <c r="G10" s="3">
        <f t="shared" si="0"/>
        <v>16000</v>
      </c>
    </row>
    <row r="11" spans="1:11" x14ac:dyDescent="0.25">
      <c r="A11" t="s">
        <v>172</v>
      </c>
      <c r="C11" t="s">
        <v>117</v>
      </c>
      <c r="D11">
        <v>3000</v>
      </c>
      <c r="E11">
        <v>1</v>
      </c>
      <c r="F11" s="9">
        <v>1</v>
      </c>
      <c r="G11" s="3">
        <f t="shared" si="0"/>
        <v>3000</v>
      </c>
    </row>
    <row r="12" spans="1:11" x14ac:dyDescent="0.25">
      <c r="A12" t="s">
        <v>172</v>
      </c>
      <c r="B12" s="44">
        <v>46076.787222222221</v>
      </c>
      <c r="C12" t="s">
        <v>185</v>
      </c>
      <c r="D12">
        <v>8000</v>
      </c>
      <c r="E12">
        <v>1</v>
      </c>
      <c r="F12" s="9">
        <v>1</v>
      </c>
      <c r="G12" s="3">
        <f t="shared" si="0"/>
        <v>8000</v>
      </c>
    </row>
    <row r="13" spans="1:11" x14ac:dyDescent="0.25">
      <c r="A13" t="s">
        <v>172</v>
      </c>
      <c r="B13" s="44">
        <v>46076.795474537037</v>
      </c>
      <c r="C13" t="s">
        <v>185</v>
      </c>
      <c r="D13">
        <v>8000</v>
      </c>
      <c r="E13">
        <v>2</v>
      </c>
      <c r="F13" s="9">
        <v>1</v>
      </c>
      <c r="G13" s="3">
        <f t="shared" si="0"/>
        <v>16000</v>
      </c>
    </row>
    <row r="14" spans="1:11" x14ac:dyDescent="0.25">
      <c r="A14" t="s">
        <v>172</v>
      </c>
      <c r="C14" t="s">
        <v>186</v>
      </c>
      <c r="D14">
        <v>3000</v>
      </c>
      <c r="E14">
        <v>2</v>
      </c>
      <c r="F14" s="9">
        <v>1</v>
      </c>
      <c r="G14" s="3">
        <f t="shared" si="0"/>
        <v>6000</v>
      </c>
    </row>
    <row r="15" spans="1:11" x14ac:dyDescent="0.25">
      <c r="A15" t="s">
        <v>172</v>
      </c>
      <c r="B15" s="44">
        <v>46076.818287037036</v>
      </c>
      <c r="C15" t="s">
        <v>185</v>
      </c>
      <c r="D15">
        <v>8000</v>
      </c>
      <c r="E15">
        <v>3</v>
      </c>
      <c r="F15" s="9">
        <v>1</v>
      </c>
      <c r="G15" s="3">
        <f t="shared" si="0"/>
        <v>24000</v>
      </c>
      <c r="H15" s="9"/>
    </row>
    <row r="16" spans="1:11" x14ac:dyDescent="0.25">
      <c r="A16" t="s">
        <v>172</v>
      </c>
      <c r="B16" s="44">
        <v>46076.841643518521</v>
      </c>
      <c r="C16" t="s">
        <v>185</v>
      </c>
      <c r="D16">
        <v>8000</v>
      </c>
      <c r="E16">
        <v>1</v>
      </c>
      <c r="F16" s="9">
        <v>1</v>
      </c>
      <c r="G16" s="3">
        <f t="shared" si="0"/>
        <v>8000</v>
      </c>
    </row>
    <row r="17" spans="1:8" x14ac:dyDescent="0.25">
      <c r="A17" t="s">
        <v>172</v>
      </c>
      <c r="B17" s="44">
        <v>46076.843854166669</v>
      </c>
      <c r="C17" t="s">
        <v>185</v>
      </c>
      <c r="D17">
        <v>8000</v>
      </c>
      <c r="E17">
        <v>1</v>
      </c>
      <c r="F17" s="9">
        <v>1</v>
      </c>
      <c r="G17" s="3">
        <f t="shared" si="0"/>
        <v>8000</v>
      </c>
    </row>
    <row r="18" spans="1:8" x14ac:dyDescent="0.25">
      <c r="A18" t="s">
        <v>172</v>
      </c>
      <c r="B18" s="44">
        <v>46076.845659722225</v>
      </c>
      <c r="C18" t="s">
        <v>185</v>
      </c>
      <c r="D18">
        <v>8000</v>
      </c>
      <c r="E18">
        <v>1</v>
      </c>
      <c r="F18" s="9">
        <v>1</v>
      </c>
      <c r="G18" s="3">
        <f t="shared" si="0"/>
        <v>8000</v>
      </c>
    </row>
    <row r="19" spans="1:8" x14ac:dyDescent="0.25">
      <c r="A19" t="s">
        <v>172</v>
      </c>
      <c r="C19" t="s">
        <v>117</v>
      </c>
      <c r="D19">
        <v>3000</v>
      </c>
      <c r="E19">
        <v>1</v>
      </c>
      <c r="F19" s="9">
        <v>1</v>
      </c>
      <c r="G19" s="3">
        <f t="shared" si="0"/>
        <v>3000</v>
      </c>
    </row>
    <row r="20" spans="1:8" x14ac:dyDescent="0.25">
      <c r="A20" t="s">
        <v>172</v>
      </c>
      <c r="B20" s="44">
        <v>46076.850243055553</v>
      </c>
      <c r="C20" t="s">
        <v>185</v>
      </c>
      <c r="D20">
        <v>8000</v>
      </c>
      <c r="E20">
        <v>3</v>
      </c>
      <c r="F20" s="9">
        <v>1</v>
      </c>
      <c r="G20" s="3">
        <f t="shared" si="0"/>
        <v>24000</v>
      </c>
    </row>
    <row r="21" spans="1:8" x14ac:dyDescent="0.25">
      <c r="A21" t="s">
        <v>172</v>
      </c>
      <c r="B21" s="44">
        <v>46076.852650462963</v>
      </c>
      <c r="C21" t="s">
        <v>185</v>
      </c>
      <c r="D21">
        <v>8000</v>
      </c>
      <c r="E21">
        <v>1</v>
      </c>
      <c r="F21" s="9">
        <v>1</v>
      </c>
      <c r="G21" s="3">
        <f t="shared" si="0"/>
        <v>8000</v>
      </c>
    </row>
    <row r="22" spans="1:8" x14ac:dyDescent="0.25">
      <c r="A22" t="s">
        <v>173</v>
      </c>
      <c r="B22" s="44">
        <v>46077.648680555554</v>
      </c>
      <c r="C22" t="s">
        <v>185</v>
      </c>
      <c r="D22">
        <v>8000</v>
      </c>
      <c r="E22">
        <v>5</v>
      </c>
      <c r="F22" s="9">
        <v>1</v>
      </c>
      <c r="G22" s="20">
        <f t="shared" si="0"/>
        <v>40000</v>
      </c>
    </row>
    <row r="23" spans="1:8" x14ac:dyDescent="0.25">
      <c r="A23" t="s">
        <v>173</v>
      </c>
      <c r="B23" s="44">
        <v>46077.649351851855</v>
      </c>
      <c r="C23" t="s">
        <v>185</v>
      </c>
      <c r="D23">
        <v>8000</v>
      </c>
      <c r="E23">
        <v>3</v>
      </c>
      <c r="F23" s="9">
        <v>1</v>
      </c>
      <c r="G23" s="20">
        <f t="shared" si="0"/>
        <v>24000</v>
      </c>
    </row>
    <row r="24" spans="1:8" x14ac:dyDescent="0.25">
      <c r="A24" t="s">
        <v>173</v>
      </c>
      <c r="B24" s="44">
        <v>46077.740034722221</v>
      </c>
      <c r="C24" t="s">
        <v>185</v>
      </c>
      <c r="D24">
        <v>8000</v>
      </c>
      <c r="E24">
        <v>1</v>
      </c>
      <c r="F24" s="9">
        <v>1</v>
      </c>
      <c r="G24" s="20">
        <f t="shared" si="0"/>
        <v>8000</v>
      </c>
    </row>
    <row r="25" spans="1:8" x14ac:dyDescent="0.25">
      <c r="A25" t="s">
        <v>173</v>
      </c>
      <c r="B25" s="44">
        <v>46077.759606481479</v>
      </c>
      <c r="C25" t="s">
        <v>185</v>
      </c>
      <c r="D25">
        <v>8000</v>
      </c>
      <c r="E25">
        <v>1</v>
      </c>
      <c r="F25" s="9">
        <v>1</v>
      </c>
      <c r="G25" s="20">
        <f t="shared" si="0"/>
        <v>8000</v>
      </c>
    </row>
    <row r="26" spans="1:8" x14ac:dyDescent="0.25">
      <c r="A26" t="s">
        <v>173</v>
      </c>
      <c r="B26" s="44">
        <v>46077.774178240739</v>
      </c>
      <c r="C26" t="s">
        <v>185</v>
      </c>
      <c r="D26">
        <v>8000</v>
      </c>
      <c r="E26">
        <v>2</v>
      </c>
      <c r="F26" s="9">
        <v>1</v>
      </c>
      <c r="G26" s="20">
        <f t="shared" si="0"/>
        <v>16000</v>
      </c>
    </row>
    <row r="27" spans="1:8" x14ac:dyDescent="0.25">
      <c r="A27" t="s">
        <v>173</v>
      </c>
      <c r="B27" s="44">
        <v>46077.775185185186</v>
      </c>
      <c r="C27" t="s">
        <v>185</v>
      </c>
      <c r="D27">
        <v>8000</v>
      </c>
      <c r="E27">
        <v>1</v>
      </c>
      <c r="F27" s="9">
        <v>1</v>
      </c>
      <c r="G27" s="20">
        <f t="shared" si="0"/>
        <v>8000</v>
      </c>
    </row>
    <row r="28" spans="1:8" x14ac:dyDescent="0.25">
      <c r="A28" t="s">
        <v>173</v>
      </c>
      <c r="B28" s="44">
        <v>46077.77952546296</v>
      </c>
      <c r="C28" t="s">
        <v>187</v>
      </c>
      <c r="D28">
        <v>4500</v>
      </c>
      <c r="E28">
        <v>2</v>
      </c>
      <c r="F28" s="9">
        <v>1</v>
      </c>
      <c r="G28" s="20">
        <f t="shared" si="0"/>
        <v>9000</v>
      </c>
    </row>
    <row r="29" spans="1:8" x14ac:dyDescent="0.25">
      <c r="A29" t="s">
        <v>173</v>
      </c>
      <c r="C29" t="s">
        <v>185</v>
      </c>
      <c r="D29">
        <v>8000</v>
      </c>
      <c r="E29">
        <v>1</v>
      </c>
      <c r="F29" s="9">
        <v>1</v>
      </c>
      <c r="G29" s="20">
        <f t="shared" si="0"/>
        <v>8000</v>
      </c>
    </row>
    <row r="30" spans="1:8" x14ac:dyDescent="0.25">
      <c r="A30" t="s">
        <v>173</v>
      </c>
      <c r="B30" s="44">
        <v>46077.797152777777</v>
      </c>
      <c r="C30" t="s">
        <v>185</v>
      </c>
      <c r="D30">
        <v>8000</v>
      </c>
      <c r="E30">
        <v>1</v>
      </c>
      <c r="F30" s="9">
        <v>1</v>
      </c>
      <c r="G30" s="20">
        <f t="shared" si="0"/>
        <v>8000</v>
      </c>
    </row>
    <row r="31" spans="1:8" x14ac:dyDescent="0.25">
      <c r="A31" t="s">
        <v>173</v>
      </c>
      <c r="B31" s="44">
        <v>46077.836875000001</v>
      </c>
      <c r="C31" t="s">
        <v>185</v>
      </c>
      <c r="D31">
        <v>8000</v>
      </c>
      <c r="E31">
        <v>1</v>
      </c>
      <c r="F31" s="9">
        <v>1</v>
      </c>
      <c r="G31" s="20">
        <f t="shared" si="0"/>
        <v>8000</v>
      </c>
      <c r="H31" s="9">
        <f>+SUM(G22:G31)</f>
        <v>137000</v>
      </c>
    </row>
    <row r="32" spans="1:8" x14ac:dyDescent="0.25">
      <c r="A32" t="s">
        <v>173</v>
      </c>
      <c r="B32" s="44">
        <v>46077.847013888888</v>
      </c>
      <c r="C32" t="s">
        <v>116</v>
      </c>
      <c r="D32">
        <v>3000</v>
      </c>
      <c r="E32">
        <v>1</v>
      </c>
      <c r="F32" s="9">
        <v>1</v>
      </c>
      <c r="G32" s="11">
        <f t="shared" si="0"/>
        <v>3000</v>
      </c>
    </row>
    <row r="33" spans="1:8" x14ac:dyDescent="0.25">
      <c r="A33" t="s">
        <v>173</v>
      </c>
      <c r="C33" t="s">
        <v>185</v>
      </c>
      <c r="D33">
        <v>8000</v>
      </c>
      <c r="E33">
        <v>3</v>
      </c>
      <c r="F33" s="9">
        <v>1</v>
      </c>
      <c r="G33" s="11">
        <f t="shared" si="0"/>
        <v>24000</v>
      </c>
    </row>
    <row r="34" spans="1:8" x14ac:dyDescent="0.25">
      <c r="A34" t="s">
        <v>173</v>
      </c>
      <c r="C34" t="s">
        <v>117</v>
      </c>
      <c r="D34">
        <v>3000</v>
      </c>
      <c r="E34">
        <v>1</v>
      </c>
      <c r="F34" s="9">
        <v>1</v>
      </c>
      <c r="G34" s="11">
        <f t="shared" si="0"/>
        <v>3000</v>
      </c>
    </row>
    <row r="35" spans="1:8" x14ac:dyDescent="0.25">
      <c r="A35" t="s">
        <v>173</v>
      </c>
      <c r="B35" s="44">
        <v>46077.849872685183</v>
      </c>
      <c r="C35" t="s">
        <v>185</v>
      </c>
      <c r="D35">
        <v>8000</v>
      </c>
      <c r="E35">
        <v>4</v>
      </c>
      <c r="F35" s="9">
        <v>1</v>
      </c>
      <c r="G35" s="11">
        <f t="shared" si="0"/>
        <v>32000</v>
      </c>
    </row>
    <row r="36" spans="1:8" x14ac:dyDescent="0.25">
      <c r="A36" t="s">
        <v>173</v>
      </c>
      <c r="C36" t="s">
        <v>186</v>
      </c>
      <c r="D36">
        <v>3000</v>
      </c>
      <c r="E36">
        <v>2</v>
      </c>
      <c r="F36" s="9">
        <v>1</v>
      </c>
      <c r="G36" s="11">
        <f t="shared" si="0"/>
        <v>6000</v>
      </c>
    </row>
    <row r="37" spans="1:8" x14ac:dyDescent="0.25">
      <c r="A37" t="s">
        <v>173</v>
      </c>
      <c r="B37" s="44">
        <v>46077.867604166669</v>
      </c>
      <c r="C37" t="s">
        <v>185</v>
      </c>
      <c r="D37">
        <v>8000</v>
      </c>
      <c r="E37">
        <v>1</v>
      </c>
      <c r="F37" s="9">
        <v>1</v>
      </c>
      <c r="G37" s="11">
        <f t="shared" si="0"/>
        <v>8000</v>
      </c>
      <c r="H37" s="9">
        <f>+SUM(G22:G37)</f>
        <v>213000</v>
      </c>
    </row>
    <row r="38" spans="1:8" x14ac:dyDescent="0.25">
      <c r="A38" t="s">
        <v>174</v>
      </c>
      <c r="B38" s="44">
        <v>46078.578043981484</v>
      </c>
      <c r="C38" t="s">
        <v>185</v>
      </c>
      <c r="D38">
        <v>8000</v>
      </c>
      <c r="E38">
        <v>1</v>
      </c>
      <c r="F38" s="9">
        <v>1</v>
      </c>
      <c r="G38" s="3">
        <f t="shared" si="0"/>
        <v>8000</v>
      </c>
    </row>
    <row r="39" spans="1:8" x14ac:dyDescent="0.25">
      <c r="A39" t="s">
        <v>174</v>
      </c>
      <c r="B39" s="44">
        <v>46078.579907407409</v>
      </c>
      <c r="C39" t="s">
        <v>185</v>
      </c>
      <c r="D39">
        <v>8000</v>
      </c>
      <c r="E39">
        <v>1</v>
      </c>
      <c r="F39" s="9">
        <v>1</v>
      </c>
      <c r="G39" s="3">
        <f t="shared" si="0"/>
        <v>8000</v>
      </c>
    </row>
    <row r="40" spans="1:8" x14ac:dyDescent="0.25">
      <c r="A40" t="s">
        <v>174</v>
      </c>
      <c r="B40" s="44">
        <v>46078.58693287037</v>
      </c>
      <c r="C40" t="s">
        <v>185</v>
      </c>
      <c r="D40">
        <v>8000</v>
      </c>
      <c r="E40">
        <v>1</v>
      </c>
      <c r="F40" s="9">
        <v>1</v>
      </c>
      <c r="G40" s="3">
        <f t="shared" si="0"/>
        <v>8000</v>
      </c>
    </row>
    <row r="41" spans="1:8" x14ac:dyDescent="0.25">
      <c r="A41" t="s">
        <v>174</v>
      </c>
      <c r="B41" s="44">
        <v>46078.59138888889</v>
      </c>
      <c r="C41" t="s">
        <v>188</v>
      </c>
      <c r="D41">
        <v>35000</v>
      </c>
      <c r="E41">
        <v>1</v>
      </c>
      <c r="F41" s="9">
        <v>1</v>
      </c>
      <c r="G41" s="3">
        <f t="shared" si="0"/>
        <v>35000</v>
      </c>
    </row>
    <row r="42" spans="1:8" x14ac:dyDescent="0.25">
      <c r="A42" t="s">
        <v>174</v>
      </c>
      <c r="B42" s="44">
        <v>46078.600636574076</v>
      </c>
      <c r="C42" t="s">
        <v>188</v>
      </c>
      <c r="D42">
        <v>35000</v>
      </c>
      <c r="E42">
        <v>1</v>
      </c>
      <c r="F42" s="9">
        <v>1</v>
      </c>
      <c r="G42" s="3">
        <f t="shared" si="0"/>
        <v>35000</v>
      </c>
    </row>
    <row r="43" spans="1:8" x14ac:dyDescent="0.25">
      <c r="A43" t="s">
        <v>174</v>
      </c>
      <c r="B43" s="44">
        <v>46078.601261574076</v>
      </c>
      <c r="C43" t="s">
        <v>185</v>
      </c>
      <c r="D43">
        <v>8000</v>
      </c>
      <c r="E43">
        <v>2</v>
      </c>
      <c r="F43" s="9">
        <v>1</v>
      </c>
      <c r="G43" s="3">
        <f t="shared" si="0"/>
        <v>16000</v>
      </c>
    </row>
    <row r="44" spans="1:8" x14ac:dyDescent="0.25">
      <c r="A44" t="s">
        <v>174</v>
      </c>
      <c r="B44" s="44">
        <v>46078.694513888891</v>
      </c>
      <c r="C44" t="s">
        <v>185</v>
      </c>
      <c r="D44">
        <v>8000</v>
      </c>
      <c r="E44">
        <v>1</v>
      </c>
      <c r="F44" s="9">
        <v>1</v>
      </c>
      <c r="G44" s="3">
        <f t="shared" si="0"/>
        <v>8000</v>
      </c>
    </row>
    <row r="45" spans="1:8" x14ac:dyDescent="0.25">
      <c r="A45" t="s">
        <v>174</v>
      </c>
      <c r="B45" s="44">
        <v>46078.762141203704</v>
      </c>
      <c r="C45" t="s">
        <v>185</v>
      </c>
      <c r="D45">
        <v>8000</v>
      </c>
      <c r="E45">
        <v>1</v>
      </c>
      <c r="F45" s="9">
        <v>1</v>
      </c>
      <c r="G45" s="3">
        <f t="shared" si="0"/>
        <v>8000</v>
      </c>
    </row>
    <row r="46" spans="1:8" x14ac:dyDescent="0.25">
      <c r="A46" t="s">
        <v>174</v>
      </c>
      <c r="B46" s="44">
        <v>46078.764027777775</v>
      </c>
      <c r="C46" t="s">
        <v>185</v>
      </c>
      <c r="D46">
        <v>8000</v>
      </c>
      <c r="E46">
        <v>1</v>
      </c>
      <c r="F46" s="9">
        <v>1</v>
      </c>
      <c r="G46" s="3">
        <f t="shared" si="0"/>
        <v>8000</v>
      </c>
    </row>
    <row r="47" spans="1:8" x14ac:dyDescent="0.25">
      <c r="A47" t="s">
        <v>174</v>
      </c>
      <c r="B47" s="44">
        <v>46078.768379629626</v>
      </c>
      <c r="C47" t="s">
        <v>185</v>
      </c>
      <c r="D47">
        <v>8000</v>
      </c>
      <c r="E47">
        <v>1</v>
      </c>
      <c r="F47" s="9">
        <v>1</v>
      </c>
      <c r="G47" s="3">
        <f t="shared" si="0"/>
        <v>8000</v>
      </c>
    </row>
    <row r="48" spans="1:8" x14ac:dyDescent="0.25">
      <c r="A48" t="s">
        <v>174</v>
      </c>
      <c r="B48" s="44">
        <v>46078.77375</v>
      </c>
      <c r="C48" t="s">
        <v>185</v>
      </c>
      <c r="D48">
        <v>8000</v>
      </c>
      <c r="E48">
        <v>5</v>
      </c>
      <c r="F48" s="9">
        <v>1</v>
      </c>
      <c r="G48" s="3">
        <f t="shared" si="0"/>
        <v>40000</v>
      </c>
    </row>
    <row r="49" spans="1:7" x14ac:dyDescent="0.25">
      <c r="A49" t="s">
        <v>174</v>
      </c>
      <c r="B49" s="44">
        <v>46078.774247685185</v>
      </c>
      <c r="C49" t="s">
        <v>186</v>
      </c>
      <c r="D49">
        <v>3000</v>
      </c>
      <c r="E49">
        <v>2</v>
      </c>
      <c r="F49" s="9">
        <v>1</v>
      </c>
      <c r="G49" s="3">
        <f t="shared" si="0"/>
        <v>6000</v>
      </c>
    </row>
    <row r="50" spans="1:7" x14ac:dyDescent="0.25">
      <c r="A50" t="s">
        <v>174</v>
      </c>
      <c r="C50" t="s">
        <v>117</v>
      </c>
      <c r="D50">
        <v>3000</v>
      </c>
      <c r="E50">
        <v>1</v>
      </c>
      <c r="F50" s="9">
        <v>1</v>
      </c>
      <c r="G50" s="3">
        <f t="shared" si="0"/>
        <v>3000</v>
      </c>
    </row>
    <row r="51" spans="1:7" x14ac:dyDescent="0.25">
      <c r="A51" t="s">
        <v>174</v>
      </c>
      <c r="B51" s="44">
        <v>46078.777766203704</v>
      </c>
      <c r="C51" t="s">
        <v>185</v>
      </c>
      <c r="D51">
        <v>8000</v>
      </c>
      <c r="E51">
        <v>3</v>
      </c>
      <c r="F51" s="9">
        <v>1</v>
      </c>
      <c r="G51" s="3">
        <f t="shared" si="0"/>
        <v>24000</v>
      </c>
    </row>
    <row r="52" spans="1:7" x14ac:dyDescent="0.25">
      <c r="A52" t="s">
        <v>174</v>
      </c>
      <c r="B52" s="44">
        <v>46078.800497685188</v>
      </c>
      <c r="C52" t="s">
        <v>185</v>
      </c>
      <c r="D52">
        <v>8000</v>
      </c>
      <c r="E52">
        <v>1</v>
      </c>
      <c r="F52" s="9">
        <v>1</v>
      </c>
      <c r="G52" s="3">
        <f t="shared" si="0"/>
        <v>8000</v>
      </c>
    </row>
    <row r="53" spans="1:7" x14ac:dyDescent="0.25">
      <c r="A53" t="s">
        <v>174</v>
      </c>
      <c r="C53" t="s">
        <v>186</v>
      </c>
      <c r="D53">
        <v>3000</v>
      </c>
      <c r="E53">
        <v>1</v>
      </c>
      <c r="F53" s="9">
        <v>1</v>
      </c>
      <c r="G53" s="3">
        <f t="shared" si="0"/>
        <v>3000</v>
      </c>
    </row>
    <row r="54" spans="1:7" x14ac:dyDescent="0.25">
      <c r="A54" t="s">
        <v>174</v>
      </c>
      <c r="B54" s="44">
        <v>46078.81894675926</v>
      </c>
      <c r="C54" t="s">
        <v>188</v>
      </c>
      <c r="D54">
        <v>35000</v>
      </c>
      <c r="E54">
        <v>1</v>
      </c>
      <c r="F54" s="9">
        <v>1</v>
      </c>
      <c r="G54" s="3">
        <f t="shared" si="0"/>
        <v>35000</v>
      </c>
    </row>
    <row r="55" spans="1:7" x14ac:dyDescent="0.25">
      <c r="A55" t="s">
        <v>174</v>
      </c>
      <c r="C55" t="s">
        <v>117</v>
      </c>
      <c r="D55">
        <v>3000</v>
      </c>
      <c r="E55">
        <v>1</v>
      </c>
      <c r="F55" s="9">
        <v>1</v>
      </c>
      <c r="G55" s="3">
        <f t="shared" si="0"/>
        <v>3000</v>
      </c>
    </row>
    <row r="56" spans="1:7" x14ac:dyDescent="0.25">
      <c r="A56" t="s">
        <v>174</v>
      </c>
      <c r="B56" s="44">
        <v>46078.819791666669</v>
      </c>
      <c r="C56" t="s">
        <v>185</v>
      </c>
      <c r="D56">
        <v>8000</v>
      </c>
      <c r="E56">
        <v>2</v>
      </c>
      <c r="F56" s="9">
        <v>1</v>
      </c>
      <c r="G56" s="3">
        <f t="shared" si="0"/>
        <v>16000</v>
      </c>
    </row>
    <row r="57" spans="1:7" x14ac:dyDescent="0.25">
      <c r="A57" t="s">
        <v>174</v>
      </c>
      <c r="B57" s="44">
        <v>46078.83253472222</v>
      </c>
      <c r="C57" t="s">
        <v>185</v>
      </c>
      <c r="D57">
        <v>8000</v>
      </c>
      <c r="E57">
        <v>2</v>
      </c>
      <c r="F57" s="9">
        <v>1</v>
      </c>
      <c r="G57" s="3">
        <f t="shared" si="0"/>
        <v>16000</v>
      </c>
    </row>
    <row r="58" spans="1:7" x14ac:dyDescent="0.25">
      <c r="A58" t="s">
        <v>174</v>
      </c>
      <c r="B58" s="44">
        <v>46078.838090277779</v>
      </c>
      <c r="C58" t="s">
        <v>185</v>
      </c>
      <c r="D58">
        <v>8000</v>
      </c>
      <c r="E58">
        <v>4</v>
      </c>
      <c r="F58" s="9">
        <v>1</v>
      </c>
      <c r="G58" s="3">
        <f t="shared" si="0"/>
        <v>32000</v>
      </c>
    </row>
    <row r="59" spans="1:7" x14ac:dyDescent="0.25">
      <c r="A59" t="s">
        <v>174</v>
      </c>
      <c r="B59" s="44">
        <v>46078.848043981481</v>
      </c>
      <c r="C59" t="s">
        <v>185</v>
      </c>
      <c r="D59">
        <v>8000</v>
      </c>
      <c r="E59">
        <v>2</v>
      </c>
      <c r="F59" s="9">
        <v>1</v>
      </c>
      <c r="G59" s="3">
        <f t="shared" si="0"/>
        <v>16000</v>
      </c>
    </row>
    <row r="60" spans="1:7" x14ac:dyDescent="0.25">
      <c r="A60" t="s">
        <v>175</v>
      </c>
      <c r="B60" s="44">
        <v>46079.557025462964</v>
      </c>
      <c r="C60" t="s">
        <v>187</v>
      </c>
      <c r="D60">
        <v>4500</v>
      </c>
      <c r="E60">
        <v>2</v>
      </c>
      <c r="F60" s="9">
        <v>1</v>
      </c>
      <c r="G60" s="3">
        <f t="shared" si="0"/>
        <v>9000</v>
      </c>
    </row>
    <row r="61" spans="1:7" x14ac:dyDescent="0.25">
      <c r="A61" t="s">
        <v>175</v>
      </c>
      <c r="B61" s="44">
        <v>46079.560671296298</v>
      </c>
      <c r="C61" t="s">
        <v>185</v>
      </c>
      <c r="D61">
        <v>8000</v>
      </c>
      <c r="E61">
        <v>2</v>
      </c>
      <c r="F61" s="9">
        <v>1</v>
      </c>
      <c r="G61" s="3">
        <f t="shared" si="0"/>
        <v>16000</v>
      </c>
    </row>
    <row r="62" spans="1:7" x14ac:dyDescent="0.25">
      <c r="A62" t="s">
        <v>175</v>
      </c>
      <c r="B62" s="44">
        <v>46079.752893518518</v>
      </c>
      <c r="C62" t="s">
        <v>185</v>
      </c>
      <c r="D62">
        <v>8000</v>
      </c>
      <c r="E62">
        <v>1</v>
      </c>
      <c r="F62" s="9">
        <v>1</v>
      </c>
      <c r="G62" s="3">
        <f t="shared" si="0"/>
        <v>8000</v>
      </c>
    </row>
    <row r="63" spans="1:7" x14ac:dyDescent="0.25">
      <c r="A63" t="s">
        <v>175</v>
      </c>
      <c r="B63" s="44">
        <v>46079.764050925929</v>
      </c>
      <c r="C63" t="s">
        <v>185</v>
      </c>
      <c r="D63">
        <v>8000</v>
      </c>
      <c r="E63">
        <v>1</v>
      </c>
      <c r="F63" s="9">
        <v>1</v>
      </c>
      <c r="G63" s="3">
        <f t="shared" si="0"/>
        <v>8000</v>
      </c>
    </row>
    <row r="64" spans="1:7" x14ac:dyDescent="0.25">
      <c r="A64" t="s">
        <v>175</v>
      </c>
      <c r="B64" s="44">
        <v>46079.794652777775</v>
      </c>
      <c r="C64" t="s">
        <v>185</v>
      </c>
      <c r="D64">
        <v>8000</v>
      </c>
      <c r="E64">
        <v>2</v>
      </c>
      <c r="F64" s="9">
        <v>1</v>
      </c>
      <c r="G64" s="3">
        <f t="shared" si="0"/>
        <v>16000</v>
      </c>
    </row>
    <row r="65" spans="1:7" x14ac:dyDescent="0.25">
      <c r="A65" t="s">
        <v>175</v>
      </c>
      <c r="B65" s="44">
        <v>46079.81355324074</v>
      </c>
      <c r="C65" t="s">
        <v>185</v>
      </c>
      <c r="D65">
        <v>8000</v>
      </c>
      <c r="E65">
        <v>1</v>
      </c>
      <c r="F65" s="9">
        <v>1</v>
      </c>
      <c r="G65" s="3">
        <f t="shared" si="0"/>
        <v>8000</v>
      </c>
    </row>
    <row r="66" spans="1:7" x14ac:dyDescent="0.25">
      <c r="A66" t="s">
        <v>175</v>
      </c>
      <c r="B66" s="44">
        <v>46079.814722222225</v>
      </c>
      <c r="C66" t="s">
        <v>185</v>
      </c>
      <c r="D66">
        <v>8000</v>
      </c>
      <c r="E66">
        <v>1</v>
      </c>
      <c r="F66" s="9">
        <v>1</v>
      </c>
      <c r="G66" s="3">
        <f t="shared" si="0"/>
        <v>8000</v>
      </c>
    </row>
    <row r="67" spans="1:7" x14ac:dyDescent="0.25">
      <c r="A67" t="s">
        <v>175</v>
      </c>
      <c r="B67" s="44">
        <v>46079.84375</v>
      </c>
      <c r="C67" t="s">
        <v>185</v>
      </c>
      <c r="D67">
        <v>8000</v>
      </c>
      <c r="E67">
        <v>1</v>
      </c>
      <c r="F67" s="9">
        <v>1</v>
      </c>
      <c r="G67" s="3">
        <f t="shared" si="0"/>
        <v>8000</v>
      </c>
    </row>
    <row r="68" spans="1:7" x14ac:dyDescent="0.25">
      <c r="A68" t="s">
        <v>175</v>
      </c>
      <c r="C68" t="s">
        <v>117</v>
      </c>
      <c r="D68">
        <v>3000</v>
      </c>
      <c r="E68">
        <v>1</v>
      </c>
      <c r="F68" s="9">
        <v>1</v>
      </c>
      <c r="G68" s="3">
        <f t="shared" si="0"/>
        <v>3000</v>
      </c>
    </row>
    <row r="69" spans="1:7" x14ac:dyDescent="0.25">
      <c r="A69" t="s">
        <v>33</v>
      </c>
      <c r="F69" s="9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651B3BFD-4BC7-48D9-94DF-A7E0AC3AE585}">
  <ds:schemaRefs/>
</ds:datastoreItem>
</file>

<file path=customXml/itemProps2.xml><?xml version="1.0" encoding="utf-8"?>
<ds:datastoreItem xmlns:ds="http://schemas.openxmlformats.org/officeDocument/2006/customXml" ds:itemID="{26BBDD3B-5549-4B7F-A242-39E079346B51}">
  <ds:schemaRefs/>
</ds:datastoreItem>
</file>

<file path=customXml/itemProps3.xml><?xml version="1.0" encoding="utf-8"?>
<ds:datastoreItem xmlns:ds="http://schemas.openxmlformats.org/officeDocument/2006/customXml" ds:itemID="{788789B1-0D01-44D2-92B3-AE3C27D29AF4}">
  <ds:schemaRefs/>
</ds:datastoreItem>
</file>

<file path=customXml/itemProps4.xml><?xml version="1.0" encoding="utf-8"?>
<ds:datastoreItem xmlns:ds="http://schemas.openxmlformats.org/officeDocument/2006/customXml" ds:itemID="{E5F843DC-A6BF-4370-8AAB-198DC9DA39C7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C6966FDC-54C0-4686-84FA-DB32BA161069}">
  <ds:schemaRefs/>
</ds:datastoreItem>
</file>

<file path=customXml/itemProps6.xml><?xml version="1.0" encoding="utf-8"?>
<ds:datastoreItem xmlns:ds="http://schemas.openxmlformats.org/officeDocument/2006/customXml" ds:itemID="{3BFDF280-F210-4B3E-AFDE-1E932821F2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chorizo</vt:lpstr>
      <vt:lpstr>choriboni</vt:lpstr>
      <vt:lpstr>choriboni_II</vt:lpstr>
      <vt:lpstr>costeo</vt:lpstr>
      <vt:lpstr>maquina</vt:lpstr>
      <vt:lpstr>Arqueo de Caja</vt:lpstr>
      <vt:lpstr>Extracto</vt:lpstr>
      <vt:lpstr>Inv-2abr</vt:lpstr>
      <vt:lpstr>Carta</vt:lpstr>
      <vt:lpstr>DevOps</vt:lpstr>
      <vt:lpstr>precio_mp</vt:lpstr>
      <vt:lpstr>MP</vt:lpstr>
      <vt:lpstr>MP2</vt:lpstr>
      <vt:lpstr>TICO</vt:lpstr>
      <vt:lpstr>16mar</vt:lpstr>
      <vt:lpstr>Extracto (2)</vt:lpstr>
      <vt:lpstr>Inf - Extracto</vt:lpstr>
      <vt:lpstr>Prestamos</vt:lpstr>
      <vt:lpstr>Arqueo de Caja (2)</vt:lpstr>
      <vt:lpstr>25 marzo</vt:lpstr>
      <vt:lpstr>Gas</vt:lpstr>
      <vt:lpstr>Registros</vt:lpstr>
      <vt:lpstr>Forecast_dia</vt:lpstr>
      <vt:lpstr>Hoja2</vt:lpstr>
      <vt:lpstr>Clientes</vt:lpstr>
      <vt:lpstr>Empaques</vt:lpstr>
      <vt:lpstr>proveedores</vt:lpstr>
      <vt:lpstr>informe</vt:lpstr>
      <vt:lpstr>Costos</vt:lpstr>
      <vt:lpstr>Inventario</vt:lpstr>
      <vt:lpstr>Reporte</vt:lpstr>
      <vt:lpstr>Rappi</vt:lpstr>
      <vt:lpstr>Hoja3</vt:lpstr>
      <vt:lpstr>7-MARZO</vt:lpstr>
      <vt:lpstr>Informe ventas</vt:lpstr>
      <vt:lpstr>historial de 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cp:lastPrinted>2026-03-18T14:33:01Z</cp:lastPrinted>
  <dcterms:created xsi:type="dcterms:W3CDTF">2015-06-05T18:19:34Z</dcterms:created>
  <dcterms:modified xsi:type="dcterms:W3CDTF">2026-04-12T00:57:50Z</dcterms:modified>
</cp:coreProperties>
</file>