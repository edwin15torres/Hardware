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47B68B31-985C-4E47-903E-9BA898CDA918}" xr6:coauthVersionLast="47" xr6:coauthVersionMax="47" xr10:uidLastSave="{00000000-0000-0000-0000-000000000000}"/>
  <bookViews>
    <workbookView xWindow="20370" yWindow="-2070" windowWidth="21840" windowHeight="13140" tabRatio="738" firstSheet="1" activeTab="1" xr2:uid="{00000000-000D-0000-FFFF-FFFF00000000}"/>
  </bookViews>
  <sheets>
    <sheet name="chorizo" sheetId="3" state="hidden" r:id="rId1"/>
    <sheet name="choriboni" sheetId="4" r:id="rId2"/>
    <sheet name="16mar" sheetId="34" state="hidden" r:id="rId3"/>
    <sheet name="maquina" sheetId="23" r:id="rId4"/>
    <sheet name="costeo" sheetId="41" state="hidden" r:id="rId5"/>
    <sheet name="Arqueo de Caja" sheetId="9" r:id="rId6"/>
    <sheet name="Extracto" sheetId="10" r:id="rId7"/>
    <sheet name="21-mar" sheetId="39" r:id="rId8"/>
    <sheet name="25 marzo" sheetId="40" r:id="rId9"/>
    <sheet name="Gas" sheetId="32" state="hidden" r:id="rId10"/>
    <sheet name="Registros" sheetId="31" state="hidden" r:id="rId11"/>
    <sheet name="DevOps" sheetId="21" r:id="rId12"/>
    <sheet name="MP" sheetId="37" r:id="rId13"/>
    <sheet name="MP2" sheetId="38" r:id="rId14"/>
    <sheet name="Hoja2" sheetId="36" state="hidden" r:id="rId15"/>
    <sheet name="Clientes" sheetId="24" state="hidden" r:id="rId16"/>
    <sheet name="Empaques" sheetId="25" r:id="rId17"/>
    <sheet name="proveedores" sheetId="7" r:id="rId18"/>
    <sheet name="informe" sheetId="6" state="hidden" r:id="rId19"/>
    <sheet name="Costos" sheetId="8" state="hidden" r:id="rId20"/>
    <sheet name="Inventario" sheetId="27" state="hidden" r:id="rId21"/>
    <sheet name="Reporte" sheetId="11" r:id="rId22"/>
    <sheet name="Rappi" sheetId="26" r:id="rId23"/>
    <sheet name="7-MARZO" sheetId="22" state="hidden" r:id="rId24"/>
    <sheet name="Prestamos" sheetId="12" r:id="rId25"/>
    <sheet name="Informe ventas" sheetId="13" state="hidden" r:id="rId26"/>
    <sheet name="historial de venta" sheetId="14" state="hidden" r:id="rId27"/>
  </sheets>
  <definedNames>
    <definedName name="_xlnm._FilterDatabase" localSheetId="1" hidden="1">choriboni!$C$23:$I$87</definedName>
    <definedName name="_xlnm._FilterDatabase" localSheetId="11" hidden="1">DevOps!$B$2:$F$42</definedName>
    <definedName name="_xlnm._FilterDatabase" localSheetId="6" hidden="1">Extracto!$A$5:$J$123</definedName>
    <definedName name="_xlnm._FilterDatabase" localSheetId="3" hidden="1">maquina!$B$6:$I$15</definedName>
    <definedName name="_xlnm._FilterDatabase" localSheetId="13" hidden="1">'MP2'!$A$3:$AK$52</definedName>
  </definedNames>
  <calcPr calcId="191029"/>
  <pivotCaches>
    <pivotCache cacheId="0" r:id="rId28"/>
    <pivotCache cacheId="1" r:id="rId29"/>
    <pivotCache cacheId="2" r:id="rId30"/>
    <pivotCache cacheId="3" r:id="rId31"/>
    <pivotCache cacheId="4" r:id="rId32"/>
    <pivotCache cacheId="5" r:id="rId3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23" l="1"/>
  <c r="B19" i="23" s="1"/>
  <c r="E18" i="23"/>
  <c r="B18" i="23" s="1"/>
  <c r="F19" i="23"/>
  <c r="F18" i="23"/>
  <c r="E22" i="23"/>
  <c r="B22" i="23"/>
  <c r="E21" i="23"/>
  <c r="B21" i="23"/>
  <c r="B20" i="23"/>
  <c r="B10" i="41"/>
  <c r="B11" i="41" s="1"/>
  <c r="B8" i="41"/>
  <c r="B7" i="41"/>
  <c r="B4" i="41"/>
  <c r="E17" i="23"/>
  <c r="B17" i="23" s="1"/>
  <c r="E16" i="23"/>
  <c r="B16" i="23" s="1"/>
  <c r="B7" i="23"/>
  <c r="D71" i="4"/>
  <c r="D64" i="4"/>
  <c r="D21" i="4"/>
  <c r="L15" i="4"/>
  <c r="G15" i="4"/>
  <c r="L64" i="4"/>
  <c r="D17" i="4"/>
  <c r="H4" i="4"/>
  <c r="I15" i="37"/>
  <c r="F15" i="37"/>
  <c r="J15" i="37" s="1"/>
  <c r="B8" i="23"/>
  <c r="B9" i="23"/>
  <c r="B12" i="23"/>
  <c r="K15" i="37" l="1"/>
  <c r="AM41" i="9" l="1"/>
  <c r="BJ32" i="9"/>
  <c r="B113" i="10"/>
  <c r="B118" i="10"/>
  <c r="B122" i="10"/>
  <c r="B119" i="10"/>
  <c r="B121" i="10"/>
  <c r="B120" i="10"/>
  <c r="BG34" i="9"/>
  <c r="BI34" i="9"/>
  <c r="BG32" i="9"/>
  <c r="BE2" i="9"/>
  <c r="BE1" i="9" s="1"/>
  <c r="BE17" i="9" s="1"/>
  <c r="BE39" i="9"/>
  <c r="BE34" i="9"/>
  <c r="BE32" i="9"/>
  <c r="BE36" i="9"/>
  <c r="BE23" i="9"/>
  <c r="BE13" i="9"/>
  <c r="BE12" i="9"/>
  <c r="BE11" i="9"/>
  <c r="BE10" i="9"/>
  <c r="BE9" i="9"/>
  <c r="BE8" i="9"/>
  <c r="BE7" i="9"/>
  <c r="BE6" i="9"/>
  <c r="BE5" i="9"/>
  <c r="BE4" i="9"/>
  <c r="BE3" i="9"/>
  <c r="BE14" i="9" s="1"/>
  <c r="C28" i="12"/>
  <c r="I23" i="37"/>
  <c r="I24" i="37" s="1"/>
  <c r="I21" i="37"/>
  <c r="F23" i="37"/>
  <c r="J23" i="37" s="1"/>
  <c r="BI36" i="9"/>
  <c r="BI13" i="9"/>
  <c r="BI12" i="9"/>
  <c r="BI11" i="9"/>
  <c r="BI10" i="9"/>
  <c r="BI9" i="9"/>
  <c r="BI8" i="9"/>
  <c r="BI7" i="9"/>
  <c r="BI6" i="9"/>
  <c r="BI5" i="9"/>
  <c r="BI4" i="9"/>
  <c r="BI3" i="9"/>
  <c r="BG20" i="9"/>
  <c r="BG36" i="9" s="1"/>
  <c r="B117" i="10"/>
  <c r="B116" i="10"/>
  <c r="B115" i="10"/>
  <c r="B114" i="10"/>
  <c r="B112" i="10"/>
  <c r="BE25" i="9" l="1"/>
  <c r="K23" i="37"/>
  <c r="BI14" i="9"/>
  <c r="C15" i="39"/>
  <c r="C9" i="39"/>
  <c r="C8" i="39"/>
  <c r="C1" i="39" s="1"/>
  <c r="C4" i="39" s="1"/>
  <c r="BG19" i="9" s="1"/>
  <c r="D39" i="38" l="1"/>
  <c r="BG13" i="9"/>
  <c r="BG12" i="9"/>
  <c r="BG11" i="9"/>
  <c r="BG10" i="9"/>
  <c r="BG9" i="9"/>
  <c r="BG8" i="9"/>
  <c r="BG7" i="9"/>
  <c r="BG6" i="9"/>
  <c r="BG5" i="9"/>
  <c r="BG4" i="9"/>
  <c r="BG3" i="9"/>
  <c r="BG14" i="9" l="1"/>
  <c r="BI18" i="9" s="1"/>
  <c r="BI23" i="9" s="1"/>
  <c r="BI25" i="9" s="1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E6" i="23"/>
  <c r="E5" i="23" s="1"/>
  <c r="J17" i="37"/>
  <c r="I17" i="37"/>
  <c r="D10" i="23"/>
  <c r="D11" i="23"/>
  <c r="B11" i="23" s="1"/>
  <c r="D13" i="23"/>
  <c r="B13" i="23" s="1"/>
  <c r="D14" i="23"/>
  <c r="B14" i="23" s="1"/>
  <c r="P6" i="37"/>
  <c r="Q6" i="37"/>
  <c r="V9" i="37"/>
  <c r="V10" i="37"/>
  <c r="V8" i="37"/>
  <c r="V7" i="37"/>
  <c r="BA39" i="9"/>
  <c r="BC39" i="9" s="1"/>
  <c r="BG39" i="9" s="1"/>
  <c r="BI39" i="9" s="1"/>
  <c r="BC36" i="9"/>
  <c r="BC13" i="9"/>
  <c r="BC12" i="9"/>
  <c r="BC11" i="9"/>
  <c r="BC10" i="9"/>
  <c r="BC9" i="9"/>
  <c r="BC8" i="9"/>
  <c r="BC7" i="9"/>
  <c r="BC6" i="9"/>
  <c r="BC5" i="9"/>
  <c r="BC4" i="9"/>
  <c r="BC3" i="9"/>
  <c r="BA36" i="9"/>
  <c r="BA13" i="9"/>
  <c r="BA12" i="9"/>
  <c r="BA11" i="9"/>
  <c r="BA10" i="9"/>
  <c r="BA9" i="9"/>
  <c r="BA8" i="9"/>
  <c r="BA7" i="9"/>
  <c r="BA6" i="9"/>
  <c r="BA5" i="9"/>
  <c r="BA4" i="9"/>
  <c r="BA3" i="9"/>
  <c r="AY36" i="9"/>
  <c r="B94" i="10"/>
  <c r="AY31" i="9"/>
  <c r="B111" i="10"/>
  <c r="AY21" i="9"/>
  <c r="B110" i="10"/>
  <c r="B109" i="10"/>
  <c r="AY13" i="9"/>
  <c r="AY12" i="9"/>
  <c r="AY11" i="9"/>
  <c r="AY10" i="9"/>
  <c r="AY9" i="9"/>
  <c r="AY8" i="9"/>
  <c r="AY7" i="9"/>
  <c r="AY6" i="9"/>
  <c r="AY5" i="9"/>
  <c r="AY4" i="9"/>
  <c r="AY3" i="9"/>
  <c r="B108" i="10"/>
  <c r="AW36" i="9"/>
  <c r="D6" i="23" l="1"/>
  <c r="B10" i="23"/>
  <c r="K17" i="37"/>
  <c r="L17" i="37" s="1"/>
  <c r="M17" i="37" s="1"/>
  <c r="N17" i="37" s="1"/>
  <c r="K16" i="37"/>
  <c r="AY14" i="9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C14" i="9"/>
  <c r="BA14" i="9"/>
  <c r="B106" i="10"/>
  <c r="B105" i="10"/>
  <c r="B100" i="10"/>
  <c r="D106" i="10"/>
  <c r="B104" i="10"/>
  <c r="B103" i="10"/>
  <c r="B102" i="10"/>
  <c r="B101" i="10"/>
  <c r="B99" i="10"/>
  <c r="B98" i="10"/>
  <c r="B97" i="10"/>
  <c r="B96" i="10"/>
  <c r="B107" i="10"/>
  <c r="B95" i="10"/>
  <c r="BC18" i="9" l="1"/>
  <c r="BC23" i="9" s="1"/>
  <c r="BC25" i="9" s="1"/>
  <c r="AW21" i="9"/>
  <c r="AW13" i="9"/>
  <c r="AW12" i="9"/>
  <c r="AW11" i="9"/>
  <c r="AW10" i="9"/>
  <c r="AW9" i="9"/>
  <c r="AW8" i="9"/>
  <c r="AW7" i="9"/>
  <c r="AW6" i="9"/>
  <c r="AW5" i="9"/>
  <c r="AW4" i="9"/>
  <c r="AW3" i="9"/>
  <c r="AW14" i="9" l="1"/>
  <c r="AY18" i="9" s="1"/>
  <c r="AY23" i="9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AY25" i="9" l="1"/>
  <c r="BA18" i="9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AU30" i="9"/>
  <c r="BG18" i="9" l="1"/>
  <c r="BA23" i="9"/>
  <c r="BA25" i="9" s="1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3" i="10"/>
  <c r="B92" i="10"/>
  <c r="B91" i="10"/>
  <c r="B90" i="10"/>
  <c r="B89" i="10"/>
  <c r="D88" i="10"/>
  <c r="B88" i="10"/>
  <c r="B87" i="10"/>
  <c r="BG23" i="9" l="1"/>
  <c r="BG25" i="9" s="1"/>
  <c r="BC15" i="9"/>
  <c r="BA16" i="9" s="1"/>
  <c r="S22" i="37"/>
  <c r="S27" i="37" s="1"/>
  <c r="Y9" i="37"/>
  <c r="F6" i="36"/>
  <c r="G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6" i="36" l="1"/>
  <c r="J7" i="36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S14" i="9"/>
  <c r="AS1" i="9"/>
  <c r="AS17" i="9" s="1"/>
  <c r="AQ14" i="9"/>
  <c r="F11" i="34"/>
  <c r="AQ19" i="9" s="1"/>
  <c r="AW1" i="9" l="1"/>
  <c r="AW17" i="9" s="1"/>
  <c r="AY2" i="9"/>
  <c r="D4" i="34"/>
  <c r="D2" i="34" s="1"/>
  <c r="F2" i="34" s="1"/>
  <c r="AY1" i="9" l="1"/>
  <c r="AY17" i="9" s="1"/>
  <c r="BA2" i="9"/>
  <c r="C15" i="32"/>
  <c r="AO21" i="9" s="1"/>
  <c r="D13" i="32"/>
  <c r="AM21" i="9"/>
  <c r="D18" i="25"/>
  <c r="D17" i="25"/>
  <c r="E6" i="32"/>
  <c r="E7" i="32" s="1"/>
  <c r="B4" i="32"/>
  <c r="B5" i="32" s="1"/>
  <c r="A3" i="32"/>
  <c r="BA1" i="9" l="1"/>
  <c r="BA17" i="9" s="1"/>
  <c r="BC2" i="9"/>
  <c r="AM38" i="9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BG2" i="9" l="1"/>
  <c r="BC1" i="9"/>
  <c r="BC17" i="9" s="1"/>
  <c r="AI32" i="9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Y34" i="9" s="1"/>
  <c r="BA34" i="9" s="1"/>
  <c r="BC34" i="9" s="1"/>
  <c r="BI2" i="9" l="1"/>
  <c r="BI1" i="9" s="1"/>
  <c r="BI17" i="9" s="1"/>
  <c r="BG1" i="9"/>
  <c r="BG17" i="9" s="1"/>
  <c r="AO13" i="9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W32" i="9" s="1"/>
  <c r="AY32" i="9" s="1"/>
  <c r="BA32" i="9" s="1"/>
  <c r="BC32" i="9" s="1"/>
  <c r="BI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D5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D78" i="4"/>
  <c r="H6" i="4" s="1"/>
  <c r="W23" i="9" l="1"/>
  <c r="G25" i="9"/>
  <c r="I23" i="9"/>
  <c r="I25" i="9" s="1"/>
  <c r="D9" i="8"/>
  <c r="C14" i="9"/>
  <c r="C25" i="9" s="1"/>
  <c r="D47" i="4"/>
  <c r="D46" i="4"/>
  <c r="D37" i="4"/>
  <c r="D45" i="4"/>
  <c r="H5" i="4" s="1"/>
  <c r="D25" i="4"/>
  <c r="D26" i="4"/>
  <c r="D60" i="4"/>
  <c r="D61" i="4"/>
  <c r="D49" i="4"/>
  <c r="D24" i="4"/>
  <c r="H3" i="4" l="1"/>
  <c r="H7" i="4" s="1"/>
  <c r="W25" i="9"/>
  <c r="Y18" i="9"/>
  <c r="Y23" i="9" s="1"/>
  <c r="Y25" i="9" s="1"/>
  <c r="C1" i="9"/>
  <c r="D32" i="4"/>
  <c r="D19" i="4" l="1"/>
  <c r="D3" i="4"/>
  <c r="D4" i="4"/>
  <c r="D5" i="4" l="1"/>
  <c r="D7" i="4" s="1"/>
  <c r="F1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D9DE7FBE-76E9-476F-AFF5-AC35E79B893F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FF4BAA-DF90-4D70-B6D5-D49C763602F7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 xr:uid="{7852E878-695C-4C5D-971E-A81D8B42EC6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13" authorId="0" shapeId="0" xr:uid="{C5AFF784-F825-4571-AAF4-D4B6B421C4E7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3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3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3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3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00000000-0006-0000-0300-00000C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00000000-0006-0000-0300-00000D00000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G21" authorId="1" shapeId="0" xr:uid="{00000000-0006-0000-0300-00000E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300-000010000000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 xr:uid="{00000000-0006-0000-0300-000012000000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0000000-0006-0000-0300-000015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E32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0300-000018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 xr:uid="{00000000-0006-0000-0300-000019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9" authorId="0" shapeId="0" xr:uid="{00000000-0006-0000-0300-00001A000000}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82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7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 xr:uid="{C6320720-8F84-4A48-91D5-1D7949E1F59E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F16" authorId="0" shapeId="0" xr:uid="{00000000-0006-0000-0A00-000002000000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F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<sst xmlns="http://schemas.openxmlformats.org/spreadsheetml/2006/main" count="1500" uniqueCount="656">
  <si>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</si>
  <si>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</si>
  <si>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</si>
  <si>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</si>
  <si>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</si>
  <si>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</si>
  <si>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</si>
  <si>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</si>
  <si>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</si>
  <si>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</si>
  <si>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</si>
  <si>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</si>
  <si>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</si>
  <si>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</si>
  <si>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</si>
  <si>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</si>
  <si>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</si>
  <si>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</si>
  <si>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</si>
  <si>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</si>
  <si>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</si>
  <si>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</si>
  <si>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</si>
  <si>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</si>
  <si>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</si>
  <si>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</si>
  <si>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</si>
  <si>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</si>
  <si>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</si>
  <si>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</si>
  <si>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</si>
  <si>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</si>
  <si>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</si>
  <si>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</si>
  <si>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</si>
  <si>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</si>
  <si>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</si>
  <si>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</si>
  <si>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</si>
  <si>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</si>
  <si>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</si>
  <si>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</si>
  <si>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</si>
  <si>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</si>
  <si>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</si>
  <si>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</si>
  <si>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</si>
  <si>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</si>
  <si>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</si>
  <si>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</si>
  <si>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</si>
  <si>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</si>
  <si>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</si>
  <si>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</si>
  <si>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</si>
  <si>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</si>
  <si>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</si>
  <si>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</si>
  <si>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</si>
  <si>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</si>
  <si>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</si>
  <si>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</si>
  <si>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</si>
  <si>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</si>
  <si>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</si>
  <si>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</si>
  <si>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</si>
  <si>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</si>
  <si>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</si>
  <si>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</si>
  <si>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</si>
  <si>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</si>
  <si>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</si>
  <si>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</si>
  <si>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</si>
  <si>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</si>
  <si>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</si>
  <si>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</si>
  <si>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</si>
  <si>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</si>
  <si>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</si>
  <si>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</si>
  <si>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</si>
  <si>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</si>
  <si>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</si>
  <si>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</si>
  <si>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</si>
  <si>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</si>
  <si>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</si>
  <si>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</si>
  <si>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</si>
  <si>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</si>
  <si>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</si>
  <si>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</si>
  <si>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</si>
  <si>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</si>
  <si>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</si>
  <si>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</si>
  <si>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</si>
  <si>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</si>
  <si>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</si>
  <si>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</si>
  <si>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</si>
  <si>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</si>
  <si>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</si>
  <si>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</si>
  <si>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</si>
  <si>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</si>
  <si>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</si>
  <si>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</si>
  <si>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</si>
  <si>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</si>
  <si>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</si>
  <si>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</si>
  <si>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</si>
  <si>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</si>
  <si>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</si>
  <si>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</si>
  <si>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</si>
  <si>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</si>
  <si>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</si>
  <si>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</si>
  <si>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</si>
  <si>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</si>
  <si>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</si>
  <si>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</si>
  <si>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</si>
  <si>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</si>
  <si>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</si>
  <si>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</si>
  <si>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</si>
  <si>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</si>
  <si>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</si>
  <si>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</si>
  <si>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</si>
  <si>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</si>
  <si>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</si>
  <si>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</si>
  <si>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</si>
  <si>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</si>
  <si>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</si>
  <si>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</si>
  <si>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</si>
  <si>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</si>
  <si>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</si>
  <si>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</si>
  <si>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</si>
  <si>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</si>
  <si>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</si>
  <si>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</si>
  <si>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</si>
  <si>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</si>
  <si>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</si>
  <si>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</si>
  <si>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</si>
  <si>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</si>
  <si>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</si>
  <si>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</si>
  <si>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</si>
  <si>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</si>
  <si>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</si>
  <si>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</si>
  <si>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</si>
  <si>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</si>
  <si>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</si>
  <si>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</si>
  <si>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</si>
  <si>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</si>
  <si>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</si>
  <si>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</si>
  <si>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</si>
  <si>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</si>
  <si>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</si>
  <si>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</si>
  <si>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</si>
  <si>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</si>
  <si>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</si>
  <si>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</si>
  <si>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</si>
  <si>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</si>
  <si>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</si>
  <si>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</si>
  <si>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</si>
  <si>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</si>
  <si>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</si>
  <si>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</si>
  <si>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</si>
  <si>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</si>
  <si>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</si>
  <si>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</si>
  <si>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</si>
  <si>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</si>
  <si>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</si>
  <si>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</si>
  <si>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</si>
  <si>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</si>
  <si>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</si>
  <si>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</si>
  <si>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</si>
  <si>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</si>
  <si>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</si>
  <si>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</si>
  <si>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</si>
  <si>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</si>
  <si>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</si>
  <si>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</si>
  <si>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</si>
  <si>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</si>
  <si>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</si>
  <si>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</si>
  <si>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</si>
  <si>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</si>
  <si>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</si>
  <si>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</si>
  <si>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</si>
  <si>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</si>
  <si>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</si>
  <si>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</si>
  <si>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</si>
  <si>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</si>
  <si>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</si>
  <si>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</si>
  <si>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</si>
  <si>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</si>
  <si>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</si>
  <si>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</si>
  <si>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</si>
  <si>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</si>
  <si>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</si>
  <si>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</si>
  <si>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</si>
  <si>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</si>
  <si>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</si>
  <si>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</si>
  <si>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</si>
  <si>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</si>
  <si>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</si>
  <si>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</si>
  <si>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</si>
  <si>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</si>
  <si>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</si>
  <si>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</si>
  <si>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</si>
  <si>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</si>
  <si>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</si>
  <si>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</si>
  <si>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</si>
  <si>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</si>
  <si>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</si>
  <si>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</si>
  <si>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</si>
  <si>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</si>
  <si>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</si>
  <si>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</si>
  <si>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</si>
  <si>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</si>
  <si>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</si>
  <si>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</si>
  <si>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</si>
  <si>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</si>
  <si>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</si>
  <si>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</si>
  <si>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</si>
  <si>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</si>
  <si>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</si>
  <si>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</si>
  <si>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</si>
  <si>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</si>
  <si>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</si>
  <si>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</si>
  <si>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</si>
  <si>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</si>
  <si>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</si>
  <si>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</si>
  <si>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</si>
  <si>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</si>
  <si>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</si>
  <si>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</si>
  <si>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</si>
  <si>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</si>
  <si>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</si>
  <si>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</si>
  <si>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</si>
  <si>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</si>
  <si>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</si>
  <si>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</si>
  <si>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</si>
  <si>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</si>
  <si>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</si>
  <si>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</si>
  <si>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</si>
  <si>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</si>
  <si>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</si>
  <si>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</si>
  <si>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</si>
  <si>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</si>
  <si>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</si>
  <si>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</si>
  <si>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</si>
  <si>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</si>
  <si>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</si>
  <si>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</si>
  <si>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</si>
  <si>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</si>
  <si>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</si>
  <si>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</si>
  <si>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</si>
  <si>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</si>
  <si>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</si>
  <si>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</si>
  <si>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</si>
  <si>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</si>
  <si>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</si>
  <si>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</si>
  <si>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</si>
  <si>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</si>
  <si>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</si>
  <si>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</si>
  <si>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</si>
  <si>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</si>
  <si>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</si>
  <si>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</si>
  <si>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</si>
  <si>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</si>
  <si>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</si>
  <si>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</si>
  <si>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</si>
  <si>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</si>
  <si>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</si>
  <si>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</si>
  <si>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</si>
  <si>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</si>
  <si>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</si>
  <si>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</si>
  <si>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</si>
  <si>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</si>
  <si>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</si>
  <si>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</si>
  <si>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</si>
  <si>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</si>
  <si>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</si>
  <si>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</si>
  <si>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</si>
  <si>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</si>
  <si>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</si>
  <si>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</si>
  <si>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</si>
  <si>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</si>
  <si>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</si>
  <si>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</si>
  <si>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</si>
  <si>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</si>
  <si>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</si>
  <si>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</si>
  <si>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</si>
  <si>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</si>
  <si>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</si>
  <si>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</si>
  <si>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</si>
  <si>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</si>
  <si>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</si>
  <si>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</si>
  <si>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</si>
  <si>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</si>
  <si>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</si>
  <si>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</si>
  <si>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</si>
  <si>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</si>
  <si>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</si>
  <si>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</si>
  <si>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</si>
  <si>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</si>
  <si>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</si>
  <si>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</si>
  <si>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</si>
  <si>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</si>
  <si>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</si>
  <si>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</si>
  <si>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</si>
  <si>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</si>
  <si>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</si>
  <si>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</si>
  <si>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</si>
  <si>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</si>
  <si>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</si>
  <si>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</si>
  <si>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</si>
  <si>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</si>
  <si>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</si>
  <si>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</si>
  <si>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</si>
  <si>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</si>
  <si>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</si>
  <si>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</si>
  <si>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</si>
  <si>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</si>
  <si>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</si>
  <si>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</si>
  <si>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</si>
  <si>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</si>
  <si>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</si>
  <si>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</si>
  <si>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</si>
  <si>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</si>
  <si>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</si>
  <si>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</si>
  <si>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</si>
  <si>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</si>
  <si>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</si>
  <si>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</si>
  <si>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</si>
  <si>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</si>
  <si>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</si>
  <si>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</si>
  <si>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</si>
  <si>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</si>
  <si>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</si>
  <si>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</si>
  <si>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</si>
  <si>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</si>
  <si>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</si>
  <si>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</si>
  <si>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</si>
  <si>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</si>
  <si>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</si>
  <si>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</si>
  <si>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</si>
  <si>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</si>
  <si>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</si>
  <si>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</si>
  <si>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</si>
  <si>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</si>
  <si>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</si>
  <si>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</si>
  <si>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</si>
  <si>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</si>
  <si>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</si>
  <si>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</si>
  <si>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</si>
  <si>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</si>
  <si>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</si>
  <si>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</si>
  <si>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</si>
  <si>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</si>
  <si>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</si>
  <si>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</si>
  <si>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</si>
  <si>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</si>
  <si>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</si>
  <si>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</si>
  <si>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</si>
  <si>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</si>
  <si>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</si>
  <si>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</si>
  <si>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</si>
  <si>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</si>
  <si>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</si>
  <si>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</si>
  <si>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</si>
  <si>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</si>
  <si>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</si>
  <si>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</si>
  <si>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</si>
  <si>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</si>
  <si>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</si>
  <si>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</si>
  <si>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</si>
  <si>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</si>
  <si>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</si>
  <si>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</si>
  <si>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</si>
  <si>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</si>
  <si>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</si>
  <si>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</si>
  <si>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</si>
  <si>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</si>
  <si>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</si>
  <si>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</si>
  <si>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</si>
  <si>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</si>
  <si>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</si>
  <si>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</si>
  <si>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</si>
  <si>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</si>
  <si>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</si>
  <si>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</si>
  <si>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</si>
  <si>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</si>
  <si>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</si>
  <si>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</si>
  <si>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</si>
  <si>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</si>
  <si>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</si>
  <si>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</si>
  <si>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</si>
  <si>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</si>
  <si>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</si>
  <si>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</si>
  <si>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</si>
  <si>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</si>
  <si>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</si>
  <si>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</si>
  <si>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</si>
  <si>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</si>
  <si>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</si>
  <si>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</si>
  <si>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</si>
  <si>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</si>
  <si>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</si>
  <si>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</si>
  <si>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</si>
  <si>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</si>
  <si>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</si>
  <si>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</si>
  <si>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</si>
  <si>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</si>
  <si>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</si>
  <si>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</si>
  <si>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</si>
  <si>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</si>
  <si>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</si>
  <si>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</si>
  <si>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</si>
  <si>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</si>
  <si>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</si>
  <si>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</si>
  <si>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</si>
  <si>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</si>
  <si>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</si>
  <si>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</si>
  <si>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</si>
  <si>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</si>
  <si>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</si>
  <si>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</si>
  <si>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</si>
  <si>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</si>
  <si>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</si>
  <si>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</si>
  <si>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</si>
  <si>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</si>
  <si>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</si>
  <si>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</si>
  <si>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</si>
  <si>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</si>
  <si>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</si>
  <si>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</si>
  <si>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</si>
  <si>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</si>
  <si>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</si>
  <si>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</si>
  <si>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</si>
  <si>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</si>
  <si>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</si>
  <si>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</si>
  <si>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</si>
  <si>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</si>
  <si>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</si>
  <si>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</si>
  <si>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</si>
  <si>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</si>
  <si>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</si>
  <si>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</si>
  <si>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</si>
  <si>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</si>
  <si>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</si>
  <si>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</si>
  <si>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</si>
  <si>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</si>
  <si>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</si>
  <si>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</si>
  <si>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</si>
  <si>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</si>
  <si>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</si>
  <si>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</si>
  <si>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</si>
  <si>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</si>
  <si>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</si>
  <si>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</si>
  <si>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</si>
  <si>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</si>
  <si>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</si>
  <si>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</si>
  <si>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</si>
  <si>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</si>
  <si>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</si>
  <si>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</si>
  <si>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</si>
  <si>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</si>
  <si>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</si>
  <si>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</si>
  <si>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</si>
  <si>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</si>
  <si>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</si>
  <si>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</si>
  <si>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</si>
  <si>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</si>
  <si>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</si>
  <si>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</si>
  <si>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</si>
  <si>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</si>
  <si>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</si>
  <si>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</si>
  <si>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</si>
  <si>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</si>
  <si>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</si>
  <si>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</si>
  <si>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</si>
  <si>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</si>
  <si>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</si>
  <si>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</si>
  <si>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</si>
  <si>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</si>
  <si>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</si>
  <si>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</si>
  <si>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3 chorizos crudos</t>
  </si>
  <si>
    <t>1 chorizo + gaseosa</t>
  </si>
  <si>
    <t xml:space="preserve">1 chorizo </t>
  </si>
  <si>
    <t>Picada</t>
  </si>
  <si>
    <t>2 chorizos</t>
  </si>
  <si>
    <t>2 chorizos +  gaseosa</t>
  </si>
  <si>
    <t>1 picada</t>
  </si>
  <si>
    <t>kilos</t>
  </si>
  <si>
    <t>entrada</t>
  </si>
  <si>
    <t>25 de marzo</t>
  </si>
  <si>
    <t>Paca</t>
  </si>
  <si>
    <t>CERVEZA CENTRAL</t>
  </si>
  <si>
    <t>3 pagas de cerveza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</si>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</sst>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6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0" fontId="16" fillId="7" borderId="4" xfId="0" applyFont="1" applyFill="1" applyBorder="1" applyAlignment="1">
      <alignment horizontal="center" vertical="center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16" fontId="0" fillId="0" borderId="14" xfId="0" applyNumberFormat="1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0" borderId="14" xfId="0" applyFill="1" applyBorder="1"/>
    <xf numFmtId="0" fontId="20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0" fontId="2" fillId="0" borderId="0" xfId="0" applyFont="1" applyFill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20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21" fillId="25" borderId="3" xfId="0" applyFont="1" applyFill="1" applyBorder="1" applyAlignment="1">
      <alignment horizontal="center"/>
    </xf>
    <xf numFmtId="0" fontId="2" fillId="2" borderId="0" xfId="0" applyFont="1" applyFill="1"/>
    <xf numFmtId="164" fontId="23" fillId="23" borderId="3" xfId="1" applyNumberFormat="1" applyFont="1" applyFill="1" applyBorder="1"/>
    <xf numFmtId="164" fontId="23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5" fontId="0" fillId="26" borderId="0" xfId="5" applyNumberFormat="1" applyFont="1" applyFill="1"/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owerPivotData" Target="model/item.data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5.xml"/><Relationship Id="rId37" Type="http://schemas.openxmlformats.org/officeDocument/2006/relationships/sharedStrings" Target="sharedStrings.xml"/><Relationship Id="rId40" Type="http://schemas.openxmlformats.org/officeDocument/2006/relationships/calcChain" Target="calcChain.xml"/><Relationship Id="rId45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4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3.xml"/><Relationship Id="rId35" Type="http://schemas.openxmlformats.org/officeDocument/2006/relationships/connections" Target="connections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6.xml"/><Relationship Id="rId38" Type="http://schemas.openxmlformats.org/officeDocument/2006/relationships/sheetMetadata" Target="metadata.xml"/><Relationship Id="rId46" Type="http://schemas.openxmlformats.org/officeDocument/2006/relationships/customXml" Target="../customXml/item6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  <format dxfId="26">
      <pivotArea outline="0" fieldPosition="0">
        <references count="1">
          <reference field="4294967294" count="1"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0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4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9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1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B2:L87"/>
  <sheetViews>
    <sheetView showGridLines="0" tabSelected="1" zoomScale="90" zoomScaleNormal="90" workbookViewId="0">
      <pane ySplit="23" topLeftCell="A62" activePane="bottomLeft" state="frozen"/>
      <selection pane="bottomLeft" activeCell="E91" sqref="E91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5.140625" style="3" customWidth="1"/>
    <col min="5" max="5" width="21.4257812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2" max="12" width="15.42578125" bestFit="1" customWidth="1"/>
  </cols>
  <sheetData>
    <row r="2" spans="3:12" hidden="1" outlineLevel="1" x14ac:dyDescent="0.25">
      <c r="C2" s="143" t="s">
        <v>641</v>
      </c>
      <c r="D2" s="143" t="s">
        <v>642</v>
      </c>
      <c r="E2"/>
      <c r="F2"/>
      <c r="G2" s="146" t="s">
        <v>7</v>
      </c>
      <c r="H2" s="146" t="s">
        <v>645</v>
      </c>
    </row>
    <row r="3" spans="3:12" hidden="1" outlineLevel="1" x14ac:dyDescent="0.25">
      <c r="C3" s="189" t="s">
        <v>10</v>
      </c>
      <c r="D3" s="190">
        <f>+SUMIF(G:G,C3,D:D)</f>
        <v>27808267</v>
      </c>
      <c r="F3"/>
      <c r="G3" s="165" t="s">
        <v>9</v>
      </c>
      <c r="H3" s="195">
        <f>+SUMIF($E$23:$E$87,G3,$D$23:$D$87)</f>
        <v>19944350</v>
      </c>
    </row>
    <row r="4" spans="3:12" hidden="1" outlineLevel="1" x14ac:dyDescent="0.25">
      <c r="C4" s="186" t="s">
        <v>2</v>
      </c>
      <c r="D4" s="188">
        <f>+SUMIF(G:G,C4,D:D)</f>
        <v>3198300</v>
      </c>
      <c r="F4"/>
      <c r="G4" s="169" t="s">
        <v>22</v>
      </c>
      <c r="H4" s="195">
        <f>+SUMIF($E$23:$E$87,G4,$D$23:$D$87)</f>
        <v>3683750</v>
      </c>
    </row>
    <row r="5" spans="3:12" ht="17.25" hidden="1" outlineLevel="1" x14ac:dyDescent="0.4">
      <c r="C5" s="142" t="s">
        <v>121</v>
      </c>
      <c r="D5" s="141">
        <f>+D3+D4</f>
        <v>31006567</v>
      </c>
      <c r="G5" s="167" t="s">
        <v>646</v>
      </c>
      <c r="H5" s="195">
        <f>+SUMIF($E$23:$E$87,G5,$D$23:$D$87)</f>
        <v>4835965</v>
      </c>
    </row>
    <row r="6" spans="3:12" hidden="1" outlineLevel="1" x14ac:dyDescent="0.25">
      <c r="G6" s="170" t="s">
        <v>8</v>
      </c>
      <c r="H6" s="196">
        <f>+SUMIF($E$23:$E$87,G6,$D$23:$D$87)</f>
        <v>2542502</v>
      </c>
    </row>
    <row r="7" spans="3:12" ht="17.25" hidden="1" outlineLevel="1" x14ac:dyDescent="0.4">
      <c r="C7" s="15" t="s">
        <v>643</v>
      </c>
      <c r="D7" s="144">
        <f>+D5/2+16.6</f>
        <v>15503300.1</v>
      </c>
      <c r="G7" s="184" t="s">
        <v>121</v>
      </c>
      <c r="H7" s="197">
        <f>+SUM(H3:H6)</f>
        <v>31006567</v>
      </c>
    </row>
    <row r="8" spans="3:12" ht="8.25" hidden="1" customHeight="1" outlineLevel="1" x14ac:dyDescent="0.25"/>
    <row r="9" spans="3:12" hidden="1" outlineLevel="1" x14ac:dyDescent="0.25">
      <c r="C9" s="143" t="s">
        <v>5</v>
      </c>
      <c r="D9" s="146" t="s">
        <v>645</v>
      </c>
      <c r="E9" s="146" t="s">
        <v>644</v>
      </c>
    </row>
    <row r="10" spans="3:12" ht="16.5" hidden="1" customHeight="1" outlineLevel="1" x14ac:dyDescent="0.25">
      <c r="C10" s="147">
        <v>46062</v>
      </c>
      <c r="D10" s="145">
        <v>300000</v>
      </c>
      <c r="E10" s="198" t="s">
        <v>167</v>
      </c>
    </row>
    <row r="11" spans="3:12" ht="16.5" hidden="1" customHeight="1" outlineLevel="1" x14ac:dyDescent="0.25">
      <c r="C11" s="147">
        <v>46073</v>
      </c>
      <c r="D11" s="145">
        <v>1000000</v>
      </c>
      <c r="E11" s="198" t="s">
        <v>167</v>
      </c>
    </row>
    <row r="12" spans="3:12" ht="16.5" hidden="1" customHeight="1" outlineLevel="1" x14ac:dyDescent="0.25">
      <c r="C12" s="147">
        <v>46073</v>
      </c>
      <c r="D12" s="145">
        <v>3000000</v>
      </c>
      <c r="E12" s="199" t="s">
        <v>650</v>
      </c>
    </row>
    <row r="13" spans="3:12" ht="16.5" hidden="1" customHeight="1" outlineLevel="1" x14ac:dyDescent="0.25">
      <c r="C13" s="147">
        <v>46080</v>
      </c>
      <c r="D13" s="145">
        <v>1000000</v>
      </c>
      <c r="E13" s="198" t="s">
        <v>167</v>
      </c>
    </row>
    <row r="14" spans="3:12" ht="16.5" hidden="1" customHeight="1" outlineLevel="1" x14ac:dyDescent="0.25">
      <c r="C14" s="147">
        <v>46084</v>
      </c>
      <c r="D14" s="145">
        <v>1500000</v>
      </c>
      <c r="E14" s="198" t="s">
        <v>167</v>
      </c>
    </row>
    <row r="15" spans="3:12" ht="16.5" hidden="1" customHeight="1" outlineLevel="1" x14ac:dyDescent="0.25">
      <c r="C15" s="147">
        <v>46086</v>
      </c>
      <c r="D15" s="201">
        <v>3855000</v>
      </c>
      <c r="E15" s="199" t="s">
        <v>650</v>
      </c>
      <c r="F15" s="3">
        <f>+D19-D7</f>
        <v>-9.999999962747097E-2</v>
      </c>
      <c r="G15" s="202">
        <f>3855000-SUM(L64,L71)/2</f>
        <v>2634000</v>
      </c>
      <c r="H15" s="15" t="s">
        <v>653</v>
      </c>
      <c r="L15" s="3">
        <f>+SUM(L64,L71)/2</f>
        <v>1221000</v>
      </c>
    </row>
    <row r="16" spans="3:12" hidden="1" outlineLevel="1" x14ac:dyDescent="0.25">
      <c r="C16" s="147">
        <v>46098</v>
      </c>
      <c r="D16" s="145">
        <v>1650000</v>
      </c>
      <c r="E16" s="148" t="s">
        <v>652</v>
      </c>
    </row>
    <row r="17" spans="2:9" hidden="1" outlineLevel="1" x14ac:dyDescent="0.25">
      <c r="C17" s="186" t="s">
        <v>261</v>
      </c>
      <c r="D17" s="187">
        <f>+SUM(D10:D16)</f>
        <v>12305000</v>
      </c>
    </row>
    <row r="18" spans="2:9" hidden="1" outlineLevel="1" x14ac:dyDescent="0.25">
      <c r="C18" s="193" t="s">
        <v>648</v>
      </c>
      <c r="D18" s="194">
        <v>3198300</v>
      </c>
    </row>
    <row r="19" spans="2:9" hidden="1" outlineLevel="1" x14ac:dyDescent="0.25">
      <c r="C19" s="191" t="s">
        <v>643</v>
      </c>
      <c r="D19" s="192">
        <f>+D17+D18</f>
        <v>15503300</v>
      </c>
      <c r="E19" s="16" t="s">
        <v>649</v>
      </c>
    </row>
    <row r="20" spans="2:9" hidden="1" outlineLevel="1" x14ac:dyDescent="0.25"/>
    <row r="21" spans="2:9" collapsed="1" x14ac:dyDescent="0.25">
      <c r="C21" s="15" t="s">
        <v>121</v>
      </c>
      <c r="D21" s="185">
        <f>+SUBTOTAL(9,D24:D1048576)</f>
        <v>3683750</v>
      </c>
      <c r="F21" s="3" t="s">
        <v>0</v>
      </c>
      <c r="G21" s="9"/>
    </row>
    <row r="22" spans="2:9" x14ac:dyDescent="0.25">
      <c r="D22"/>
    </row>
    <row r="23" spans="2:9" x14ac:dyDescent="0.25">
      <c r="B23" s="149" t="s">
        <v>65</v>
      </c>
      <c r="C23" s="161" t="s">
        <v>5</v>
      </c>
      <c r="D23" s="150" t="s">
        <v>6</v>
      </c>
      <c r="E23" s="164" t="s">
        <v>7</v>
      </c>
      <c r="F23" s="150" t="s">
        <v>35</v>
      </c>
      <c r="G23" s="161" t="s">
        <v>1</v>
      </c>
      <c r="H23" s="161" t="s">
        <v>3</v>
      </c>
      <c r="I23" s="151" t="s">
        <v>15</v>
      </c>
    </row>
    <row r="24" spans="2:9" hidden="1" x14ac:dyDescent="0.25">
      <c r="B24" s="177">
        <v>1</v>
      </c>
      <c r="C24" s="162">
        <v>46049</v>
      </c>
      <c r="D24" s="152">
        <f>1350000+150000</f>
        <v>1500000</v>
      </c>
      <c r="E24" s="165" t="s">
        <v>9</v>
      </c>
      <c r="F24" s="152" t="s">
        <v>66</v>
      </c>
      <c r="G24" s="179" t="s">
        <v>10</v>
      </c>
      <c r="H24" s="171" t="s">
        <v>19</v>
      </c>
      <c r="I24" s="153" t="s">
        <v>20</v>
      </c>
    </row>
    <row r="25" spans="2:9" hidden="1" x14ac:dyDescent="0.25">
      <c r="B25" s="177">
        <v>2</v>
      </c>
      <c r="C25" s="162">
        <v>46049</v>
      </c>
      <c r="D25" s="152">
        <f>2500000+1400000+400000</f>
        <v>4300000</v>
      </c>
      <c r="E25" s="165" t="s">
        <v>9</v>
      </c>
      <c r="F25" s="152" t="s">
        <v>66</v>
      </c>
      <c r="G25" s="179" t="s">
        <v>10</v>
      </c>
      <c r="H25" s="173" t="s">
        <v>36</v>
      </c>
      <c r="I25" s="153" t="s">
        <v>58</v>
      </c>
    </row>
    <row r="26" spans="2:9" hidden="1" x14ac:dyDescent="0.25">
      <c r="B26" s="177">
        <v>3</v>
      </c>
      <c r="C26" s="162">
        <v>46056</v>
      </c>
      <c r="D26" s="152">
        <f>5400000+500000+(25000*2)</f>
        <v>5950000</v>
      </c>
      <c r="E26" s="165" t="s">
        <v>9</v>
      </c>
      <c r="F26" s="152" t="s">
        <v>66</v>
      </c>
      <c r="G26" s="179" t="s">
        <v>10</v>
      </c>
      <c r="H26" s="173" t="s">
        <v>39</v>
      </c>
      <c r="I26" s="154" t="s">
        <v>51</v>
      </c>
    </row>
    <row r="27" spans="2:9" hidden="1" x14ac:dyDescent="0.25">
      <c r="B27" s="177">
        <v>4</v>
      </c>
      <c r="C27" s="162">
        <v>46056</v>
      </c>
      <c r="D27" s="152">
        <v>80000</v>
      </c>
      <c r="E27" s="165" t="s">
        <v>9</v>
      </c>
      <c r="F27" s="152" t="s">
        <v>98</v>
      </c>
      <c r="G27" s="179" t="s">
        <v>10</v>
      </c>
      <c r="H27" s="173" t="s">
        <v>68</v>
      </c>
      <c r="I27" s="154" t="s">
        <v>69</v>
      </c>
    </row>
    <row r="28" spans="2:9" hidden="1" x14ac:dyDescent="0.25">
      <c r="B28" s="177">
        <v>5</v>
      </c>
      <c r="C28" s="162">
        <v>46056</v>
      </c>
      <c r="D28" s="152">
        <v>100000</v>
      </c>
      <c r="E28" s="165" t="s">
        <v>9</v>
      </c>
      <c r="F28" s="152" t="s">
        <v>98</v>
      </c>
      <c r="G28" s="179" t="s">
        <v>10</v>
      </c>
      <c r="H28" s="173" t="s">
        <v>44</v>
      </c>
      <c r="I28" s="153" t="s">
        <v>40</v>
      </c>
    </row>
    <row r="29" spans="2:9" hidden="1" x14ac:dyDescent="0.25">
      <c r="B29" s="177">
        <v>6</v>
      </c>
      <c r="C29" s="162">
        <v>46056</v>
      </c>
      <c r="D29" s="152">
        <v>30000</v>
      </c>
      <c r="E29" s="165" t="s">
        <v>9</v>
      </c>
      <c r="F29" s="152" t="s">
        <v>43</v>
      </c>
      <c r="G29" s="179" t="s">
        <v>10</v>
      </c>
      <c r="H29" s="173" t="s">
        <v>45</v>
      </c>
      <c r="I29" s="153" t="s">
        <v>40</v>
      </c>
    </row>
    <row r="30" spans="2:9" hidden="1" x14ac:dyDescent="0.25">
      <c r="B30" s="177">
        <v>7</v>
      </c>
      <c r="C30" s="162">
        <v>46060</v>
      </c>
      <c r="D30" s="152">
        <v>200000</v>
      </c>
      <c r="E30" s="165" t="s">
        <v>9</v>
      </c>
      <c r="F30" s="152" t="s">
        <v>98</v>
      </c>
      <c r="G30" s="179" t="s">
        <v>10</v>
      </c>
      <c r="H30" s="171" t="s">
        <v>54</v>
      </c>
      <c r="I30" s="153" t="s">
        <v>55</v>
      </c>
    </row>
    <row r="31" spans="2:9" hidden="1" x14ac:dyDescent="0.25">
      <c r="B31" s="177">
        <v>8</v>
      </c>
      <c r="C31" s="162">
        <v>46060</v>
      </c>
      <c r="D31" s="152">
        <v>110000</v>
      </c>
      <c r="E31" s="165" t="s">
        <v>9</v>
      </c>
      <c r="F31" s="152" t="s">
        <v>98</v>
      </c>
      <c r="G31" s="179" t="s">
        <v>10</v>
      </c>
      <c r="H31" s="173" t="s">
        <v>41</v>
      </c>
      <c r="I31" s="153" t="s">
        <v>63</v>
      </c>
    </row>
    <row r="32" spans="2:9" hidden="1" x14ac:dyDescent="0.25">
      <c r="B32" s="177">
        <v>9</v>
      </c>
      <c r="C32" s="162">
        <v>46060</v>
      </c>
      <c r="D32" s="152">
        <f>27000+35000</f>
        <v>62000</v>
      </c>
      <c r="E32" s="165" t="s">
        <v>9</v>
      </c>
      <c r="F32" s="152" t="s">
        <v>66</v>
      </c>
      <c r="G32" s="179" t="s">
        <v>10</v>
      </c>
      <c r="H32" s="171" t="s">
        <v>16</v>
      </c>
      <c r="I32" s="154" t="s">
        <v>77</v>
      </c>
    </row>
    <row r="33" spans="2:9" hidden="1" x14ac:dyDescent="0.25">
      <c r="B33" s="177">
        <v>10</v>
      </c>
      <c r="C33" s="162">
        <v>46056</v>
      </c>
      <c r="D33" s="152">
        <v>2400000</v>
      </c>
      <c r="E33" s="165" t="s">
        <v>9</v>
      </c>
      <c r="F33" s="152" t="s">
        <v>98</v>
      </c>
      <c r="G33" s="179" t="s">
        <v>10</v>
      </c>
      <c r="H33" s="171" t="s">
        <v>14</v>
      </c>
      <c r="I33" s="154" t="s">
        <v>38</v>
      </c>
    </row>
    <row r="34" spans="2:9" hidden="1" x14ac:dyDescent="0.25">
      <c r="B34" s="177">
        <v>11</v>
      </c>
      <c r="C34" s="162">
        <v>46056</v>
      </c>
      <c r="D34" s="152">
        <v>108150</v>
      </c>
      <c r="E34" s="165" t="s">
        <v>9</v>
      </c>
      <c r="F34" s="152" t="s">
        <v>98</v>
      </c>
      <c r="G34" s="179" t="s">
        <v>10</v>
      </c>
      <c r="H34" s="173" t="s">
        <v>42</v>
      </c>
      <c r="I34" s="154" t="s">
        <v>77</v>
      </c>
    </row>
    <row r="35" spans="2:9" hidden="1" x14ac:dyDescent="0.25">
      <c r="B35" s="177">
        <v>11</v>
      </c>
      <c r="C35" s="162">
        <v>46056</v>
      </c>
      <c r="D35" s="152">
        <v>180000</v>
      </c>
      <c r="E35" s="165" t="s">
        <v>9</v>
      </c>
      <c r="F35" s="152"/>
      <c r="G35" s="179" t="s">
        <v>10</v>
      </c>
      <c r="H35" s="171" t="s">
        <v>23</v>
      </c>
      <c r="I35" s="153" t="s">
        <v>24</v>
      </c>
    </row>
    <row r="36" spans="2:9" hidden="1" x14ac:dyDescent="0.25">
      <c r="B36" s="177">
        <v>13</v>
      </c>
      <c r="C36" s="162">
        <v>46050</v>
      </c>
      <c r="D36" s="155">
        <v>135400</v>
      </c>
      <c r="E36" s="166" t="s">
        <v>9</v>
      </c>
      <c r="F36" s="152" t="s">
        <v>43</v>
      </c>
      <c r="G36" s="179" t="s">
        <v>10</v>
      </c>
      <c r="H36" s="171" t="s">
        <v>78</v>
      </c>
      <c r="I36" s="153"/>
    </row>
    <row r="37" spans="2:9" hidden="1" x14ac:dyDescent="0.25">
      <c r="B37" s="177">
        <v>13</v>
      </c>
      <c r="C37" s="162">
        <v>46051</v>
      </c>
      <c r="D37" s="152">
        <f>50000+40000+10000+22000</f>
        <v>122000</v>
      </c>
      <c r="E37" s="165" t="s">
        <v>9</v>
      </c>
      <c r="F37" s="152" t="s">
        <v>43</v>
      </c>
      <c r="G37" s="179" t="s">
        <v>10</v>
      </c>
      <c r="H37" s="171" t="s">
        <v>61</v>
      </c>
      <c r="I37" s="153"/>
    </row>
    <row r="38" spans="2:9" hidden="1" x14ac:dyDescent="0.25">
      <c r="B38" s="177">
        <v>14</v>
      </c>
      <c r="C38" s="162">
        <v>46051</v>
      </c>
      <c r="D38" s="152">
        <v>21900</v>
      </c>
      <c r="E38" s="167" t="s">
        <v>646</v>
      </c>
      <c r="F38" s="152" t="s">
        <v>92</v>
      </c>
      <c r="G38" s="179" t="s">
        <v>2</v>
      </c>
      <c r="H38" s="173" t="s">
        <v>4</v>
      </c>
      <c r="I38" s="153"/>
    </row>
    <row r="39" spans="2:9" hidden="1" x14ac:dyDescent="0.25">
      <c r="B39" s="177">
        <v>15</v>
      </c>
      <c r="C39" s="162">
        <v>46051</v>
      </c>
      <c r="D39" s="152">
        <v>380000</v>
      </c>
      <c r="E39" s="167" t="s">
        <v>646</v>
      </c>
      <c r="F39" s="152" t="s">
        <v>92</v>
      </c>
      <c r="G39" s="179" t="s">
        <v>10</v>
      </c>
      <c r="H39" s="173" t="s">
        <v>80</v>
      </c>
      <c r="I39" s="153"/>
    </row>
    <row r="40" spans="2:9" hidden="1" x14ac:dyDescent="0.25">
      <c r="B40" s="177">
        <v>16</v>
      </c>
      <c r="C40" s="162">
        <v>46051</v>
      </c>
      <c r="D40" s="152">
        <v>100000</v>
      </c>
      <c r="E40" s="167" t="s">
        <v>646</v>
      </c>
      <c r="F40" s="152" t="s">
        <v>92</v>
      </c>
      <c r="G40" s="179" t="s">
        <v>2</v>
      </c>
      <c r="H40" s="173" t="s">
        <v>80</v>
      </c>
      <c r="I40" s="153"/>
    </row>
    <row r="41" spans="2:9" hidden="1" x14ac:dyDescent="0.25">
      <c r="B41" s="177">
        <v>17</v>
      </c>
      <c r="C41" s="162">
        <v>46051</v>
      </c>
      <c r="D41" s="152">
        <v>30000</v>
      </c>
      <c r="E41" s="167" t="s">
        <v>646</v>
      </c>
      <c r="F41" s="152" t="s">
        <v>92</v>
      </c>
      <c r="G41" s="179" t="s">
        <v>2</v>
      </c>
      <c r="H41" s="173" t="s">
        <v>80</v>
      </c>
      <c r="I41" s="153"/>
    </row>
    <row r="42" spans="2:9" hidden="1" x14ac:dyDescent="0.25">
      <c r="B42" s="177">
        <v>18</v>
      </c>
      <c r="C42" s="162">
        <v>46060</v>
      </c>
      <c r="D42" s="152">
        <v>50000</v>
      </c>
      <c r="E42" s="167" t="s">
        <v>646</v>
      </c>
      <c r="F42" s="152" t="s">
        <v>92</v>
      </c>
      <c r="G42" s="179" t="s">
        <v>2</v>
      </c>
      <c r="H42" s="173" t="s">
        <v>80</v>
      </c>
      <c r="I42" s="153"/>
    </row>
    <row r="43" spans="2:9" hidden="1" x14ac:dyDescent="0.25">
      <c r="B43" s="177">
        <v>19</v>
      </c>
      <c r="C43" s="162">
        <v>46066</v>
      </c>
      <c r="D43" s="152">
        <v>70000</v>
      </c>
      <c r="E43" s="167" t="s">
        <v>646</v>
      </c>
      <c r="F43" s="152" t="s">
        <v>92</v>
      </c>
      <c r="G43" s="179" t="s">
        <v>10</v>
      </c>
      <c r="H43" s="171" t="s">
        <v>80</v>
      </c>
      <c r="I43" s="153"/>
    </row>
    <row r="44" spans="2:9" hidden="1" x14ac:dyDescent="0.25">
      <c r="B44" s="177">
        <v>20</v>
      </c>
      <c r="C44" s="162">
        <v>46057</v>
      </c>
      <c r="D44" s="152">
        <v>490000</v>
      </c>
      <c r="E44" s="167" t="s">
        <v>646</v>
      </c>
      <c r="F44" s="152"/>
      <c r="G44" s="179" t="s">
        <v>2</v>
      </c>
      <c r="H44" s="173" t="s">
        <v>13</v>
      </c>
      <c r="I44" s="153"/>
    </row>
    <row r="45" spans="2:9" hidden="1" x14ac:dyDescent="0.25">
      <c r="B45" s="177">
        <v>22</v>
      </c>
      <c r="C45" s="162">
        <v>46062</v>
      </c>
      <c r="D45" s="152">
        <f>1650000+50000</f>
        <v>1700000</v>
      </c>
      <c r="E45" s="167" t="s">
        <v>646</v>
      </c>
      <c r="F45" s="152"/>
      <c r="G45" s="179" t="s">
        <v>10</v>
      </c>
      <c r="H45" s="173" t="s">
        <v>62</v>
      </c>
      <c r="I45" s="153" t="s">
        <v>18</v>
      </c>
    </row>
    <row r="46" spans="2:9" hidden="1" x14ac:dyDescent="0.25">
      <c r="B46" s="177">
        <v>23</v>
      </c>
      <c r="C46" s="181">
        <v>46065</v>
      </c>
      <c r="D46" s="155">
        <f>15500+49000+14400+83115+4900+47200+44500</f>
        <v>258615</v>
      </c>
      <c r="E46" s="167" t="s">
        <v>646</v>
      </c>
      <c r="F46" s="155"/>
      <c r="G46" s="182" t="s">
        <v>10</v>
      </c>
      <c r="H46" s="183" t="s">
        <v>81</v>
      </c>
      <c r="I46" s="153"/>
    </row>
    <row r="47" spans="2:9" hidden="1" x14ac:dyDescent="0.25">
      <c r="B47" s="177">
        <v>24</v>
      </c>
      <c r="C47" s="181">
        <v>46065</v>
      </c>
      <c r="D47" s="155">
        <f>38050+47400+30000</f>
        <v>115450</v>
      </c>
      <c r="E47" s="167" t="s">
        <v>646</v>
      </c>
      <c r="F47" s="155"/>
      <c r="G47" s="182" t="s">
        <v>10</v>
      </c>
      <c r="H47" s="183" t="s">
        <v>84</v>
      </c>
      <c r="I47" s="153"/>
    </row>
    <row r="48" spans="2:9" hidden="1" x14ac:dyDescent="0.25">
      <c r="B48" s="177">
        <v>25</v>
      </c>
      <c r="C48" s="162">
        <v>46070</v>
      </c>
      <c r="D48" s="152">
        <v>60000</v>
      </c>
      <c r="E48" s="165" t="s">
        <v>8</v>
      </c>
      <c r="F48" s="152"/>
      <c r="G48" s="179" t="s">
        <v>2</v>
      </c>
      <c r="H48" s="174" t="s">
        <v>94</v>
      </c>
      <c r="I48" s="153"/>
    </row>
    <row r="49" spans="2:12" hidden="1" x14ac:dyDescent="0.25">
      <c r="B49" s="177">
        <v>26</v>
      </c>
      <c r="C49" s="162">
        <v>46071</v>
      </c>
      <c r="D49" s="152">
        <f>1345000+200000</f>
        <v>1545000</v>
      </c>
      <c r="E49" s="165" t="s">
        <v>9</v>
      </c>
      <c r="F49" s="152" t="s">
        <v>98</v>
      </c>
      <c r="G49" s="179" t="s">
        <v>10</v>
      </c>
      <c r="H49" s="171" t="s">
        <v>27</v>
      </c>
      <c r="I49" s="153" t="s">
        <v>26</v>
      </c>
    </row>
    <row r="50" spans="2:12" hidden="1" x14ac:dyDescent="0.25">
      <c r="B50" s="177">
        <v>27</v>
      </c>
      <c r="C50" s="162">
        <v>46071</v>
      </c>
      <c r="D50" s="152">
        <v>151300</v>
      </c>
      <c r="E50" s="165" t="s">
        <v>9</v>
      </c>
      <c r="F50" s="152" t="s">
        <v>43</v>
      </c>
      <c r="G50" s="179" t="s">
        <v>10</v>
      </c>
      <c r="H50" s="171" t="s">
        <v>91</v>
      </c>
      <c r="I50" s="153" t="s">
        <v>25</v>
      </c>
    </row>
    <row r="51" spans="2:12" hidden="1" x14ac:dyDescent="0.25">
      <c r="B51" s="177">
        <v>28</v>
      </c>
      <c r="C51" s="162">
        <v>46072</v>
      </c>
      <c r="D51" s="152">
        <v>300000</v>
      </c>
      <c r="E51" s="165" t="s">
        <v>9</v>
      </c>
      <c r="F51" s="152" t="s">
        <v>98</v>
      </c>
      <c r="G51" s="179" t="s">
        <v>10</v>
      </c>
      <c r="H51" s="171" t="s">
        <v>28</v>
      </c>
      <c r="I51" s="153"/>
    </row>
    <row r="52" spans="2:12" hidden="1" x14ac:dyDescent="0.25">
      <c r="B52" s="177">
        <v>29</v>
      </c>
      <c r="C52" s="162">
        <v>46048</v>
      </c>
      <c r="D52" s="152">
        <v>150000</v>
      </c>
      <c r="E52" s="167" t="s">
        <v>646</v>
      </c>
      <c r="F52" s="152"/>
      <c r="G52" s="179" t="s">
        <v>10</v>
      </c>
      <c r="H52" s="175" t="s">
        <v>83</v>
      </c>
      <c r="I52" s="153"/>
    </row>
    <row r="53" spans="2:12" hidden="1" x14ac:dyDescent="0.25">
      <c r="B53" s="177">
        <v>30</v>
      </c>
      <c r="C53" s="162">
        <v>46048</v>
      </c>
      <c r="D53" s="157">
        <v>750000</v>
      </c>
      <c r="E53" s="165" t="s">
        <v>8</v>
      </c>
      <c r="F53" s="152"/>
      <c r="G53" s="179" t="s">
        <v>10</v>
      </c>
      <c r="H53" s="175" t="s">
        <v>11</v>
      </c>
      <c r="I53" s="153"/>
    </row>
    <row r="54" spans="2:12" hidden="1" x14ac:dyDescent="0.25">
      <c r="B54" s="177">
        <v>31</v>
      </c>
      <c r="C54" s="162">
        <v>46069</v>
      </c>
      <c r="D54" s="152">
        <v>900000</v>
      </c>
      <c r="E54" s="165" t="s">
        <v>8</v>
      </c>
      <c r="F54" s="152"/>
      <c r="G54" s="179" t="s">
        <v>2</v>
      </c>
      <c r="H54" s="175" t="s">
        <v>11</v>
      </c>
      <c r="I54" s="153"/>
    </row>
    <row r="55" spans="2:12" hidden="1" x14ac:dyDescent="0.25">
      <c r="B55" s="177">
        <v>32</v>
      </c>
      <c r="C55" s="162">
        <v>46070</v>
      </c>
      <c r="D55" s="152">
        <v>730000</v>
      </c>
      <c r="E55" s="167" t="s">
        <v>646</v>
      </c>
      <c r="F55" s="152" t="s">
        <v>86</v>
      </c>
      <c r="G55" s="179" t="s">
        <v>10</v>
      </c>
      <c r="H55" s="171" t="s">
        <v>87</v>
      </c>
      <c r="I55" s="153" t="s">
        <v>88</v>
      </c>
    </row>
    <row r="56" spans="2:12" hidden="1" x14ac:dyDescent="0.25">
      <c r="B56" s="177">
        <v>33</v>
      </c>
      <c r="C56" s="162">
        <v>46070</v>
      </c>
      <c r="D56" s="152">
        <v>420000</v>
      </c>
      <c r="E56" s="167" t="s">
        <v>646</v>
      </c>
      <c r="F56" s="152" t="s">
        <v>86</v>
      </c>
      <c r="G56" s="179" t="s">
        <v>10</v>
      </c>
      <c r="H56" s="171" t="s">
        <v>95</v>
      </c>
      <c r="I56" s="153" t="s">
        <v>21</v>
      </c>
    </row>
    <row r="57" spans="2:12" hidden="1" x14ac:dyDescent="0.25">
      <c r="B57" s="177">
        <v>34</v>
      </c>
      <c r="C57" s="162">
        <v>46070</v>
      </c>
      <c r="D57" s="152">
        <v>300000</v>
      </c>
      <c r="E57" s="167" t="s">
        <v>646</v>
      </c>
      <c r="F57" s="152"/>
      <c r="G57" s="179" t="s">
        <v>10</v>
      </c>
      <c r="H57" s="173" t="s">
        <v>85</v>
      </c>
      <c r="I57" s="153"/>
    </row>
    <row r="58" spans="2:12" hidden="1" x14ac:dyDescent="0.25">
      <c r="B58" s="177">
        <v>35</v>
      </c>
      <c r="C58" s="162">
        <v>46070</v>
      </c>
      <c r="D58" s="152">
        <v>140000</v>
      </c>
      <c r="E58" s="168" t="s">
        <v>9</v>
      </c>
      <c r="F58" s="152"/>
      <c r="G58" s="179" t="s">
        <v>10</v>
      </c>
      <c r="H58" s="173" t="s">
        <v>89</v>
      </c>
      <c r="I58" s="153"/>
    </row>
    <row r="59" spans="2:12" hidden="1" x14ac:dyDescent="0.25">
      <c r="B59" s="177">
        <v>36</v>
      </c>
      <c r="C59" s="162">
        <v>46070</v>
      </c>
      <c r="D59" s="152">
        <v>550000</v>
      </c>
      <c r="E59" s="168" t="s">
        <v>9</v>
      </c>
      <c r="F59" s="152" t="s">
        <v>98</v>
      </c>
      <c r="G59" s="179" t="s">
        <v>10</v>
      </c>
      <c r="H59" s="171" t="s">
        <v>29</v>
      </c>
      <c r="I59" s="153"/>
    </row>
    <row r="60" spans="2:12" hidden="1" x14ac:dyDescent="0.25">
      <c r="B60" s="177">
        <v>37</v>
      </c>
      <c r="C60" s="162">
        <v>46070</v>
      </c>
      <c r="D60" s="152">
        <f>415000+49000</f>
        <v>464000</v>
      </c>
      <c r="E60" s="165" t="s">
        <v>9</v>
      </c>
      <c r="F60" s="152" t="s">
        <v>98</v>
      </c>
      <c r="G60" s="179" t="s">
        <v>10</v>
      </c>
      <c r="H60" s="171" t="s">
        <v>31</v>
      </c>
      <c r="I60" s="153"/>
    </row>
    <row r="61" spans="2:12" hidden="1" x14ac:dyDescent="0.25">
      <c r="B61" s="177">
        <v>38</v>
      </c>
      <c r="C61" s="162">
        <v>46070</v>
      </c>
      <c r="D61" s="156">
        <f>30000+101000</f>
        <v>131000</v>
      </c>
      <c r="E61" s="165" t="s">
        <v>9</v>
      </c>
      <c r="F61" s="152" t="s">
        <v>98</v>
      </c>
      <c r="G61" s="179" t="s">
        <v>10</v>
      </c>
      <c r="H61" s="171" t="s">
        <v>30</v>
      </c>
      <c r="I61" s="153"/>
    </row>
    <row r="62" spans="2:12" x14ac:dyDescent="0.25">
      <c r="B62" s="177">
        <v>40</v>
      </c>
      <c r="C62" s="162">
        <v>46072</v>
      </c>
      <c r="D62" s="152">
        <v>40000</v>
      </c>
      <c r="E62" s="169" t="s">
        <v>22</v>
      </c>
      <c r="F62" s="158"/>
      <c r="G62" s="179" t="s">
        <v>10</v>
      </c>
      <c r="H62" s="171" t="s">
        <v>90</v>
      </c>
      <c r="I62" s="153"/>
    </row>
    <row r="63" spans="2:12" x14ac:dyDescent="0.25">
      <c r="B63" s="177">
        <v>41</v>
      </c>
      <c r="C63" s="162">
        <v>46072</v>
      </c>
      <c r="D63" s="155">
        <v>140000</v>
      </c>
      <c r="E63" s="169" t="s">
        <v>22</v>
      </c>
      <c r="F63" s="158"/>
      <c r="G63" s="179" t="s">
        <v>10</v>
      </c>
      <c r="H63" s="171" t="s">
        <v>104</v>
      </c>
      <c r="I63" s="153"/>
    </row>
    <row r="64" spans="2:12" x14ac:dyDescent="0.25">
      <c r="B64" s="177">
        <v>42</v>
      </c>
      <c r="C64" s="162">
        <v>46072</v>
      </c>
      <c r="D64" s="156">
        <f>+L64</f>
        <v>2030000</v>
      </c>
      <c r="E64" s="169" t="s">
        <v>22</v>
      </c>
      <c r="F64" s="158"/>
      <c r="G64" s="179" t="s">
        <v>10</v>
      </c>
      <c r="H64" s="176" t="s">
        <v>82</v>
      </c>
      <c r="I64" s="153"/>
      <c r="L64" s="156">
        <f>3500*580</f>
        <v>2030000</v>
      </c>
    </row>
    <row r="65" spans="2:12" x14ac:dyDescent="0.25">
      <c r="B65" s="177">
        <v>43</v>
      </c>
      <c r="C65" s="162">
        <v>46070</v>
      </c>
      <c r="D65" s="155">
        <v>40000</v>
      </c>
      <c r="E65" s="169" t="s">
        <v>22</v>
      </c>
      <c r="F65" s="158"/>
      <c r="G65" s="179" t="s">
        <v>10</v>
      </c>
      <c r="H65" s="171" t="s">
        <v>17</v>
      </c>
      <c r="I65" s="153"/>
    </row>
    <row r="66" spans="2:12" hidden="1" x14ac:dyDescent="0.25">
      <c r="B66" s="177">
        <v>44</v>
      </c>
      <c r="C66" s="162">
        <v>46073</v>
      </c>
      <c r="D66" s="152">
        <v>15000</v>
      </c>
      <c r="E66" s="165" t="s">
        <v>9</v>
      </c>
      <c r="F66" s="152" t="s">
        <v>98</v>
      </c>
      <c r="G66" s="179" t="s">
        <v>2</v>
      </c>
      <c r="H66" s="165" t="s">
        <v>99</v>
      </c>
      <c r="I66" s="153"/>
    </row>
    <row r="67" spans="2:12" x14ac:dyDescent="0.25">
      <c r="B67" s="177">
        <v>45</v>
      </c>
      <c r="C67" s="162">
        <v>46073</v>
      </c>
      <c r="D67" s="152">
        <v>619850</v>
      </c>
      <c r="E67" s="169" t="s">
        <v>22</v>
      </c>
      <c r="F67" s="152"/>
      <c r="G67" s="179" t="s">
        <v>10</v>
      </c>
      <c r="H67" s="171" t="s">
        <v>100</v>
      </c>
      <c r="I67" s="153"/>
    </row>
    <row r="68" spans="2:12" x14ac:dyDescent="0.25">
      <c r="B68" s="177">
        <v>46</v>
      </c>
      <c r="C68" s="162">
        <v>46073</v>
      </c>
      <c r="D68" s="152">
        <v>90000</v>
      </c>
      <c r="E68" s="169" t="s">
        <v>22</v>
      </c>
      <c r="F68" s="152"/>
      <c r="G68" s="179" t="s">
        <v>10</v>
      </c>
      <c r="H68" s="171" t="s">
        <v>101</v>
      </c>
      <c r="I68" s="153"/>
    </row>
    <row r="69" spans="2:12" hidden="1" x14ac:dyDescent="0.25">
      <c r="B69" s="177">
        <v>47</v>
      </c>
      <c r="C69" s="162">
        <v>46073</v>
      </c>
      <c r="D69" s="152">
        <v>20000</v>
      </c>
      <c r="E69" s="167" t="s">
        <v>646</v>
      </c>
      <c r="F69" s="152"/>
      <c r="G69" s="179" t="s">
        <v>10</v>
      </c>
      <c r="H69" s="171" t="s">
        <v>102</v>
      </c>
      <c r="I69" s="153"/>
    </row>
    <row r="70" spans="2:12" hidden="1" x14ac:dyDescent="0.25">
      <c r="B70" s="177">
        <v>48</v>
      </c>
      <c r="C70" s="162">
        <v>46073</v>
      </c>
      <c r="D70" s="152">
        <v>260100</v>
      </c>
      <c r="E70" s="165" t="s">
        <v>9</v>
      </c>
      <c r="F70" s="152" t="s">
        <v>43</v>
      </c>
      <c r="G70" s="179" t="s">
        <v>10</v>
      </c>
      <c r="H70" s="171" t="s">
        <v>103</v>
      </c>
      <c r="I70" s="153"/>
    </row>
    <row r="71" spans="2:12" x14ac:dyDescent="0.25">
      <c r="B71" s="177">
        <v>49</v>
      </c>
      <c r="C71" s="162">
        <v>46073</v>
      </c>
      <c r="D71" s="156">
        <f>+L71</f>
        <v>412000</v>
      </c>
      <c r="E71" s="169" t="s">
        <v>22</v>
      </c>
      <c r="F71" s="152"/>
      <c r="G71" s="179" t="s">
        <v>10</v>
      </c>
      <c r="H71" s="176" t="s">
        <v>651</v>
      </c>
      <c r="I71" s="153"/>
      <c r="L71" s="156">
        <v>412000</v>
      </c>
    </row>
    <row r="72" spans="2:12" hidden="1" x14ac:dyDescent="0.25">
      <c r="B72" s="177">
        <v>50</v>
      </c>
      <c r="C72" s="162">
        <v>46073</v>
      </c>
      <c r="D72" s="152">
        <v>80000</v>
      </c>
      <c r="E72" s="165" t="s">
        <v>9</v>
      </c>
      <c r="F72" s="152"/>
      <c r="G72" s="179" t="s">
        <v>2</v>
      </c>
      <c r="H72" s="171" t="s">
        <v>108</v>
      </c>
      <c r="I72" s="153"/>
    </row>
    <row r="73" spans="2:12" x14ac:dyDescent="0.25">
      <c r="B73" s="177">
        <v>51</v>
      </c>
      <c r="C73" s="162">
        <v>46074</v>
      </c>
      <c r="D73" s="152">
        <v>57000</v>
      </c>
      <c r="E73" s="169" t="s">
        <v>22</v>
      </c>
      <c r="F73" s="152"/>
      <c r="G73" s="179" t="s">
        <v>10</v>
      </c>
      <c r="H73" s="171" t="s">
        <v>109</v>
      </c>
      <c r="I73" s="153"/>
    </row>
    <row r="74" spans="2:12" hidden="1" x14ac:dyDescent="0.25">
      <c r="B74" s="177">
        <v>52</v>
      </c>
      <c r="C74" s="162">
        <v>46074</v>
      </c>
      <c r="D74" s="152">
        <v>5600</v>
      </c>
      <c r="E74" s="165" t="s">
        <v>8</v>
      </c>
      <c r="F74" s="152"/>
      <c r="G74" s="179" t="s">
        <v>10</v>
      </c>
      <c r="H74" s="171" t="s">
        <v>110</v>
      </c>
      <c r="I74" s="153"/>
    </row>
    <row r="75" spans="2:12" hidden="1" x14ac:dyDescent="0.25">
      <c r="B75" s="177">
        <v>53</v>
      </c>
      <c r="C75" s="162">
        <v>46074</v>
      </c>
      <c r="D75" s="152">
        <v>15000</v>
      </c>
      <c r="E75" s="165" t="s">
        <v>9</v>
      </c>
      <c r="F75" s="152"/>
      <c r="G75" s="179" t="s">
        <v>10</v>
      </c>
      <c r="H75" s="171" t="s">
        <v>111</v>
      </c>
      <c r="I75" s="153"/>
    </row>
    <row r="76" spans="2:12" hidden="1" x14ac:dyDescent="0.25">
      <c r="B76" s="177">
        <v>54</v>
      </c>
      <c r="C76" s="162">
        <v>46076</v>
      </c>
      <c r="D76" s="152">
        <v>58200</v>
      </c>
      <c r="E76" s="165" t="s">
        <v>8</v>
      </c>
      <c r="F76" s="152"/>
      <c r="G76" s="179" t="s">
        <v>10</v>
      </c>
      <c r="H76" s="171" t="s">
        <v>129</v>
      </c>
      <c r="I76" s="153"/>
    </row>
    <row r="77" spans="2:12" hidden="1" x14ac:dyDescent="0.25">
      <c r="B77" s="177">
        <v>55</v>
      </c>
      <c r="C77" s="162">
        <v>46076</v>
      </c>
      <c r="D77" s="152">
        <v>63202</v>
      </c>
      <c r="E77" s="165" t="s">
        <v>8</v>
      </c>
      <c r="F77" s="152"/>
      <c r="G77" s="179" t="s">
        <v>10</v>
      </c>
      <c r="H77" s="171" t="s">
        <v>113</v>
      </c>
      <c r="I77" s="153"/>
    </row>
    <row r="78" spans="2:12" hidden="1" x14ac:dyDescent="0.25">
      <c r="B78" s="177">
        <v>56</v>
      </c>
      <c r="C78" s="162">
        <v>46076</v>
      </c>
      <c r="D78" s="152">
        <f>8200+1300</f>
        <v>9500</v>
      </c>
      <c r="E78" s="165" t="s">
        <v>8</v>
      </c>
      <c r="F78" s="152"/>
      <c r="G78" s="179" t="s">
        <v>10</v>
      </c>
      <c r="H78" s="171" t="s">
        <v>12</v>
      </c>
      <c r="I78" s="153"/>
    </row>
    <row r="79" spans="2:12" x14ac:dyDescent="0.25">
      <c r="B79" s="177">
        <v>57</v>
      </c>
      <c r="C79" s="162">
        <v>46076</v>
      </c>
      <c r="D79" s="152">
        <v>20400</v>
      </c>
      <c r="E79" s="169" t="s">
        <v>22</v>
      </c>
      <c r="F79" s="152"/>
      <c r="G79" s="179" t="s">
        <v>10</v>
      </c>
      <c r="H79" s="171" t="s">
        <v>114</v>
      </c>
      <c r="I79" s="153"/>
    </row>
    <row r="80" spans="2:12" x14ac:dyDescent="0.25">
      <c r="B80" s="177">
        <v>58</v>
      </c>
      <c r="C80" s="162">
        <v>46076</v>
      </c>
      <c r="D80" s="152">
        <v>42500</v>
      </c>
      <c r="E80" s="169" t="s">
        <v>22</v>
      </c>
      <c r="F80" s="152"/>
      <c r="G80" s="179" t="s">
        <v>10</v>
      </c>
      <c r="H80" s="171" t="s">
        <v>647</v>
      </c>
      <c r="I80" s="153"/>
    </row>
    <row r="81" spans="2:9" x14ac:dyDescent="0.25">
      <c r="B81" s="177">
        <v>59</v>
      </c>
      <c r="C81" s="162">
        <v>46076</v>
      </c>
      <c r="D81" s="152">
        <v>192000</v>
      </c>
      <c r="E81" s="169" t="s">
        <v>22</v>
      </c>
      <c r="F81" s="152"/>
      <c r="G81" s="179" t="s">
        <v>10</v>
      </c>
      <c r="H81" s="171" t="s">
        <v>112</v>
      </c>
      <c r="I81" s="153"/>
    </row>
    <row r="82" spans="2:9" hidden="1" x14ac:dyDescent="0.25">
      <c r="B82" s="177">
        <v>60</v>
      </c>
      <c r="C82" s="162">
        <v>46076</v>
      </c>
      <c r="D82" s="152">
        <v>260000</v>
      </c>
      <c r="E82" s="165" t="s">
        <v>9</v>
      </c>
      <c r="F82" s="152"/>
      <c r="G82" s="179" t="s">
        <v>10</v>
      </c>
      <c r="H82" s="171" t="s">
        <v>124</v>
      </c>
      <c r="I82" s="153"/>
    </row>
    <row r="83" spans="2:9" hidden="1" x14ac:dyDescent="0.25">
      <c r="B83" s="177">
        <v>61</v>
      </c>
      <c r="C83" s="162">
        <v>46076</v>
      </c>
      <c r="D83" s="152">
        <v>30000</v>
      </c>
      <c r="E83" s="165" t="s">
        <v>9</v>
      </c>
      <c r="F83" s="152"/>
      <c r="G83" s="179" t="s">
        <v>2</v>
      </c>
      <c r="H83" s="171" t="s">
        <v>127</v>
      </c>
      <c r="I83" s="153"/>
    </row>
    <row r="84" spans="2:9" hidden="1" x14ac:dyDescent="0.25">
      <c r="B84" s="177">
        <v>62</v>
      </c>
      <c r="C84" s="162">
        <v>46076</v>
      </c>
      <c r="D84" s="156">
        <v>615000</v>
      </c>
      <c r="E84" s="165" t="s">
        <v>8</v>
      </c>
      <c r="F84" s="152"/>
      <c r="G84" s="179" t="s">
        <v>2</v>
      </c>
      <c r="H84" s="171" t="s">
        <v>128</v>
      </c>
      <c r="I84" s="153"/>
    </row>
    <row r="85" spans="2:9" hidden="1" x14ac:dyDescent="0.25">
      <c r="B85" s="177">
        <v>63</v>
      </c>
      <c r="C85" s="162">
        <v>46076</v>
      </c>
      <c r="D85" s="152">
        <v>81000</v>
      </c>
      <c r="E85" s="165" t="s">
        <v>8</v>
      </c>
      <c r="F85" s="152"/>
      <c r="G85" s="179" t="s">
        <v>2</v>
      </c>
      <c r="H85" s="171" t="s">
        <v>223</v>
      </c>
      <c r="I85" s="153"/>
    </row>
    <row r="86" spans="2:9" hidden="1" x14ac:dyDescent="0.25">
      <c r="B86" s="177">
        <v>64</v>
      </c>
      <c r="C86" s="162">
        <v>46084</v>
      </c>
      <c r="D86" s="152">
        <v>395000</v>
      </c>
      <c r="E86" s="165" t="s">
        <v>9</v>
      </c>
      <c r="F86" s="152"/>
      <c r="G86" s="179" t="s">
        <v>2</v>
      </c>
      <c r="H86" s="171" t="s">
        <v>214</v>
      </c>
      <c r="I86" s="153"/>
    </row>
    <row r="87" spans="2:9" hidden="1" x14ac:dyDescent="0.25">
      <c r="B87" s="178">
        <v>65</v>
      </c>
      <c r="C87" s="163">
        <v>46083</v>
      </c>
      <c r="D87" s="159">
        <v>330400</v>
      </c>
      <c r="E87" s="170" t="s">
        <v>9</v>
      </c>
      <c r="F87" s="159"/>
      <c r="G87" s="180" t="s">
        <v>2</v>
      </c>
      <c r="H87" s="172" t="s">
        <v>222</v>
      </c>
      <c r="I87" s="160"/>
    </row>
  </sheetData>
  <autoFilter ref="C23:I87" xr:uid="{00000000-0009-0000-0000-000001000000}">
    <filterColumn colId="2">
      <filters>
        <filter val="Costo"/>
      </filters>
    </filterColumn>
  </autoFilter>
  <conditionalFormatting sqref="I24:I35 D30:D35 I41:I43 D42:D43 H56 H66 D2:F2 G2:G6 E20:F1048576 E19 E5:F13 E14 E15:F18">
    <cfRule type="containsText" dxfId="15" priority="25" operator="containsText" text="Patrimonio">
      <formula>NOT(ISERROR(SEARCH("Patrimonio",D2)))</formula>
    </cfRule>
    <cfRule type="containsText" dxfId="14" priority="26" operator="containsText" text="Por Pagar">
      <formula>NOT(ISERROR(SEARCH("Por Pagar",D2)))</formula>
    </cfRule>
  </conditionalFormatting>
  <conditionalFormatting sqref="D19:D20">
    <cfRule type="containsText" dxfId="13" priority="3" operator="containsText" text="Patrimonio">
      <formula>NOT(ISERROR(SEARCH("Patrimonio",D19)))</formula>
    </cfRule>
    <cfRule type="containsText" dxfId="12" priority="4" operator="containsText" text="Por Pagar">
      <formula>NOT(ISERROR(SEARCH("Por Pagar",D19)))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6">
        <v>1</v>
      </c>
      <c r="C6" s="86" t="s">
        <v>289</v>
      </c>
      <c r="D6" s="86">
        <v>8000</v>
      </c>
    </row>
    <row r="7" spans="2:11" x14ac:dyDescent="0.25">
      <c r="B7" s="86">
        <v>1</v>
      </c>
      <c r="C7" s="86" t="s">
        <v>374</v>
      </c>
      <c r="D7" s="86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4" t="s">
        <v>271</v>
      </c>
      <c r="C15" s="74">
        <v>11000</v>
      </c>
    </row>
    <row r="16" spans="2:11" x14ac:dyDescent="0.25">
      <c r="B16" s="74" t="s">
        <v>271</v>
      </c>
      <c r="C16" s="74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F22"/>
  <sheetViews>
    <sheetView showGridLines="0" topLeftCell="A5" workbookViewId="0">
      <selection activeCell="D6" sqref="D6"/>
    </sheetView>
  </sheetViews>
  <sheetFormatPr baseColWidth="10" defaultRowHeight="15" x14ac:dyDescent="0.25"/>
  <cols>
    <col min="1" max="1" width="7.140625" bestFit="1" customWidth="1"/>
    <col min="2" max="2" width="14.5703125" bestFit="1" customWidth="1"/>
    <col min="3" max="3" width="21.28515625" bestFit="1" customWidth="1"/>
    <col min="4" max="4" width="19.7109375" style="51" bestFit="1" customWidth="1"/>
    <col min="5" max="5" width="19.85546875" bestFit="1" customWidth="1"/>
    <col min="11" max="11" width="15.5703125" bestFit="1" customWidth="1"/>
  </cols>
  <sheetData>
    <row r="1" spans="1:6" hidden="1" x14ac:dyDescent="0.25">
      <c r="E1" s="3">
        <v>1200000</v>
      </c>
      <c r="F1" t="s">
        <v>105</v>
      </c>
    </row>
    <row r="2" spans="1:6" hidden="1" x14ac:dyDescent="0.25">
      <c r="F2" t="s">
        <v>106</v>
      </c>
    </row>
    <row r="3" spans="1:6" hidden="1" x14ac:dyDescent="0.25">
      <c r="F3" t="s">
        <v>107</v>
      </c>
    </row>
    <row r="4" spans="1:6" hidden="1" x14ac:dyDescent="0.25"/>
    <row r="5" spans="1:6" x14ac:dyDescent="0.25">
      <c r="D5" t="str">
        <f>+IF(D6&gt;0,"Saldo a favor de papá","Saldo a favor a Edwin")</f>
        <v>Saldo a favor a Edwin</v>
      </c>
      <c r="E5" t="str">
        <f>+IF(E6&gt;0,"Saldo a favor de papá","Saldo a favor a Edwin")</f>
        <v>Saldo a favor a Edwin</v>
      </c>
    </row>
    <row r="6" spans="1:6" x14ac:dyDescent="0.25">
      <c r="A6" s="1" t="s">
        <v>5</v>
      </c>
      <c r="B6" s="1" t="s">
        <v>1</v>
      </c>
      <c r="C6" s="200" t="s">
        <v>121</v>
      </c>
      <c r="D6" s="62">
        <f>+SUM(D7:D1048576)</f>
        <v>-581250</v>
      </c>
      <c r="E6" s="62">
        <f>+SUM(E7:E1048576)</f>
        <v>-74500</v>
      </c>
    </row>
    <row r="7" spans="1:6" x14ac:dyDescent="0.25">
      <c r="A7" s="2">
        <v>46089</v>
      </c>
      <c r="B7" s="203" t="str">
        <f>+IF(D7&gt;1," Jose","Edwin")</f>
        <v xml:space="preserve"> Jose</v>
      </c>
      <c r="C7" t="s">
        <v>105</v>
      </c>
      <c r="D7" s="204">
        <v>1300000</v>
      </c>
    </row>
    <row r="8" spans="1:6" x14ac:dyDescent="0.25">
      <c r="A8" s="2">
        <v>46089</v>
      </c>
      <c r="B8" s="203" t="str">
        <f t="shared" ref="B8:B14" si="0">+IF(D8&gt;1," Jose","Edwin")</f>
        <v>Edwin</v>
      </c>
      <c r="C8" t="s">
        <v>284</v>
      </c>
      <c r="D8" s="204">
        <v>-1350000</v>
      </c>
    </row>
    <row r="9" spans="1:6" x14ac:dyDescent="0.25">
      <c r="A9" s="2">
        <v>46089</v>
      </c>
      <c r="B9" s="203" t="str">
        <f t="shared" si="0"/>
        <v>Edwin</v>
      </c>
      <c r="C9" s="1" t="s">
        <v>285</v>
      </c>
      <c r="D9" s="204">
        <v>-400000</v>
      </c>
    </row>
    <row r="10" spans="1:6" x14ac:dyDescent="0.25">
      <c r="A10" s="2">
        <v>46089</v>
      </c>
      <c r="B10" s="203" t="str">
        <f t="shared" si="0"/>
        <v>Edwin</v>
      </c>
      <c r="C10" t="s">
        <v>286</v>
      </c>
      <c r="D10" s="204">
        <f>-500000/2</f>
        <v>-250000</v>
      </c>
    </row>
    <row r="11" spans="1:6" x14ac:dyDescent="0.25">
      <c r="A11" s="2">
        <v>46089</v>
      </c>
      <c r="B11" s="203" t="str">
        <f t="shared" si="0"/>
        <v>Edwin</v>
      </c>
      <c r="C11" t="s">
        <v>287</v>
      </c>
      <c r="D11" s="204">
        <f>-180000/2</f>
        <v>-90000</v>
      </c>
    </row>
    <row r="12" spans="1:6" x14ac:dyDescent="0.25">
      <c r="A12" s="2">
        <v>46089</v>
      </c>
      <c r="B12" s="203" t="str">
        <f t="shared" si="0"/>
        <v>Edwin</v>
      </c>
      <c r="C12" t="s">
        <v>288</v>
      </c>
      <c r="D12" s="204">
        <v>-30000</v>
      </c>
    </row>
    <row r="13" spans="1:6" x14ac:dyDescent="0.25">
      <c r="A13" s="2">
        <v>46076</v>
      </c>
      <c r="B13" s="203" t="str">
        <f t="shared" si="0"/>
        <v xml:space="preserve"> Jose</v>
      </c>
      <c r="C13" t="s">
        <v>289</v>
      </c>
      <c r="D13" s="204">
        <f>((550-185)*3500)/2</f>
        <v>638750</v>
      </c>
    </row>
    <row r="14" spans="1:6" x14ac:dyDescent="0.25">
      <c r="A14" s="2">
        <v>46089</v>
      </c>
      <c r="B14" s="203" t="str">
        <f t="shared" si="0"/>
        <v>Edwin</v>
      </c>
      <c r="C14" t="s">
        <v>107</v>
      </c>
      <c r="D14" s="204">
        <f>-800000/2</f>
        <v>-400000</v>
      </c>
    </row>
    <row r="16" spans="1:6" x14ac:dyDescent="0.25">
      <c r="A16" s="2">
        <v>46097</v>
      </c>
      <c r="B16" s="203" t="str">
        <f>+IF(E16&gt;1," Jose","Edwin")</f>
        <v>Edwin</v>
      </c>
      <c r="C16" t="s">
        <v>639</v>
      </c>
      <c r="E16" s="204">
        <f>-30000-101000</f>
        <v>-131000</v>
      </c>
    </row>
    <row r="17" spans="1:6" x14ac:dyDescent="0.25">
      <c r="A17" s="2">
        <v>46097</v>
      </c>
      <c r="B17" s="203" t="str">
        <f>+IF(E17&gt;1," Jose","Edwin")</f>
        <v>Edwin</v>
      </c>
      <c r="C17" t="s">
        <v>638</v>
      </c>
      <c r="E17" s="204">
        <f>-60000/2</f>
        <v>-30000</v>
      </c>
    </row>
    <row r="18" spans="1:6" x14ac:dyDescent="0.25">
      <c r="A18" s="2">
        <v>46089</v>
      </c>
      <c r="B18" s="203" t="str">
        <f t="shared" ref="B18:B20" si="1">+IF(E18&gt;1," Jose","Edwin")</f>
        <v xml:space="preserve"> Jose</v>
      </c>
      <c r="C18" t="s">
        <v>640</v>
      </c>
      <c r="E18" s="205">
        <f>(500*3500)/2</f>
        <v>875000</v>
      </c>
      <c r="F18">
        <f>500/2</f>
        <v>250</v>
      </c>
    </row>
    <row r="19" spans="1:6" x14ac:dyDescent="0.25">
      <c r="A19" s="2">
        <v>46106</v>
      </c>
      <c r="B19" s="203" t="str">
        <f t="shared" si="1"/>
        <v xml:space="preserve"> Jose</v>
      </c>
      <c r="C19" t="s">
        <v>640</v>
      </c>
      <c r="E19" s="205">
        <f>(230*3500)/2</f>
        <v>402500</v>
      </c>
      <c r="F19">
        <f>230/2</f>
        <v>115</v>
      </c>
    </row>
    <row r="20" spans="1:6" x14ac:dyDescent="0.25">
      <c r="A20" s="2">
        <v>46107</v>
      </c>
      <c r="B20" s="203" t="str">
        <f t="shared" si="1"/>
        <v xml:space="preserve"> Jose</v>
      </c>
      <c r="C20" t="s">
        <v>288</v>
      </c>
      <c r="E20" s="204">
        <v>30000</v>
      </c>
    </row>
    <row r="21" spans="1:6" x14ac:dyDescent="0.25">
      <c r="A21" s="2">
        <v>46107</v>
      </c>
      <c r="B21" s="203" t="str">
        <f t="shared" ref="B21:B22" si="2">+IF(E21&gt;1," Jose","Edwin")</f>
        <v>Edwin</v>
      </c>
      <c r="C21" t="s">
        <v>654</v>
      </c>
      <c r="E21" s="204">
        <f>-(290)*3500</f>
        <v>-1015000</v>
      </c>
      <c r="F21">
        <v>290</v>
      </c>
    </row>
    <row r="22" spans="1:6" x14ac:dyDescent="0.25">
      <c r="A22" s="2">
        <v>46107</v>
      </c>
      <c r="B22" s="203" t="str">
        <f t="shared" si="2"/>
        <v>Edwin</v>
      </c>
      <c r="C22" t="s">
        <v>521</v>
      </c>
      <c r="E22" s="204">
        <f>-412000/2</f>
        <v>-206000</v>
      </c>
    </row>
  </sheetData>
  <autoFilter ref="B6:L15" xr:uid="{00000000-0001-0000-17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90B1-F2E0-4298-BA9C-287383829B0D}"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9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3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BJ43"/>
  <sheetViews>
    <sheetView showGridLines="0" zoomScaleNormal="100" workbookViewId="0">
      <pane xSplit="1" ySplit="2" topLeftCell="AR3" activePane="bottomRight" state="frozen"/>
      <selection pane="topRight" activeCell="B1" sqref="B1"/>
      <selection pane="bottomLeft" activeCell="A3" sqref="A3"/>
      <selection pane="bottomRight" activeCell="BG36" sqref="BG36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1.42578125" customWidth="1"/>
    <col min="48" max="48" width="3.140625" customWidth="1" collapsed="1"/>
    <col min="49" max="49" width="11.42578125" customWidth="1"/>
    <col min="50" max="50" width="3.140625" customWidth="1" collapsed="1"/>
    <col min="51" max="51" width="13" customWidth="1"/>
    <col min="52" max="52" width="3.140625" customWidth="1" collapsed="1"/>
    <col min="53" max="53" width="11.42578125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</cols>
  <sheetData>
    <row r="1" spans="1:61" x14ac:dyDescent="0.25">
      <c r="A1" s="33"/>
      <c r="C1" s="35">
        <f>+C14-A1</f>
        <v>205600</v>
      </c>
      <c r="D1" s="33"/>
      <c r="E1" s="34"/>
      <c r="F1" s="34"/>
      <c r="G1" s="34"/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lun</v>
      </c>
      <c r="BH1" s="34"/>
      <c r="BI1" s="34" t="str">
        <f>+TEXT(BI2,"ddd")</f>
        <v>mié</v>
      </c>
    </row>
    <row r="2" spans="1:61" x14ac:dyDescent="0.25">
      <c r="A2" s="36" t="s">
        <v>130</v>
      </c>
      <c r="B2" s="37" t="s">
        <v>131</v>
      </c>
      <c r="C2" s="38">
        <v>46076</v>
      </c>
      <c r="D2" s="37" t="s">
        <v>131</v>
      </c>
      <c r="E2" s="38">
        <v>46077</v>
      </c>
      <c r="F2" s="37" t="s">
        <v>131</v>
      </c>
      <c r="G2" s="38">
        <v>46078</v>
      </c>
      <c r="H2" s="37" t="s">
        <v>131</v>
      </c>
      <c r="I2" s="38">
        <v>46079</v>
      </c>
      <c r="J2" s="37" t="s">
        <v>131</v>
      </c>
      <c r="K2" s="38">
        <v>46080</v>
      </c>
      <c r="L2" s="37" t="s">
        <v>131</v>
      </c>
      <c r="M2" s="38">
        <v>46081</v>
      </c>
      <c r="N2" s="37" t="s">
        <v>131</v>
      </c>
      <c r="O2" s="38">
        <v>46082</v>
      </c>
      <c r="P2" s="37" t="s">
        <v>131</v>
      </c>
      <c r="Q2" s="38">
        <v>46083</v>
      </c>
      <c r="R2" s="37" t="s">
        <v>131</v>
      </c>
      <c r="S2" s="38">
        <v>46084</v>
      </c>
      <c r="T2" s="37" t="s">
        <v>131</v>
      </c>
      <c r="U2" s="38">
        <v>46085</v>
      </c>
      <c r="V2" s="37" t="s">
        <v>131</v>
      </c>
      <c r="W2" s="38">
        <v>46086</v>
      </c>
      <c r="X2" s="37" t="s">
        <v>131</v>
      </c>
      <c r="Y2" s="38">
        <v>46088</v>
      </c>
      <c r="Z2" s="37" t="s">
        <v>131</v>
      </c>
      <c r="AA2" s="38">
        <v>46089</v>
      </c>
      <c r="AB2" s="37" t="s">
        <v>131</v>
      </c>
      <c r="AC2" s="38">
        <v>46090</v>
      </c>
      <c r="AD2" s="37" t="s">
        <v>131</v>
      </c>
      <c r="AE2" s="38">
        <v>46091</v>
      </c>
      <c r="AF2" s="37" t="s">
        <v>131</v>
      </c>
      <c r="AG2" s="38">
        <v>46092</v>
      </c>
      <c r="AH2" s="37" t="s">
        <v>131</v>
      </c>
      <c r="AI2" s="38">
        <v>46093</v>
      </c>
      <c r="AJ2" s="37" t="s">
        <v>131</v>
      </c>
      <c r="AK2" s="38">
        <v>46094</v>
      </c>
      <c r="AL2" s="37" t="s">
        <v>131</v>
      </c>
      <c r="AM2" s="38">
        <v>46095</v>
      </c>
      <c r="AN2" s="37" t="s">
        <v>131</v>
      </c>
      <c r="AO2" s="38">
        <v>46096</v>
      </c>
      <c r="AP2" s="37" t="s">
        <v>131</v>
      </c>
      <c r="AQ2" s="38">
        <f>+AO2+1</f>
        <v>46097</v>
      </c>
      <c r="AR2" s="37" t="s">
        <v>131</v>
      </c>
      <c r="AS2" s="38">
        <f>+AQ2+1</f>
        <v>46098</v>
      </c>
      <c r="AT2" s="37" t="s">
        <v>131</v>
      </c>
      <c r="AU2" s="38">
        <f>+AS2+1</f>
        <v>46099</v>
      </c>
      <c r="AV2" s="37" t="s">
        <v>131</v>
      </c>
      <c r="AW2" s="38">
        <f>+AU2+1</f>
        <v>46100</v>
      </c>
      <c r="AX2" s="37" t="s">
        <v>131</v>
      </c>
      <c r="AY2" s="38">
        <f>+AW2+1</f>
        <v>46101</v>
      </c>
      <c r="AZ2" s="37" t="s">
        <v>131</v>
      </c>
      <c r="BA2" s="38">
        <f>+AY2+1</f>
        <v>46102</v>
      </c>
      <c r="BB2" s="37" t="s">
        <v>131</v>
      </c>
      <c r="BC2" s="38">
        <f>+BA2+1</f>
        <v>46103</v>
      </c>
      <c r="BD2" s="37" t="s">
        <v>131</v>
      </c>
      <c r="BE2" s="38">
        <f>+BC2+1</f>
        <v>46104</v>
      </c>
      <c r="BF2" s="37" t="s">
        <v>131</v>
      </c>
      <c r="BG2" s="38">
        <f>+BC2+1</f>
        <v>46104</v>
      </c>
      <c r="BH2" s="37" t="s">
        <v>131</v>
      </c>
      <c r="BI2" s="38">
        <f>+BG2+2</f>
        <v>46106</v>
      </c>
    </row>
    <row r="3" spans="1:61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</row>
    <row r="4" spans="1:61" outlineLevel="1" x14ac:dyDescent="0.25">
      <c r="A4" s="20">
        <v>50000</v>
      </c>
      <c r="B4" s="19">
        <v>1</v>
      </c>
      <c r="C4" s="3">
        <f t="shared" ref="C4:C13" si="15">+A4*B4</f>
        <v>50000</v>
      </c>
      <c r="D4" s="19">
        <v>1</v>
      </c>
      <c r="E4" s="3">
        <f t="shared" ref="E4:E13" si="16">+$A4*D4</f>
        <v>50000</v>
      </c>
      <c r="F4" s="19">
        <v>1</v>
      </c>
      <c r="G4" s="3"/>
      <c r="H4" s="19">
        <v>0</v>
      </c>
      <c r="I4" s="3">
        <f t="shared" ref="I4" si="17">+$A4*H4</f>
        <v>0</v>
      </c>
      <c r="J4" s="19">
        <v>2</v>
      </c>
      <c r="K4" s="3">
        <f t="shared" ref="K4" si="18">+$A4*J4</f>
        <v>100000</v>
      </c>
      <c r="L4" s="19">
        <v>0</v>
      </c>
      <c r="M4" s="3">
        <f t="shared" ref="M4" si="19">+$A4*L4</f>
        <v>0</v>
      </c>
      <c r="N4" s="19">
        <v>0</v>
      </c>
      <c r="O4" s="3">
        <f t="shared" ref="O4" si="20">+$A4*N4</f>
        <v>0</v>
      </c>
      <c r="P4" s="19">
        <v>1</v>
      </c>
      <c r="Q4" s="3">
        <f t="shared" ref="Q4" si="21">+$A4*P4</f>
        <v>50000</v>
      </c>
      <c r="R4" s="19">
        <v>1</v>
      </c>
      <c r="S4" s="3"/>
      <c r="T4" s="19">
        <v>0</v>
      </c>
      <c r="U4" s="3">
        <f t="shared" ref="U4:U5" si="22">+$A4*T4</f>
        <v>0</v>
      </c>
      <c r="V4" s="1">
        <v>1</v>
      </c>
      <c r="W4" s="3">
        <f t="shared" ref="W4:W5" si="23">+$A4*V4</f>
        <v>50000</v>
      </c>
      <c r="X4" s="1">
        <v>0</v>
      </c>
      <c r="Y4" s="3">
        <f t="shared" ref="Y4:Y5" si="24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</row>
    <row r="5" spans="1:61" outlineLevel="1" x14ac:dyDescent="0.25">
      <c r="A5" s="20">
        <v>20000</v>
      </c>
      <c r="B5" s="19">
        <v>4</v>
      </c>
      <c r="C5" s="3">
        <f t="shared" si="15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2"/>
        <v>0</v>
      </c>
      <c r="V5" s="1">
        <v>0</v>
      </c>
      <c r="W5" s="3">
        <f t="shared" si="23"/>
        <v>0</v>
      </c>
      <c r="X5" s="1">
        <v>0</v>
      </c>
      <c r="Y5" s="3">
        <f t="shared" si="24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</row>
    <row r="6" spans="1:61" outlineLevel="1" x14ac:dyDescent="0.25">
      <c r="A6" s="20">
        <v>10000</v>
      </c>
      <c r="B6" s="19">
        <v>2</v>
      </c>
      <c r="C6" s="3">
        <f t="shared" si="15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</row>
    <row r="7" spans="1:61" outlineLevel="1" x14ac:dyDescent="0.25">
      <c r="A7" s="20">
        <v>5000</v>
      </c>
      <c r="B7" s="19">
        <v>2</v>
      </c>
      <c r="C7" s="3">
        <f t="shared" si="15"/>
        <v>10000</v>
      </c>
      <c r="D7" s="19">
        <v>4</v>
      </c>
      <c r="E7" s="3">
        <f t="shared" si="16"/>
        <v>20000</v>
      </c>
      <c r="F7" s="19">
        <v>4</v>
      </c>
      <c r="G7" s="3"/>
      <c r="H7" s="19">
        <v>6</v>
      </c>
      <c r="I7" s="3">
        <f t="shared" ref="I7:I13" si="25">+$A7*H7</f>
        <v>30000</v>
      </c>
      <c r="J7" s="19">
        <v>5</v>
      </c>
      <c r="K7" s="3">
        <f t="shared" ref="K7:K13" si="26">+$A7*J7</f>
        <v>25000</v>
      </c>
      <c r="L7" s="19">
        <v>5</v>
      </c>
      <c r="M7" s="3">
        <f t="shared" ref="M7:M13" si="27">+$A7*L7</f>
        <v>25000</v>
      </c>
      <c r="N7" s="19">
        <v>5</v>
      </c>
      <c r="O7" s="3">
        <f t="shared" ref="O7:O13" si="28">+$A7*N7</f>
        <v>25000</v>
      </c>
      <c r="P7" s="19">
        <v>3</v>
      </c>
      <c r="Q7" s="3">
        <f t="shared" ref="Q7:Q13" si="29">+$A7*P7</f>
        <v>15000</v>
      </c>
      <c r="R7" s="19">
        <v>3</v>
      </c>
      <c r="S7" s="3"/>
      <c r="T7" s="19">
        <v>3</v>
      </c>
      <c r="U7" s="3">
        <f t="shared" ref="U7:U13" si="30">+$A7*T7</f>
        <v>15000</v>
      </c>
      <c r="V7" s="1">
        <v>4</v>
      </c>
      <c r="W7" s="3">
        <f t="shared" ref="W7:W13" si="31">+$A7*V7</f>
        <v>20000</v>
      </c>
      <c r="X7" s="1">
        <v>0</v>
      </c>
      <c r="Y7" s="3">
        <f t="shared" ref="Y7:Y13" si="32">+$A7*X7</f>
        <v>0</v>
      </c>
      <c r="Z7" s="1">
        <v>0</v>
      </c>
      <c r="AA7" s="3">
        <f t="shared" ref="AA7:AC13" si="33">+$A7*Z7</f>
        <v>0</v>
      </c>
      <c r="AB7" s="1">
        <v>3</v>
      </c>
      <c r="AC7" s="3">
        <f t="shared" si="33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</row>
    <row r="8" spans="1:61" outlineLevel="1" x14ac:dyDescent="0.25">
      <c r="A8" s="20">
        <v>2000</v>
      </c>
      <c r="B8" s="19">
        <v>4</v>
      </c>
      <c r="C8" s="3">
        <f t="shared" si="15"/>
        <v>8000</v>
      </c>
      <c r="D8" s="19">
        <v>5</v>
      </c>
      <c r="E8" s="3">
        <f t="shared" si="16"/>
        <v>10000</v>
      </c>
      <c r="F8" s="19">
        <v>5</v>
      </c>
      <c r="G8" s="3"/>
      <c r="H8" s="19">
        <v>12</v>
      </c>
      <c r="I8" s="3">
        <f t="shared" si="25"/>
        <v>24000</v>
      </c>
      <c r="J8" s="19">
        <v>17</v>
      </c>
      <c r="K8" s="3">
        <f t="shared" si="26"/>
        <v>34000</v>
      </c>
      <c r="L8" s="19">
        <v>14</v>
      </c>
      <c r="M8" s="3">
        <f t="shared" si="27"/>
        <v>28000</v>
      </c>
      <c r="N8" s="19">
        <v>14</v>
      </c>
      <c r="O8" s="3">
        <f t="shared" si="28"/>
        <v>28000</v>
      </c>
      <c r="P8" s="19">
        <v>10</v>
      </c>
      <c r="Q8" s="3">
        <f t="shared" si="29"/>
        <v>20000</v>
      </c>
      <c r="R8" s="19">
        <v>10</v>
      </c>
      <c r="S8" s="3"/>
      <c r="T8" s="19">
        <v>12</v>
      </c>
      <c r="U8" s="3">
        <f t="shared" si="30"/>
        <v>24000</v>
      </c>
      <c r="V8" s="1">
        <v>22</v>
      </c>
      <c r="W8" s="3">
        <f t="shared" si="31"/>
        <v>44000</v>
      </c>
      <c r="X8" s="1">
        <v>23</v>
      </c>
      <c r="Y8" s="3">
        <f t="shared" si="32"/>
        <v>46000</v>
      </c>
      <c r="Z8" s="1">
        <v>20</v>
      </c>
      <c r="AA8" s="3">
        <f t="shared" si="33"/>
        <v>40000</v>
      </c>
      <c r="AB8" s="1">
        <v>25</v>
      </c>
      <c r="AC8" s="3">
        <f t="shared" si="33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</row>
    <row r="9" spans="1:61" outlineLevel="1" x14ac:dyDescent="0.25">
      <c r="A9" s="20">
        <v>1000</v>
      </c>
      <c r="B9" s="19">
        <v>7</v>
      </c>
      <c r="C9" s="3">
        <f t="shared" si="15"/>
        <v>7000</v>
      </c>
      <c r="D9" s="19">
        <v>8</v>
      </c>
      <c r="E9" s="3">
        <f t="shared" si="16"/>
        <v>8000</v>
      </c>
      <c r="F9" s="19">
        <v>8</v>
      </c>
      <c r="G9" s="3"/>
      <c r="H9" s="19">
        <v>3</v>
      </c>
      <c r="I9" s="3">
        <f t="shared" si="25"/>
        <v>3000</v>
      </c>
      <c r="J9" s="19">
        <v>2</v>
      </c>
      <c r="K9" s="3">
        <f t="shared" si="26"/>
        <v>2000</v>
      </c>
      <c r="L9" s="19">
        <v>0</v>
      </c>
      <c r="M9" s="3">
        <f t="shared" si="27"/>
        <v>0</v>
      </c>
      <c r="N9" s="19">
        <v>0</v>
      </c>
      <c r="O9" s="3">
        <f t="shared" si="28"/>
        <v>0</v>
      </c>
      <c r="P9" s="19">
        <v>0</v>
      </c>
      <c r="Q9" s="3">
        <f t="shared" si="29"/>
        <v>0</v>
      </c>
      <c r="R9" s="19">
        <v>0</v>
      </c>
      <c r="S9" s="3"/>
      <c r="T9" s="19">
        <v>20</v>
      </c>
      <c r="U9" s="3">
        <f t="shared" si="30"/>
        <v>20000</v>
      </c>
      <c r="V9" s="1">
        <v>16</v>
      </c>
      <c r="W9" s="3">
        <f t="shared" si="31"/>
        <v>16000</v>
      </c>
      <c r="X9" s="1">
        <v>12</v>
      </c>
      <c r="Y9" s="3">
        <f t="shared" si="32"/>
        <v>12000</v>
      </c>
      <c r="Z9" s="1">
        <v>9</v>
      </c>
      <c r="AA9" s="3">
        <f t="shared" si="33"/>
        <v>9000</v>
      </c>
      <c r="AB9" s="1">
        <v>6</v>
      </c>
      <c r="AC9" s="3">
        <f t="shared" si="33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</row>
    <row r="10" spans="1:61" outlineLevel="1" x14ac:dyDescent="0.25">
      <c r="A10" s="20">
        <v>500</v>
      </c>
      <c r="B10" s="19">
        <v>31</v>
      </c>
      <c r="C10" s="3">
        <f t="shared" si="15"/>
        <v>15500</v>
      </c>
      <c r="D10" s="19">
        <v>32</v>
      </c>
      <c r="E10" s="3">
        <f t="shared" si="16"/>
        <v>16000</v>
      </c>
      <c r="F10" s="19">
        <v>32</v>
      </c>
      <c r="G10" s="3"/>
      <c r="H10" s="19">
        <v>38</v>
      </c>
      <c r="I10" s="3">
        <f t="shared" si="25"/>
        <v>19000</v>
      </c>
      <c r="J10" s="19">
        <v>37</v>
      </c>
      <c r="K10" s="3">
        <f t="shared" si="26"/>
        <v>18500</v>
      </c>
      <c r="L10" s="19">
        <v>36</v>
      </c>
      <c r="M10" s="3">
        <f t="shared" si="27"/>
        <v>18000</v>
      </c>
      <c r="N10" s="19">
        <v>36</v>
      </c>
      <c r="O10" s="3">
        <f t="shared" si="28"/>
        <v>18000</v>
      </c>
      <c r="P10" s="19">
        <v>36</v>
      </c>
      <c r="Q10" s="3">
        <f t="shared" si="29"/>
        <v>18000</v>
      </c>
      <c r="R10" s="19">
        <v>36</v>
      </c>
      <c r="S10" s="3"/>
      <c r="T10" s="19">
        <v>40</v>
      </c>
      <c r="U10" s="3">
        <f t="shared" si="30"/>
        <v>20000</v>
      </c>
      <c r="V10" s="1">
        <v>45</v>
      </c>
      <c r="W10" s="3">
        <f t="shared" si="31"/>
        <v>22500</v>
      </c>
      <c r="X10" s="1">
        <v>31</v>
      </c>
      <c r="Y10" s="3">
        <f t="shared" si="32"/>
        <v>15500</v>
      </c>
      <c r="Z10" s="1">
        <v>20</v>
      </c>
      <c r="AA10" s="3">
        <f t="shared" si="33"/>
        <v>10000</v>
      </c>
      <c r="AB10" s="1">
        <v>21</v>
      </c>
      <c r="AC10" s="3">
        <f t="shared" si="33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</row>
    <row r="11" spans="1:61" outlineLevel="1" x14ac:dyDescent="0.25">
      <c r="A11" s="20">
        <v>200</v>
      </c>
      <c r="B11" s="19">
        <v>54</v>
      </c>
      <c r="C11" s="3">
        <f t="shared" si="15"/>
        <v>10800</v>
      </c>
      <c r="D11" s="19">
        <v>56</v>
      </c>
      <c r="E11" s="3">
        <f t="shared" si="16"/>
        <v>11200</v>
      </c>
      <c r="F11" s="19">
        <v>56</v>
      </c>
      <c r="G11" s="3"/>
      <c r="H11" s="19">
        <v>62</v>
      </c>
      <c r="I11" s="3">
        <f t="shared" si="25"/>
        <v>12400</v>
      </c>
      <c r="J11" s="19">
        <v>62</v>
      </c>
      <c r="K11" s="3">
        <f t="shared" si="26"/>
        <v>12400</v>
      </c>
      <c r="L11" s="19">
        <v>68</v>
      </c>
      <c r="M11" s="3">
        <f t="shared" si="27"/>
        <v>13600</v>
      </c>
      <c r="N11" s="19">
        <v>68</v>
      </c>
      <c r="O11" s="3">
        <f t="shared" si="28"/>
        <v>13600</v>
      </c>
      <c r="P11" s="19">
        <v>81</v>
      </c>
      <c r="Q11" s="3">
        <f t="shared" si="29"/>
        <v>16200</v>
      </c>
      <c r="R11" s="19">
        <v>81</v>
      </c>
      <c r="S11" s="3"/>
      <c r="T11" s="19">
        <v>3</v>
      </c>
      <c r="U11" s="3">
        <f t="shared" si="30"/>
        <v>600</v>
      </c>
      <c r="V11" s="1">
        <v>5</v>
      </c>
      <c r="W11" s="3">
        <f t="shared" si="31"/>
        <v>1000</v>
      </c>
      <c r="X11" s="1">
        <v>4</v>
      </c>
      <c r="Y11" s="3">
        <f t="shared" si="32"/>
        <v>800</v>
      </c>
      <c r="Z11" s="1">
        <v>4</v>
      </c>
      <c r="AA11" s="3">
        <f t="shared" si="33"/>
        <v>800</v>
      </c>
      <c r="AB11" s="1">
        <v>7</v>
      </c>
      <c r="AC11" s="3">
        <f t="shared" si="33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</row>
    <row r="12" spans="1:61" outlineLevel="1" x14ac:dyDescent="0.25">
      <c r="A12" s="20">
        <v>100</v>
      </c>
      <c r="B12" s="19">
        <v>38</v>
      </c>
      <c r="C12" s="3">
        <f t="shared" si="15"/>
        <v>3800</v>
      </c>
      <c r="D12" s="19">
        <v>39</v>
      </c>
      <c r="E12" s="3">
        <f t="shared" si="16"/>
        <v>3900</v>
      </c>
      <c r="F12" s="19">
        <v>39</v>
      </c>
      <c r="G12" s="3"/>
      <c r="H12" s="19">
        <v>51</v>
      </c>
      <c r="I12" s="3">
        <f t="shared" si="25"/>
        <v>5100</v>
      </c>
      <c r="J12" s="19">
        <v>48</v>
      </c>
      <c r="K12" s="3">
        <f t="shared" si="26"/>
        <v>4800</v>
      </c>
      <c r="L12" s="19">
        <v>63</v>
      </c>
      <c r="M12" s="3">
        <f t="shared" si="27"/>
        <v>6300</v>
      </c>
      <c r="N12" s="19">
        <v>63</v>
      </c>
      <c r="O12" s="3">
        <f t="shared" si="28"/>
        <v>6300</v>
      </c>
      <c r="P12" s="19">
        <v>77</v>
      </c>
      <c r="Q12" s="3">
        <f t="shared" si="29"/>
        <v>7700</v>
      </c>
      <c r="R12" s="19">
        <v>77</v>
      </c>
      <c r="S12" s="3"/>
      <c r="T12" s="19">
        <v>9</v>
      </c>
      <c r="U12" s="3">
        <f t="shared" si="30"/>
        <v>900</v>
      </c>
      <c r="V12" s="1">
        <v>11</v>
      </c>
      <c r="W12" s="3">
        <f t="shared" si="31"/>
        <v>1100</v>
      </c>
      <c r="X12" s="1">
        <v>13</v>
      </c>
      <c r="Y12" s="3">
        <f t="shared" si="32"/>
        <v>1300</v>
      </c>
      <c r="Z12" s="1">
        <v>13</v>
      </c>
      <c r="AA12" s="3">
        <f t="shared" si="33"/>
        <v>1300</v>
      </c>
      <c r="AB12" s="1">
        <v>14</v>
      </c>
      <c r="AC12" s="3">
        <f t="shared" si="33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</row>
    <row r="13" spans="1:61" ht="15.75" outlineLevel="1" thickBot="1" x14ac:dyDescent="0.3">
      <c r="A13" s="20">
        <v>50</v>
      </c>
      <c r="B13" s="19">
        <v>10</v>
      </c>
      <c r="C13" s="21">
        <f t="shared" si="15"/>
        <v>500</v>
      </c>
      <c r="D13" s="19">
        <v>10</v>
      </c>
      <c r="E13" s="21">
        <f t="shared" si="16"/>
        <v>500</v>
      </c>
      <c r="F13" s="19">
        <v>10</v>
      </c>
      <c r="G13" s="21"/>
      <c r="H13" s="19">
        <v>10</v>
      </c>
      <c r="I13" s="21">
        <f t="shared" si="25"/>
        <v>500</v>
      </c>
      <c r="J13" s="19">
        <v>10</v>
      </c>
      <c r="K13" s="21">
        <f t="shared" si="26"/>
        <v>500</v>
      </c>
      <c r="L13" s="19">
        <v>10</v>
      </c>
      <c r="M13" s="21">
        <f t="shared" si="27"/>
        <v>500</v>
      </c>
      <c r="N13" s="19">
        <v>10</v>
      </c>
      <c r="O13" s="21">
        <f t="shared" si="28"/>
        <v>500</v>
      </c>
      <c r="P13" s="19">
        <v>14</v>
      </c>
      <c r="Q13" s="21">
        <f t="shared" si="29"/>
        <v>700</v>
      </c>
      <c r="R13" s="19">
        <v>14</v>
      </c>
      <c r="S13" s="21"/>
      <c r="T13" s="19">
        <v>9</v>
      </c>
      <c r="U13" s="21">
        <f t="shared" si="30"/>
        <v>450</v>
      </c>
      <c r="V13" s="1">
        <v>9</v>
      </c>
      <c r="W13" s="21">
        <f t="shared" si="31"/>
        <v>450</v>
      </c>
      <c r="X13" s="1">
        <v>8</v>
      </c>
      <c r="Y13" s="21">
        <f t="shared" si="32"/>
        <v>400</v>
      </c>
      <c r="Z13" s="1">
        <v>11</v>
      </c>
      <c r="AA13" s="21">
        <f t="shared" si="33"/>
        <v>550</v>
      </c>
      <c r="AB13" s="1">
        <v>9</v>
      </c>
      <c r="AC13" s="21">
        <f t="shared" si="33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</row>
    <row r="14" spans="1:61" ht="15.75" thickTop="1" x14ac:dyDescent="0.25">
      <c r="C14" s="13">
        <f>+SUM(C3:C13)</f>
        <v>205600</v>
      </c>
      <c r="E14" s="13">
        <f>+SUM(E3:E13)</f>
        <v>239600</v>
      </c>
      <c r="G14" s="12">
        <v>0</v>
      </c>
      <c r="I14" s="48">
        <f>100000+(315000-10000)</f>
        <v>405000</v>
      </c>
      <c r="K14" s="48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61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</row>
    <row r="15" spans="1:61" x14ac:dyDescent="0.25">
      <c r="E15" s="13">
        <f>+SUM('historial de venta'!G32:G37)</f>
        <v>76000</v>
      </c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36500</v>
      </c>
    </row>
    <row r="16" spans="1:61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144700</v>
      </c>
    </row>
    <row r="17" spans="1:62" x14ac:dyDescent="0.25">
      <c r="A17" s="41" t="s">
        <v>3</v>
      </c>
      <c r="C17" s="41" t="s">
        <v>158</v>
      </c>
      <c r="D17" s="39"/>
      <c r="E17" s="41" t="s">
        <v>159</v>
      </c>
      <c r="F17" s="40"/>
      <c r="G17" s="41" t="s">
        <v>160</v>
      </c>
      <c r="H17" s="40"/>
      <c r="I17" s="41" t="s">
        <v>161</v>
      </c>
      <c r="J17" s="40"/>
      <c r="K17" s="41" t="s">
        <v>189</v>
      </c>
      <c r="L17" s="40"/>
      <c r="M17" s="41" t="s">
        <v>197</v>
      </c>
      <c r="N17" s="40"/>
      <c r="O17" s="41" t="str">
        <f>+O1</f>
        <v>dom</v>
      </c>
      <c r="P17" s="40"/>
      <c r="Q17" s="41" t="str">
        <f>+Q1</f>
        <v>lun</v>
      </c>
      <c r="R17" s="40"/>
      <c r="S17" s="41" t="str">
        <f>+S1</f>
        <v>mar</v>
      </c>
      <c r="T17" s="40"/>
      <c r="U17" s="41" t="str">
        <f>+U1</f>
        <v>mié</v>
      </c>
      <c r="V17" s="40"/>
      <c r="W17" s="41" t="str">
        <f>+W1</f>
        <v>jue</v>
      </c>
      <c r="X17" s="40"/>
      <c r="Y17" s="41" t="str">
        <f>+Y1</f>
        <v>sáb</v>
      </c>
      <c r="Z17" s="40"/>
      <c r="AA17" s="41" t="str">
        <f>+AA1</f>
        <v>dom</v>
      </c>
      <c r="AB17" s="40"/>
      <c r="AC17" s="41" t="str">
        <f>+AC1</f>
        <v>lun</v>
      </c>
      <c r="AD17" s="40"/>
      <c r="AE17" s="41" t="str">
        <f>+AE1</f>
        <v>mar</v>
      </c>
      <c r="AF17" s="40"/>
      <c r="AG17" s="41" t="str">
        <f>+AG1</f>
        <v>mié</v>
      </c>
      <c r="AH17" s="40"/>
      <c r="AI17" s="41" t="str">
        <f>+AI1</f>
        <v>jue</v>
      </c>
      <c r="AJ17" s="40"/>
      <c r="AK17" s="41" t="str">
        <f>+AK1</f>
        <v>vie</v>
      </c>
      <c r="AL17" s="40"/>
      <c r="AM17" s="41" t="str">
        <f>+AM1</f>
        <v>sáb</v>
      </c>
      <c r="AN17" s="40"/>
      <c r="AO17" s="41" t="str">
        <f>+AO1</f>
        <v>dom</v>
      </c>
      <c r="AP17" s="40"/>
      <c r="AQ17" s="41" t="str">
        <f>+AQ1</f>
        <v>lun</v>
      </c>
      <c r="AR17" s="40"/>
      <c r="AS17" s="41" t="str">
        <f>+AS1</f>
        <v>mar</v>
      </c>
      <c r="AT17" s="40"/>
      <c r="AU17" s="41" t="str">
        <f>+AU1</f>
        <v>mié</v>
      </c>
      <c r="AV17" s="40"/>
      <c r="AW17" s="41" t="str">
        <f>+AW1</f>
        <v>jue</v>
      </c>
      <c r="AX17" s="40"/>
      <c r="AY17" s="41" t="str">
        <f>+AY1</f>
        <v>vie</v>
      </c>
      <c r="AZ17" s="40"/>
      <c r="BA17" s="41" t="str">
        <f>+BA1</f>
        <v>sáb</v>
      </c>
      <c r="BB17" s="40"/>
      <c r="BC17" s="41" t="str">
        <f>+BC1</f>
        <v>dom</v>
      </c>
      <c r="BD17" s="40"/>
      <c r="BE17" s="41" t="str">
        <f>+BE1</f>
        <v>lun</v>
      </c>
      <c r="BF17" s="40"/>
      <c r="BG17" s="41" t="str">
        <f>+BG1</f>
        <v>lun</v>
      </c>
      <c r="BH17" s="40"/>
      <c r="BI17" s="41" t="str">
        <f>+BI1</f>
        <v>mié</v>
      </c>
    </row>
    <row r="18" spans="1:62" x14ac:dyDescent="0.25">
      <c r="A18" s="14" t="s">
        <v>133</v>
      </c>
      <c r="C18" s="14">
        <v>73700</v>
      </c>
      <c r="E18" s="42">
        <f>$C$23</f>
        <v>205600</v>
      </c>
      <c r="G18" s="24">
        <f>+E23</f>
        <v>315600</v>
      </c>
      <c r="I18" s="24">
        <f>+G23</f>
        <v>432900</v>
      </c>
      <c r="K18" s="24">
        <f>+I14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60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42">
        <v>0</v>
      </c>
      <c r="BG18" s="14">
        <f>+BA18</f>
        <v>108200</v>
      </c>
      <c r="BI18" s="14">
        <f>$BG$14</f>
        <v>215200</v>
      </c>
    </row>
    <row r="19" spans="1:62" x14ac:dyDescent="0.25">
      <c r="A19" s="14" t="s">
        <v>198</v>
      </c>
      <c r="C19" s="14"/>
      <c r="E19" s="42"/>
      <c r="G19" s="42"/>
      <c r="I19" s="42"/>
      <c r="K19" s="42"/>
      <c r="M19" s="57">
        <v>-350000</v>
      </c>
      <c r="O19" s="59">
        <v>0</v>
      </c>
      <c r="Q19" s="59">
        <v>0</v>
      </c>
      <c r="S19" s="59">
        <v>4300</v>
      </c>
      <c r="U19" s="57"/>
      <c r="W19" s="59">
        <f>+U25</f>
        <v>17400</v>
      </c>
      <c r="Y19" s="59"/>
      <c r="AA19" s="59">
        <v>75050</v>
      </c>
      <c r="AC19" s="59"/>
      <c r="AE19" s="59">
        <v>0</v>
      </c>
      <c r="AG19" s="57">
        <v>-100000</v>
      </c>
      <c r="AI19" s="59">
        <v>0</v>
      </c>
      <c r="AK19" s="59">
        <v>0</v>
      </c>
      <c r="AM19" s="59">
        <v>-100000</v>
      </c>
      <c r="AO19" s="59"/>
      <c r="AQ19" s="59">
        <f>'16mar'!$F$11</f>
        <v>99000</v>
      </c>
      <c r="AS19" s="59">
        <v>-250000</v>
      </c>
      <c r="AU19" s="59">
        <v>0</v>
      </c>
      <c r="AW19" s="59">
        <v>0</v>
      </c>
      <c r="AY19" s="59">
        <v>-230000</v>
      </c>
      <c r="BA19" s="59"/>
      <c r="BC19" s="59"/>
      <c r="BE19" s="42">
        <v>0</v>
      </c>
      <c r="BG19" s="3">
        <f>'21-mar'!$C$4+1800</f>
        <v>38300</v>
      </c>
      <c r="BI19" s="3"/>
    </row>
    <row r="20" spans="1:62" x14ac:dyDescent="0.25">
      <c r="A20" s="14" t="s">
        <v>132</v>
      </c>
      <c r="C20" s="14">
        <v>192000</v>
      </c>
      <c r="E20" s="42">
        <v>213000</v>
      </c>
      <c r="G20" s="42">
        <v>344000</v>
      </c>
      <c r="I20" s="42">
        <v>84000</v>
      </c>
      <c r="K20" s="42">
        <v>186000</v>
      </c>
      <c r="M20" s="42">
        <v>456500</v>
      </c>
      <c r="O20" s="42">
        <v>0</v>
      </c>
      <c r="Q20" s="24">
        <v>60000</v>
      </c>
      <c r="S20" s="59">
        <v>105000</v>
      </c>
      <c r="U20" s="24">
        <v>260000</v>
      </c>
      <c r="W20" s="24">
        <v>143500</v>
      </c>
      <c r="Y20" s="24"/>
      <c r="AA20" s="24">
        <v>123500</v>
      </c>
      <c r="AC20" s="59">
        <v>172500</v>
      </c>
      <c r="AE20" s="59">
        <v>51000</v>
      </c>
      <c r="AG20" s="59">
        <v>335500</v>
      </c>
      <c r="AI20" s="59">
        <v>67000</v>
      </c>
      <c r="AK20" s="59">
        <f>Registros!$C$13</f>
        <v>132500</v>
      </c>
      <c r="AM20" s="59">
        <v>271000</v>
      </c>
      <c r="AO20" s="84">
        <v>99000</v>
      </c>
      <c r="AQ20" s="84"/>
      <c r="AS20" s="84">
        <v>176500</v>
      </c>
      <c r="AU20" s="84">
        <v>77250</v>
      </c>
      <c r="AW20" s="84">
        <v>207700</v>
      </c>
      <c r="AY20" s="59">
        <v>107000</v>
      </c>
      <c r="BA20" s="84">
        <v>130000</v>
      </c>
      <c r="BC20" s="59"/>
      <c r="BE20" s="42">
        <v>0</v>
      </c>
      <c r="BG20" s="84">
        <f>130700+8000</f>
        <v>138700</v>
      </c>
      <c r="BI20" s="3"/>
    </row>
    <row r="21" spans="1:62" ht="15.75" thickBot="1" x14ac:dyDescent="0.3">
      <c r="A21" s="14" t="s">
        <v>134</v>
      </c>
      <c r="C21" s="44">
        <f>60000+100</f>
        <v>60100</v>
      </c>
      <c r="E21" s="43">
        <v>103000</v>
      </c>
      <c r="G21" s="43">
        <f>70000+36700+120000</f>
        <v>226700</v>
      </c>
      <c r="I21" s="43">
        <f>$I$20</f>
        <v>84000</v>
      </c>
      <c r="K21" s="43">
        <f>10000+70000+20000+20000+(120000+300000)+7900</f>
        <v>547900</v>
      </c>
      <c r="M21" s="43">
        <f>20000+70000+6400</f>
        <v>96400</v>
      </c>
      <c r="O21" s="43"/>
      <c r="Q21" s="43"/>
      <c r="S21" s="43">
        <f>30000+28700</f>
        <v>58700</v>
      </c>
      <c r="U21" s="43">
        <f>20000+122700+124400+3500+11000+16500+46350+50000+14000</f>
        <v>408450</v>
      </c>
      <c r="W21" s="43">
        <f>38050+17000+7450+22400+500</f>
        <v>85400</v>
      </c>
      <c r="Y21" s="43"/>
      <c r="AA21" s="42">
        <f>10000+20000+26850</f>
        <v>56850</v>
      </c>
      <c r="AC21" s="42">
        <v>30000</v>
      </c>
      <c r="AE21" s="42">
        <v>0</v>
      </c>
      <c r="AG21" s="42">
        <f>140000+1000+20500+55800+43800+40000</f>
        <v>301100</v>
      </c>
      <c r="AI21" s="59">
        <f>4500+21600</f>
        <v>26100</v>
      </c>
      <c r="AK21" s="59"/>
      <c r="AM21" s="59">
        <f>30000+120000+50000+51500</f>
        <v>251500</v>
      </c>
      <c r="AO21" s="59">
        <f>Gas!$C$15</f>
        <v>221350</v>
      </c>
      <c r="AQ21" s="59">
        <v>15000</v>
      </c>
      <c r="AS21" s="59"/>
      <c r="AU21" s="59"/>
      <c r="AW21" s="59">
        <f>13500+7800+27950</f>
        <v>49250</v>
      </c>
      <c r="AY21" s="59">
        <f>30000+70000</f>
        <v>100000</v>
      </c>
      <c r="BA21" s="59"/>
      <c r="BC21" s="59"/>
      <c r="BE21" s="42">
        <v>0</v>
      </c>
      <c r="BG21" s="59">
        <v>70000</v>
      </c>
      <c r="BI21" s="3"/>
    </row>
    <row r="22" spans="1:62" ht="16.5" thickTop="1" thickBot="1" x14ac:dyDescent="0.3">
      <c r="A22" s="14" t="s">
        <v>298</v>
      </c>
      <c r="C22" s="75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3">
        <v>100000</v>
      </c>
      <c r="AC22" s="43">
        <v>82000</v>
      </c>
      <c r="AE22" s="43">
        <v>0</v>
      </c>
      <c r="AG22" s="43">
        <v>0</v>
      </c>
      <c r="AI22" s="43">
        <f>4000+51350</f>
        <v>55350</v>
      </c>
      <c r="AK22" s="43"/>
      <c r="AM22" s="43"/>
      <c r="AO22" s="43"/>
      <c r="AQ22" s="43"/>
      <c r="AS22" s="43">
        <v>3000</v>
      </c>
      <c r="AU22" s="43">
        <v>0</v>
      </c>
      <c r="AW22" s="43">
        <v>0</v>
      </c>
      <c r="AY22" s="43">
        <v>0</v>
      </c>
      <c r="BA22" s="43">
        <v>0</v>
      </c>
      <c r="BC22" s="43">
        <v>0</v>
      </c>
      <c r="BE22" s="43">
        <v>0</v>
      </c>
      <c r="BG22" s="43">
        <v>0</v>
      </c>
      <c r="BI22" s="43">
        <v>0</v>
      </c>
    </row>
    <row r="23" spans="1:62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432900</v>
      </c>
      <c r="I23" s="9">
        <f>+I18+I20-I21</f>
        <v>432900</v>
      </c>
      <c r="K23" s="9">
        <f>+K18+K20-K21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238200</v>
      </c>
      <c r="BC23" s="9">
        <f>+SUM(BC18:BC20)-SUM(BC21:BC22)</f>
        <v>144700</v>
      </c>
      <c r="BE23" s="9">
        <f>+SUM(BE18:BE20)-SUM(BE21:BE22)</f>
        <v>0</v>
      </c>
      <c r="BG23" s="9">
        <f>+SUM(BG18:BG20)-SUM(BG21:BG22)</f>
        <v>215200</v>
      </c>
      <c r="BI23" s="9">
        <f>+SUM(BI18:BI20)-SUM(BI21:BI22)</f>
        <v>215200</v>
      </c>
    </row>
    <row r="25" spans="1:62" x14ac:dyDescent="0.25">
      <c r="A25" s="50" t="s">
        <v>191</v>
      </c>
      <c r="C25" s="51">
        <f>C14-C23</f>
        <v>0</v>
      </c>
      <c r="D25" s="51"/>
      <c r="E25" s="51">
        <f>E14-E23</f>
        <v>-76000</v>
      </c>
      <c r="F25" s="51"/>
      <c r="G25" s="51">
        <f>G14-G23</f>
        <v>-432900</v>
      </c>
      <c r="H25" s="51"/>
      <c r="I25" s="51">
        <f>I14-I23</f>
        <v>-27900</v>
      </c>
      <c r="J25" s="51"/>
      <c r="K25" s="51">
        <f>K14-K23</f>
        <v>177100</v>
      </c>
      <c r="L25" s="51"/>
      <c r="M25" s="51">
        <f>M14-M23</f>
        <v>6300</v>
      </c>
      <c r="N25" s="51"/>
      <c r="O25" s="51">
        <f>O14-O23</f>
        <v>0</v>
      </c>
      <c r="P25" s="51"/>
      <c r="Q25" s="51">
        <f>Q14-Q23</f>
        <v>-13800</v>
      </c>
      <c r="R25" s="51"/>
      <c r="S25" s="51">
        <f>S14-S23</f>
        <v>-252000</v>
      </c>
      <c r="T25" s="51"/>
      <c r="U25" s="51">
        <f>U14-U23</f>
        <v>17400</v>
      </c>
      <c r="V25" s="51"/>
      <c r="W25" s="51">
        <f>W14-W23</f>
        <v>-4000</v>
      </c>
      <c r="X25" s="51"/>
      <c r="Y25" s="51">
        <f>Y14-Y23</f>
        <v>-93050</v>
      </c>
      <c r="Z25" s="51"/>
      <c r="AA25" s="51">
        <f>AA14-AA23</f>
        <v>13950</v>
      </c>
      <c r="AB25" s="51"/>
      <c r="AC25" s="51">
        <f>AC14-AC23</f>
        <v>102600</v>
      </c>
      <c r="AD25" s="51"/>
      <c r="AE25" s="77">
        <f>AE14-AE23</f>
        <v>0</v>
      </c>
      <c r="AF25" s="51"/>
      <c r="AG25" s="51">
        <f>AG14-AG23</f>
        <v>20800</v>
      </c>
      <c r="AH25" s="51"/>
      <c r="AI25" s="51">
        <f>AI14-AI23</f>
        <v>-7500</v>
      </c>
      <c r="AJ25" s="51"/>
      <c r="AK25" s="51">
        <f>AK14-AK23</f>
        <v>-216750</v>
      </c>
      <c r="AL25" s="51"/>
      <c r="AM25" s="51">
        <f>AM14-AM23</f>
        <v>67100</v>
      </c>
      <c r="AN25" s="51"/>
      <c r="AO25" s="51">
        <f>AO14-AO23</f>
        <v>7000</v>
      </c>
      <c r="AP25" s="51"/>
      <c r="AQ25" s="51">
        <f>AQ14-AQ23</f>
        <v>-172000</v>
      </c>
      <c r="AR25" s="51"/>
      <c r="AS25" s="51">
        <f>AS14-AS23</f>
        <v>0</v>
      </c>
      <c r="AT25" s="51"/>
      <c r="AU25" s="51">
        <f>AU14-AU23</f>
        <v>0</v>
      </c>
      <c r="AV25" s="51"/>
      <c r="AW25" s="51">
        <f>AW14-AW23</f>
        <v>0</v>
      </c>
      <c r="AX25" s="51"/>
      <c r="AY25" s="51">
        <f>AY14-AY23</f>
        <v>0</v>
      </c>
      <c r="AZ25" s="51"/>
      <c r="BA25" s="51">
        <f>BA14-BA23</f>
        <v>-93500</v>
      </c>
      <c r="BB25" s="51"/>
      <c r="BC25" s="51">
        <f>BC14-BC23</f>
        <v>-144700</v>
      </c>
      <c r="BD25" s="51"/>
      <c r="BE25" s="51">
        <f>BE14-BE23</f>
        <v>0</v>
      </c>
      <c r="BF25" s="51"/>
      <c r="BG25" s="51">
        <f>BG14-BG23</f>
        <v>0</v>
      </c>
      <c r="BH25" s="51"/>
      <c r="BI25" s="51">
        <f>BI14-BI23</f>
        <v>-215200</v>
      </c>
    </row>
    <row r="26" spans="1:62" x14ac:dyDescent="0.25">
      <c r="A26"/>
    </row>
    <row r="27" spans="1:62" x14ac:dyDescent="0.25">
      <c r="A27" s="14" t="s">
        <v>318</v>
      </c>
      <c r="AE27" s="59">
        <f>100000-12050</f>
        <v>87950</v>
      </c>
      <c r="AG27" s="59">
        <f>100000-12050</f>
        <v>87950</v>
      </c>
      <c r="AI27" s="59">
        <f>+AG27-43000</f>
        <v>44950</v>
      </c>
      <c r="AK27" s="59">
        <f>+AI27</f>
        <v>44950</v>
      </c>
      <c r="AM27" s="59">
        <f>+AK27+100000</f>
        <v>144950</v>
      </c>
      <c r="AO27" s="59">
        <f>+AM27-50000</f>
        <v>94950</v>
      </c>
      <c r="AQ27" s="59">
        <f>+AO27</f>
        <v>94950</v>
      </c>
      <c r="AS27" s="59">
        <f>+AQ27-AS19</f>
        <v>344950</v>
      </c>
      <c r="AU27" s="59">
        <v>0</v>
      </c>
      <c r="AW27" s="59">
        <v>0</v>
      </c>
      <c r="AY27" s="59">
        <v>0</v>
      </c>
      <c r="BA27" s="59">
        <v>0</v>
      </c>
      <c r="BC27" s="59">
        <v>0</v>
      </c>
      <c r="BE27" s="59">
        <v>0</v>
      </c>
      <c r="BG27" s="59">
        <v>0</v>
      </c>
      <c r="BI27" s="59">
        <v>0</v>
      </c>
    </row>
    <row r="28" spans="1:62" x14ac:dyDescent="0.25">
      <c r="A28" s="14" t="s">
        <v>317</v>
      </c>
      <c r="W28">
        <v>75050</v>
      </c>
      <c r="Y28">
        <v>75050</v>
      </c>
      <c r="AG28" s="59">
        <v>100000</v>
      </c>
      <c r="AI28" s="59">
        <v>0</v>
      </c>
      <c r="AK28" s="59">
        <v>0</v>
      </c>
      <c r="AM28" s="59">
        <v>0</v>
      </c>
      <c r="AO28" s="59">
        <v>0</v>
      </c>
      <c r="AQ28" s="59">
        <v>0</v>
      </c>
      <c r="AS28" s="59">
        <v>0</v>
      </c>
      <c r="AU28" s="59">
        <v>0</v>
      </c>
      <c r="AW28" s="59">
        <v>0</v>
      </c>
      <c r="AY28" s="59">
        <v>0</v>
      </c>
      <c r="BA28" s="59">
        <v>0</v>
      </c>
      <c r="BC28" s="59">
        <v>0</v>
      </c>
      <c r="BE28" s="59">
        <v>0</v>
      </c>
      <c r="BG28" s="59">
        <v>0</v>
      </c>
      <c r="BI28" s="59">
        <v>0</v>
      </c>
    </row>
    <row r="30" spans="1:62" x14ac:dyDescent="0.25">
      <c r="A30" s="82" t="s">
        <v>538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2">
        <f>+(32000-2000)+11000+90000+3650</f>
        <v>134650</v>
      </c>
      <c r="AF30" s="3"/>
      <c r="AG30" s="82">
        <v>113000</v>
      </c>
      <c r="AH30" s="3"/>
      <c r="AI30" s="82">
        <v>94000</v>
      </c>
      <c r="AJ30" s="3"/>
      <c r="AK30" s="82">
        <v>0</v>
      </c>
      <c r="AL30" s="3"/>
      <c r="AM30" s="82">
        <f>+(98000-5000)</f>
        <v>93000</v>
      </c>
      <c r="AN30" s="3"/>
      <c r="AO30" s="82">
        <f>19000+(45000-9000)</f>
        <v>55000</v>
      </c>
      <c r="AP30" s="3"/>
      <c r="AQ30" s="82">
        <f>11000+10000</f>
        <v>21000</v>
      </c>
      <c r="AR30" s="3"/>
      <c r="AS30" s="82">
        <v>78000</v>
      </c>
      <c r="AT30" s="3"/>
      <c r="AU30" s="82">
        <f>8000*4-109500</f>
        <v>-77500</v>
      </c>
      <c r="AV30" s="3"/>
      <c r="AW30" s="82">
        <v>169800</v>
      </c>
      <c r="AX30" s="3"/>
      <c r="AY30" s="82">
        <v>65700</v>
      </c>
      <c r="AZ30" s="3"/>
      <c r="BA30" s="82">
        <v>11000</v>
      </c>
      <c r="BB30" s="3"/>
      <c r="BC30" s="82">
        <v>0</v>
      </c>
      <c r="BD30" s="3"/>
      <c r="BE30" s="82">
        <v>0</v>
      </c>
      <c r="BF30" s="3"/>
      <c r="BG30" s="82">
        <v>129000</v>
      </c>
      <c r="BH30" s="3"/>
      <c r="BI30" s="82">
        <v>48000</v>
      </c>
    </row>
    <row r="31" spans="1:62" x14ac:dyDescent="0.25">
      <c r="A31" s="82" t="s">
        <v>544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2"/>
      <c r="AF31" s="3"/>
      <c r="AG31" s="82"/>
      <c r="AH31" s="3"/>
      <c r="AI31" s="82"/>
      <c r="AJ31" s="3"/>
      <c r="AK31" s="82"/>
      <c r="AL31" s="3"/>
      <c r="AM31" s="82"/>
      <c r="AN31" s="3"/>
      <c r="AO31" s="82"/>
      <c r="AP31" s="3"/>
      <c r="AQ31" s="82"/>
      <c r="AR31" s="3"/>
      <c r="AS31" s="82"/>
      <c r="AT31" s="3"/>
      <c r="AU31" s="82"/>
      <c r="AV31" s="3"/>
      <c r="AW31" s="82">
        <v>-454000</v>
      </c>
      <c r="AX31" s="3"/>
      <c r="AY31" s="82">
        <f>230000-21000</f>
        <v>209000</v>
      </c>
      <c r="AZ31" s="3"/>
      <c r="BA31" s="82">
        <v>0</v>
      </c>
      <c r="BB31" s="3"/>
      <c r="BC31" s="82">
        <v>0</v>
      </c>
      <c r="BD31" s="3"/>
      <c r="BE31" s="82">
        <v>0</v>
      </c>
      <c r="BF31" s="3"/>
      <c r="BG31" s="82">
        <v>0</v>
      </c>
      <c r="BH31" s="3"/>
      <c r="BI31" s="82">
        <v>-154000</v>
      </c>
    </row>
    <row r="32" spans="1:62" x14ac:dyDescent="0.25">
      <c r="A32" s="82" t="s">
        <v>394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2">
        <f>+AE30</f>
        <v>134650</v>
      </c>
      <c r="AF32" s="3"/>
      <c r="AG32" s="82">
        <f>+AG30+AE32</f>
        <v>247650</v>
      </c>
      <c r="AH32" s="3"/>
      <c r="AI32" s="82">
        <f>+AI30+AG32</f>
        <v>341650</v>
      </c>
      <c r="AJ32" s="3"/>
      <c r="AK32" s="82">
        <f>+AK30+AI32</f>
        <v>341650</v>
      </c>
      <c r="AL32" s="3"/>
      <c r="AM32" s="82">
        <f>+AM30+AK32</f>
        <v>434650</v>
      </c>
      <c r="AN32" s="3"/>
      <c r="AO32" s="82">
        <f>+AO30+AM32</f>
        <v>489650</v>
      </c>
      <c r="AP32" s="3"/>
      <c r="AQ32" s="82">
        <f>+AQ30+AO32</f>
        <v>510650</v>
      </c>
      <c r="AR32" s="3"/>
      <c r="AS32" s="82">
        <f>+AS30+AQ32-(40000+20000)</f>
        <v>528650</v>
      </c>
      <c r="AT32" s="3"/>
      <c r="AU32" s="82">
        <f>+AS32+AS27-40000-40000+AU30</f>
        <v>716100</v>
      </c>
      <c r="AV32" s="3"/>
      <c r="AW32" s="82">
        <f>+AU32+SUM(AW30:AW31)</f>
        <v>431900</v>
      </c>
      <c r="AX32" s="3"/>
      <c r="AY32" s="82">
        <f>+AW32+SUM(AY30:AY31)</f>
        <v>706600</v>
      </c>
      <c r="AZ32" s="3"/>
      <c r="BA32" s="82">
        <f>+AY32+SUM(BA30:BA31)</f>
        <v>717600</v>
      </c>
      <c r="BB32" s="3"/>
      <c r="BC32" s="82">
        <f>+BA32+SUM(BC30:BC31)</f>
        <v>717600</v>
      </c>
      <c r="BD32" s="3"/>
      <c r="BE32" s="82">
        <f>+BA32+SUM(BE30:BE31)</f>
        <v>717600</v>
      </c>
      <c r="BF32" s="3"/>
      <c r="BG32" s="82">
        <f>+BE32+SUM(BG30:BG31)</f>
        <v>846600</v>
      </c>
      <c r="BH32" s="3"/>
      <c r="BI32" s="82">
        <f>+BG32+SUM(BI30:BI31)</f>
        <v>740600</v>
      </c>
      <c r="BJ32" s="9">
        <f>+BI32-33000</f>
        <v>707600</v>
      </c>
    </row>
    <row r="33" spans="1:61" x14ac:dyDescent="0.25">
      <c r="A33" s="83" t="s">
        <v>383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3">
        <v>0</v>
      </c>
      <c r="AF33" s="3"/>
      <c r="AG33" s="83">
        <f>22000+1000</f>
        <v>23000</v>
      </c>
      <c r="AH33" s="3"/>
      <c r="AI33" s="83">
        <v>82000</v>
      </c>
      <c r="AJ33" s="3"/>
      <c r="AK33" s="83">
        <v>0</v>
      </c>
      <c r="AL33" s="3"/>
      <c r="AM33" s="83">
        <f>23000</f>
        <v>23000</v>
      </c>
      <c r="AN33" s="3"/>
      <c r="AO33" s="83">
        <v>0</v>
      </c>
      <c r="AP33" s="3"/>
      <c r="AQ33" s="83">
        <v>0</v>
      </c>
      <c r="AR33" s="3"/>
      <c r="AS33" s="83">
        <f>15000+8000</f>
        <v>23000</v>
      </c>
      <c r="AT33" s="3"/>
      <c r="AU33" s="83">
        <v>0</v>
      </c>
      <c r="AV33" s="3"/>
      <c r="AW33" s="83">
        <v>11000</v>
      </c>
      <c r="AX33" s="3"/>
      <c r="AY33" s="83">
        <v>0</v>
      </c>
      <c r="AZ33" s="3"/>
      <c r="BA33" s="83">
        <v>0</v>
      </c>
      <c r="BB33" s="3"/>
      <c r="BC33" s="83">
        <v>0</v>
      </c>
      <c r="BD33" s="3"/>
      <c r="BE33" s="83">
        <v>0</v>
      </c>
      <c r="BF33" s="3"/>
      <c r="BG33" s="83">
        <v>27000</v>
      </c>
      <c r="BH33" s="3"/>
      <c r="BI33" s="83">
        <v>11000</v>
      </c>
    </row>
    <row r="34" spans="1:61" x14ac:dyDescent="0.25">
      <c r="A34" s="83" t="s">
        <v>393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3">
        <v>0</v>
      </c>
      <c r="AF34" s="3"/>
      <c r="AG34" s="83">
        <f>+AG33</f>
        <v>23000</v>
      </c>
      <c r="AH34" s="3"/>
      <c r="AI34" s="83">
        <f>+AI33+AG34</f>
        <v>105000</v>
      </c>
      <c r="AJ34" s="3"/>
      <c r="AK34" s="83">
        <f>+AK33+AI34</f>
        <v>105000</v>
      </c>
      <c r="AL34" s="3"/>
      <c r="AM34" s="83">
        <f>+AM33+AK34</f>
        <v>128000</v>
      </c>
      <c r="AN34" s="3"/>
      <c r="AO34" s="83">
        <f>+AO33+AM34</f>
        <v>128000</v>
      </c>
      <c r="AP34" s="3"/>
      <c r="AQ34" s="83">
        <f>+AQ33+AO34</f>
        <v>128000</v>
      </c>
      <c r="AR34" s="3"/>
      <c r="AS34" s="83">
        <f>+AS33+AQ34</f>
        <v>151000</v>
      </c>
      <c r="AT34" s="3"/>
      <c r="AU34" s="83">
        <f>+AU33+AS34</f>
        <v>151000</v>
      </c>
      <c r="AV34" s="3"/>
      <c r="AW34" s="83">
        <f>+AW33+AU34</f>
        <v>162000</v>
      </c>
      <c r="AX34" s="3"/>
      <c r="AY34" s="83">
        <f>+AY33+AW34</f>
        <v>162000</v>
      </c>
      <c r="AZ34" s="3"/>
      <c r="BA34" s="83">
        <f>+BA33+AY34</f>
        <v>162000</v>
      </c>
      <c r="BB34" s="3"/>
      <c r="BC34" s="83">
        <f>+BC33+BA34</f>
        <v>162000</v>
      </c>
      <c r="BD34" s="3"/>
      <c r="BE34" s="83">
        <f>+BE33+BA34</f>
        <v>162000</v>
      </c>
      <c r="BF34" s="3"/>
      <c r="BG34" s="83">
        <f>+BG33+BE34</f>
        <v>189000</v>
      </c>
      <c r="BH34" s="3"/>
      <c r="BI34" s="83">
        <f>+BI33+BG34</f>
        <v>200000</v>
      </c>
    </row>
    <row r="36" spans="1:61" x14ac:dyDescent="0.25">
      <c r="A36" s="69" t="s">
        <v>132</v>
      </c>
      <c r="AW36" s="109">
        <f>+AW20+AW30+AW33</f>
        <v>388500</v>
      </c>
      <c r="AY36" s="109">
        <f>+AY20+AY30+AY33</f>
        <v>172700</v>
      </c>
      <c r="BA36" s="109">
        <f>+BA20+BA30+BA33</f>
        <v>141000</v>
      </c>
      <c r="BC36" s="109">
        <f>+BC20+BC30+BC33</f>
        <v>0</v>
      </c>
      <c r="BE36" s="109">
        <f>+BE20+BE30+BE33</f>
        <v>0</v>
      </c>
      <c r="BG36" s="109">
        <f>+BG20+BG30+BG33</f>
        <v>294700</v>
      </c>
      <c r="BI36" s="109">
        <f>+BI20+BI30+BI33</f>
        <v>59000</v>
      </c>
    </row>
    <row r="38" spans="1:61" x14ac:dyDescent="0.25">
      <c r="A38" s="11" t="s">
        <v>395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2"/>
      <c r="AH38" s="3"/>
      <c r="AI38" s="82">
        <v>24000</v>
      </c>
      <c r="AJ38" s="3"/>
      <c r="AK38" s="82">
        <f>16000+AI38</f>
        <v>40000</v>
      </c>
      <c r="AL38" s="3"/>
      <c r="AM38" s="11">
        <f>8000*5</f>
        <v>40000</v>
      </c>
      <c r="AN38" s="3"/>
      <c r="AO38" s="82"/>
      <c r="AP38" s="3"/>
      <c r="AQ38" s="11">
        <f>16000+AM38</f>
        <v>56000</v>
      </c>
      <c r="AR38" s="3"/>
      <c r="AS38" s="82"/>
      <c r="AT38" s="3"/>
      <c r="AU38" s="82"/>
      <c r="AV38" s="3"/>
      <c r="AW38" s="82"/>
      <c r="AX38" s="3"/>
      <c r="AY38" s="82"/>
      <c r="AZ38" s="3"/>
      <c r="BA38" s="82"/>
      <c r="BB38" s="3"/>
      <c r="BC38" s="82"/>
      <c r="BD38" s="3"/>
      <c r="BE38" s="82"/>
      <c r="BF38" s="3"/>
      <c r="BG38" s="82"/>
      <c r="BH38" s="3"/>
      <c r="BI38" s="82"/>
    </row>
    <row r="39" spans="1:61" x14ac:dyDescent="0.25">
      <c r="A39" s="11" t="s">
        <v>391</v>
      </c>
      <c r="AY39" s="3">
        <v>423300</v>
      </c>
      <c r="BA39" s="9">
        <f>+AY39</f>
        <v>423300</v>
      </c>
      <c r="BC39" s="9">
        <f>+BA39</f>
        <v>423300</v>
      </c>
      <c r="BE39" s="9">
        <f>+BA39</f>
        <v>423300</v>
      </c>
      <c r="BG39" s="9">
        <f>+BC39</f>
        <v>423300</v>
      </c>
      <c r="BI39" s="9">
        <f>+BG39</f>
        <v>423300</v>
      </c>
    </row>
    <row r="41" spans="1:61" x14ac:dyDescent="0.25">
      <c r="AM41" s="9">
        <f>+SUM(AM23,AM27,AM32,AM34)</f>
        <v>843850</v>
      </c>
    </row>
    <row r="43" spans="1:61" x14ac:dyDescent="0.25">
      <c r="AM43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9966FF"/>
  </sheetPr>
  <dimension ref="A1:M123"/>
  <sheetViews>
    <sheetView zoomScale="115" zoomScaleNormal="115" workbookViewId="0">
      <pane ySplit="5" topLeftCell="A6" activePane="bottomLeft" state="frozen"/>
      <selection activeCell="C1" sqref="C1"/>
      <selection pane="bottomLeft" activeCell="C48" sqref="C48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1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+SUMIF($H$6:$H$1048576,C1,$D$6:$D$1048576)</f>
        <v>738600</v>
      </c>
    </row>
    <row r="2" spans="1:10" ht="15.75" thickBot="1" x14ac:dyDescent="0.3">
      <c r="C2" s="26" t="s">
        <v>141</v>
      </c>
      <c r="D2" s="21">
        <f>+SUMIF($H$6:$H$1048576,C2,$D$6:$D$1048576)</f>
        <v>200000</v>
      </c>
    </row>
    <row r="3" spans="1:10" ht="15.75" thickTop="1" x14ac:dyDescent="0.25">
      <c r="D3" s="3">
        <f>+SUM(D6:D1048576)</f>
        <v>981600</v>
      </c>
      <c r="H3" s="15" t="s">
        <v>121</v>
      </c>
    </row>
    <row r="4" spans="1:10" x14ac:dyDescent="0.25">
      <c r="D4" s="3"/>
    </row>
    <row r="5" spans="1:10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 t="s">
        <v>217</v>
      </c>
      <c r="F5" s="30" t="s">
        <v>216</v>
      </c>
      <c r="G5" s="30"/>
      <c r="H5" s="29" t="s">
        <v>150</v>
      </c>
      <c r="I5" s="29" t="s">
        <v>149</v>
      </c>
      <c r="J5" s="29" t="s">
        <v>148</v>
      </c>
    </row>
    <row r="6" spans="1:10" hidden="1" x14ac:dyDescent="0.25">
      <c r="A6" s="2">
        <v>46076</v>
      </c>
      <c r="B6" s="2" t="str">
        <f t="shared" ref="B6:B17" si="0">+TEXT(A6,"ddd")</f>
        <v>lun</v>
      </c>
      <c r="C6" s="27">
        <v>0.72986111111111107</v>
      </c>
      <c r="D6" s="51">
        <v>6500</v>
      </c>
      <c r="E6" s="3" t="s">
        <v>216</v>
      </c>
      <c r="H6" s="25" t="s">
        <v>136</v>
      </c>
      <c r="I6" s="1" t="s">
        <v>137</v>
      </c>
      <c r="J6" t="s">
        <v>209</v>
      </c>
    </row>
    <row r="7" spans="1:10" hidden="1" x14ac:dyDescent="0.25">
      <c r="A7" s="2">
        <v>46076</v>
      </c>
      <c r="B7" s="2" t="str">
        <f t="shared" si="0"/>
        <v>lun</v>
      </c>
      <c r="C7" s="28"/>
      <c r="D7" s="51">
        <v>24000</v>
      </c>
      <c r="E7" s="3" t="s">
        <v>216</v>
      </c>
      <c r="H7" s="25" t="s">
        <v>136</v>
      </c>
      <c r="I7" s="1" t="s">
        <v>147</v>
      </c>
    </row>
    <row r="8" spans="1:10" hidden="1" x14ac:dyDescent="0.25">
      <c r="A8" s="2">
        <v>46077</v>
      </c>
      <c r="B8" s="2" t="str">
        <f t="shared" si="0"/>
        <v>mar</v>
      </c>
      <c r="C8" s="27">
        <v>0.79374999999999996</v>
      </c>
      <c r="D8" s="51">
        <v>3000</v>
      </c>
      <c r="E8" s="3" t="s">
        <v>216</v>
      </c>
      <c r="H8" s="25" t="s">
        <v>136</v>
      </c>
      <c r="I8" t="s">
        <v>146</v>
      </c>
    </row>
    <row r="9" spans="1:10" hidden="1" x14ac:dyDescent="0.25">
      <c r="A9" s="2">
        <v>46077</v>
      </c>
      <c r="B9" s="2" t="str">
        <f t="shared" si="0"/>
        <v>mar</v>
      </c>
      <c r="C9" s="27">
        <v>0.82777777777777772</v>
      </c>
      <c r="D9" s="51">
        <v>8000</v>
      </c>
      <c r="E9" s="3" t="s">
        <v>216</v>
      </c>
      <c r="H9" s="25" t="s">
        <v>136</v>
      </c>
      <c r="I9" t="s">
        <v>145</v>
      </c>
    </row>
    <row r="10" spans="1:10" hidden="1" x14ac:dyDescent="0.25">
      <c r="A10" s="2">
        <v>46078</v>
      </c>
      <c r="B10" s="2" t="str">
        <f t="shared" si="0"/>
        <v>mié</v>
      </c>
      <c r="C10" s="27">
        <v>0.69444444444444442</v>
      </c>
      <c r="D10" s="51">
        <v>8000</v>
      </c>
      <c r="E10" s="3" t="s">
        <v>216</v>
      </c>
      <c r="H10" s="25" t="s">
        <v>136</v>
      </c>
      <c r="I10" t="s">
        <v>144</v>
      </c>
    </row>
    <row r="11" spans="1:10" hidden="1" x14ac:dyDescent="0.25">
      <c r="A11" s="2">
        <v>46078</v>
      </c>
      <c r="B11" s="2" t="str">
        <f t="shared" si="0"/>
        <v>mié</v>
      </c>
      <c r="C11" s="27">
        <v>0.7944444444444444</v>
      </c>
      <c r="D11" s="51">
        <v>8000</v>
      </c>
      <c r="E11" s="3" t="s">
        <v>216</v>
      </c>
      <c r="H11" s="25" t="s">
        <v>136</v>
      </c>
      <c r="I11" t="s">
        <v>143</v>
      </c>
      <c r="J11" t="s">
        <v>208</v>
      </c>
    </row>
    <row r="12" spans="1:10" hidden="1" x14ac:dyDescent="0.25">
      <c r="A12" s="2">
        <v>46078</v>
      </c>
      <c r="B12" s="2" t="str">
        <f t="shared" si="0"/>
        <v>mié</v>
      </c>
      <c r="C12" s="27">
        <v>0.80694444444444446</v>
      </c>
      <c r="D12" s="51">
        <v>22500</v>
      </c>
      <c r="E12" s="3" t="s">
        <v>216</v>
      </c>
      <c r="H12" s="25" t="s">
        <v>136</v>
      </c>
      <c r="I12" s="1" t="s">
        <v>137</v>
      </c>
      <c r="J12" t="s">
        <v>209</v>
      </c>
    </row>
    <row r="13" spans="1:10" hidden="1" x14ac:dyDescent="0.25">
      <c r="A13" s="2">
        <v>46078</v>
      </c>
      <c r="B13" s="2" t="str">
        <f t="shared" si="0"/>
        <v>mié</v>
      </c>
      <c r="C13" s="27">
        <v>0.83958333333333335</v>
      </c>
      <c r="D13" s="51">
        <v>8000</v>
      </c>
      <c r="E13" s="3" t="s">
        <v>216</v>
      </c>
      <c r="H13" s="25" t="s">
        <v>136</v>
      </c>
      <c r="I13" t="s">
        <v>142</v>
      </c>
    </row>
    <row r="14" spans="1:10" hidden="1" x14ac:dyDescent="0.25">
      <c r="A14" s="2">
        <v>46078</v>
      </c>
      <c r="B14" s="2" t="str">
        <f t="shared" si="0"/>
        <v>mié</v>
      </c>
      <c r="C14" s="27">
        <v>0.79374999999999996</v>
      </c>
      <c r="D14" s="51">
        <v>16000</v>
      </c>
      <c r="E14" s="3" t="s">
        <v>216</v>
      </c>
      <c r="H14" s="26" t="s">
        <v>141</v>
      </c>
      <c r="I14" t="s">
        <v>140</v>
      </c>
      <c r="J14" t="s">
        <v>141</v>
      </c>
    </row>
    <row r="15" spans="1:10" hidden="1" x14ac:dyDescent="0.25">
      <c r="A15" s="2">
        <v>46079</v>
      </c>
      <c r="B15" s="2" t="str">
        <f t="shared" si="0"/>
        <v>jue</v>
      </c>
      <c r="C15" s="27">
        <v>0.56458333333333333</v>
      </c>
      <c r="D15" s="51">
        <v>25000</v>
      </c>
      <c r="E15" s="3" t="s">
        <v>216</v>
      </c>
      <c r="H15" s="25" t="s">
        <v>136</v>
      </c>
      <c r="I15" t="s">
        <v>139</v>
      </c>
      <c r="J15" t="s">
        <v>138</v>
      </c>
    </row>
    <row r="16" spans="1:10" hidden="1" x14ac:dyDescent="0.25">
      <c r="A16" s="2">
        <v>46079</v>
      </c>
      <c r="B16" s="2" t="str">
        <f t="shared" si="0"/>
        <v>jue</v>
      </c>
      <c r="C16" s="27">
        <v>0.84513888888888888</v>
      </c>
      <c r="D16" s="51">
        <v>51000</v>
      </c>
      <c r="E16" s="3" t="s">
        <v>216</v>
      </c>
      <c r="H16" s="25" t="s">
        <v>136</v>
      </c>
      <c r="I16" s="1" t="s">
        <v>137</v>
      </c>
      <c r="J16" t="s">
        <v>209</v>
      </c>
    </row>
    <row r="17" spans="1:10" hidden="1" x14ac:dyDescent="0.25">
      <c r="A17" s="2">
        <v>46079</v>
      </c>
      <c r="B17" s="2" t="str">
        <f t="shared" si="0"/>
        <v>jue</v>
      </c>
      <c r="C17" s="27">
        <v>0.72777777777777775</v>
      </c>
      <c r="D17" s="103">
        <v>49000</v>
      </c>
      <c r="E17" s="3" t="s">
        <v>216</v>
      </c>
      <c r="H17" s="25" t="s">
        <v>136</v>
      </c>
      <c r="I17" t="s">
        <v>135</v>
      </c>
    </row>
    <row r="18" spans="1:10" hidden="1" x14ac:dyDescent="0.25">
      <c r="A18" s="2">
        <v>46080</v>
      </c>
      <c r="B18" s="2" t="str">
        <f t="shared" ref="B18:B22" si="1">+TEXT(A18,"ddd")</f>
        <v>vie</v>
      </c>
      <c r="C18" s="27">
        <v>0.82291666666666663</v>
      </c>
      <c r="D18" s="103">
        <v>11000</v>
      </c>
      <c r="E18" s="3" t="s">
        <v>216</v>
      </c>
      <c r="H18" s="26" t="s">
        <v>141</v>
      </c>
      <c r="I18" t="s">
        <v>140</v>
      </c>
      <c r="J18" t="s">
        <v>141</v>
      </c>
    </row>
    <row r="19" spans="1:10" hidden="1" x14ac:dyDescent="0.25">
      <c r="A19" s="2">
        <v>46080</v>
      </c>
      <c r="B19" s="2" t="str">
        <f t="shared" si="1"/>
        <v>vie</v>
      </c>
      <c r="C19" s="27">
        <v>0.84236111111111112</v>
      </c>
      <c r="D19" s="103">
        <v>10000</v>
      </c>
      <c r="E19" s="3" t="s">
        <v>216</v>
      </c>
      <c r="H19" s="25" t="s">
        <v>136</v>
      </c>
      <c r="I19" t="s">
        <v>192</v>
      </c>
    </row>
    <row r="20" spans="1:10" hidden="1" x14ac:dyDescent="0.25">
      <c r="A20" s="2">
        <v>46080</v>
      </c>
      <c r="B20" s="2" t="str">
        <f t="shared" si="1"/>
        <v>vie</v>
      </c>
      <c r="C20" s="27">
        <v>0.7631944444444444</v>
      </c>
      <c r="D20" s="103">
        <v>24000</v>
      </c>
      <c r="E20" s="3" t="s">
        <v>216</v>
      </c>
      <c r="H20" s="25" t="s">
        <v>136</v>
      </c>
      <c r="I20" t="s">
        <v>193</v>
      </c>
    </row>
    <row r="21" spans="1:10" hidden="1" x14ac:dyDescent="0.25">
      <c r="A21" s="2">
        <v>46080</v>
      </c>
      <c r="B21" s="2" t="str">
        <f t="shared" si="1"/>
        <v>vie</v>
      </c>
      <c r="C21" s="27">
        <v>0.75972222222222219</v>
      </c>
      <c r="D21" s="103">
        <v>11000</v>
      </c>
      <c r="E21" s="3" t="s">
        <v>216</v>
      </c>
      <c r="H21" s="25" t="s">
        <v>136</v>
      </c>
      <c r="I21" t="s">
        <v>194</v>
      </c>
    </row>
    <row r="22" spans="1:10" hidden="1" x14ac:dyDescent="0.25">
      <c r="A22" s="2">
        <v>46081</v>
      </c>
      <c r="B22" s="2" t="str">
        <f t="shared" si="1"/>
        <v>sáb</v>
      </c>
      <c r="C22" s="27"/>
      <c r="D22" s="103">
        <v>280000</v>
      </c>
      <c r="E22" s="3" t="s">
        <v>216</v>
      </c>
      <c r="H22" s="25" t="s">
        <v>136</v>
      </c>
      <c r="I22" t="s">
        <v>202</v>
      </c>
      <c r="J22" t="s">
        <v>210</v>
      </c>
    </row>
    <row r="23" spans="1:10" hidden="1" x14ac:dyDescent="0.25">
      <c r="A23" s="2">
        <v>46081</v>
      </c>
      <c r="B23" s="2" t="str">
        <f t="shared" ref="B23:B29" si="2">+TEXT(A23,"ddd")</f>
        <v>sáb</v>
      </c>
      <c r="C23" s="27">
        <v>0.79305555555555562</v>
      </c>
      <c r="D23" s="51">
        <v>18000</v>
      </c>
      <c r="E23" s="3" t="s">
        <v>216</v>
      </c>
      <c r="H23" s="25" t="s">
        <v>136</v>
      </c>
      <c r="I23" t="s">
        <v>203</v>
      </c>
      <c r="J23" t="s">
        <v>208</v>
      </c>
    </row>
    <row r="24" spans="1:10" hidden="1" x14ac:dyDescent="0.25">
      <c r="A24" s="2">
        <v>46081</v>
      </c>
      <c r="B24" s="2" t="str">
        <f t="shared" si="2"/>
        <v>sáb</v>
      </c>
      <c r="C24" s="27">
        <v>0.65208333333333335</v>
      </c>
      <c r="D24" s="51">
        <v>16000</v>
      </c>
      <c r="E24" s="3" t="s">
        <v>216</v>
      </c>
      <c r="H24" s="25" t="s">
        <v>136</v>
      </c>
      <c r="I24" t="s">
        <v>204</v>
      </c>
      <c r="J24" t="s">
        <v>206</v>
      </c>
    </row>
    <row r="25" spans="1:10" hidden="1" x14ac:dyDescent="0.25">
      <c r="A25" s="2">
        <v>46081</v>
      </c>
      <c r="B25" s="2" t="str">
        <f t="shared" si="2"/>
        <v>sáb</v>
      </c>
      <c r="C25" s="27">
        <v>0.65138888888888891</v>
      </c>
      <c r="D25" s="51">
        <v>13000</v>
      </c>
      <c r="E25" s="3" t="s">
        <v>216</v>
      </c>
      <c r="H25" s="25" t="s">
        <v>136</v>
      </c>
      <c r="I25" t="s">
        <v>192</v>
      </c>
      <c r="J25" t="s">
        <v>207</v>
      </c>
    </row>
    <row r="26" spans="1:10" hidden="1" x14ac:dyDescent="0.25">
      <c r="A26" s="2">
        <v>46084</v>
      </c>
      <c r="B26" s="2" t="str">
        <f t="shared" si="2"/>
        <v>mar</v>
      </c>
      <c r="C26" s="28"/>
      <c r="D26" s="104">
        <f>-(D18+D14)</f>
        <v>-27000</v>
      </c>
      <c r="E26" s="3" t="s">
        <v>218</v>
      </c>
      <c r="H26" s="26" t="s">
        <v>141</v>
      </c>
      <c r="I26" t="s">
        <v>219</v>
      </c>
    </row>
    <row r="27" spans="1:10" hidden="1" x14ac:dyDescent="0.25">
      <c r="A27" s="2">
        <v>46084</v>
      </c>
      <c r="B27" s="2" t="str">
        <f t="shared" si="2"/>
        <v>mar</v>
      </c>
      <c r="C27" s="28"/>
      <c r="D27" s="51">
        <v>27000</v>
      </c>
      <c r="E27" s="3" t="s">
        <v>218</v>
      </c>
      <c r="H27" s="25" t="s">
        <v>136</v>
      </c>
      <c r="I27" t="s">
        <v>219</v>
      </c>
    </row>
    <row r="28" spans="1:10" hidden="1" x14ac:dyDescent="0.25">
      <c r="A28" s="2">
        <v>46084</v>
      </c>
      <c r="B28" s="2" t="str">
        <f t="shared" si="2"/>
        <v>mar</v>
      </c>
      <c r="C28" s="1"/>
      <c r="D28" s="51">
        <v>-619850</v>
      </c>
      <c r="E28" s="3" t="s">
        <v>218</v>
      </c>
      <c r="H28" s="25" t="s">
        <v>136</v>
      </c>
      <c r="I28" t="s">
        <v>215</v>
      </c>
    </row>
    <row r="29" spans="1:10" hidden="1" x14ac:dyDescent="0.25">
      <c r="A29" s="2">
        <v>46084</v>
      </c>
      <c r="B29" s="2" t="str">
        <f t="shared" si="2"/>
        <v>mar</v>
      </c>
      <c r="C29" s="1"/>
      <c r="D29" s="51">
        <v>33000</v>
      </c>
      <c r="E29" s="3" t="s">
        <v>216</v>
      </c>
      <c r="H29" s="25" t="s">
        <v>136</v>
      </c>
      <c r="I29" t="s">
        <v>220</v>
      </c>
    </row>
    <row r="30" spans="1:10" hidden="1" x14ac:dyDescent="0.25">
      <c r="A30" s="2">
        <v>46085</v>
      </c>
      <c r="B30" s="2" t="str">
        <f t="shared" ref="B30:B40" si="3">+TEXT(A30,"ddd")</f>
        <v>mié</v>
      </c>
      <c r="D30" s="51">
        <v>19000</v>
      </c>
      <c r="E30" s="3" t="s">
        <v>216</v>
      </c>
      <c r="H30" s="25" t="s">
        <v>136</v>
      </c>
      <c r="I30" t="s">
        <v>254</v>
      </c>
    </row>
    <row r="31" spans="1:10" hidden="1" x14ac:dyDescent="0.25">
      <c r="A31" s="2">
        <v>46085</v>
      </c>
      <c r="B31" s="2" t="str">
        <f t="shared" si="3"/>
        <v>mié</v>
      </c>
      <c r="D31" s="51">
        <v>8000</v>
      </c>
      <c r="E31" s="3" t="s">
        <v>216</v>
      </c>
      <c r="H31" s="25" t="s">
        <v>136</v>
      </c>
      <c r="I31" t="s">
        <v>253</v>
      </c>
    </row>
    <row r="32" spans="1:10" hidden="1" x14ac:dyDescent="0.25">
      <c r="A32" s="2">
        <v>46085</v>
      </c>
      <c r="B32" s="2" t="str">
        <f t="shared" si="3"/>
        <v>mié</v>
      </c>
      <c r="D32" s="51">
        <v>18000</v>
      </c>
      <c r="E32" s="3" t="s">
        <v>216</v>
      </c>
      <c r="H32" s="25" t="s">
        <v>136</v>
      </c>
      <c r="I32" t="s">
        <v>252</v>
      </c>
    </row>
    <row r="33" spans="1:13" hidden="1" x14ac:dyDescent="0.25">
      <c r="A33" s="2">
        <v>46085</v>
      </c>
      <c r="B33" s="2" t="str">
        <f t="shared" si="3"/>
        <v>mié</v>
      </c>
      <c r="D33" s="51">
        <v>8000</v>
      </c>
      <c r="E33" s="3" t="s">
        <v>216</v>
      </c>
      <c r="H33" s="25" t="s">
        <v>136</v>
      </c>
      <c r="I33" t="s">
        <v>251</v>
      </c>
    </row>
    <row r="34" spans="1:13" hidden="1" x14ac:dyDescent="0.25">
      <c r="A34" s="2">
        <v>46085</v>
      </c>
      <c r="B34" s="2" t="str">
        <f t="shared" si="3"/>
        <v>mié</v>
      </c>
      <c r="D34" s="51">
        <v>64000</v>
      </c>
      <c r="E34" s="3" t="s">
        <v>216</v>
      </c>
      <c r="H34" s="25" t="s">
        <v>136</v>
      </c>
      <c r="I34" t="s">
        <v>250</v>
      </c>
      <c r="M34" s="3">
        <f>+SUM(D30:D34)</f>
        <v>117000</v>
      </c>
    </row>
    <row r="35" spans="1:13" hidden="1" x14ac:dyDescent="0.25">
      <c r="A35" s="2">
        <v>46086</v>
      </c>
      <c r="B35" s="2" t="str">
        <f t="shared" si="3"/>
        <v>jue</v>
      </c>
      <c r="D35" s="51">
        <v>30000</v>
      </c>
      <c r="E35" s="3" t="s">
        <v>216</v>
      </c>
      <c r="H35" s="25" t="s">
        <v>136</v>
      </c>
      <c r="I35" t="s">
        <v>259</v>
      </c>
      <c r="M35" s="3">
        <f>'Arqueo de Caja'!$U$18+8000</f>
        <v>260000</v>
      </c>
    </row>
    <row r="36" spans="1:13" hidden="1" x14ac:dyDescent="0.25">
      <c r="A36" s="2">
        <v>46086</v>
      </c>
      <c r="B36" s="2" t="str">
        <f t="shared" si="3"/>
        <v>jue</v>
      </c>
      <c r="D36" s="51">
        <v>11000</v>
      </c>
      <c r="E36" s="3" t="s">
        <v>216</v>
      </c>
      <c r="H36" s="25" t="s">
        <v>136</v>
      </c>
      <c r="I36" t="s">
        <v>258</v>
      </c>
    </row>
    <row r="37" spans="1:13" hidden="1" x14ac:dyDescent="0.25">
      <c r="A37" s="2">
        <v>46086</v>
      </c>
      <c r="B37" s="2" t="str">
        <f t="shared" si="3"/>
        <v>jue</v>
      </c>
      <c r="D37" s="51">
        <v>16000</v>
      </c>
      <c r="E37" s="3" t="s">
        <v>216</v>
      </c>
      <c r="H37" s="25" t="s">
        <v>136</v>
      </c>
      <c r="I37" t="s">
        <v>257</v>
      </c>
    </row>
    <row r="38" spans="1:13" hidden="1" x14ac:dyDescent="0.25">
      <c r="A38" s="2">
        <v>46086</v>
      </c>
      <c r="B38" s="2" t="str">
        <f t="shared" si="3"/>
        <v>jue</v>
      </c>
      <c r="D38" s="51">
        <v>39500</v>
      </c>
      <c r="E38" s="3" t="s">
        <v>216</v>
      </c>
      <c r="H38" s="25" t="s">
        <v>136</v>
      </c>
      <c r="I38" t="s">
        <v>256</v>
      </c>
      <c r="M38">
        <f>+'Arqueo de Caja'!W14</f>
        <v>175050</v>
      </c>
    </row>
    <row r="39" spans="1:13" hidden="1" x14ac:dyDescent="0.25">
      <c r="A39" s="2">
        <v>46086</v>
      </c>
      <c r="B39" s="2" t="str">
        <f t="shared" si="3"/>
        <v>jue</v>
      </c>
      <c r="D39" s="51">
        <v>35000</v>
      </c>
      <c r="E39" s="3" t="s">
        <v>216</v>
      </c>
      <c r="H39" s="25" t="s">
        <v>136</v>
      </c>
      <c r="I39" t="s">
        <v>255</v>
      </c>
      <c r="M39" s="9">
        <f>+SUM(D35:D39)</f>
        <v>131500</v>
      </c>
    </row>
    <row r="40" spans="1:13" hidden="1" x14ac:dyDescent="0.25">
      <c r="A40" s="2">
        <v>46088</v>
      </c>
      <c r="B40" s="2" t="str">
        <f t="shared" si="3"/>
        <v>sáb</v>
      </c>
      <c r="D40" s="51">
        <v>28000</v>
      </c>
      <c r="E40" s="3" t="s">
        <v>216</v>
      </c>
      <c r="H40" s="25" t="s">
        <v>136</v>
      </c>
      <c r="I40" t="s">
        <v>305</v>
      </c>
      <c r="M40" s="9"/>
    </row>
    <row r="41" spans="1:13" hidden="1" x14ac:dyDescent="0.25">
      <c r="A41" s="2">
        <v>46088</v>
      </c>
      <c r="B41" s="2" t="str">
        <f t="shared" ref="B41" si="4">+TEXT(A41,"ddd")</f>
        <v>sáb</v>
      </c>
      <c r="D41" s="51">
        <v>43000</v>
      </c>
      <c r="E41" s="3" t="s">
        <v>216</v>
      </c>
      <c r="H41" s="25"/>
      <c r="I41" t="s">
        <v>260</v>
      </c>
      <c r="M41" s="9"/>
    </row>
    <row r="42" spans="1:13" hidden="1" x14ac:dyDescent="0.25">
      <c r="A42" s="2">
        <v>46089</v>
      </c>
      <c r="B42" s="2" t="str">
        <f t="shared" ref="B42:B45" si="5">+TEXT(A42,"ddd")</f>
        <v>dom</v>
      </c>
      <c r="D42" s="51">
        <v>30000</v>
      </c>
      <c r="E42" s="3" t="s">
        <v>216</v>
      </c>
      <c r="H42" s="25" t="s">
        <v>136</v>
      </c>
      <c r="I42" t="s">
        <v>349</v>
      </c>
    </row>
    <row r="43" spans="1:13" hidden="1" x14ac:dyDescent="0.25">
      <c r="A43" s="2">
        <v>46089</v>
      </c>
      <c r="B43" s="2" t="str">
        <f t="shared" si="5"/>
        <v>dom</v>
      </c>
      <c r="D43" s="51">
        <v>54000</v>
      </c>
      <c r="E43" s="3" t="s">
        <v>216</v>
      </c>
      <c r="H43" s="25" t="s">
        <v>136</v>
      </c>
      <c r="I43" t="s">
        <v>351</v>
      </c>
    </row>
    <row r="44" spans="1:13" hidden="1" x14ac:dyDescent="0.25">
      <c r="A44" s="2">
        <v>46089</v>
      </c>
      <c r="B44" s="2" t="str">
        <f t="shared" si="5"/>
        <v>dom</v>
      </c>
      <c r="D44" s="51">
        <v>8000</v>
      </c>
      <c r="E44" s="3" t="s">
        <v>216</v>
      </c>
      <c r="H44" s="25" t="s">
        <v>136</v>
      </c>
      <c r="I44" t="s">
        <v>350</v>
      </c>
    </row>
    <row r="45" spans="1:13" hidden="1" x14ac:dyDescent="0.25">
      <c r="A45" s="2">
        <v>46089</v>
      </c>
      <c r="B45" s="2" t="str">
        <f t="shared" si="5"/>
        <v>dom</v>
      </c>
      <c r="D45" s="51">
        <v>30000</v>
      </c>
      <c r="E45" s="3" t="s">
        <v>216</v>
      </c>
      <c r="H45" s="25" t="s">
        <v>136</v>
      </c>
      <c r="I45" t="s">
        <v>352</v>
      </c>
    </row>
    <row r="46" spans="1:13" hidden="1" x14ac:dyDescent="0.25">
      <c r="A46" s="2" t="s">
        <v>0</v>
      </c>
      <c r="B46" s="2" t="str">
        <f>+TEXT(A46,"ddd")</f>
        <v xml:space="preserve"> </v>
      </c>
      <c r="C46" t="s">
        <v>261</v>
      </c>
      <c r="D46" s="62">
        <v>16000</v>
      </c>
      <c r="E46" s="3" t="s">
        <v>216</v>
      </c>
      <c r="H46" s="25" t="s">
        <v>136</v>
      </c>
      <c r="I46" s="1" t="s">
        <v>306</v>
      </c>
    </row>
    <row r="47" spans="1:13" hidden="1" x14ac:dyDescent="0.25">
      <c r="A47" s="2">
        <v>46091</v>
      </c>
      <c r="B47" s="2" t="str">
        <f>+TEXT(A47,"ddd")</f>
        <v>mar</v>
      </c>
      <c r="D47" s="51">
        <v>90000</v>
      </c>
      <c r="E47" s="3" t="s">
        <v>216</v>
      </c>
      <c r="H47" s="25" t="s">
        <v>136</v>
      </c>
      <c r="I47" s="26" t="s">
        <v>340</v>
      </c>
    </row>
    <row r="48" spans="1:13" x14ac:dyDescent="0.25">
      <c r="A48" s="2">
        <v>46091</v>
      </c>
      <c r="B48" s="2" t="str">
        <f>+TEXT(A48,"ddd")</f>
        <v>mar</v>
      </c>
      <c r="D48" s="51">
        <v>-412000</v>
      </c>
      <c r="H48" s="25" t="s">
        <v>136</v>
      </c>
      <c r="I48" t="s">
        <v>341</v>
      </c>
    </row>
    <row r="49" spans="1:9" hidden="1" x14ac:dyDescent="0.25">
      <c r="A49" s="2">
        <v>46091</v>
      </c>
      <c r="B49" s="2" t="str">
        <f>+TEXT(A49,"ddd")</f>
        <v>mar</v>
      </c>
      <c r="D49" s="51">
        <v>30000</v>
      </c>
      <c r="E49" s="3" t="s">
        <v>216</v>
      </c>
      <c r="H49" s="25" t="s">
        <v>136</v>
      </c>
      <c r="I49" t="s">
        <v>342</v>
      </c>
    </row>
    <row r="50" spans="1:9" hidden="1" x14ac:dyDescent="0.25">
      <c r="A50" s="2">
        <v>46091</v>
      </c>
      <c r="B50" s="2" t="str">
        <f>+TEXT(A50,"ddd")</f>
        <v>mar</v>
      </c>
      <c r="D50" s="51">
        <v>11000</v>
      </c>
      <c r="E50" s="3" t="s">
        <v>216</v>
      </c>
      <c r="H50" s="25" t="s">
        <v>136</v>
      </c>
      <c r="I50" t="s">
        <v>339</v>
      </c>
    </row>
    <row r="51" spans="1:9" hidden="1" x14ac:dyDescent="0.25">
      <c r="A51" s="2">
        <v>46092</v>
      </c>
      <c r="B51" s="2" t="str">
        <f t="shared" ref="B51:B60" si="6">+TEXT(A51,"ddd")</f>
        <v>mié</v>
      </c>
      <c r="D51" s="51">
        <v>8000</v>
      </c>
      <c r="E51" s="3" t="s">
        <v>216</v>
      </c>
      <c r="H51" s="25" t="s">
        <v>136</v>
      </c>
      <c r="I51" t="s">
        <v>343</v>
      </c>
    </row>
    <row r="52" spans="1:9" hidden="1" x14ac:dyDescent="0.25">
      <c r="A52" s="2">
        <v>46092</v>
      </c>
      <c r="B52" s="2" t="str">
        <f t="shared" si="6"/>
        <v>mié</v>
      </c>
      <c r="D52" s="105">
        <v>24000</v>
      </c>
      <c r="E52" s="3" t="s">
        <v>216</v>
      </c>
      <c r="H52" s="25" t="s">
        <v>136</v>
      </c>
      <c r="I52" t="s">
        <v>344</v>
      </c>
    </row>
    <row r="53" spans="1:9" hidden="1" x14ac:dyDescent="0.25">
      <c r="A53" s="2">
        <v>46092</v>
      </c>
      <c r="B53" s="2" t="str">
        <f t="shared" si="6"/>
        <v>mié</v>
      </c>
      <c r="D53" s="51">
        <v>22000</v>
      </c>
      <c r="E53" s="3" t="s">
        <v>216</v>
      </c>
      <c r="H53" s="25" t="s">
        <v>136</v>
      </c>
      <c r="I53" t="s">
        <v>339</v>
      </c>
    </row>
    <row r="54" spans="1:9" hidden="1" x14ac:dyDescent="0.25">
      <c r="A54" s="2">
        <v>46092</v>
      </c>
      <c r="B54" s="2" t="str">
        <f t="shared" si="6"/>
        <v>mié</v>
      </c>
      <c r="D54" s="51">
        <v>8000</v>
      </c>
      <c r="E54" s="3" t="s">
        <v>216</v>
      </c>
      <c r="H54" s="25" t="s">
        <v>136</v>
      </c>
      <c r="I54" t="s">
        <v>345</v>
      </c>
    </row>
    <row r="55" spans="1:9" hidden="1" x14ac:dyDescent="0.25">
      <c r="A55" s="2">
        <v>46092</v>
      </c>
      <c r="B55" s="2" t="str">
        <f t="shared" si="6"/>
        <v>mié</v>
      </c>
      <c r="D55" s="51">
        <v>32000</v>
      </c>
      <c r="E55" s="3" t="s">
        <v>216</v>
      </c>
      <c r="H55" s="25" t="s">
        <v>136</v>
      </c>
      <c r="I55" t="s">
        <v>348</v>
      </c>
    </row>
    <row r="56" spans="1:9" hidden="1" x14ac:dyDescent="0.25">
      <c r="A56" s="2">
        <v>46092</v>
      </c>
      <c r="B56" s="2" t="str">
        <f t="shared" si="6"/>
        <v>mié</v>
      </c>
      <c r="D56" s="51">
        <v>8000</v>
      </c>
      <c r="E56" s="3" t="s">
        <v>216</v>
      </c>
      <c r="H56" s="25" t="s">
        <v>136</v>
      </c>
      <c r="I56" t="s">
        <v>346</v>
      </c>
    </row>
    <row r="57" spans="1:9" hidden="1" x14ac:dyDescent="0.25">
      <c r="A57" s="2">
        <v>46092</v>
      </c>
      <c r="B57" s="2" t="str">
        <f t="shared" si="6"/>
        <v>mié</v>
      </c>
      <c r="D57" s="51">
        <v>11000</v>
      </c>
      <c r="E57" s="3" t="s">
        <v>216</v>
      </c>
      <c r="H57" s="25" t="s">
        <v>136</v>
      </c>
      <c r="I57" t="s">
        <v>347</v>
      </c>
    </row>
    <row r="58" spans="1:9" hidden="1" x14ac:dyDescent="0.25">
      <c r="A58" s="2">
        <v>46092</v>
      </c>
      <c r="B58" s="2" t="str">
        <f t="shared" si="6"/>
        <v>mié</v>
      </c>
      <c r="D58" s="51">
        <v>1000</v>
      </c>
      <c r="E58" s="3" t="s">
        <v>216</v>
      </c>
      <c r="H58" s="26" t="s">
        <v>141</v>
      </c>
    </row>
    <row r="59" spans="1:9" hidden="1" x14ac:dyDescent="0.25">
      <c r="A59" s="2">
        <v>46092</v>
      </c>
      <c r="B59" s="2" t="str">
        <f t="shared" si="6"/>
        <v>mié</v>
      </c>
      <c r="D59" s="51">
        <v>22000</v>
      </c>
      <c r="E59" s="3" t="s">
        <v>216</v>
      </c>
      <c r="H59" s="26" t="s">
        <v>141</v>
      </c>
    </row>
    <row r="60" spans="1:9" hidden="1" x14ac:dyDescent="0.25">
      <c r="A60" s="2">
        <v>46093</v>
      </c>
      <c r="B60" s="2" t="str">
        <f t="shared" si="6"/>
        <v>jue</v>
      </c>
      <c r="D60" s="51">
        <v>82000</v>
      </c>
      <c r="E60" s="3" t="s">
        <v>216</v>
      </c>
      <c r="F60" s="80" t="s">
        <v>354</v>
      </c>
      <c r="H60" s="26" t="s">
        <v>141</v>
      </c>
    </row>
    <row r="61" spans="1:9" hidden="1" x14ac:dyDescent="0.25">
      <c r="A61" s="2">
        <v>46093</v>
      </c>
      <c r="B61" s="2" t="str">
        <f t="shared" ref="B61:B62" si="7">+TEXT(A61,"ddd")</f>
        <v>jue</v>
      </c>
      <c r="C61" s="27">
        <v>0.73124999999999996</v>
      </c>
      <c r="D61" s="51">
        <v>11000</v>
      </c>
      <c r="E61" s="3" t="s">
        <v>216</v>
      </c>
      <c r="F61" s="80" t="s">
        <v>367</v>
      </c>
      <c r="H61" s="25" t="s">
        <v>136</v>
      </c>
      <c r="I61" t="s">
        <v>339</v>
      </c>
    </row>
    <row r="62" spans="1:9" hidden="1" x14ac:dyDescent="0.25">
      <c r="A62" s="2">
        <v>46093</v>
      </c>
      <c r="B62" s="2" t="str">
        <f t="shared" si="7"/>
        <v>jue</v>
      </c>
      <c r="C62" s="27">
        <v>0.78611111111111109</v>
      </c>
      <c r="D62" s="51">
        <v>24000</v>
      </c>
      <c r="E62" s="3" t="s">
        <v>216</v>
      </c>
      <c r="F62" s="80" t="s">
        <v>368</v>
      </c>
      <c r="H62" s="25" t="s">
        <v>136</v>
      </c>
      <c r="I62" t="s">
        <v>362</v>
      </c>
    </row>
    <row r="63" spans="1:9" hidden="1" x14ac:dyDescent="0.25">
      <c r="A63" s="2">
        <v>46093</v>
      </c>
      <c r="B63" s="2" t="str">
        <f t="shared" ref="B63:B72" si="8">+TEXT(A63,"ddd")</f>
        <v>jue</v>
      </c>
      <c r="D63" s="51">
        <v>24000</v>
      </c>
      <c r="E63" s="3" t="s">
        <v>216</v>
      </c>
      <c r="F63" s="80" t="s">
        <v>392</v>
      </c>
      <c r="H63" s="25" t="s">
        <v>136</v>
      </c>
      <c r="I63" t="s">
        <v>363</v>
      </c>
    </row>
    <row r="64" spans="1:9" hidden="1" x14ac:dyDescent="0.25">
      <c r="A64" s="2">
        <v>46093</v>
      </c>
      <c r="B64" s="2" t="str">
        <f t="shared" si="8"/>
        <v>jue</v>
      </c>
      <c r="D64" s="51">
        <v>11000</v>
      </c>
      <c r="E64" s="3" t="s">
        <v>216</v>
      </c>
      <c r="H64" s="25" t="s">
        <v>136</v>
      </c>
      <c r="I64" t="s">
        <v>364</v>
      </c>
    </row>
    <row r="65" spans="1:9" hidden="1" x14ac:dyDescent="0.25">
      <c r="A65" s="2">
        <v>46095</v>
      </c>
      <c r="B65" s="2" t="str">
        <f t="shared" si="8"/>
        <v>sáb</v>
      </c>
      <c r="D65" s="51">
        <v>23000</v>
      </c>
      <c r="E65" s="3" t="s">
        <v>216</v>
      </c>
      <c r="F65" s="80" t="s">
        <v>354</v>
      </c>
      <c r="H65" s="26" t="s">
        <v>141</v>
      </c>
    </row>
    <row r="66" spans="1:9" hidden="1" x14ac:dyDescent="0.25">
      <c r="A66" s="2">
        <v>46095</v>
      </c>
      <c r="B66" s="2" t="str">
        <f t="shared" si="8"/>
        <v>sáb</v>
      </c>
      <c r="D66" s="51">
        <v>11000</v>
      </c>
      <c r="E66" s="3" t="s">
        <v>216</v>
      </c>
      <c r="F66" s="80" t="s">
        <v>390</v>
      </c>
      <c r="H66" s="25" t="s">
        <v>136</v>
      </c>
      <c r="I66" t="s">
        <v>384</v>
      </c>
    </row>
    <row r="67" spans="1:9" hidden="1" x14ac:dyDescent="0.25">
      <c r="A67" s="2">
        <v>46095</v>
      </c>
      <c r="B67" s="2" t="str">
        <f t="shared" si="8"/>
        <v>sáb</v>
      </c>
      <c r="D67" s="51">
        <v>11000</v>
      </c>
      <c r="E67" s="3" t="s">
        <v>216</v>
      </c>
      <c r="F67" s="80" t="s">
        <v>389</v>
      </c>
      <c r="H67" s="25" t="s">
        <v>136</v>
      </c>
      <c r="I67" t="s">
        <v>385</v>
      </c>
    </row>
    <row r="68" spans="1:9" hidden="1" x14ac:dyDescent="0.25">
      <c r="A68" s="2">
        <v>46095</v>
      </c>
      <c r="B68" s="2" t="str">
        <f t="shared" si="8"/>
        <v>sáb</v>
      </c>
      <c r="D68" s="51">
        <v>57500</v>
      </c>
      <c r="E68" s="3" t="s">
        <v>216</v>
      </c>
      <c r="F68" s="80"/>
      <c r="H68" s="25" t="s">
        <v>136</v>
      </c>
      <c r="I68" t="s">
        <v>386</v>
      </c>
    </row>
    <row r="69" spans="1:9" hidden="1" x14ac:dyDescent="0.25">
      <c r="A69" s="2">
        <v>46095</v>
      </c>
      <c r="B69" s="2" t="str">
        <f t="shared" si="8"/>
        <v>sáb</v>
      </c>
      <c r="D69" s="51">
        <v>13500</v>
      </c>
      <c r="E69" s="3" t="s">
        <v>216</v>
      </c>
      <c r="F69" s="80" t="s">
        <v>388</v>
      </c>
      <c r="H69" s="25" t="s">
        <v>136</v>
      </c>
      <c r="I69" t="s">
        <v>387</v>
      </c>
    </row>
    <row r="70" spans="1:9" hidden="1" x14ac:dyDescent="0.25">
      <c r="A70" s="2">
        <v>46096</v>
      </c>
      <c r="B70" s="2" t="str">
        <f t="shared" si="8"/>
        <v>dom</v>
      </c>
      <c r="D70" s="51">
        <v>19000</v>
      </c>
      <c r="E70" s="3" t="s">
        <v>216</v>
      </c>
      <c r="H70" s="25" t="s">
        <v>136</v>
      </c>
      <c r="I70" t="s">
        <v>387</v>
      </c>
    </row>
    <row r="71" spans="1:9" hidden="1" x14ac:dyDescent="0.25">
      <c r="A71" s="2">
        <v>46096</v>
      </c>
      <c r="B71" s="2" t="str">
        <f t="shared" si="8"/>
        <v>dom</v>
      </c>
      <c r="D71" s="51">
        <v>36000</v>
      </c>
      <c r="E71" s="3" t="s">
        <v>216</v>
      </c>
      <c r="H71" s="25" t="s">
        <v>136</v>
      </c>
      <c r="I71" t="s">
        <v>407</v>
      </c>
    </row>
    <row r="72" spans="1:9" hidden="1" x14ac:dyDescent="0.25">
      <c r="A72" s="2">
        <v>46097</v>
      </c>
      <c r="B72" s="2" t="str">
        <f t="shared" si="8"/>
        <v>lun</v>
      </c>
      <c r="D72" s="51">
        <v>10000</v>
      </c>
      <c r="E72" s="3" t="s">
        <v>216</v>
      </c>
      <c r="H72" s="25" t="s">
        <v>136</v>
      </c>
      <c r="I72" t="s">
        <v>408</v>
      </c>
    </row>
    <row r="73" spans="1:9" hidden="1" x14ac:dyDescent="0.25">
      <c r="A73" s="2">
        <v>46097</v>
      </c>
      <c r="B73" s="2" t="str">
        <f t="shared" ref="B73:B75" si="9">+TEXT(A73,"ddd")</f>
        <v>lun</v>
      </c>
      <c r="D73" s="51">
        <v>11000</v>
      </c>
      <c r="E73" s="3" t="s">
        <v>216</v>
      </c>
      <c r="H73" s="25" t="s">
        <v>136</v>
      </c>
      <c r="I73" t="s">
        <v>409</v>
      </c>
    </row>
    <row r="74" spans="1:9" hidden="1" x14ac:dyDescent="0.25">
      <c r="A74" s="2">
        <v>46098</v>
      </c>
      <c r="B74" s="2" t="str">
        <f t="shared" si="9"/>
        <v>mar</v>
      </c>
      <c r="D74" s="51">
        <v>8000</v>
      </c>
      <c r="E74" s="3" t="s">
        <v>216</v>
      </c>
      <c r="H74" s="26" t="s">
        <v>141</v>
      </c>
    </row>
    <row r="75" spans="1:9" hidden="1" x14ac:dyDescent="0.25">
      <c r="A75" s="2">
        <v>46098</v>
      </c>
      <c r="B75" s="2" t="str">
        <f t="shared" si="9"/>
        <v>mar</v>
      </c>
      <c r="D75" s="51">
        <v>15000</v>
      </c>
      <c r="E75" s="3" t="s">
        <v>216</v>
      </c>
      <c r="H75" s="26" t="s">
        <v>141</v>
      </c>
    </row>
    <row r="76" spans="1:9" hidden="1" x14ac:dyDescent="0.25">
      <c r="A76" s="2">
        <v>46098</v>
      </c>
      <c r="B76" s="2" t="str">
        <f t="shared" ref="B76" si="10">+TEXT(A76,"ddd")</f>
        <v>mar</v>
      </c>
      <c r="D76" s="51">
        <v>50000</v>
      </c>
      <c r="E76" s="3" t="s">
        <v>216</v>
      </c>
      <c r="H76" s="25" t="s">
        <v>136</v>
      </c>
      <c r="I76" t="s">
        <v>410</v>
      </c>
    </row>
    <row r="77" spans="1:9" hidden="1" x14ac:dyDescent="0.25">
      <c r="A77" s="2">
        <v>46098</v>
      </c>
      <c r="B77" s="2" t="str">
        <f t="shared" ref="B77:B80" si="11">+TEXT(A77,"ddd")</f>
        <v>mar</v>
      </c>
      <c r="D77" s="51">
        <v>11000</v>
      </c>
      <c r="E77" s="3" t="s">
        <v>216</v>
      </c>
      <c r="H77" s="25" t="s">
        <v>136</v>
      </c>
      <c r="I77" t="s">
        <v>411</v>
      </c>
    </row>
    <row r="78" spans="1:9" hidden="1" x14ac:dyDescent="0.25">
      <c r="A78" s="2">
        <v>46098</v>
      </c>
      <c r="B78" s="2" t="str">
        <f t="shared" si="11"/>
        <v>mar</v>
      </c>
      <c r="D78" s="51">
        <v>8000</v>
      </c>
      <c r="E78" s="3" t="s">
        <v>216</v>
      </c>
      <c r="H78" s="25" t="s">
        <v>136</v>
      </c>
      <c r="I78" t="s">
        <v>412</v>
      </c>
    </row>
    <row r="79" spans="1:9" hidden="1" x14ac:dyDescent="0.25">
      <c r="A79" s="2">
        <v>46098</v>
      </c>
      <c r="B79" s="2" t="str">
        <f t="shared" si="11"/>
        <v>mar</v>
      </c>
      <c r="D79" s="51">
        <v>9000</v>
      </c>
      <c r="E79" s="3" t="s">
        <v>216</v>
      </c>
      <c r="H79" s="25" t="s">
        <v>136</v>
      </c>
      <c r="I79" t="s">
        <v>413</v>
      </c>
    </row>
    <row r="80" spans="1:9" hidden="1" x14ac:dyDescent="0.25">
      <c r="A80" s="2">
        <v>46098</v>
      </c>
      <c r="B80" s="2" t="str">
        <f t="shared" si="11"/>
        <v>mar</v>
      </c>
      <c r="D80" s="51">
        <f>-(40000+20000)</f>
        <v>-60000</v>
      </c>
      <c r="E80" s="3" t="s">
        <v>414</v>
      </c>
      <c r="H80" s="25" t="s">
        <v>136</v>
      </c>
      <c r="I80" t="s">
        <v>415</v>
      </c>
    </row>
    <row r="81" spans="1:9" hidden="1" x14ac:dyDescent="0.25">
      <c r="A81" s="2">
        <v>46099</v>
      </c>
      <c r="B81" s="2" t="str">
        <f t="shared" ref="B81" si="12">+TEXT(A81,"ddd")</f>
        <v>mié</v>
      </c>
      <c r="D81" s="51">
        <v>344950</v>
      </c>
      <c r="E81" s="3" t="s">
        <v>133</v>
      </c>
      <c r="H81" s="25" t="s">
        <v>136</v>
      </c>
      <c r="I81" t="s">
        <v>421</v>
      </c>
    </row>
    <row r="82" spans="1:9" hidden="1" x14ac:dyDescent="0.25">
      <c r="A82" s="10">
        <v>46093</v>
      </c>
      <c r="B82" s="10" t="str">
        <f>+TEXT(A82,"ddd")</f>
        <v>jue</v>
      </c>
      <c r="C82" s="1"/>
      <c r="D82" s="62">
        <v>24000</v>
      </c>
      <c r="E82" s="11" t="s">
        <v>216</v>
      </c>
      <c r="F82" s="11" t="s">
        <v>426</v>
      </c>
      <c r="G82" s="11" t="s">
        <v>365</v>
      </c>
      <c r="H82" s="25" t="s">
        <v>136</v>
      </c>
      <c r="I82" s="11" t="s">
        <v>423</v>
      </c>
    </row>
    <row r="83" spans="1:9" hidden="1" x14ac:dyDescent="0.25">
      <c r="A83" s="10">
        <v>46093</v>
      </c>
      <c r="B83" s="10" t="str">
        <f>+TEXT(A83,"ddd")</f>
        <v>jue</v>
      </c>
      <c r="C83" s="1"/>
      <c r="D83" s="62">
        <v>-24000</v>
      </c>
      <c r="E83" s="11" t="s">
        <v>216</v>
      </c>
      <c r="F83" s="11" t="s">
        <v>426</v>
      </c>
      <c r="G83" s="11" t="s">
        <v>365</v>
      </c>
      <c r="H83" s="25" t="s">
        <v>136</v>
      </c>
      <c r="I83" s="11" t="s">
        <v>424</v>
      </c>
    </row>
    <row r="84" spans="1:9" hidden="1" x14ac:dyDescent="0.25">
      <c r="A84" s="2">
        <v>46099</v>
      </c>
      <c r="B84" s="2" t="str">
        <f t="shared" ref="B84" si="13">+TEXT(A84,"ddd")</f>
        <v>mié</v>
      </c>
      <c r="D84" s="51">
        <v>-40000</v>
      </c>
      <c r="E84" s="3" t="s">
        <v>414</v>
      </c>
      <c r="H84" s="25" t="s">
        <v>136</v>
      </c>
      <c r="I84" t="s">
        <v>420</v>
      </c>
    </row>
    <row r="85" spans="1:9" hidden="1" x14ac:dyDescent="0.25">
      <c r="A85" s="2">
        <v>46099</v>
      </c>
      <c r="B85" s="2" t="str">
        <f t="shared" ref="B85" si="14">+TEXT(A85,"ddd")</f>
        <v>mié</v>
      </c>
      <c r="D85" s="51">
        <v>-40000</v>
      </c>
      <c r="E85" s="3" t="s">
        <v>414</v>
      </c>
      <c r="H85" s="25" t="s">
        <v>136</v>
      </c>
      <c r="I85" t="s">
        <v>422</v>
      </c>
    </row>
    <row r="86" spans="1:9" hidden="1" x14ac:dyDescent="0.25">
      <c r="A86" s="10">
        <v>46099</v>
      </c>
      <c r="B86" s="10" t="str">
        <f>+TEXT(A86,"ddd")</f>
        <v>mié</v>
      </c>
      <c r="C86" s="1"/>
      <c r="D86" s="62">
        <f>8000*4</f>
        <v>32000</v>
      </c>
      <c r="E86" s="11" t="s">
        <v>216</v>
      </c>
      <c r="F86" s="80" t="s">
        <v>425</v>
      </c>
      <c r="G86" s="11" t="s">
        <v>365</v>
      </c>
      <c r="H86" s="25" t="s">
        <v>136</v>
      </c>
      <c r="I86" s="11" t="s">
        <v>423</v>
      </c>
    </row>
    <row r="87" spans="1:9" hidden="1" x14ac:dyDescent="0.25">
      <c r="A87" s="2">
        <v>46099</v>
      </c>
      <c r="B87" s="2" t="str">
        <f t="shared" ref="B87" si="15">+TEXT(A87,"ddd")</f>
        <v>mié</v>
      </c>
      <c r="D87" s="51">
        <v>-116000</v>
      </c>
      <c r="E87" s="3" t="s">
        <v>414</v>
      </c>
      <c r="H87" s="25" t="s">
        <v>136</v>
      </c>
      <c r="I87" s="11" t="s">
        <v>436</v>
      </c>
    </row>
    <row r="88" spans="1:9" hidden="1" x14ac:dyDescent="0.25">
      <c r="A88" s="2">
        <v>46099</v>
      </c>
      <c r="B88" s="2" t="str">
        <f t="shared" ref="B88" si="16">+TEXT(A88,"ddd")</f>
        <v>mié</v>
      </c>
      <c r="D88" s="104">
        <f>+-8500-6000</f>
        <v>-14500</v>
      </c>
      <c r="E88" s="3" t="s">
        <v>414</v>
      </c>
      <c r="H88" s="25" t="s">
        <v>136</v>
      </c>
      <c r="I88" s="11" t="s">
        <v>437</v>
      </c>
    </row>
    <row r="89" spans="1:9" hidden="1" x14ac:dyDescent="0.25">
      <c r="A89" s="2">
        <v>46099</v>
      </c>
      <c r="B89" s="2" t="str">
        <f t="shared" ref="B89:B91" si="17">+TEXT(A89,"ddd")</f>
        <v>mié</v>
      </c>
      <c r="D89" s="51">
        <v>38000</v>
      </c>
      <c r="E89" s="3" t="s">
        <v>216</v>
      </c>
      <c r="H89" s="25" t="s">
        <v>136</v>
      </c>
    </row>
    <row r="90" spans="1:9" hidden="1" x14ac:dyDescent="0.25">
      <c r="A90" s="2">
        <v>46099</v>
      </c>
      <c r="B90" s="2" t="str">
        <f t="shared" si="17"/>
        <v>mié</v>
      </c>
      <c r="D90" s="51">
        <v>16000</v>
      </c>
      <c r="E90" s="3" t="s">
        <v>216</v>
      </c>
      <c r="H90" s="25" t="s">
        <v>136</v>
      </c>
    </row>
    <row r="91" spans="1:9" hidden="1" x14ac:dyDescent="0.25">
      <c r="A91" s="2">
        <v>46099</v>
      </c>
      <c r="B91" s="2" t="str">
        <f t="shared" si="17"/>
        <v>mié</v>
      </c>
      <c r="D91" s="51">
        <v>8000</v>
      </c>
      <c r="E91" s="3" t="s">
        <v>216</v>
      </c>
      <c r="H91" s="25" t="s">
        <v>136</v>
      </c>
    </row>
    <row r="92" spans="1:9" hidden="1" x14ac:dyDescent="0.25">
      <c r="A92" s="2">
        <v>46099</v>
      </c>
      <c r="B92" s="2" t="str">
        <f t="shared" ref="B92" si="18">+TEXT(A92,"ddd")</f>
        <v>mié</v>
      </c>
      <c r="D92" s="51">
        <v>9000</v>
      </c>
      <c r="E92" s="3" t="s">
        <v>216</v>
      </c>
      <c r="H92" s="25" t="s">
        <v>136</v>
      </c>
    </row>
    <row r="93" spans="1:9" hidden="1" x14ac:dyDescent="0.25">
      <c r="A93" s="2">
        <v>46099</v>
      </c>
      <c r="B93" s="2" t="str">
        <f t="shared" ref="B93:B94" si="19">+TEXT(A93,"ddd")</f>
        <v>mié</v>
      </c>
      <c r="D93" s="104">
        <v>-50000</v>
      </c>
      <c r="E93" s="3" t="s">
        <v>414</v>
      </c>
      <c r="H93" s="25" t="s">
        <v>136</v>
      </c>
      <c r="I93" t="s">
        <v>440</v>
      </c>
    </row>
    <row r="94" spans="1:9" hidden="1" x14ac:dyDescent="0.25">
      <c r="A94" s="2">
        <v>46100</v>
      </c>
      <c r="B94" s="2" t="str">
        <f t="shared" si="19"/>
        <v>jue</v>
      </c>
      <c r="D94" s="51">
        <v>11000</v>
      </c>
      <c r="E94" s="3" t="s">
        <v>216</v>
      </c>
      <c r="H94" s="26" t="s">
        <v>141</v>
      </c>
    </row>
    <row r="95" spans="1:9" hidden="1" x14ac:dyDescent="0.25">
      <c r="A95" s="2">
        <v>46100</v>
      </c>
      <c r="B95" s="2" t="str">
        <f t="shared" ref="B95" si="20">+TEXT(A95,"ddd")</f>
        <v>jue</v>
      </c>
      <c r="D95" s="51">
        <v>8000</v>
      </c>
      <c r="E95" s="3" t="s">
        <v>216</v>
      </c>
      <c r="F95" s="107">
        <v>268</v>
      </c>
      <c r="H95" s="25" t="s">
        <v>136</v>
      </c>
      <c r="I95" t="s">
        <v>513</v>
      </c>
    </row>
    <row r="96" spans="1:9" hidden="1" x14ac:dyDescent="0.25">
      <c r="A96" s="2">
        <v>46100</v>
      </c>
      <c r="B96" s="2" t="str">
        <f t="shared" ref="B96:B103" si="21">+TEXT(A96,"ddd")</f>
        <v>jue</v>
      </c>
      <c r="D96" s="51">
        <v>14000</v>
      </c>
      <c r="E96" s="3" t="s">
        <v>216</v>
      </c>
      <c r="F96" s="108">
        <v>270</v>
      </c>
      <c r="H96" s="25" t="s">
        <v>136</v>
      </c>
      <c r="I96" t="s">
        <v>514</v>
      </c>
    </row>
    <row r="97" spans="1:9" hidden="1" x14ac:dyDescent="0.25">
      <c r="A97" s="2">
        <v>46100</v>
      </c>
      <c r="B97" s="2" t="str">
        <f t="shared" si="21"/>
        <v>jue</v>
      </c>
      <c r="D97" s="51">
        <v>8000</v>
      </c>
      <c r="E97" s="3" t="s">
        <v>216</v>
      </c>
      <c r="F97" s="108">
        <v>270</v>
      </c>
      <c r="H97" s="25" t="s">
        <v>136</v>
      </c>
      <c r="I97" t="s">
        <v>514</v>
      </c>
    </row>
    <row r="98" spans="1:9" hidden="1" x14ac:dyDescent="0.25">
      <c r="A98" s="2">
        <v>46100</v>
      </c>
      <c r="B98" s="2" t="str">
        <f t="shared" si="21"/>
        <v>jue</v>
      </c>
      <c r="D98" s="51">
        <v>30000</v>
      </c>
      <c r="E98" s="3" t="s">
        <v>216</v>
      </c>
      <c r="F98" s="107">
        <v>271</v>
      </c>
      <c r="H98" s="25" t="s">
        <v>136</v>
      </c>
      <c r="I98" t="s">
        <v>515</v>
      </c>
    </row>
    <row r="99" spans="1:9" hidden="1" x14ac:dyDescent="0.25">
      <c r="A99" s="2">
        <v>46100</v>
      </c>
      <c r="B99" s="2" t="str">
        <f t="shared" si="21"/>
        <v>jue</v>
      </c>
      <c r="D99" s="51">
        <v>19000</v>
      </c>
      <c r="E99" s="3" t="s">
        <v>216</v>
      </c>
      <c r="F99" s="106">
        <v>272</v>
      </c>
      <c r="H99" s="25" t="s">
        <v>136</v>
      </c>
      <c r="I99" t="s">
        <v>516</v>
      </c>
    </row>
    <row r="100" spans="1:9" hidden="1" x14ac:dyDescent="0.25">
      <c r="A100" s="2">
        <v>46100</v>
      </c>
      <c r="B100" s="2" t="str">
        <f t="shared" ref="B100" si="22">+TEXT(A100,"ddd")</f>
        <v>jue</v>
      </c>
      <c r="D100" s="51">
        <v>16000</v>
      </c>
      <c r="E100" s="3" t="s">
        <v>216</v>
      </c>
      <c r="F100" s="107">
        <v>278</v>
      </c>
      <c r="H100" s="25" t="s">
        <v>136</v>
      </c>
      <c r="I100" t="s">
        <v>517</v>
      </c>
    </row>
    <row r="101" spans="1:9" hidden="1" x14ac:dyDescent="0.25">
      <c r="A101" s="2">
        <v>46100</v>
      </c>
      <c r="B101" s="2" t="str">
        <f t="shared" si="21"/>
        <v>jue</v>
      </c>
      <c r="D101" s="51">
        <v>16000</v>
      </c>
      <c r="E101" s="3" t="s">
        <v>216</v>
      </c>
      <c r="F101" s="106">
        <v>279</v>
      </c>
      <c r="H101" s="25" t="s">
        <v>136</v>
      </c>
      <c r="I101" t="s">
        <v>518</v>
      </c>
    </row>
    <row r="102" spans="1:9" hidden="1" x14ac:dyDescent="0.25">
      <c r="A102" s="2">
        <v>46100</v>
      </c>
      <c r="B102" s="2" t="str">
        <f t="shared" si="21"/>
        <v>jue</v>
      </c>
      <c r="D102" s="51">
        <v>2800</v>
      </c>
      <c r="E102" s="3" t="s">
        <v>216</v>
      </c>
      <c r="F102" s="107">
        <v>286</v>
      </c>
      <c r="H102" s="25" t="s">
        <v>136</v>
      </c>
      <c r="I102" t="s">
        <v>514</v>
      </c>
    </row>
    <row r="103" spans="1:9" hidden="1" x14ac:dyDescent="0.25">
      <c r="A103" s="2">
        <v>46100</v>
      </c>
      <c r="B103" s="2" t="str">
        <f t="shared" si="21"/>
        <v>jue</v>
      </c>
      <c r="C103" s="27">
        <v>0.79166666666666663</v>
      </c>
      <c r="D103" s="62">
        <v>8000</v>
      </c>
      <c r="E103" s="3" t="s">
        <v>216</v>
      </c>
      <c r="F103" s="107">
        <v>282</v>
      </c>
      <c r="H103" s="25" t="s">
        <v>136</v>
      </c>
      <c r="I103" t="s">
        <v>519</v>
      </c>
    </row>
    <row r="104" spans="1:9" hidden="1" x14ac:dyDescent="0.25">
      <c r="A104" s="2">
        <v>46100</v>
      </c>
      <c r="B104" s="2" t="str">
        <f t="shared" ref="B104" si="23">+TEXT(A104,"ddd")</f>
        <v>jue</v>
      </c>
      <c r="D104" s="51">
        <v>40000</v>
      </c>
      <c r="E104" s="3" t="s">
        <v>216</v>
      </c>
      <c r="F104" s="106">
        <v>285</v>
      </c>
      <c r="H104" s="25" t="s">
        <v>136</v>
      </c>
      <c r="I104" t="s">
        <v>520</v>
      </c>
    </row>
    <row r="105" spans="1:9" hidden="1" x14ac:dyDescent="0.25">
      <c r="A105" s="2">
        <v>46100</v>
      </c>
      <c r="B105" s="2" t="str">
        <f t="shared" ref="B105:B106" si="24">+TEXT(A105,"ddd")</f>
        <v>jue</v>
      </c>
      <c r="C105" s="27">
        <v>0.84930555555555554</v>
      </c>
      <c r="D105" s="62">
        <v>8000</v>
      </c>
      <c r="E105" s="3" t="s">
        <v>216</v>
      </c>
      <c r="H105" s="25" t="s">
        <v>136</v>
      </c>
      <c r="I105" t="s">
        <v>522</v>
      </c>
    </row>
    <row r="106" spans="1:9" hidden="1" x14ac:dyDescent="0.25">
      <c r="A106" s="2">
        <v>46100</v>
      </c>
      <c r="B106" s="2" t="str">
        <f t="shared" si="24"/>
        <v>jue</v>
      </c>
      <c r="D106" s="51">
        <f>-40000-10000</f>
        <v>-50000</v>
      </c>
      <c r="E106" s="3" t="s">
        <v>414</v>
      </c>
      <c r="H106" s="25" t="s">
        <v>136</v>
      </c>
      <c r="I106" t="s">
        <v>403</v>
      </c>
    </row>
    <row r="107" spans="1:9" x14ac:dyDescent="0.25">
      <c r="A107" s="2">
        <v>46100</v>
      </c>
      <c r="B107" s="2" t="str">
        <f t="shared" ref="B107:B111" si="25">+TEXT(A107,"ddd")</f>
        <v>jue</v>
      </c>
      <c r="D107" s="51">
        <v>-404000</v>
      </c>
      <c r="E107" s="3" t="s">
        <v>216</v>
      </c>
      <c r="H107" s="25" t="s">
        <v>136</v>
      </c>
      <c r="I107" t="s">
        <v>521</v>
      </c>
    </row>
    <row r="108" spans="1:9" hidden="1" x14ac:dyDescent="0.25">
      <c r="A108" s="2">
        <v>46101</v>
      </c>
      <c r="B108" s="2" t="str">
        <f t="shared" si="25"/>
        <v>vie</v>
      </c>
      <c r="D108" s="51">
        <v>33000</v>
      </c>
      <c r="E108" s="3" t="s">
        <v>216</v>
      </c>
      <c r="H108" s="25" t="s">
        <v>136</v>
      </c>
      <c r="I108" t="s">
        <v>540</v>
      </c>
    </row>
    <row r="109" spans="1:9" hidden="1" x14ac:dyDescent="0.25">
      <c r="A109" s="2">
        <v>46101</v>
      </c>
      <c r="B109" s="2" t="str">
        <f t="shared" si="25"/>
        <v>vie</v>
      </c>
      <c r="D109" s="51">
        <v>32700</v>
      </c>
      <c r="E109" s="3" t="s">
        <v>216</v>
      </c>
      <c r="H109" s="25" t="s">
        <v>136</v>
      </c>
      <c r="I109" t="s">
        <v>539</v>
      </c>
    </row>
    <row r="110" spans="1:9" hidden="1" x14ac:dyDescent="0.25">
      <c r="A110" s="2">
        <v>46101</v>
      </c>
      <c r="B110" s="2" t="str">
        <f t="shared" si="25"/>
        <v>vie</v>
      </c>
      <c r="D110" s="51">
        <v>230000</v>
      </c>
      <c r="E110" s="3" t="s">
        <v>541</v>
      </c>
      <c r="H110" s="25" t="s">
        <v>136</v>
      </c>
      <c r="I110" t="s">
        <v>542</v>
      </c>
    </row>
    <row r="111" spans="1:9" hidden="1" x14ac:dyDescent="0.25">
      <c r="A111" s="2">
        <v>46101</v>
      </c>
      <c r="B111" s="2" t="str">
        <f t="shared" si="25"/>
        <v>vie</v>
      </c>
      <c r="D111" s="51">
        <v>-21000</v>
      </c>
      <c r="E111" s="3" t="s">
        <v>414</v>
      </c>
      <c r="H111" s="25" t="s">
        <v>136</v>
      </c>
      <c r="I111" t="s">
        <v>543</v>
      </c>
    </row>
    <row r="112" spans="1:9" hidden="1" x14ac:dyDescent="0.25">
      <c r="A112" s="2">
        <v>46102</v>
      </c>
      <c r="B112" s="2" t="str">
        <f>+TEXT(A112,"ddd")</f>
        <v>sáb</v>
      </c>
      <c r="D112" s="51">
        <v>11000</v>
      </c>
      <c r="E112" s="3" t="s">
        <v>216</v>
      </c>
      <c r="H112" s="25" t="s">
        <v>136</v>
      </c>
      <c r="I112" t="s">
        <v>581</v>
      </c>
    </row>
    <row r="113" spans="1:9" hidden="1" x14ac:dyDescent="0.25">
      <c r="A113" s="2">
        <v>46105</v>
      </c>
      <c r="B113" s="2" t="str">
        <f t="shared" ref="B113" si="26">+TEXT(A113,"ddd")</f>
        <v>mar</v>
      </c>
      <c r="D113" s="51">
        <v>27000</v>
      </c>
      <c r="E113" s="3" t="s">
        <v>216</v>
      </c>
      <c r="H113" s="26" t="s">
        <v>141</v>
      </c>
    </row>
    <row r="114" spans="1:9" hidden="1" x14ac:dyDescent="0.25">
      <c r="A114" s="2">
        <v>46105</v>
      </c>
      <c r="B114" s="2" t="str">
        <f>+TEXT(A114,"ddd")</f>
        <v>mar</v>
      </c>
      <c r="D114" s="51">
        <v>13000</v>
      </c>
      <c r="E114" s="3" t="s">
        <v>216</v>
      </c>
      <c r="H114" s="25" t="s">
        <v>136</v>
      </c>
    </row>
    <row r="115" spans="1:9" hidden="1" x14ac:dyDescent="0.25">
      <c r="A115" s="2">
        <v>46105</v>
      </c>
      <c r="B115" s="2" t="str">
        <f t="shared" ref="B115:B121" si="27">+TEXT(A115,"ddd")</f>
        <v>mar</v>
      </c>
      <c r="D115" s="51">
        <v>10000</v>
      </c>
      <c r="E115" s="3" t="s">
        <v>216</v>
      </c>
      <c r="H115" s="25" t="s">
        <v>136</v>
      </c>
    </row>
    <row r="116" spans="1:9" hidden="1" x14ac:dyDescent="0.25">
      <c r="A116" s="2">
        <v>46105</v>
      </c>
      <c r="B116" s="2" t="str">
        <f t="shared" si="27"/>
        <v>mar</v>
      </c>
      <c r="D116" s="51">
        <v>16000</v>
      </c>
      <c r="E116" s="3" t="s">
        <v>216</v>
      </c>
      <c r="H116" s="25" t="s">
        <v>136</v>
      </c>
    </row>
    <row r="117" spans="1:9" hidden="1" x14ac:dyDescent="0.25">
      <c r="A117" s="2">
        <v>46105</v>
      </c>
      <c r="B117" s="2" t="str">
        <f t="shared" si="27"/>
        <v>mar</v>
      </c>
      <c r="D117" s="51">
        <v>88000</v>
      </c>
      <c r="E117" s="3" t="s">
        <v>216</v>
      </c>
      <c r="H117" s="25" t="s">
        <v>136</v>
      </c>
    </row>
    <row r="118" spans="1:9" hidden="1" x14ac:dyDescent="0.25">
      <c r="A118" s="2">
        <v>46106</v>
      </c>
      <c r="B118" s="2" t="str">
        <f t="shared" si="27"/>
        <v>mié</v>
      </c>
      <c r="D118" s="51">
        <v>11000</v>
      </c>
      <c r="E118" s="3" t="s">
        <v>216</v>
      </c>
      <c r="H118" s="26" t="s">
        <v>141</v>
      </c>
    </row>
    <row r="119" spans="1:9" hidden="1" x14ac:dyDescent="0.25">
      <c r="A119" s="2">
        <v>46106</v>
      </c>
      <c r="B119" s="2" t="str">
        <f t="shared" ref="B119" si="28">+TEXT(A119,"ddd")</f>
        <v>mié</v>
      </c>
      <c r="D119" s="51">
        <v>4000</v>
      </c>
      <c r="E119" s="3" t="s">
        <v>216</v>
      </c>
      <c r="H119" s="25" t="s">
        <v>136</v>
      </c>
      <c r="I119" t="s">
        <v>628</v>
      </c>
    </row>
    <row r="120" spans="1:9" hidden="1" x14ac:dyDescent="0.25">
      <c r="A120" s="2">
        <v>46106</v>
      </c>
      <c r="B120" s="2" t="str">
        <f t="shared" si="27"/>
        <v>mié</v>
      </c>
      <c r="D120" s="51">
        <v>11000</v>
      </c>
      <c r="E120" s="3" t="s">
        <v>216</v>
      </c>
      <c r="H120" s="25" t="s">
        <v>136</v>
      </c>
      <c r="I120" t="s">
        <v>627</v>
      </c>
    </row>
    <row r="121" spans="1:9" hidden="1" x14ac:dyDescent="0.25">
      <c r="A121" s="2">
        <v>46106</v>
      </c>
      <c r="B121" s="2" t="str">
        <f t="shared" si="27"/>
        <v>mié</v>
      </c>
      <c r="D121" s="62">
        <v>33000</v>
      </c>
      <c r="E121" s="3" t="s">
        <v>216</v>
      </c>
      <c r="H121" s="25" t="s">
        <v>136</v>
      </c>
      <c r="I121" t="s">
        <v>629</v>
      </c>
    </row>
    <row r="122" spans="1:9" hidden="1" x14ac:dyDescent="0.25">
      <c r="A122" s="2">
        <v>46106</v>
      </c>
      <c r="B122" s="2" t="str">
        <f t="shared" ref="B122" si="29">+TEXT(A122,"ddd")</f>
        <v>mié</v>
      </c>
      <c r="D122" s="51">
        <v>-154000</v>
      </c>
      <c r="E122" s="3" t="s">
        <v>414</v>
      </c>
      <c r="H122" s="25" t="s">
        <v>136</v>
      </c>
      <c r="I122" t="s">
        <v>630</v>
      </c>
    </row>
    <row r="123" spans="1:9" hidden="1" x14ac:dyDescent="0.25"/>
  </sheetData>
  <autoFilter ref="A5:J123" xr:uid="{00000000-0001-0000-0400-000000000000}">
    <filterColumn colId="8">
      <filters>
        <filter val="Gaseosa"/>
        <filter val="Pago de la gaseosa"/>
      </filters>
    </filterColumn>
  </autoFilter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17"/>
  <sheetViews>
    <sheetView workbookViewId="0">
      <selection activeCell="F4" sqref="F4"/>
    </sheetView>
  </sheetViews>
  <sheetFormatPr baseColWidth="10" defaultRowHeight="15" x14ac:dyDescent="0.25"/>
  <cols>
    <col min="2" max="2" width="19.140625" bestFit="1" customWidth="1"/>
    <col min="3" max="3" width="11.42578125" style="73"/>
  </cols>
  <sheetData>
    <row r="1" spans="2:6" x14ac:dyDescent="0.25">
      <c r="B1" t="s">
        <v>132</v>
      </c>
      <c r="C1" s="73">
        <f>+SUM(C8,C10:C17)</f>
        <v>126500</v>
      </c>
      <c r="D1" t="s">
        <v>270</v>
      </c>
    </row>
    <row r="2" spans="2:6" x14ac:dyDescent="0.25">
      <c r="B2" t="s">
        <v>403</v>
      </c>
      <c r="C2" s="73">
        <v>20000</v>
      </c>
    </row>
    <row r="3" spans="2:6" x14ac:dyDescent="0.25">
      <c r="B3" t="s">
        <v>262</v>
      </c>
      <c r="C3" s="73">
        <v>70000</v>
      </c>
      <c r="F3" t="s">
        <v>197</v>
      </c>
    </row>
    <row r="4" spans="2:6" x14ac:dyDescent="0.25">
      <c r="C4" s="79">
        <f>+C1-SUM(C2:C3)</f>
        <v>36500</v>
      </c>
    </row>
    <row r="8" spans="2:6" x14ac:dyDescent="0.25">
      <c r="B8" t="s">
        <v>614</v>
      </c>
      <c r="C8" s="73">
        <f>4500*3</f>
        <v>13500</v>
      </c>
      <c r="D8" t="s">
        <v>270</v>
      </c>
      <c r="F8">
        <v>1600</v>
      </c>
    </row>
    <row r="9" spans="2:6" x14ac:dyDescent="0.25">
      <c r="B9" t="s">
        <v>615</v>
      </c>
      <c r="C9" s="73">
        <f>8000+300</f>
        <v>8300</v>
      </c>
      <c r="D9" t="s">
        <v>271</v>
      </c>
    </row>
    <row r="10" spans="2:6" x14ac:dyDescent="0.25">
      <c r="B10" t="s">
        <v>616</v>
      </c>
      <c r="C10" s="73">
        <v>8000</v>
      </c>
      <c r="D10" t="s">
        <v>270</v>
      </c>
    </row>
    <row r="11" spans="2:6" x14ac:dyDescent="0.25">
      <c r="B11" t="s">
        <v>615</v>
      </c>
      <c r="C11" s="73">
        <v>11000</v>
      </c>
      <c r="D11" t="s">
        <v>270</v>
      </c>
    </row>
    <row r="12" spans="2:6" x14ac:dyDescent="0.25">
      <c r="B12" s="1" t="s">
        <v>617</v>
      </c>
      <c r="C12" s="73">
        <v>15000</v>
      </c>
      <c r="D12" t="s">
        <v>270</v>
      </c>
    </row>
    <row r="13" spans="2:6" x14ac:dyDescent="0.25">
      <c r="B13" t="s">
        <v>289</v>
      </c>
      <c r="C13" s="73">
        <v>8000</v>
      </c>
      <c r="D13" t="s">
        <v>270</v>
      </c>
    </row>
    <row r="14" spans="2:6" x14ac:dyDescent="0.25">
      <c r="B14" t="s">
        <v>618</v>
      </c>
      <c r="C14" s="73">
        <v>16000</v>
      </c>
      <c r="D14" t="s">
        <v>270</v>
      </c>
    </row>
    <row r="15" spans="2:6" x14ac:dyDescent="0.25">
      <c r="B15" t="s">
        <v>619</v>
      </c>
      <c r="C15" s="73">
        <f>8000*2+3000</f>
        <v>19000</v>
      </c>
      <c r="D15" t="s">
        <v>270</v>
      </c>
    </row>
    <row r="16" spans="2:6" x14ac:dyDescent="0.25">
      <c r="B16" t="s">
        <v>618</v>
      </c>
      <c r="C16" s="73">
        <v>16000</v>
      </c>
      <c r="D16" t="s">
        <v>270</v>
      </c>
    </row>
    <row r="17" spans="2:4" x14ac:dyDescent="0.25">
      <c r="B17" t="s">
        <v>620</v>
      </c>
      <c r="C17" s="73">
        <v>20000</v>
      </c>
      <c r="D17" t="s">
        <v>270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2:G4"/>
  <sheetViews>
    <sheetView workbookViewId="0">
      <selection activeCell="D3" sqref="D3"/>
    </sheetView>
  </sheetViews>
  <sheetFormatPr baseColWidth="10" defaultRowHeight="15" x14ac:dyDescent="0.25"/>
  <sheetData>
    <row r="2" spans="3:7" x14ac:dyDescent="0.25">
      <c r="D2" t="s">
        <v>623</v>
      </c>
    </row>
    <row r="3" spans="3:7" x14ac:dyDescent="0.25">
      <c r="E3" t="s">
        <v>621</v>
      </c>
    </row>
    <row r="4" spans="3:7" x14ac:dyDescent="0.25">
      <c r="C4" t="s">
        <v>244</v>
      </c>
      <c r="D4">
        <v>106500</v>
      </c>
      <c r="E4">
        <v>6.66</v>
      </c>
      <c r="F4" t="s">
        <v>621</v>
      </c>
      <c r="G4" t="s">
        <v>622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5">
        <f>30000+120000+50000+51500</f>
        <v>251500</v>
      </c>
      <c r="G6" s="85">
        <f>'Arqueo de Caja'!$AM$14</f>
        <v>203350</v>
      </c>
      <c r="H6" s="9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1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3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9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9">
        <v>6000</v>
      </c>
      <c r="D6">
        <v>3</v>
      </c>
    </row>
    <row r="7" spans="1:7" x14ac:dyDescent="0.25">
      <c r="A7">
        <v>3</v>
      </c>
      <c r="B7" t="s">
        <v>379</v>
      </c>
      <c r="C7" s="73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9">
        <v>24000</v>
      </c>
    </row>
    <row r="9" spans="1:7" x14ac:dyDescent="0.25">
      <c r="A9" s="1">
        <v>3</v>
      </c>
      <c r="B9" s="1" t="s">
        <v>375</v>
      </c>
      <c r="C9" s="79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3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3">
        <v>8000</v>
      </c>
      <c r="F11" s="1">
        <v>6</v>
      </c>
    </row>
    <row r="12" spans="1:7" ht="15.75" thickBot="1" x14ac:dyDescent="0.3">
      <c r="B12" t="s">
        <v>277</v>
      </c>
      <c r="C12" s="78">
        <v>30000</v>
      </c>
      <c r="F12" s="1">
        <v>4.5</v>
      </c>
    </row>
    <row r="13" spans="1:7" ht="15.75" thickTop="1" x14ac:dyDescent="0.25">
      <c r="C13" s="73">
        <f>+SUM(C3:C12)</f>
        <v>132500</v>
      </c>
      <c r="F13" s="1">
        <v>57500</v>
      </c>
    </row>
    <row r="17" spans="1:5" x14ac:dyDescent="0.25">
      <c r="A17" s="81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B1:F42"/>
  <sheetViews>
    <sheetView showGridLines="0" zoomScale="115" zoomScaleNormal="115" workbookViewId="0">
      <pane ySplit="2" topLeftCell="A27" activePane="bottomLeft" state="frozen"/>
      <selection pane="bottomLeft" activeCell="C37" sqref="C37"/>
    </sheetView>
  </sheetViews>
  <sheetFormatPr baseColWidth="10" defaultRowHeight="15" x14ac:dyDescent="0.25"/>
  <cols>
    <col min="1" max="1" width="1.42578125" customWidth="1"/>
    <col min="2" max="2" width="8.140625" style="87" bestFit="1" customWidth="1"/>
    <col min="3" max="3" width="53.85546875" style="87" bestFit="1" customWidth="1"/>
    <col min="4" max="4" width="11" style="113" bestFit="1" customWidth="1"/>
    <col min="5" max="5" width="9.42578125" style="87" bestFit="1" customWidth="1"/>
    <col min="6" max="6" width="70.85546875" style="88" bestFit="1" customWidth="1"/>
  </cols>
  <sheetData>
    <row r="1" spans="2:6" ht="33.75" x14ac:dyDescent="0.25">
      <c r="B1" s="140" t="s">
        <v>338</v>
      </c>
      <c r="C1" s="140"/>
      <c r="D1" s="140"/>
      <c r="E1" s="140"/>
      <c r="F1" s="140"/>
    </row>
    <row r="2" spans="2:6" x14ac:dyDescent="0.25">
      <c r="B2" s="89" t="s">
        <v>5</v>
      </c>
      <c r="C2" s="89" t="s">
        <v>321</v>
      </c>
      <c r="D2" s="110" t="s">
        <v>294</v>
      </c>
      <c r="E2" s="89" t="s">
        <v>337</v>
      </c>
      <c r="F2" s="90" t="s">
        <v>291</v>
      </c>
    </row>
    <row r="3" spans="2:6" ht="30" x14ac:dyDescent="0.25">
      <c r="B3" s="114">
        <v>46090</v>
      </c>
      <c r="C3" s="91" t="s">
        <v>439</v>
      </c>
      <c r="D3" s="111" t="s">
        <v>295</v>
      </c>
      <c r="E3" s="91" t="s">
        <v>292</v>
      </c>
      <c r="F3" s="92" t="s">
        <v>293</v>
      </c>
    </row>
    <row r="4" spans="2:6" ht="30" x14ac:dyDescent="0.25">
      <c r="B4" s="114">
        <v>46090</v>
      </c>
      <c r="C4" s="91" t="s">
        <v>438</v>
      </c>
      <c r="D4" s="111" t="s">
        <v>295</v>
      </c>
      <c r="E4" s="91" t="s">
        <v>296</v>
      </c>
      <c r="F4" s="92" t="s">
        <v>297</v>
      </c>
    </row>
    <row r="5" spans="2:6" ht="30" x14ac:dyDescent="0.25">
      <c r="B5" s="114">
        <v>46093</v>
      </c>
      <c r="C5" s="91" t="s">
        <v>324</v>
      </c>
      <c r="D5" s="111" t="s">
        <v>295</v>
      </c>
      <c r="E5" s="91" t="s">
        <v>322</v>
      </c>
      <c r="F5" s="92" t="s">
        <v>323</v>
      </c>
    </row>
    <row r="6" spans="2:6" ht="60" customHeight="1" x14ac:dyDescent="0.25">
      <c r="B6" s="114">
        <v>46093</v>
      </c>
      <c r="C6" s="91" t="s">
        <v>327</v>
      </c>
      <c r="D6" s="111" t="s">
        <v>295</v>
      </c>
      <c r="E6" s="91" t="s">
        <v>325</v>
      </c>
      <c r="F6" s="92" t="s">
        <v>326</v>
      </c>
    </row>
    <row r="7" spans="2:6" ht="30" x14ac:dyDescent="0.25">
      <c r="B7" s="114">
        <v>46093</v>
      </c>
      <c r="C7" s="91" t="s">
        <v>328</v>
      </c>
      <c r="D7" s="111" t="s">
        <v>295</v>
      </c>
      <c r="E7" s="91" t="s">
        <v>330</v>
      </c>
      <c r="F7" s="92" t="s">
        <v>329</v>
      </c>
    </row>
    <row r="8" spans="2:6" ht="30" x14ac:dyDescent="0.25">
      <c r="B8" s="114">
        <v>46093</v>
      </c>
      <c r="C8" s="91" t="s">
        <v>334</v>
      </c>
      <c r="D8" s="111" t="s">
        <v>295</v>
      </c>
      <c r="E8" s="91" t="s">
        <v>331</v>
      </c>
      <c r="F8" s="92" t="s">
        <v>332</v>
      </c>
    </row>
    <row r="9" spans="2:6" ht="45" x14ac:dyDescent="0.25">
      <c r="B9" s="114">
        <v>46093</v>
      </c>
      <c r="C9" s="91" t="s">
        <v>335</v>
      </c>
      <c r="D9" s="111" t="s">
        <v>295</v>
      </c>
      <c r="E9" s="91" t="s">
        <v>333</v>
      </c>
      <c r="F9" s="92" t="s">
        <v>336</v>
      </c>
    </row>
    <row r="10" spans="2:6" x14ac:dyDescent="0.25">
      <c r="B10" s="114">
        <v>46093</v>
      </c>
      <c r="C10" s="91" t="s">
        <v>360</v>
      </c>
      <c r="D10" s="111" t="s">
        <v>295</v>
      </c>
      <c r="E10" s="91" t="s">
        <v>361</v>
      </c>
      <c r="F10" s="92" t="s">
        <v>353</v>
      </c>
    </row>
    <row r="11" spans="2:6" ht="30" x14ac:dyDescent="0.25">
      <c r="B11" s="114">
        <v>46093</v>
      </c>
      <c r="C11" s="91" t="s">
        <v>370</v>
      </c>
      <c r="D11" s="111" t="s">
        <v>295</v>
      </c>
      <c r="E11" s="91" t="s">
        <v>369</v>
      </c>
      <c r="F11" s="92" t="s">
        <v>417</v>
      </c>
    </row>
    <row r="12" spans="2:6" ht="30" x14ac:dyDescent="0.25">
      <c r="B12" s="114">
        <v>46099</v>
      </c>
      <c r="C12" s="91" t="s">
        <v>418</v>
      </c>
      <c r="D12" s="111" t="s">
        <v>295</v>
      </c>
      <c r="E12" s="91" t="s">
        <v>416</v>
      </c>
      <c r="F12" s="92" t="s">
        <v>419</v>
      </c>
    </row>
    <row r="13" spans="2:6" ht="30" x14ac:dyDescent="0.25">
      <c r="B13" s="114">
        <v>46099</v>
      </c>
      <c r="C13" s="91" t="s">
        <v>428</v>
      </c>
      <c r="D13" s="111" t="s">
        <v>295</v>
      </c>
      <c r="E13" s="91" t="s">
        <v>427</v>
      </c>
      <c r="F13" s="92" t="s">
        <v>355</v>
      </c>
    </row>
    <row r="14" spans="2:6" ht="30" x14ac:dyDescent="0.25">
      <c r="B14" s="114">
        <v>46100</v>
      </c>
      <c r="C14" s="91" t="s">
        <v>441</v>
      </c>
      <c r="D14" s="111" t="s">
        <v>295</v>
      </c>
      <c r="E14" s="91" t="s">
        <v>429</v>
      </c>
      <c r="F14" s="92" t="s">
        <v>442</v>
      </c>
    </row>
    <row r="15" spans="2:6" ht="30" x14ac:dyDescent="0.25">
      <c r="B15" s="114">
        <v>46100</v>
      </c>
      <c r="C15" s="91" t="s">
        <v>443</v>
      </c>
      <c r="D15" s="111" t="s">
        <v>295</v>
      </c>
      <c r="E15" s="91" t="s">
        <v>427</v>
      </c>
      <c r="F15" s="92" t="s">
        <v>355</v>
      </c>
    </row>
    <row r="16" spans="2:6" ht="30" x14ac:dyDescent="0.25">
      <c r="B16" s="114">
        <v>46100</v>
      </c>
      <c r="C16" s="91" t="s">
        <v>446</v>
      </c>
      <c r="D16" s="111" t="s">
        <v>295</v>
      </c>
      <c r="E16" s="91" t="s">
        <v>445</v>
      </c>
      <c r="F16" s="93" t="s">
        <v>444</v>
      </c>
    </row>
    <row r="17" spans="2:6" ht="30" x14ac:dyDescent="0.25">
      <c r="B17" s="114">
        <v>46100</v>
      </c>
      <c r="C17" s="91" t="s">
        <v>449</v>
      </c>
      <c r="D17" s="111" t="s">
        <v>295</v>
      </c>
      <c r="E17" s="91" t="s">
        <v>535</v>
      </c>
      <c r="F17" s="92" t="s">
        <v>448</v>
      </c>
    </row>
    <row r="18" spans="2:6" ht="30" x14ac:dyDescent="0.25">
      <c r="B18" s="114">
        <v>46100</v>
      </c>
      <c r="C18" s="91" t="s">
        <v>512</v>
      </c>
      <c r="D18" s="111" t="s">
        <v>295</v>
      </c>
      <c r="E18" s="91" t="s">
        <v>510</v>
      </c>
      <c r="F18" s="92" t="s">
        <v>511</v>
      </c>
    </row>
    <row r="19" spans="2:6" ht="30" x14ac:dyDescent="0.25">
      <c r="B19" s="114">
        <v>46100</v>
      </c>
      <c r="C19" s="91" t="s">
        <v>524</v>
      </c>
      <c r="D19" s="111" t="s">
        <v>295</v>
      </c>
      <c r="E19" s="91" t="s">
        <v>523</v>
      </c>
      <c r="F19" s="92" t="s">
        <v>525</v>
      </c>
    </row>
    <row r="20" spans="2:6" ht="30" x14ac:dyDescent="0.25">
      <c r="B20" s="114">
        <v>46101</v>
      </c>
      <c r="C20" s="91" t="s">
        <v>528</v>
      </c>
      <c r="D20" s="111" t="s">
        <v>295</v>
      </c>
      <c r="E20" s="91" t="s">
        <v>526</v>
      </c>
      <c r="F20" s="92" t="s">
        <v>527</v>
      </c>
    </row>
    <row r="21" spans="2:6" ht="45" x14ac:dyDescent="0.25">
      <c r="B21" s="114">
        <v>46101</v>
      </c>
      <c r="C21" s="91" t="s">
        <v>531</v>
      </c>
      <c r="D21" s="111" t="s">
        <v>295</v>
      </c>
      <c r="E21" s="91" t="s">
        <v>530</v>
      </c>
      <c r="F21" s="92" t="s">
        <v>532</v>
      </c>
    </row>
    <row r="22" spans="2:6" ht="45" x14ac:dyDescent="0.25">
      <c r="B22" s="114">
        <v>46101</v>
      </c>
      <c r="C22" s="91" t="s">
        <v>534</v>
      </c>
      <c r="D22" s="111" t="s">
        <v>295</v>
      </c>
      <c r="E22" s="91" t="s">
        <v>533</v>
      </c>
      <c r="F22" s="92" t="s">
        <v>532</v>
      </c>
    </row>
    <row r="23" spans="2:6" x14ac:dyDescent="0.25">
      <c r="B23" s="114">
        <v>46101</v>
      </c>
      <c r="C23" s="91" t="s">
        <v>536</v>
      </c>
      <c r="D23" s="111" t="s">
        <v>295</v>
      </c>
      <c r="E23" s="91" t="s">
        <v>447</v>
      </c>
      <c r="F23" s="92" t="s">
        <v>537</v>
      </c>
    </row>
    <row r="24" spans="2:6" ht="30" x14ac:dyDescent="0.25">
      <c r="B24" s="114">
        <v>46102</v>
      </c>
      <c r="C24" s="91" t="s">
        <v>558</v>
      </c>
      <c r="D24" s="111" t="s">
        <v>295</v>
      </c>
      <c r="E24" s="91" t="s">
        <v>556</v>
      </c>
      <c r="F24" s="92" t="s">
        <v>557</v>
      </c>
    </row>
    <row r="25" spans="2:6" ht="30" x14ac:dyDescent="0.25">
      <c r="B25" s="114">
        <v>46102</v>
      </c>
      <c r="C25" s="91" t="s">
        <v>560</v>
      </c>
      <c r="D25" s="111" t="s">
        <v>295</v>
      </c>
      <c r="E25" s="91" t="s">
        <v>559</v>
      </c>
      <c r="F25" s="92" t="s">
        <v>565</v>
      </c>
    </row>
    <row r="26" spans="2:6" x14ac:dyDescent="0.25">
      <c r="B26" s="114">
        <v>46102</v>
      </c>
      <c r="C26" s="91" t="s">
        <v>563</v>
      </c>
      <c r="D26" s="111" t="s">
        <v>295</v>
      </c>
      <c r="E26" s="91" t="s">
        <v>561</v>
      </c>
      <c r="F26" s="91" t="s">
        <v>562</v>
      </c>
    </row>
    <row r="27" spans="2:6" x14ac:dyDescent="0.25">
      <c r="B27" s="114">
        <v>46102</v>
      </c>
      <c r="C27" s="91" t="s">
        <v>569</v>
      </c>
      <c r="D27" s="111" t="s">
        <v>295</v>
      </c>
      <c r="E27" s="91" t="s">
        <v>564</v>
      </c>
      <c r="F27" s="91" t="s">
        <v>567</v>
      </c>
    </row>
    <row r="28" spans="2:6" x14ac:dyDescent="0.25">
      <c r="B28" s="114">
        <v>46102</v>
      </c>
      <c r="C28" s="91" t="s">
        <v>570</v>
      </c>
      <c r="D28" s="111" t="s">
        <v>295</v>
      </c>
      <c r="E28" s="91" t="s">
        <v>566</v>
      </c>
      <c r="F28" s="91" t="s">
        <v>568</v>
      </c>
    </row>
    <row r="29" spans="2:6" x14ac:dyDescent="0.25">
      <c r="B29" s="114">
        <v>46102</v>
      </c>
      <c r="C29" s="91" t="s">
        <v>579</v>
      </c>
      <c r="D29" s="111" t="s">
        <v>295</v>
      </c>
      <c r="E29" s="91" t="s">
        <v>578</v>
      </c>
      <c r="F29" s="91" t="s">
        <v>580</v>
      </c>
    </row>
    <row r="30" spans="2:6" ht="30" x14ac:dyDescent="0.25">
      <c r="B30" s="114">
        <v>46104</v>
      </c>
      <c r="C30" s="91" t="s">
        <v>583</v>
      </c>
      <c r="D30" s="111" t="s">
        <v>295</v>
      </c>
      <c r="E30" s="91" t="s">
        <v>582</v>
      </c>
      <c r="F30" s="92" t="s">
        <v>586</v>
      </c>
    </row>
    <row r="31" spans="2:6" x14ac:dyDescent="0.25">
      <c r="B31" s="114">
        <v>46104</v>
      </c>
      <c r="C31" s="91" t="s">
        <v>584</v>
      </c>
      <c r="D31" s="111" t="s">
        <v>295</v>
      </c>
      <c r="E31" s="91" t="s">
        <v>585</v>
      </c>
      <c r="F31" s="91" t="s">
        <v>587</v>
      </c>
    </row>
    <row r="32" spans="2:6" ht="30" x14ac:dyDescent="0.25">
      <c r="B32" s="114">
        <v>46106</v>
      </c>
      <c r="C32" s="91" t="s">
        <v>633</v>
      </c>
      <c r="D32" s="111" t="s">
        <v>295</v>
      </c>
      <c r="E32" s="91" t="s">
        <v>631</v>
      </c>
      <c r="F32" s="92" t="s">
        <v>632</v>
      </c>
    </row>
    <row r="33" spans="2:6" ht="30" x14ac:dyDescent="0.25">
      <c r="B33" s="114">
        <v>46107</v>
      </c>
      <c r="C33" s="91" t="s">
        <v>634</v>
      </c>
      <c r="D33" s="111" t="s">
        <v>295</v>
      </c>
      <c r="E33" s="91" t="s">
        <v>636</v>
      </c>
      <c r="F33" s="92" t="s">
        <v>635</v>
      </c>
    </row>
    <row r="34" spans="2:6" x14ac:dyDescent="0.25">
      <c r="B34" s="114"/>
      <c r="C34" s="93"/>
      <c r="D34" s="112" t="s">
        <v>294</v>
      </c>
      <c r="E34" s="91"/>
      <c r="F34" s="93" t="s">
        <v>637</v>
      </c>
    </row>
    <row r="35" spans="2:6" x14ac:dyDescent="0.25">
      <c r="B35" s="114"/>
      <c r="C35" s="93"/>
      <c r="D35" s="112"/>
      <c r="E35" s="91"/>
      <c r="F35" s="93" t="s">
        <v>545</v>
      </c>
    </row>
    <row r="36" spans="2:6" x14ac:dyDescent="0.25">
      <c r="B36" s="115"/>
      <c r="C36" s="91" t="s">
        <v>239</v>
      </c>
      <c r="D36" s="112" t="s">
        <v>294</v>
      </c>
      <c r="E36" s="91"/>
      <c r="F36" s="91" t="s">
        <v>239</v>
      </c>
    </row>
    <row r="37" spans="2:6" x14ac:dyDescent="0.25">
      <c r="B37" s="115"/>
      <c r="C37" s="91" t="s">
        <v>238</v>
      </c>
      <c r="D37" s="112" t="s">
        <v>294</v>
      </c>
      <c r="E37" s="91"/>
      <c r="F37" s="91" t="s">
        <v>238</v>
      </c>
    </row>
    <row r="38" spans="2:6" x14ac:dyDescent="0.25">
      <c r="B38" s="115"/>
      <c r="C38" s="91" t="s">
        <v>529</v>
      </c>
      <c r="D38" s="112" t="s">
        <v>294</v>
      </c>
      <c r="E38" s="91"/>
      <c r="F38" s="91"/>
    </row>
    <row r="39" spans="2:6" x14ac:dyDescent="0.25">
      <c r="B39" s="115"/>
      <c r="C39" s="91" t="s">
        <v>240</v>
      </c>
      <c r="D39" s="112" t="s">
        <v>294</v>
      </c>
      <c r="E39" s="91"/>
      <c r="F39" s="91" t="s">
        <v>240</v>
      </c>
    </row>
    <row r="40" spans="2:6" x14ac:dyDescent="0.25">
      <c r="B40" s="115"/>
      <c r="C40" s="91" t="s">
        <v>241</v>
      </c>
      <c r="D40" s="112" t="s">
        <v>294</v>
      </c>
      <c r="E40" s="91"/>
      <c r="F40" s="91" t="s">
        <v>241</v>
      </c>
    </row>
    <row r="41" spans="2:6" x14ac:dyDescent="0.25">
      <c r="B41" s="115"/>
      <c r="C41" s="91" t="s">
        <v>246</v>
      </c>
      <c r="D41" s="112" t="s">
        <v>294</v>
      </c>
      <c r="E41" s="91"/>
      <c r="F41" s="91" t="s">
        <v>246</v>
      </c>
    </row>
    <row r="42" spans="2:6" x14ac:dyDescent="0.25">
      <c r="B42" s="115"/>
      <c r="C42" s="91" t="s">
        <v>247</v>
      </c>
      <c r="D42" s="112" t="s">
        <v>294</v>
      </c>
      <c r="E42" s="91"/>
      <c r="F42" s="91" t="s">
        <v>247</v>
      </c>
    </row>
  </sheetData>
  <autoFilter ref="B2:F42" xr:uid="{00000000-0009-0000-0000-000009000000}"/>
  <mergeCells count="1">
    <mergeCell ref="B1:F1"/>
  </mergeCells>
  <conditionalFormatting sqref="E3:E42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4"/>
      <c r="J4" s="95" t="s">
        <v>463</v>
      </c>
    </row>
    <row r="5" spans="2:25" x14ac:dyDescent="0.25">
      <c r="B5" s="95" t="s">
        <v>5</v>
      </c>
      <c r="C5" s="95" t="s">
        <v>546</v>
      </c>
      <c r="D5" s="95" t="s">
        <v>179</v>
      </c>
      <c r="E5" s="95" t="s">
        <v>450</v>
      </c>
      <c r="F5" s="98" t="s">
        <v>452</v>
      </c>
      <c r="G5" s="100" t="s">
        <v>454</v>
      </c>
      <c r="H5" s="96" t="s">
        <v>453</v>
      </c>
      <c r="I5" s="95" t="s">
        <v>455</v>
      </c>
      <c r="J5" s="95" t="s">
        <v>456</v>
      </c>
      <c r="K5" s="97" t="s">
        <v>457</v>
      </c>
      <c r="O5" t="s">
        <v>549</v>
      </c>
      <c r="P5" t="s">
        <v>550</v>
      </c>
      <c r="Q5" s="3" t="s">
        <v>551</v>
      </c>
      <c r="S5" s="95" t="s">
        <v>464</v>
      </c>
    </row>
    <row r="6" spans="2:25" x14ac:dyDescent="0.25">
      <c r="B6" s="58">
        <v>46076</v>
      </c>
      <c r="C6" s="58" t="s">
        <v>548</v>
      </c>
      <c r="D6" s="1" t="s">
        <v>185</v>
      </c>
      <c r="E6" s="1"/>
      <c r="F6" s="120"/>
      <c r="G6" s="121"/>
      <c r="H6" s="122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9">
        <v>46073</v>
      </c>
      <c r="C7" s="49" t="s">
        <v>547</v>
      </c>
      <c r="D7" s="15" t="s">
        <v>462</v>
      </c>
      <c r="F7" s="99">
        <v>30</v>
      </c>
      <c r="G7" s="102">
        <v>6</v>
      </c>
      <c r="H7" s="101">
        <v>36000</v>
      </c>
      <c r="I7" s="123">
        <f>+H7*G7</f>
        <v>216000</v>
      </c>
      <c r="J7">
        <f>+F7*G7</f>
        <v>180</v>
      </c>
      <c r="K7" s="125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9">
        <v>46073</v>
      </c>
      <c r="C8" s="49" t="s">
        <v>547</v>
      </c>
      <c r="D8" s="118" t="s">
        <v>458</v>
      </c>
      <c r="F8" s="99">
        <v>30</v>
      </c>
      <c r="G8" s="102">
        <v>3</v>
      </c>
      <c r="H8" s="101">
        <v>35000</v>
      </c>
      <c r="I8" s="3">
        <f>+H8*G8</f>
        <v>105000</v>
      </c>
      <c r="J8">
        <f>+F8*G8</f>
        <v>90</v>
      </c>
      <c r="K8" s="125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9">
        <v>46073</v>
      </c>
      <c r="C9" s="49" t="s">
        <v>547</v>
      </c>
      <c r="D9" s="117" t="s">
        <v>460</v>
      </c>
      <c r="F9" s="99">
        <v>12</v>
      </c>
      <c r="G9" s="102">
        <v>2</v>
      </c>
      <c r="H9" s="101">
        <v>29000</v>
      </c>
      <c r="I9" s="3">
        <f>+H9*G9</f>
        <v>58000</v>
      </c>
      <c r="J9">
        <f>+F9*G9</f>
        <v>24</v>
      </c>
      <c r="K9" s="125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9">
        <v>46073</v>
      </c>
      <c r="C10" s="49" t="s">
        <v>547</v>
      </c>
      <c r="D10" s="116" t="s">
        <v>459</v>
      </c>
      <c r="F10" s="99">
        <v>24</v>
      </c>
      <c r="G10" s="102">
        <v>1</v>
      </c>
      <c r="H10" s="101">
        <v>33000</v>
      </c>
      <c r="I10" s="3">
        <f>+H10*G10</f>
        <v>33000</v>
      </c>
      <c r="J10">
        <f>+F10*G10</f>
        <v>24</v>
      </c>
      <c r="K10" s="125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9">
        <v>46077</v>
      </c>
      <c r="C11" s="49" t="s">
        <v>548</v>
      </c>
      <c r="D11" t="s">
        <v>552</v>
      </c>
      <c r="F11" s="99"/>
      <c r="G11" s="102"/>
      <c r="H11" s="101"/>
      <c r="J11">
        <v>50</v>
      </c>
      <c r="K11" s="69"/>
      <c r="P11" s="9"/>
    </row>
    <row r="12" spans="2:25" x14ac:dyDescent="0.25">
      <c r="B12" s="49">
        <v>46089</v>
      </c>
      <c r="C12" s="49" t="s">
        <v>548</v>
      </c>
      <c r="D12" t="s">
        <v>185</v>
      </c>
      <c r="F12" s="99"/>
      <c r="G12" s="102"/>
      <c r="H12" s="101"/>
      <c r="J12">
        <v>500</v>
      </c>
      <c r="K12" s="69">
        <v>3500</v>
      </c>
      <c r="P12" s="9"/>
    </row>
    <row r="13" spans="2:25" x14ac:dyDescent="0.25">
      <c r="B13" s="49">
        <v>46106</v>
      </c>
      <c r="C13" s="49" t="s">
        <v>548</v>
      </c>
      <c r="D13" t="s">
        <v>185</v>
      </c>
      <c r="F13" s="99"/>
      <c r="G13" s="102"/>
      <c r="H13" s="101"/>
      <c r="J13">
        <v>230</v>
      </c>
      <c r="K13" s="69">
        <v>3500</v>
      </c>
      <c r="P13" s="9"/>
    </row>
    <row r="14" spans="2:25" x14ac:dyDescent="0.25">
      <c r="B14" s="58">
        <v>46089</v>
      </c>
      <c r="C14" s="58" t="s">
        <v>548</v>
      </c>
      <c r="D14" s="1" t="s">
        <v>553</v>
      </c>
      <c r="E14" s="1"/>
      <c r="F14" s="120"/>
      <c r="G14" s="121"/>
      <c r="H14" s="122"/>
      <c r="I14" s="11"/>
      <c r="J14" s="1">
        <v>100</v>
      </c>
      <c r="K14" s="11"/>
      <c r="P14" s="9"/>
    </row>
    <row r="15" spans="2:25" x14ac:dyDescent="0.25">
      <c r="B15" s="49">
        <v>46072</v>
      </c>
      <c r="C15" s="49" t="s">
        <v>548</v>
      </c>
      <c r="D15" t="s">
        <v>554</v>
      </c>
      <c r="E15" t="s">
        <v>555</v>
      </c>
      <c r="F15" s="99">
        <f>+(250)/3</f>
        <v>83.333333333333329</v>
      </c>
      <c r="G15" s="102">
        <v>2</v>
      </c>
      <c r="H15" s="101">
        <v>70000</v>
      </c>
      <c r="I15" s="3">
        <f t="shared" ref="I15" si="2">+H15*G15</f>
        <v>140000</v>
      </c>
      <c r="J15">
        <f>(F15*G15)</f>
        <v>166.66666666666666</v>
      </c>
      <c r="K15" s="126">
        <f>+I15/J15</f>
        <v>840</v>
      </c>
      <c r="P15" s="9"/>
    </row>
    <row r="16" spans="2:25" x14ac:dyDescent="0.25">
      <c r="B16" s="49">
        <v>46112</v>
      </c>
      <c r="C16" s="49" t="s">
        <v>548</v>
      </c>
      <c r="D16" t="s">
        <v>554</v>
      </c>
      <c r="E16" t="s">
        <v>555</v>
      </c>
      <c r="F16" s="99">
        <f>+(250)/3</f>
        <v>83.333333333333329</v>
      </c>
      <c r="G16" s="102">
        <v>2</v>
      </c>
      <c r="H16" s="101">
        <v>70000</v>
      </c>
      <c r="I16" s="3">
        <f t="shared" ref="I16:I20" si="3">+H16*G16</f>
        <v>140000</v>
      </c>
      <c r="J16">
        <f>(F16*G16)</f>
        <v>166.66666666666666</v>
      </c>
      <c r="K16" s="126">
        <f>+I16/J16</f>
        <v>840</v>
      </c>
      <c r="P16" s="9"/>
    </row>
    <row r="17" spans="2:19" x14ac:dyDescent="0.25">
      <c r="B17" s="49">
        <v>46100</v>
      </c>
      <c r="C17" s="49" t="s">
        <v>547</v>
      </c>
      <c r="D17" s="15" t="s">
        <v>462</v>
      </c>
      <c r="F17" s="99">
        <v>30</v>
      </c>
      <c r="G17" s="102">
        <v>5</v>
      </c>
      <c r="H17" s="101">
        <v>36000</v>
      </c>
      <c r="I17" s="3">
        <f t="shared" si="3"/>
        <v>180000</v>
      </c>
      <c r="J17">
        <f>+F17*G17</f>
        <v>150</v>
      </c>
      <c r="K17" s="126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9">
        <v>46100</v>
      </c>
      <c r="C18" s="49" t="s">
        <v>547</v>
      </c>
      <c r="D18" t="s">
        <v>461</v>
      </c>
      <c r="F18" s="99">
        <v>12</v>
      </c>
      <c r="G18" s="102">
        <v>2</v>
      </c>
      <c r="H18" s="101">
        <v>15000</v>
      </c>
      <c r="I18" s="3">
        <f t="shared" si="3"/>
        <v>30000</v>
      </c>
      <c r="J18">
        <f>+F18*G18</f>
        <v>24</v>
      </c>
      <c r="K18" s="126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9">
        <v>46100</v>
      </c>
      <c r="C19" s="49" t="s">
        <v>547</v>
      </c>
      <c r="D19" s="118" t="s">
        <v>458</v>
      </c>
      <c r="F19" s="99">
        <v>30</v>
      </c>
      <c r="G19" s="102">
        <v>3</v>
      </c>
      <c r="H19" s="101">
        <v>34000</v>
      </c>
      <c r="I19" s="3">
        <f t="shared" si="3"/>
        <v>102000</v>
      </c>
      <c r="J19">
        <f>+F19*G19</f>
        <v>90</v>
      </c>
      <c r="K19" s="126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9">
        <v>46100</v>
      </c>
      <c r="C20" s="49" t="s">
        <v>547</v>
      </c>
      <c r="D20" s="117" t="s">
        <v>460</v>
      </c>
      <c r="F20" s="99">
        <v>12</v>
      </c>
      <c r="G20" s="102">
        <v>2</v>
      </c>
      <c r="H20" s="101">
        <v>29000</v>
      </c>
      <c r="I20" s="3">
        <f t="shared" si="3"/>
        <v>58000</v>
      </c>
      <c r="J20">
        <f>+F20*G20</f>
        <v>24</v>
      </c>
      <c r="K20" s="127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4">
        <f>+K20*J20</f>
        <v>58000</v>
      </c>
    </row>
    <row r="21" spans="2:19" x14ac:dyDescent="0.25">
      <c r="B21" s="49">
        <v>46100</v>
      </c>
      <c r="C21" s="49" t="s">
        <v>547</v>
      </c>
      <c r="D21" s="116" t="s">
        <v>459</v>
      </c>
      <c r="F21" s="99">
        <v>24</v>
      </c>
      <c r="G21" s="102">
        <v>1</v>
      </c>
      <c r="H21" s="101">
        <v>34000</v>
      </c>
      <c r="I21" s="3">
        <f>+H21*G21</f>
        <v>34000</v>
      </c>
      <c r="J21">
        <f>+F21*G21</f>
        <v>24</v>
      </c>
      <c r="K21" s="126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9"/>
      <c r="C22" s="49"/>
      <c r="F22" s="99"/>
      <c r="G22" s="102"/>
      <c r="H22" s="101"/>
      <c r="S22">
        <f>+SUM(S17:S21)</f>
        <v>404000</v>
      </c>
    </row>
    <row r="23" spans="2:19" x14ac:dyDescent="0.25">
      <c r="B23" s="49">
        <v>46102</v>
      </c>
      <c r="C23" s="49" t="s">
        <v>547</v>
      </c>
      <c r="D23" t="s">
        <v>625</v>
      </c>
      <c r="E23" t="s">
        <v>624</v>
      </c>
      <c r="F23" s="102">
        <f>6*4</f>
        <v>24</v>
      </c>
      <c r="G23" s="102">
        <v>1</v>
      </c>
      <c r="H23" s="101">
        <v>38000</v>
      </c>
      <c r="I23" s="3">
        <f>+H23*G23</f>
        <v>38000</v>
      </c>
      <c r="J23">
        <f>+F23*G23</f>
        <v>24</v>
      </c>
      <c r="K23" s="126">
        <f t="shared" si="7"/>
        <v>1583.3333333333333</v>
      </c>
    </row>
    <row r="24" spans="2:19" x14ac:dyDescent="0.25">
      <c r="B24" s="49"/>
      <c r="C24" s="49"/>
      <c r="F24" s="99"/>
      <c r="G24" s="102"/>
      <c r="H24" s="101"/>
      <c r="I24" s="3">
        <f>+I23*3</f>
        <v>114000</v>
      </c>
    </row>
    <row r="25" spans="2:19" x14ac:dyDescent="0.25">
      <c r="B25" s="49"/>
      <c r="C25" s="49"/>
      <c r="F25" s="99"/>
      <c r="G25" s="102"/>
      <c r="H25" s="101"/>
    </row>
    <row r="26" spans="2:19" x14ac:dyDescent="0.25">
      <c r="B26" s="49" t="s">
        <v>589</v>
      </c>
      <c r="C26" s="49"/>
      <c r="F26" s="99"/>
      <c r="G26" s="102"/>
      <c r="H26" s="101"/>
    </row>
    <row r="27" spans="2:19" x14ac:dyDescent="0.25">
      <c r="B27" s="49" t="s">
        <v>588</v>
      </c>
      <c r="C27" s="49"/>
      <c r="F27" s="99"/>
      <c r="G27" s="102"/>
      <c r="H27" s="101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9"/>
      <c r="G28" s="102"/>
      <c r="H28" s="101"/>
      <c r="J28" s="1">
        <v>25</v>
      </c>
    </row>
    <row r="29" spans="2:19" x14ac:dyDescent="0.25">
      <c r="D29" t="s">
        <v>458</v>
      </c>
      <c r="F29" s="99"/>
      <c r="G29" s="102"/>
      <c r="H29" s="101"/>
      <c r="J29">
        <v>11</v>
      </c>
    </row>
    <row r="30" spans="2:19" x14ac:dyDescent="0.25">
      <c r="D30" t="s">
        <v>459</v>
      </c>
      <c r="F30" s="99"/>
      <c r="G30" s="102"/>
      <c r="H30" s="101"/>
      <c r="J30" s="1">
        <v>6</v>
      </c>
    </row>
    <row r="31" spans="2:19" x14ac:dyDescent="0.25">
      <c r="F31" s="99"/>
      <c r="G31" s="102"/>
      <c r="H31" s="101"/>
    </row>
    <row r="32" spans="2:19" x14ac:dyDescent="0.25">
      <c r="F32" s="94"/>
    </row>
    <row r="33" spans="6:6" x14ac:dyDescent="0.25">
      <c r="F33" s="94"/>
    </row>
    <row r="34" spans="6:6" x14ac:dyDescent="0.25">
      <c r="F34" s="94"/>
    </row>
    <row r="35" spans="6:6" x14ac:dyDescent="0.25">
      <c r="F35" s="94"/>
    </row>
    <row r="36" spans="6:6" x14ac:dyDescent="0.25">
      <c r="F36" s="94"/>
    </row>
    <row r="37" spans="6:6" x14ac:dyDescent="0.25">
      <c r="F37" s="94"/>
    </row>
    <row r="38" spans="6:6" x14ac:dyDescent="0.25">
      <c r="F38" s="94"/>
    </row>
    <row r="39" spans="6:6" x14ac:dyDescent="0.25">
      <c r="F39" s="94"/>
    </row>
    <row r="40" spans="6:6" x14ac:dyDescent="0.25">
      <c r="F40" s="94"/>
    </row>
    <row r="41" spans="6:6" x14ac:dyDescent="0.25">
      <c r="F41" s="94"/>
    </row>
    <row r="42" spans="6:6" x14ac:dyDescent="0.25">
      <c r="F42" s="94"/>
    </row>
    <row r="43" spans="6:6" x14ac:dyDescent="0.25">
      <c r="F43" s="94"/>
    </row>
    <row r="44" spans="6:6" x14ac:dyDescent="0.25">
      <c r="F44" s="94"/>
    </row>
    <row r="45" spans="6:6" x14ac:dyDescent="0.25">
      <c r="F45" s="94"/>
    </row>
    <row r="46" spans="6:6" x14ac:dyDescent="0.25">
      <c r="F46" s="94"/>
    </row>
    <row r="47" spans="6:6" x14ac:dyDescent="0.25">
      <c r="F47" s="94"/>
    </row>
    <row r="48" spans="6:6" x14ac:dyDescent="0.25">
      <c r="F48" s="94"/>
    </row>
    <row r="49" spans="6:6" x14ac:dyDescent="0.25">
      <c r="F49" s="94"/>
    </row>
    <row r="50" spans="6:6" x14ac:dyDescent="0.25">
      <c r="F50" s="94"/>
    </row>
    <row r="51" spans="6:6" x14ac:dyDescent="0.25">
      <c r="F51" s="94"/>
    </row>
    <row r="52" spans="6:6" x14ac:dyDescent="0.25">
      <c r="F52" s="94"/>
    </row>
    <row r="53" spans="6:6" x14ac:dyDescent="0.25">
      <c r="F53" s="94"/>
    </row>
    <row r="54" spans="6:6" x14ac:dyDescent="0.25">
      <c r="F54" s="94"/>
    </row>
    <row r="55" spans="6:6" x14ac:dyDescent="0.25">
      <c r="F55" s="94"/>
    </row>
    <row r="56" spans="6:6" x14ac:dyDescent="0.25">
      <c r="F56" s="94"/>
    </row>
    <row r="57" spans="6:6" x14ac:dyDescent="0.25">
      <c r="F57" s="94"/>
    </row>
    <row r="58" spans="6:6" x14ac:dyDescent="0.25">
      <c r="F58" s="94"/>
    </row>
    <row r="59" spans="6:6" x14ac:dyDescent="0.25">
      <c r="F59" s="94"/>
    </row>
    <row r="60" spans="6:6" x14ac:dyDescent="0.25">
      <c r="F60" s="94"/>
    </row>
    <row r="61" spans="6:6" x14ac:dyDescent="0.25">
      <c r="F61" s="94"/>
    </row>
    <row r="62" spans="6:6" x14ac:dyDescent="0.25">
      <c r="F62" s="94"/>
    </row>
    <row r="63" spans="6:6" x14ac:dyDescent="0.25">
      <c r="F63" s="94"/>
    </row>
    <row r="64" spans="6:6" x14ac:dyDescent="0.25">
      <c r="F64" s="94"/>
    </row>
    <row r="65" spans="6:6" x14ac:dyDescent="0.25">
      <c r="F65" s="94"/>
    </row>
    <row r="66" spans="6:6" x14ac:dyDescent="0.25">
      <c r="F66" s="94"/>
    </row>
    <row r="67" spans="6:6" x14ac:dyDescent="0.25">
      <c r="F67" s="94"/>
    </row>
    <row r="68" spans="6:6" x14ac:dyDescent="0.25">
      <c r="F68" s="94"/>
    </row>
    <row r="69" spans="6:6" x14ac:dyDescent="0.25">
      <c r="F69" s="94"/>
    </row>
    <row r="70" spans="6:6" x14ac:dyDescent="0.25">
      <c r="F70" s="94"/>
    </row>
    <row r="71" spans="6:6" x14ac:dyDescent="0.25">
      <c r="F71" s="94"/>
    </row>
    <row r="72" spans="6:6" x14ac:dyDescent="0.25">
      <c r="F72" s="94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6">
        <v>1416.67</v>
      </c>
      <c r="AD2" s="3">
        <v>1200</v>
      </c>
      <c r="AE2" s="3">
        <v>1200</v>
      </c>
      <c r="AF2" s="3">
        <v>1250</v>
      </c>
      <c r="AG2" s="136">
        <v>2416.67</v>
      </c>
      <c r="AH2" s="136">
        <v>1133.33</v>
      </c>
      <c r="AI2" s="136">
        <v>1133.33</v>
      </c>
    </row>
    <row r="3" spans="1:37" s="88" customFormat="1" ht="45" x14ac:dyDescent="0.25">
      <c r="A3" s="135" t="s">
        <v>590</v>
      </c>
      <c r="B3" s="129" t="s">
        <v>179</v>
      </c>
      <c r="C3" s="130" t="s">
        <v>591</v>
      </c>
      <c r="D3" s="131" t="s">
        <v>603</v>
      </c>
      <c r="E3" s="132" t="s">
        <v>596</v>
      </c>
      <c r="F3" s="137" t="s">
        <v>597</v>
      </c>
      <c r="G3" s="133" t="s">
        <v>289</v>
      </c>
      <c r="H3" s="134" t="s">
        <v>601</v>
      </c>
      <c r="I3" s="134" t="s">
        <v>612</v>
      </c>
      <c r="J3" s="134" t="s">
        <v>613</v>
      </c>
      <c r="K3" s="134" t="s">
        <v>606</v>
      </c>
      <c r="L3" s="134" t="s">
        <v>611</v>
      </c>
      <c r="M3" s="134" t="s">
        <v>610</v>
      </c>
      <c r="N3" s="134" t="s">
        <v>609</v>
      </c>
      <c r="O3" s="134" t="s">
        <v>608</v>
      </c>
      <c r="P3" s="134" t="s">
        <v>607</v>
      </c>
      <c r="Q3" s="134" t="s">
        <v>605</v>
      </c>
      <c r="R3" s="134" t="s">
        <v>602</v>
      </c>
      <c r="S3" s="134" t="s">
        <v>604</v>
      </c>
      <c r="T3" s="134" t="s">
        <v>552</v>
      </c>
      <c r="U3" s="134" t="s">
        <v>483</v>
      </c>
      <c r="V3" s="134" t="s">
        <v>300</v>
      </c>
      <c r="W3" s="134" t="s">
        <v>600</v>
      </c>
      <c r="X3" s="133" t="s">
        <v>595</v>
      </c>
      <c r="Y3" s="134" t="s">
        <v>598</v>
      </c>
      <c r="Z3" s="134" t="s">
        <v>599</v>
      </c>
      <c r="AA3" s="139" t="s">
        <v>506</v>
      </c>
      <c r="AB3" s="139" t="s">
        <v>507</v>
      </c>
      <c r="AC3" s="88" t="s">
        <v>468</v>
      </c>
      <c r="AD3" s="88" t="s">
        <v>466</v>
      </c>
      <c r="AE3" s="88" t="s">
        <v>592</v>
      </c>
      <c r="AF3" s="88" t="s">
        <v>509</v>
      </c>
      <c r="AG3" s="88" t="s">
        <v>471</v>
      </c>
      <c r="AH3" s="88" t="s">
        <v>593</v>
      </c>
      <c r="AI3" s="88" t="s">
        <v>467</v>
      </c>
    </row>
    <row r="4" spans="1:37" x14ac:dyDescent="0.25">
      <c r="A4" s="34">
        <v>1</v>
      </c>
      <c r="B4" t="s">
        <v>465</v>
      </c>
      <c r="C4" s="20">
        <v>8000</v>
      </c>
      <c r="D4" s="128">
        <f t="shared" ref="D4:D51" si="0">+SUMPRODUCT(G4:AI4,G$2:AI$2)</f>
        <v>4340</v>
      </c>
      <c r="E4" s="3">
        <f>+C4-D4</f>
        <v>3660</v>
      </c>
      <c r="F4" s="138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x14ac:dyDescent="0.25">
      <c r="A5" s="34">
        <v>39</v>
      </c>
      <c r="B5" t="s">
        <v>501</v>
      </c>
      <c r="C5" s="20">
        <v>7000</v>
      </c>
      <c r="D5" s="128">
        <f t="shared" si="0"/>
        <v>3500</v>
      </c>
      <c r="E5" s="3">
        <f t="shared" ref="E5:E7" si="1">+C5-D5</f>
        <v>3500</v>
      </c>
      <c r="F5" s="138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x14ac:dyDescent="0.25">
      <c r="A6" s="34">
        <v>19</v>
      </c>
      <c r="B6" t="s">
        <v>482</v>
      </c>
      <c r="C6" s="20">
        <v>25000</v>
      </c>
      <c r="D6" s="128">
        <f t="shared" si="0"/>
        <v>7440</v>
      </c>
      <c r="E6" s="3">
        <f t="shared" si="1"/>
        <v>17560</v>
      </c>
      <c r="F6" s="138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x14ac:dyDescent="0.25">
      <c r="A7" s="34">
        <v>24</v>
      </c>
      <c r="B7" t="s">
        <v>487</v>
      </c>
      <c r="C7" s="20">
        <v>30000</v>
      </c>
      <c r="D7" s="128">
        <f t="shared" si="0"/>
        <v>7440</v>
      </c>
      <c r="E7" s="3">
        <f t="shared" si="1"/>
        <v>22560</v>
      </c>
      <c r="F7" s="138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x14ac:dyDescent="0.25">
      <c r="A8" s="34">
        <v>29</v>
      </c>
      <c r="B8" t="s">
        <v>492</v>
      </c>
      <c r="C8" s="20">
        <v>35000</v>
      </c>
      <c r="D8" s="128">
        <f t="shared" si="0"/>
        <v>7440</v>
      </c>
      <c r="E8" s="3">
        <f>+C8-D8</f>
        <v>27560</v>
      </c>
      <c r="F8" s="138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8">
        <f t="shared" si="0"/>
        <v>2800</v>
      </c>
      <c r="E9" s="3">
        <f t="shared" ref="E9:E50" si="3">+C9-D9</f>
        <v>1700</v>
      </c>
      <c r="F9" s="138">
        <f t="shared" ref="F9:F50" si="4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x14ac:dyDescent="0.25">
      <c r="A10" s="34">
        <v>45</v>
      </c>
      <c r="B10" t="s">
        <v>507</v>
      </c>
      <c r="C10" s="20">
        <v>6000</v>
      </c>
      <c r="D10" s="128">
        <f t="shared" si="0"/>
        <v>3200</v>
      </c>
      <c r="E10" s="3">
        <f>+C10-D10</f>
        <v>2800</v>
      </c>
      <c r="F10" s="138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8">
        <f t="shared" si="0"/>
        <v>1416.67</v>
      </c>
      <c r="E11" s="3">
        <f t="shared" si="3"/>
        <v>2083.33</v>
      </c>
      <c r="F11" s="138">
        <f t="shared" si="4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x14ac:dyDescent="0.25">
      <c r="A12" s="34">
        <v>2</v>
      </c>
      <c r="B12" t="s">
        <v>466</v>
      </c>
      <c r="C12" s="20">
        <v>3000</v>
      </c>
      <c r="D12" s="128">
        <f t="shared" si="0"/>
        <v>1200</v>
      </c>
      <c r="E12" s="3">
        <f t="shared" si="3"/>
        <v>1800</v>
      </c>
      <c r="F12" s="138">
        <f t="shared" si="4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x14ac:dyDescent="0.25">
      <c r="A13" s="34">
        <v>49</v>
      </c>
      <c r="B13" t="s">
        <v>592</v>
      </c>
      <c r="C13" s="23">
        <v>1200</v>
      </c>
      <c r="D13" s="128">
        <f t="shared" si="0"/>
        <v>1200</v>
      </c>
      <c r="E13" s="3">
        <f>+C13-D13</f>
        <v>0</v>
      </c>
      <c r="F13" s="138">
        <f t="shared" si="4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x14ac:dyDescent="0.25">
      <c r="A14" s="34">
        <v>48</v>
      </c>
      <c r="B14" t="s">
        <v>509</v>
      </c>
      <c r="C14" s="20">
        <v>3200</v>
      </c>
      <c r="D14" s="128">
        <f t="shared" si="0"/>
        <v>1250</v>
      </c>
      <c r="E14" s="3">
        <f t="shared" si="3"/>
        <v>1950</v>
      </c>
      <c r="F14" s="138">
        <f t="shared" si="4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x14ac:dyDescent="0.25">
      <c r="A15" s="34">
        <v>7</v>
      </c>
      <c r="B15" t="s">
        <v>471</v>
      </c>
      <c r="C15" s="20">
        <v>4500</v>
      </c>
      <c r="D15" s="128">
        <f t="shared" si="0"/>
        <v>2416.67</v>
      </c>
      <c r="E15" s="3">
        <f t="shared" si="3"/>
        <v>2083.33</v>
      </c>
      <c r="F15" s="138">
        <f t="shared" si="4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x14ac:dyDescent="0.25">
      <c r="A16" s="34">
        <v>50</v>
      </c>
      <c r="B16" t="s">
        <v>593</v>
      </c>
      <c r="C16" s="23">
        <v>3000</v>
      </c>
      <c r="D16" s="128">
        <f t="shared" si="0"/>
        <v>1133.33</v>
      </c>
      <c r="E16" s="3">
        <f t="shared" si="3"/>
        <v>1866.67</v>
      </c>
      <c r="F16" s="138">
        <f t="shared" si="4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x14ac:dyDescent="0.25">
      <c r="A17" s="34">
        <v>3</v>
      </c>
      <c r="B17" t="s">
        <v>467</v>
      </c>
      <c r="C17" s="20">
        <v>3000</v>
      </c>
      <c r="D17" s="128">
        <f t="shared" si="0"/>
        <v>1133.33</v>
      </c>
      <c r="E17" s="3">
        <f t="shared" si="3"/>
        <v>1866.67</v>
      </c>
      <c r="F17" s="138">
        <f t="shared" si="4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x14ac:dyDescent="0.25">
      <c r="A18" s="34">
        <v>42</v>
      </c>
      <c r="B18" t="s">
        <v>504</v>
      </c>
      <c r="C18" s="20">
        <v>20000</v>
      </c>
      <c r="D18" s="128">
        <f t="shared" si="0"/>
        <v>15600</v>
      </c>
      <c r="E18" s="3">
        <f t="shared" si="3"/>
        <v>4400</v>
      </c>
      <c r="F18" s="138">
        <f t="shared" si="4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x14ac:dyDescent="0.25">
      <c r="A19" s="34">
        <v>33</v>
      </c>
      <c r="B19" t="s">
        <v>496</v>
      </c>
      <c r="C19" s="20">
        <v>40000</v>
      </c>
      <c r="D19" s="128">
        <f t="shared" si="0"/>
        <v>21600</v>
      </c>
      <c r="E19" s="3">
        <f t="shared" si="3"/>
        <v>18400</v>
      </c>
      <c r="F19" s="138">
        <f t="shared" si="4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x14ac:dyDescent="0.25">
      <c r="A20" s="34">
        <v>41</v>
      </c>
      <c r="B20" t="s">
        <v>503</v>
      </c>
      <c r="C20" s="20">
        <v>23000</v>
      </c>
      <c r="D20" s="128">
        <f t="shared" si="0"/>
        <v>15600</v>
      </c>
      <c r="E20" s="3">
        <f t="shared" si="3"/>
        <v>7400</v>
      </c>
      <c r="F20" s="138">
        <f t="shared" si="4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x14ac:dyDescent="0.25">
      <c r="A21" s="34">
        <v>11</v>
      </c>
      <c r="B21" t="s">
        <v>475</v>
      </c>
      <c r="C21" s="20">
        <v>30000</v>
      </c>
      <c r="D21" s="128">
        <f t="shared" si="0"/>
        <v>22600</v>
      </c>
      <c r="E21" s="3">
        <f t="shared" si="3"/>
        <v>7400</v>
      </c>
      <c r="F21" s="138">
        <f t="shared" si="4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x14ac:dyDescent="0.25">
      <c r="A22" s="34">
        <v>27</v>
      </c>
      <c r="B22" t="s">
        <v>490</v>
      </c>
      <c r="C22" s="20">
        <v>50000</v>
      </c>
      <c r="D22" s="128">
        <f t="shared" si="0"/>
        <v>28600</v>
      </c>
      <c r="E22" s="3">
        <f t="shared" si="3"/>
        <v>21400</v>
      </c>
      <c r="F22" s="138">
        <f t="shared" si="4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x14ac:dyDescent="0.25">
      <c r="A23" s="34">
        <v>14</v>
      </c>
      <c r="B23" t="s">
        <v>478</v>
      </c>
      <c r="C23" s="20">
        <v>25000</v>
      </c>
      <c r="D23" s="128">
        <f t="shared" si="0"/>
        <v>15600</v>
      </c>
      <c r="E23" s="3">
        <f t="shared" si="3"/>
        <v>9400</v>
      </c>
      <c r="F23" s="138">
        <f t="shared" si="4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x14ac:dyDescent="0.25">
      <c r="A24" s="34">
        <v>12</v>
      </c>
      <c r="B24" t="s">
        <v>476</v>
      </c>
      <c r="C24" s="20">
        <v>25000</v>
      </c>
      <c r="D24" s="128">
        <f t="shared" si="0"/>
        <v>19600</v>
      </c>
      <c r="E24" s="3">
        <f t="shared" si="3"/>
        <v>5400</v>
      </c>
      <c r="F24" s="138">
        <f t="shared" si="4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x14ac:dyDescent="0.25">
      <c r="A25" s="34">
        <v>40</v>
      </c>
      <c r="B25" t="s">
        <v>502</v>
      </c>
      <c r="C25" s="20">
        <v>15000</v>
      </c>
      <c r="D25" s="128">
        <f t="shared" si="0"/>
        <v>14000</v>
      </c>
      <c r="E25" s="3">
        <f t="shared" si="3"/>
        <v>1000</v>
      </c>
      <c r="F25" s="138">
        <f t="shared" si="4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x14ac:dyDescent="0.25">
      <c r="A26" s="34">
        <v>46</v>
      </c>
      <c r="B26" t="s">
        <v>508</v>
      </c>
      <c r="C26" s="20">
        <v>30000</v>
      </c>
      <c r="D26" s="128">
        <f t="shared" si="0"/>
        <v>15600</v>
      </c>
      <c r="E26" s="3">
        <f t="shared" si="3"/>
        <v>14400</v>
      </c>
      <c r="F26" s="138">
        <f t="shared" si="4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x14ac:dyDescent="0.25">
      <c r="A27" s="34">
        <v>13</v>
      </c>
      <c r="B27" t="s">
        <v>477</v>
      </c>
      <c r="C27" s="20">
        <v>25000</v>
      </c>
      <c r="D27" s="128">
        <f t="shared" si="0"/>
        <v>12600</v>
      </c>
      <c r="E27" s="3">
        <f t="shared" si="3"/>
        <v>12400</v>
      </c>
      <c r="F27" s="138">
        <f t="shared" si="4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x14ac:dyDescent="0.25">
      <c r="A28" s="34">
        <v>15</v>
      </c>
      <c r="B28" t="s">
        <v>479</v>
      </c>
      <c r="C28" s="20">
        <v>25000</v>
      </c>
      <c r="D28" s="128">
        <f t="shared" si="0"/>
        <v>2600</v>
      </c>
      <c r="E28" s="3">
        <f t="shared" si="3"/>
        <v>22400</v>
      </c>
      <c r="F28" s="138">
        <f t="shared" si="4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x14ac:dyDescent="0.25">
      <c r="A29" s="34">
        <v>26</v>
      </c>
      <c r="B29" t="s">
        <v>489</v>
      </c>
      <c r="C29" s="20">
        <v>10000</v>
      </c>
      <c r="D29" s="128">
        <f t="shared" si="0"/>
        <v>3900</v>
      </c>
      <c r="E29" s="3">
        <f t="shared" si="3"/>
        <v>6100</v>
      </c>
      <c r="F29" s="138">
        <f t="shared" si="4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x14ac:dyDescent="0.25">
      <c r="A30" s="34">
        <v>9</v>
      </c>
      <c r="B30" t="s">
        <v>473</v>
      </c>
      <c r="C30" s="20">
        <v>20000</v>
      </c>
      <c r="D30" s="128">
        <f t="shared" si="0"/>
        <v>8500</v>
      </c>
      <c r="E30" s="3">
        <f t="shared" si="3"/>
        <v>11500</v>
      </c>
      <c r="F30" s="138">
        <f t="shared" si="4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x14ac:dyDescent="0.25">
      <c r="A31" s="34">
        <v>10</v>
      </c>
      <c r="B31" t="s">
        <v>474</v>
      </c>
      <c r="C31" s="20">
        <v>25000</v>
      </c>
      <c r="D31" s="128">
        <f t="shared" si="0"/>
        <v>10500</v>
      </c>
      <c r="E31" s="3">
        <f t="shared" si="3"/>
        <v>14500</v>
      </c>
      <c r="F31" s="138">
        <f t="shared" si="4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x14ac:dyDescent="0.25">
      <c r="A32" s="34">
        <v>38</v>
      </c>
      <c r="B32" t="s">
        <v>500</v>
      </c>
      <c r="C32" s="20">
        <v>27000</v>
      </c>
      <c r="D32" s="128">
        <f t="shared" si="0"/>
        <v>10500</v>
      </c>
      <c r="E32" s="3">
        <f t="shared" si="3"/>
        <v>16500</v>
      </c>
      <c r="F32" s="138">
        <f t="shared" si="4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x14ac:dyDescent="0.25">
      <c r="A33" s="34">
        <v>6</v>
      </c>
      <c r="B33" t="s">
        <v>470</v>
      </c>
      <c r="C33" s="20">
        <v>22000</v>
      </c>
      <c r="D33" s="128">
        <f t="shared" si="0"/>
        <v>10500</v>
      </c>
      <c r="E33" s="3">
        <f t="shared" si="3"/>
        <v>11500</v>
      </c>
      <c r="F33" s="138">
        <f t="shared" si="4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x14ac:dyDescent="0.25">
      <c r="A34" s="34">
        <v>5</v>
      </c>
      <c r="B34" t="s">
        <v>469</v>
      </c>
      <c r="C34" s="20">
        <v>17000</v>
      </c>
      <c r="D34" s="128">
        <f t="shared" si="0"/>
        <v>8500</v>
      </c>
      <c r="E34" s="3">
        <f t="shared" si="3"/>
        <v>8500</v>
      </c>
      <c r="F34" s="138">
        <f t="shared" si="4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x14ac:dyDescent="0.25">
      <c r="A35" s="34">
        <v>37</v>
      </c>
      <c r="B35" t="s">
        <v>499</v>
      </c>
      <c r="C35" s="20">
        <v>1000000</v>
      </c>
      <c r="D35" s="128">
        <f t="shared" si="0"/>
        <v>2000</v>
      </c>
      <c r="E35" s="3">
        <f t="shared" si="3"/>
        <v>998000</v>
      </c>
      <c r="F35" s="138">
        <f t="shared" si="4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x14ac:dyDescent="0.25">
      <c r="A36" s="34">
        <v>30</v>
      </c>
      <c r="B36" t="s">
        <v>493</v>
      </c>
      <c r="C36" s="20">
        <v>2000</v>
      </c>
      <c r="D36" s="128">
        <f t="shared" si="0"/>
        <v>0</v>
      </c>
      <c r="E36" s="3">
        <f t="shared" si="3"/>
        <v>2000</v>
      </c>
      <c r="F36" s="138">
        <f t="shared" si="4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x14ac:dyDescent="0.25">
      <c r="A37" s="34">
        <v>31</v>
      </c>
      <c r="B37" t="s">
        <v>494</v>
      </c>
      <c r="C37" s="20">
        <v>15000</v>
      </c>
      <c r="D37" s="128">
        <f t="shared" si="0"/>
        <v>0</v>
      </c>
      <c r="E37" s="3">
        <f t="shared" si="3"/>
        <v>15000</v>
      </c>
      <c r="F37" s="138">
        <f t="shared" si="4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x14ac:dyDescent="0.25">
      <c r="A38" s="34">
        <v>35</v>
      </c>
      <c r="B38" t="s">
        <v>497</v>
      </c>
      <c r="C38" s="20">
        <v>30000</v>
      </c>
      <c r="D38" s="128">
        <f t="shared" si="0"/>
        <v>17940</v>
      </c>
      <c r="E38" s="3">
        <f t="shared" si="3"/>
        <v>12060</v>
      </c>
      <c r="F38" s="138">
        <f t="shared" si="4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x14ac:dyDescent="0.25">
      <c r="A39" s="34">
        <v>18</v>
      </c>
      <c r="B39" t="s">
        <v>481</v>
      </c>
      <c r="C39" s="20">
        <v>35000</v>
      </c>
      <c r="D39" s="128">
        <f t="shared" si="0"/>
        <v>17940</v>
      </c>
      <c r="E39" s="3">
        <f t="shared" si="3"/>
        <v>17060</v>
      </c>
      <c r="F39" s="138">
        <f t="shared" si="4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x14ac:dyDescent="0.25">
      <c r="A40" s="34">
        <v>23</v>
      </c>
      <c r="B40" t="s">
        <v>486</v>
      </c>
      <c r="C40" s="20">
        <v>40000</v>
      </c>
      <c r="D40" s="128">
        <f t="shared" si="0"/>
        <v>17940</v>
      </c>
      <c r="E40" s="3">
        <f t="shared" si="3"/>
        <v>22060</v>
      </c>
      <c r="F40" s="138">
        <f t="shared" si="4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x14ac:dyDescent="0.25">
      <c r="A41" s="34">
        <v>21</v>
      </c>
      <c r="B41" t="s">
        <v>484</v>
      </c>
      <c r="C41" s="20">
        <v>48000</v>
      </c>
      <c r="D41" s="128">
        <f t="shared" si="0"/>
        <v>17940</v>
      </c>
      <c r="E41" s="3">
        <f t="shared" si="3"/>
        <v>30060</v>
      </c>
      <c r="F41" s="138">
        <f t="shared" si="4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x14ac:dyDescent="0.25">
      <c r="A42" s="34">
        <v>43</v>
      </c>
      <c r="B42" t="s">
        <v>505</v>
      </c>
      <c r="C42" s="20">
        <v>50000</v>
      </c>
      <c r="D42" s="128">
        <f t="shared" si="0"/>
        <v>17940</v>
      </c>
      <c r="E42" s="3">
        <f t="shared" si="3"/>
        <v>32060</v>
      </c>
      <c r="F42" s="138">
        <f t="shared" si="4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x14ac:dyDescent="0.25">
      <c r="A43" s="34">
        <v>32</v>
      </c>
      <c r="B43" t="s">
        <v>495</v>
      </c>
      <c r="C43" s="20">
        <v>60000</v>
      </c>
      <c r="D43" s="128">
        <f t="shared" si="0"/>
        <v>36940</v>
      </c>
      <c r="E43" s="3">
        <f t="shared" si="3"/>
        <v>23060</v>
      </c>
      <c r="F43" s="138">
        <f t="shared" si="4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x14ac:dyDescent="0.25">
      <c r="A44" s="34">
        <v>22</v>
      </c>
      <c r="B44" t="s">
        <v>485</v>
      </c>
      <c r="C44" s="20">
        <v>70000</v>
      </c>
      <c r="D44" s="128">
        <f t="shared" si="0"/>
        <v>36940</v>
      </c>
      <c r="E44" s="3">
        <f t="shared" si="3"/>
        <v>33060</v>
      </c>
      <c r="F44" s="138">
        <f t="shared" si="4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x14ac:dyDescent="0.25">
      <c r="A45" s="34">
        <v>28</v>
      </c>
      <c r="B45" t="s">
        <v>491</v>
      </c>
      <c r="C45" s="20">
        <v>5000</v>
      </c>
      <c r="D45" s="128">
        <f t="shared" si="0"/>
        <v>0</v>
      </c>
      <c r="E45" s="3">
        <f t="shared" si="3"/>
        <v>5000</v>
      </c>
      <c r="F45" s="138">
        <f t="shared" si="4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x14ac:dyDescent="0.25">
      <c r="A46" s="34">
        <v>20</v>
      </c>
      <c r="B46" t="s">
        <v>483</v>
      </c>
      <c r="C46" s="20">
        <v>2000</v>
      </c>
      <c r="D46" s="128">
        <f t="shared" si="0"/>
        <v>800</v>
      </c>
      <c r="E46" s="3">
        <f t="shared" si="3"/>
        <v>1200</v>
      </c>
      <c r="F46" s="138">
        <f t="shared" si="4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x14ac:dyDescent="0.25">
      <c r="A47" s="34">
        <v>47</v>
      </c>
      <c r="B47" t="s">
        <v>594</v>
      </c>
      <c r="C47" s="6">
        <v>3500</v>
      </c>
      <c r="D47" s="128">
        <f t="shared" si="0"/>
        <v>3500</v>
      </c>
      <c r="E47" s="3">
        <f t="shared" si="3"/>
        <v>0</v>
      </c>
      <c r="F47" s="138">
        <f t="shared" si="4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x14ac:dyDescent="0.25">
      <c r="A48" s="34">
        <v>17</v>
      </c>
      <c r="B48" t="s">
        <v>480</v>
      </c>
      <c r="C48" s="23">
        <v>4500</v>
      </c>
      <c r="D48" s="128">
        <f t="shared" si="0"/>
        <v>3500</v>
      </c>
      <c r="E48" s="3">
        <f t="shared" si="3"/>
        <v>1000</v>
      </c>
      <c r="F48" s="138">
        <f t="shared" si="4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x14ac:dyDescent="0.25">
      <c r="A49" s="34">
        <v>25</v>
      </c>
      <c r="B49" t="s">
        <v>488</v>
      </c>
      <c r="C49" s="23">
        <v>5000</v>
      </c>
      <c r="D49" s="128">
        <f t="shared" si="0"/>
        <v>0</v>
      </c>
      <c r="E49" s="3">
        <f t="shared" si="3"/>
        <v>5000</v>
      </c>
      <c r="F49" s="138">
        <f t="shared" si="4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x14ac:dyDescent="0.25">
      <c r="A50" s="34">
        <v>36</v>
      </c>
      <c r="B50" t="s">
        <v>498</v>
      </c>
      <c r="C50" s="23">
        <v>70000</v>
      </c>
      <c r="D50" s="128">
        <f t="shared" si="0"/>
        <v>0</v>
      </c>
      <c r="E50" s="3">
        <f t="shared" si="3"/>
        <v>70000</v>
      </c>
      <c r="F50" s="138">
        <f t="shared" si="4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x14ac:dyDescent="0.25">
      <c r="A51" s="34">
        <v>8</v>
      </c>
      <c r="B51" t="s">
        <v>472</v>
      </c>
      <c r="C51" s="23">
        <v>1000</v>
      </c>
      <c r="D51" s="128">
        <f t="shared" si="0"/>
        <v>0</v>
      </c>
      <c r="E51" s="3">
        <f t="shared" ref="E51" si="5">+C51-D51</f>
        <v>1000</v>
      </c>
      <c r="F51" s="138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0B000000}"/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3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9">
        <v>10</v>
      </c>
      <c r="F6" s="79">
        <f>3+1+1+1+1</f>
        <v>7</v>
      </c>
      <c r="G6" s="79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6" t="s">
        <v>302</v>
      </c>
      <c r="B5" s="76"/>
      <c r="C5" s="76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4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655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5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5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5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5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6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1" bestFit="1" customWidth="1"/>
    <col min="8" max="8" width="12" bestFit="1" customWidth="1"/>
  </cols>
  <sheetData>
    <row r="1" spans="1:10" x14ac:dyDescent="0.25">
      <c r="F1" s="62">
        <f>+SUM(F3:F1048576)</f>
        <v>89700</v>
      </c>
      <c r="H1" s="3">
        <f>'Arqueo de Caja'!$Y$14</f>
        <v>86000</v>
      </c>
      <c r="I1" s="32">
        <f>+F1-H1</f>
        <v>3700</v>
      </c>
      <c r="J1" s="72">
        <v>93000</v>
      </c>
    </row>
    <row r="2" spans="1:10" x14ac:dyDescent="0.25">
      <c r="A2" s="65" t="s">
        <v>274</v>
      </c>
      <c r="B2" s="65" t="s">
        <v>268</v>
      </c>
      <c r="C2" s="65" t="s">
        <v>269</v>
      </c>
      <c r="D2" s="65" t="s">
        <v>3</v>
      </c>
      <c r="E2" s="65"/>
      <c r="F2" s="66" t="s">
        <v>272</v>
      </c>
      <c r="G2" s="66" t="s">
        <v>273</v>
      </c>
      <c r="I2" s="32"/>
    </row>
    <row r="3" spans="1:10" x14ac:dyDescent="0.25">
      <c r="A3" s="67" t="s">
        <v>133</v>
      </c>
      <c r="B3" s="67"/>
      <c r="C3" s="67"/>
      <c r="D3" s="67" t="s">
        <v>133</v>
      </c>
      <c r="E3" s="67"/>
      <c r="F3" s="70">
        <v>93000</v>
      </c>
      <c r="G3" s="67"/>
    </row>
    <row r="4" spans="1:10" x14ac:dyDescent="0.25">
      <c r="A4" s="67" t="s">
        <v>262</v>
      </c>
      <c r="B4" s="67"/>
      <c r="C4" s="67"/>
      <c r="D4" s="67" t="s">
        <v>262</v>
      </c>
      <c r="E4" s="67"/>
      <c r="F4" s="70">
        <v>-70000</v>
      </c>
      <c r="G4" s="67"/>
    </row>
    <row r="5" spans="1:10" x14ac:dyDescent="0.25">
      <c r="A5" s="67" t="s">
        <v>134</v>
      </c>
      <c r="B5" s="67"/>
      <c r="C5" s="67"/>
      <c r="D5" s="67" t="s">
        <v>263</v>
      </c>
      <c r="E5" s="67" t="s">
        <v>264</v>
      </c>
      <c r="F5" s="70">
        <f>-3800*10</f>
        <v>-38000</v>
      </c>
      <c r="G5" s="67"/>
    </row>
    <row r="6" spans="1:10" x14ac:dyDescent="0.25">
      <c r="A6" s="67" t="s">
        <v>134</v>
      </c>
      <c r="B6" s="67"/>
      <c r="C6" s="67"/>
      <c r="D6" s="67" t="s">
        <v>263</v>
      </c>
      <c r="E6" s="67" t="s">
        <v>265</v>
      </c>
      <c r="F6" s="70">
        <v>-28500</v>
      </c>
      <c r="G6" s="67"/>
    </row>
    <row r="7" spans="1:10" x14ac:dyDescent="0.25">
      <c r="A7" s="67" t="s">
        <v>134</v>
      </c>
      <c r="B7" s="67"/>
      <c r="C7" s="67"/>
      <c r="D7" s="67" t="s">
        <v>266</v>
      </c>
      <c r="E7" s="67"/>
      <c r="F7" s="70">
        <v>-27800</v>
      </c>
      <c r="G7" s="67"/>
    </row>
    <row r="8" spans="1:10" x14ac:dyDescent="0.25">
      <c r="A8" s="67" t="s">
        <v>134</v>
      </c>
      <c r="B8" s="67"/>
      <c r="C8" s="67"/>
      <c r="D8" s="67" t="s">
        <v>267</v>
      </c>
      <c r="E8" s="67"/>
      <c r="F8" s="70">
        <v>-27000</v>
      </c>
      <c r="G8" s="67"/>
    </row>
    <row r="9" spans="1:10" x14ac:dyDescent="0.25">
      <c r="A9" s="67"/>
      <c r="B9" s="67"/>
      <c r="C9" s="67"/>
      <c r="D9" s="67" t="s">
        <v>281</v>
      </c>
      <c r="E9" s="67"/>
      <c r="F9" s="70">
        <v>-22000</v>
      </c>
      <c r="G9" s="67"/>
    </row>
    <row r="10" spans="1:10" x14ac:dyDescent="0.25">
      <c r="A10" s="67" t="s">
        <v>270</v>
      </c>
      <c r="B10" s="67">
        <v>2</v>
      </c>
      <c r="C10" s="67">
        <v>8000</v>
      </c>
      <c r="D10" s="67" t="s">
        <v>185</v>
      </c>
      <c r="E10" s="67"/>
      <c r="F10" s="70">
        <f t="shared" ref="F10:F15" si="0">+B10*C10</f>
        <v>16000</v>
      </c>
      <c r="G10" s="67"/>
    </row>
    <row r="11" spans="1:10" x14ac:dyDescent="0.25">
      <c r="A11" s="67" t="s">
        <v>270</v>
      </c>
      <c r="B11" s="67">
        <v>2</v>
      </c>
      <c r="C11" s="67">
        <v>8000</v>
      </c>
      <c r="D11" s="67" t="s">
        <v>185</v>
      </c>
      <c r="E11" s="67"/>
      <c r="F11" s="70">
        <f t="shared" si="0"/>
        <v>16000</v>
      </c>
      <c r="G11" s="67"/>
    </row>
    <row r="12" spans="1:10" x14ac:dyDescent="0.25">
      <c r="A12" s="67" t="s">
        <v>270</v>
      </c>
      <c r="B12" s="67">
        <v>4</v>
      </c>
      <c r="C12" s="67">
        <v>8000</v>
      </c>
      <c r="D12" s="67" t="s">
        <v>185</v>
      </c>
      <c r="E12" s="67"/>
      <c r="F12" s="70">
        <f t="shared" si="0"/>
        <v>32000</v>
      </c>
      <c r="G12" s="67"/>
    </row>
    <row r="13" spans="1:10" x14ac:dyDescent="0.25">
      <c r="A13" s="67" t="s">
        <v>270</v>
      </c>
      <c r="B13" s="67">
        <v>1</v>
      </c>
      <c r="C13" s="67">
        <v>8000</v>
      </c>
      <c r="D13" s="67" t="s">
        <v>185</v>
      </c>
      <c r="E13" s="67"/>
      <c r="F13" s="70">
        <f t="shared" si="0"/>
        <v>8000</v>
      </c>
      <c r="G13" s="67"/>
    </row>
    <row r="14" spans="1:10" x14ac:dyDescent="0.25">
      <c r="A14" s="67" t="s">
        <v>270</v>
      </c>
      <c r="B14" s="67">
        <v>2</v>
      </c>
      <c r="C14" s="67">
        <v>8000</v>
      </c>
      <c r="D14" s="67" t="s">
        <v>185</v>
      </c>
      <c r="E14" s="67"/>
      <c r="F14" s="70">
        <f t="shared" si="0"/>
        <v>16000</v>
      </c>
      <c r="G14" s="67"/>
    </row>
    <row r="15" spans="1:10" x14ac:dyDescent="0.25">
      <c r="A15" s="67" t="s">
        <v>270</v>
      </c>
      <c r="B15" s="67">
        <v>5</v>
      </c>
      <c r="C15" s="67">
        <v>3000</v>
      </c>
      <c r="D15" s="67" t="s">
        <v>115</v>
      </c>
      <c r="E15" s="67"/>
      <c r="F15" s="70">
        <f t="shared" si="0"/>
        <v>15000</v>
      </c>
      <c r="G15" s="67"/>
    </row>
    <row r="16" spans="1:10" x14ac:dyDescent="0.25">
      <c r="A16" s="67" t="s">
        <v>271</v>
      </c>
      <c r="B16" s="67">
        <v>2</v>
      </c>
      <c r="C16" s="67">
        <v>8000</v>
      </c>
      <c r="D16" s="67" t="s">
        <v>185</v>
      </c>
      <c r="E16" s="67"/>
      <c r="F16" s="68"/>
      <c r="G16" s="70">
        <f>+B16*C16</f>
        <v>16000</v>
      </c>
    </row>
    <row r="17" spans="1:7" x14ac:dyDescent="0.25">
      <c r="A17" s="67" t="s">
        <v>271</v>
      </c>
      <c r="B17" s="67"/>
      <c r="C17" s="67"/>
      <c r="D17" s="67" t="s">
        <v>276</v>
      </c>
      <c r="E17" s="67"/>
      <c r="F17" s="68"/>
      <c r="G17" s="71">
        <v>28000</v>
      </c>
    </row>
    <row r="18" spans="1:7" x14ac:dyDescent="0.25">
      <c r="A18" s="67" t="s">
        <v>270</v>
      </c>
      <c r="B18" s="67"/>
      <c r="C18" s="67"/>
      <c r="D18" s="67" t="s">
        <v>279</v>
      </c>
      <c r="E18" s="67"/>
      <c r="F18" s="70">
        <v>15000</v>
      </c>
      <c r="G18" s="69"/>
    </row>
    <row r="19" spans="1:7" x14ac:dyDescent="0.25">
      <c r="A19" s="67" t="s">
        <v>270</v>
      </c>
      <c r="B19" s="67"/>
      <c r="C19" s="67"/>
      <c r="D19" s="67" t="s">
        <v>277</v>
      </c>
      <c r="E19" s="67"/>
      <c r="F19" s="70">
        <v>60000</v>
      </c>
      <c r="G19" s="69"/>
    </row>
    <row r="20" spans="1:7" x14ac:dyDescent="0.25">
      <c r="A20" s="67" t="s">
        <v>270</v>
      </c>
      <c r="B20" s="67"/>
      <c r="C20" s="67"/>
      <c r="D20" s="67" t="s">
        <v>278</v>
      </c>
      <c r="E20" s="67"/>
      <c r="F20" s="70">
        <v>12000</v>
      </c>
      <c r="G20" s="69"/>
    </row>
    <row r="21" spans="1:7" x14ac:dyDescent="0.25">
      <c r="A21" s="67" t="s">
        <v>271</v>
      </c>
      <c r="B21" s="67"/>
      <c r="C21" s="67"/>
      <c r="D21" s="67" t="s">
        <v>275</v>
      </c>
      <c r="E21" s="67"/>
      <c r="F21" s="68"/>
      <c r="G21" s="71">
        <v>43000</v>
      </c>
    </row>
    <row r="22" spans="1:7" x14ac:dyDescent="0.25">
      <c r="A22" s="67" t="s">
        <v>270</v>
      </c>
      <c r="D22" s="67" t="s">
        <v>280</v>
      </c>
      <c r="F22" s="70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A1:D28"/>
  <sheetViews>
    <sheetView zoomScale="145" zoomScaleNormal="145" workbookViewId="0">
      <pane ySplit="2" topLeftCell="A24" activePane="bottomLeft" state="frozen"/>
      <selection pane="bottomLeft" activeCell="B30" sqref="B3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1" bestFit="1" customWidth="1"/>
  </cols>
  <sheetData>
    <row r="1" spans="1:3" x14ac:dyDescent="0.25">
      <c r="B1" s="54" t="s">
        <v>201</v>
      </c>
      <c r="C1" s="53">
        <f>+SUM(C3:C1048576)</f>
        <v>114040</v>
      </c>
    </row>
    <row r="2" spans="1:3" x14ac:dyDescent="0.25">
      <c r="A2" s="29" t="s">
        <v>5</v>
      </c>
      <c r="B2" s="29" t="s">
        <v>3</v>
      </c>
      <c r="C2" s="52" t="s">
        <v>212</v>
      </c>
    </row>
    <row r="3" spans="1:3" x14ac:dyDescent="0.25">
      <c r="A3" s="49">
        <v>46076</v>
      </c>
      <c r="B3" t="s">
        <v>196</v>
      </c>
      <c r="C3" s="51">
        <v>73700</v>
      </c>
    </row>
    <row r="4" spans="1:3" x14ac:dyDescent="0.25">
      <c r="A4" s="49">
        <v>46080</v>
      </c>
      <c r="B4" t="s">
        <v>190</v>
      </c>
      <c r="C4" s="51">
        <v>-300000</v>
      </c>
    </row>
    <row r="5" spans="1:3" x14ac:dyDescent="0.25">
      <c r="A5" s="49">
        <v>46081</v>
      </c>
      <c r="B5" t="s">
        <v>199</v>
      </c>
      <c r="C5" s="51">
        <v>280000</v>
      </c>
    </row>
    <row r="6" spans="1:3" x14ac:dyDescent="0.25">
      <c r="A6" s="49">
        <v>46080</v>
      </c>
      <c r="B6" s="63" t="s">
        <v>200</v>
      </c>
      <c r="C6" s="51">
        <v>-16000</v>
      </c>
    </row>
    <row r="7" spans="1:3" x14ac:dyDescent="0.25">
      <c r="A7" s="49">
        <v>46081</v>
      </c>
      <c r="B7" s="63" t="s">
        <v>205</v>
      </c>
      <c r="C7" s="51">
        <v>-350000</v>
      </c>
    </row>
    <row r="8" spans="1:3" x14ac:dyDescent="0.25">
      <c r="A8" s="49">
        <v>46081</v>
      </c>
      <c r="B8" t="s">
        <v>211</v>
      </c>
      <c r="C8" s="51">
        <v>30000</v>
      </c>
    </row>
    <row r="9" spans="1:3" x14ac:dyDescent="0.25">
      <c r="A9" s="58">
        <v>46076</v>
      </c>
      <c r="B9" t="s">
        <v>213</v>
      </c>
      <c r="C9" s="51">
        <f>195000+140000+20000</f>
        <v>355000</v>
      </c>
    </row>
    <row r="10" spans="1:3" x14ac:dyDescent="0.25">
      <c r="A10" s="2">
        <v>46084</v>
      </c>
      <c r="B10" t="s">
        <v>235</v>
      </c>
      <c r="C10" s="51">
        <v>619850</v>
      </c>
    </row>
    <row r="11" spans="1:3" x14ac:dyDescent="0.25">
      <c r="A11" s="2">
        <v>46084</v>
      </c>
      <c r="B11" t="s">
        <v>221</v>
      </c>
      <c r="C11" s="51">
        <v>-619850</v>
      </c>
    </row>
    <row r="12" spans="1:3" x14ac:dyDescent="0.25">
      <c r="A12" s="2">
        <v>46083</v>
      </c>
      <c r="B12" t="s">
        <v>224</v>
      </c>
      <c r="C12" s="51">
        <v>50000</v>
      </c>
    </row>
    <row r="13" spans="1:3" x14ac:dyDescent="0.25">
      <c r="A13" s="2">
        <v>46085</v>
      </c>
      <c r="B13" t="s">
        <v>231</v>
      </c>
      <c r="C13" s="62">
        <v>46350</v>
      </c>
    </row>
    <row r="14" spans="1:3" x14ac:dyDescent="0.25">
      <c r="A14" s="2">
        <v>46085</v>
      </c>
      <c r="B14" t="s">
        <v>229</v>
      </c>
      <c r="C14" s="62">
        <v>16500</v>
      </c>
    </row>
    <row r="15" spans="1:3" x14ac:dyDescent="0.25">
      <c r="A15" s="2">
        <v>46085</v>
      </c>
      <c r="B15" t="s">
        <v>230</v>
      </c>
      <c r="C15" s="62">
        <v>11000</v>
      </c>
    </row>
    <row r="16" spans="1:3" x14ac:dyDescent="0.25">
      <c r="A16" s="2">
        <v>46085</v>
      </c>
      <c r="B16" t="s">
        <v>234</v>
      </c>
      <c r="C16" s="62">
        <v>3500</v>
      </c>
    </row>
    <row r="17" spans="1:4" x14ac:dyDescent="0.25">
      <c r="A17" s="2">
        <v>46085</v>
      </c>
      <c r="B17" t="s">
        <v>232</v>
      </c>
      <c r="C17" s="62">
        <v>124400</v>
      </c>
    </row>
    <row r="18" spans="1:4" x14ac:dyDescent="0.25">
      <c r="A18" s="2">
        <v>46085</v>
      </c>
      <c r="B18" s="63" t="s">
        <v>233</v>
      </c>
      <c r="C18" s="51">
        <v>-201750</v>
      </c>
    </row>
    <row r="19" spans="1:4" x14ac:dyDescent="0.25">
      <c r="A19" s="2">
        <v>46085</v>
      </c>
      <c r="B19" s="63" t="s">
        <v>233</v>
      </c>
      <c r="C19" s="51">
        <v>-122700</v>
      </c>
    </row>
    <row r="20" spans="1:4" x14ac:dyDescent="0.25">
      <c r="A20" s="2">
        <v>46086</v>
      </c>
      <c r="B20" t="s">
        <v>236</v>
      </c>
      <c r="C20" s="51">
        <v>5000</v>
      </c>
    </row>
    <row r="21" spans="1:4" x14ac:dyDescent="0.25">
      <c r="A21" s="2">
        <v>46120</v>
      </c>
      <c r="B21" t="s">
        <v>283</v>
      </c>
      <c r="C21" s="51">
        <v>129000</v>
      </c>
    </row>
    <row r="22" spans="1:4" x14ac:dyDescent="0.25">
      <c r="A22" s="2">
        <v>46120</v>
      </c>
      <c r="B22" t="s">
        <v>282</v>
      </c>
      <c r="C22" s="51">
        <f>6*8000</f>
        <v>48000</v>
      </c>
    </row>
    <row r="23" spans="1:4" x14ac:dyDescent="0.25">
      <c r="A23" s="2">
        <v>46120</v>
      </c>
      <c r="B23" s="63" t="s">
        <v>233</v>
      </c>
      <c r="C23" s="51">
        <v>-100000</v>
      </c>
    </row>
    <row r="24" spans="1:4" x14ac:dyDescent="0.25">
      <c r="A24" s="2">
        <v>46123</v>
      </c>
      <c r="B24" s="63" t="s">
        <v>358</v>
      </c>
      <c r="C24" s="51">
        <v>-100000</v>
      </c>
    </row>
    <row r="25" spans="1:4" x14ac:dyDescent="0.25">
      <c r="A25" s="2">
        <v>46124</v>
      </c>
      <c r="B25" t="s">
        <v>357</v>
      </c>
      <c r="C25" s="51">
        <v>23990</v>
      </c>
      <c r="D25" t="s">
        <v>356</v>
      </c>
    </row>
    <row r="26" spans="1:4" x14ac:dyDescent="0.25">
      <c r="A26" s="2">
        <v>46124</v>
      </c>
      <c r="B26" t="s">
        <v>359</v>
      </c>
      <c r="C26" s="51">
        <v>45400</v>
      </c>
    </row>
    <row r="27" spans="1:4" x14ac:dyDescent="0.25">
      <c r="A27" s="2">
        <v>46124</v>
      </c>
      <c r="B27" s="63" t="s">
        <v>233</v>
      </c>
      <c r="C27" s="51">
        <v>-51350</v>
      </c>
    </row>
    <row r="28" spans="1:4" x14ac:dyDescent="0.25">
      <c r="A28" s="2">
        <v>46137</v>
      </c>
      <c r="B28" s="63" t="s">
        <v>626</v>
      </c>
      <c r="C28" s="51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5" t="s">
        <v>178</v>
      </c>
      <c r="K4" s="45" t="s">
        <v>184</v>
      </c>
    </row>
    <row r="5" spans="1:11" x14ac:dyDescent="0.25">
      <c r="A5" t="s">
        <v>172</v>
      </c>
      <c r="B5" s="46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7">
        <v>46076</v>
      </c>
      <c r="K5" s="3">
        <f>+SUMIF(A:A,J5,G:G)</f>
        <v>192000</v>
      </c>
    </row>
    <row r="6" spans="1:11" x14ac:dyDescent="0.25">
      <c r="A6" t="s">
        <v>172</v>
      </c>
      <c r="B6" s="46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7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7">
        <v>46078</v>
      </c>
      <c r="K7" s="3">
        <f>+SUMIF(A:A,J7,G:G)</f>
        <v>344000</v>
      </c>
    </row>
    <row r="8" spans="1:11" x14ac:dyDescent="0.25">
      <c r="A8" t="s">
        <v>172</v>
      </c>
      <c r="B8" s="46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7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6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6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6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6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6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6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6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6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6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6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6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6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6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6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6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6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6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6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6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6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6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6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6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6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6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6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6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6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6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6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6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6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6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6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6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6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6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6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6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6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6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6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6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6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6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6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6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6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788789B1-0D01-44D2-92B3-AE3C27D29AF4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chorizo</vt:lpstr>
      <vt:lpstr>choriboni</vt:lpstr>
      <vt:lpstr>16mar</vt:lpstr>
      <vt:lpstr>maquina</vt:lpstr>
      <vt:lpstr>costeo</vt:lpstr>
      <vt:lpstr>Arqueo de Caja</vt:lpstr>
      <vt:lpstr>Extracto</vt:lpstr>
      <vt:lpstr>21-mar</vt:lpstr>
      <vt:lpstr>25 marzo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2026-03-27T04:08:38Z</dcterms:modified>
</cp:coreProperties>
</file>