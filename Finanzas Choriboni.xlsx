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bookViews>
    <workbookView xWindow="20370" yWindow="-2070" windowWidth="21840" windowHeight="13140" firstSheet="1" activeTab="2"/>
  </bookViews>
  <sheets>
    <sheet name="chorizo" sheetId="3" state="hidden" r:id="rId1"/>
    <sheet name="choriboni" sheetId="4" r:id="rId2"/>
    <sheet name="control" sheetId="9" r:id="rId3"/>
    <sheet name="proveedores" sheetId="7" r:id="rId4"/>
    <sheet name="informe" sheetId="6" r:id="rId5"/>
    <sheet name="Costos" sheetId="8" r:id="rId6"/>
  </sheets>
  <definedNames>
    <definedName name="_xlnm._FilterDatabase" localSheetId="1" hidden="1">choriboni!$B$14:$I$57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9" l="1"/>
  <c r="C10" i="9"/>
  <c r="C3" i="9"/>
  <c r="C4" i="9"/>
  <c r="C5" i="9"/>
  <c r="C6" i="9"/>
  <c r="C7" i="9"/>
  <c r="C8" i="9"/>
  <c r="C9" i="9"/>
  <c r="C11" i="9"/>
  <c r="C12" i="9"/>
  <c r="C2" i="9"/>
  <c r="F7" i="8"/>
  <c r="F6" i="8"/>
  <c r="F5" i="8"/>
  <c r="F4" i="8"/>
  <c r="D9" i="8"/>
  <c r="D5" i="8"/>
  <c r="D6" i="8"/>
  <c r="D7" i="8"/>
  <c r="D4" i="8"/>
  <c r="C71" i="4"/>
  <c r="C1" i="9" l="1"/>
  <c r="C4" i="4"/>
  <c r="C38" i="4"/>
  <c r="C37" i="4"/>
  <c r="C28" i="4"/>
  <c r="C36" i="4"/>
  <c r="C16" i="4"/>
  <c r="C55" i="4"/>
  <c r="C17" i="4"/>
  <c r="C51" i="4"/>
  <c r="C52" i="4"/>
  <c r="C40" i="4"/>
  <c r="C15" i="4"/>
  <c r="C23" i="4" l="1"/>
  <c r="C3" i="4" l="1"/>
  <c r="C5" i="4" s="1"/>
  <c r="C7" i="4" s="1"/>
  <c r="C11" i="4" s="1"/>
  <c r="C13" i="4" l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5" authorId="0" shapeId="0">
      <text>
        <r>
          <rPr>
            <b/>
            <sz val="9"/>
            <color indexed="81"/>
            <rFont val="Tahoma"/>
            <charset val="1"/>
          </rPr>
          <t>150,000 motor de extractor y olla</t>
        </r>
      </text>
    </comment>
    <comment ref="C16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7" authorId="0" shapeId="0">
      <text>
        <r>
          <rPr>
            <b/>
            <sz val="9"/>
            <color indexed="81"/>
            <rFont val="Tahoma"/>
            <charset val="1"/>
          </rPr>
          <t>2 facturas y sillas</t>
        </r>
      </text>
    </comment>
    <comment ref="G17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1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2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3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4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6" authorId="0" shapeId="0">
      <text>
        <r>
          <rPr>
            <b/>
            <sz val="9"/>
            <color indexed="81"/>
            <rFont val="Tahoma"/>
            <charset val="1"/>
          </rPr>
          <t>robo del muchacho la mitad  50,000</t>
        </r>
      </text>
    </comment>
  </commentList>
</comments>
</file>

<file path=xl/sharedStrings.xml><?xml version="1.0" encoding="utf-8"?>
<sst xmlns="http://schemas.openxmlformats.org/spreadsheetml/2006/main" count="322" uniqueCount="137">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</sst>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charset val="1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</cellStyleXfs>
  <cellXfs count="26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</cellXfs>
  <cellStyles count="4">
    <cellStyle name="Bueno" xfId="3" builtinId="26"/>
    <cellStyle name="Moneda" xfId="1" builtinId="4"/>
    <cellStyle name="Neutral" xfId="2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5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5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4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8">
      <pivotArea outline="0" collapsedLevelsAreSubtotals="1" fieldPosition="0"/>
    </format>
    <format dxfId="7">
      <pivotArea outline="0" collapsedLevelsAreSubtotals="1" fieldPosition="0"/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outline="0" collapsedLevelsAreSubtotals="1" fieldPosition="0"/>
    </format>
    <format dxfId="10">
      <pivotArea outline="0" fieldPosition="0">
        <references count="1">
          <reference field="4294967294" count="1">
            <x v="1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I78"/>
  <sheetViews>
    <sheetView showGridLines="0" zoomScale="70" zoomScaleNormal="70" workbookViewId="0">
      <pane ySplit="14" topLeftCell="A66" activePane="bottomLeft" state="frozen"/>
      <selection pane="bottomLeft" activeCell="D74" sqref="D74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hidden="1" outlineLevel="1" x14ac:dyDescent="0.25">
      <c r="C2"/>
      <c r="D2"/>
      <c r="E2" t="s">
        <v>110</v>
      </c>
    </row>
    <row r="3" spans="1:8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hidden="1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hidden="1" outlineLevel="1" x14ac:dyDescent="0.4">
      <c r="C5" s="14">
        <f>+C3+C4</f>
        <v>30281167</v>
      </c>
      <c r="G5" t="s">
        <v>112</v>
      </c>
    </row>
    <row r="6" spans="1:8" hidden="1" outlineLevel="1" x14ac:dyDescent="0.25"/>
    <row r="7" spans="1:8" hidden="1" outlineLevel="1" x14ac:dyDescent="0.25">
      <c r="C7" s="3">
        <f>+C5/2</f>
        <v>15140583.5</v>
      </c>
    </row>
    <row r="8" spans="1:8" ht="16.5" hidden="1" customHeight="1" outlineLevel="1" x14ac:dyDescent="0.25">
      <c r="B8" s="2">
        <v>46062</v>
      </c>
      <c r="C8" s="3">
        <v>300000</v>
      </c>
      <c r="D8" t="s">
        <v>17</v>
      </c>
    </row>
    <row r="9" spans="1:8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8" ht="16.5" hidden="1" customHeight="1" outlineLevel="1" x14ac:dyDescent="0.25">
      <c r="B10" s="2">
        <v>46073</v>
      </c>
      <c r="C10" s="3">
        <v>3000000</v>
      </c>
      <c r="D10"/>
    </row>
    <row r="11" spans="1:8" hidden="1" outlineLevel="1" x14ac:dyDescent="0.25">
      <c r="C11" s="16">
        <f>+C7-C4-SUM(C8:C10)</f>
        <v>8367683.5</v>
      </c>
    </row>
    <row r="12" spans="1:8" hidden="1" outlineLevel="1" x14ac:dyDescent="0.25"/>
    <row r="13" spans="1:8" ht="17.25" collapsed="1" x14ac:dyDescent="0.4">
      <c r="C13" s="14">
        <f>+SUM(C15:C1048576)-C5</f>
        <v>0</v>
      </c>
      <c r="E13" s="3" t="s">
        <v>0</v>
      </c>
    </row>
    <row r="14" spans="1:8" x14ac:dyDescent="0.25">
      <c r="A14" s="4" t="s">
        <v>68</v>
      </c>
      <c r="B14" s="4" t="s">
        <v>5</v>
      </c>
      <c r="C14" s="5" t="s">
        <v>6</v>
      </c>
      <c r="D14" s="5" t="s">
        <v>7</v>
      </c>
      <c r="E14" s="5" t="s">
        <v>37</v>
      </c>
      <c r="F14" s="4" t="s">
        <v>1</v>
      </c>
      <c r="G14" s="4" t="s">
        <v>3</v>
      </c>
      <c r="H14" s="4" t="s">
        <v>15</v>
      </c>
    </row>
    <row r="15" spans="1:8" x14ac:dyDescent="0.25">
      <c r="A15">
        <v>1</v>
      </c>
      <c r="B15" s="2">
        <v>46049</v>
      </c>
      <c r="C15" s="3">
        <f>1350000+150000</f>
        <v>1500000</v>
      </c>
      <c r="D15" s="3" t="s">
        <v>9</v>
      </c>
      <c r="E15" s="3" t="s">
        <v>69</v>
      </c>
      <c r="F15" t="s">
        <v>10</v>
      </c>
      <c r="G15" t="s">
        <v>21</v>
      </c>
      <c r="H15" t="s">
        <v>22</v>
      </c>
    </row>
    <row r="16" spans="1:8" x14ac:dyDescent="0.25">
      <c r="A16">
        <v>2</v>
      </c>
      <c r="B16" s="2">
        <v>46049</v>
      </c>
      <c r="C16" s="3">
        <f>2500000+1400000+400000</f>
        <v>4300000</v>
      </c>
      <c r="D16" s="3" t="s">
        <v>9</v>
      </c>
      <c r="E16" s="3" t="s">
        <v>69</v>
      </c>
      <c r="F16" t="s">
        <v>10</v>
      </c>
      <c r="G16" s="8" t="s">
        <v>38</v>
      </c>
      <c r="H16" t="s">
        <v>61</v>
      </c>
    </row>
    <row r="17" spans="1:8" x14ac:dyDescent="0.25">
      <c r="A17">
        <v>3</v>
      </c>
      <c r="B17" s="2">
        <v>46056</v>
      </c>
      <c r="C17" s="3">
        <f>5400000+500000+(25000*2)</f>
        <v>5950000</v>
      </c>
      <c r="D17" s="3" t="s">
        <v>9</v>
      </c>
      <c r="E17" s="3" t="s">
        <v>69</v>
      </c>
      <c r="F17" t="s">
        <v>10</v>
      </c>
      <c r="G17" s="8" t="s">
        <v>41</v>
      </c>
      <c r="H17" s="3" t="s">
        <v>54</v>
      </c>
    </row>
    <row r="18" spans="1:8" x14ac:dyDescent="0.25">
      <c r="A18">
        <v>4</v>
      </c>
      <c r="B18" s="2">
        <v>46056</v>
      </c>
      <c r="C18" s="3">
        <v>80000</v>
      </c>
      <c r="D18" s="3" t="s">
        <v>9</v>
      </c>
      <c r="E18" s="3" t="s">
        <v>101</v>
      </c>
      <c r="F18" t="s">
        <v>10</v>
      </c>
      <c r="G18" s="8" t="s">
        <v>71</v>
      </c>
      <c r="H18" s="3" t="s">
        <v>72</v>
      </c>
    </row>
    <row r="19" spans="1:8" x14ac:dyDescent="0.25">
      <c r="A19">
        <v>5</v>
      </c>
      <c r="B19" s="2">
        <v>46056</v>
      </c>
      <c r="C19" s="3">
        <v>100000</v>
      </c>
      <c r="D19" s="3" t="s">
        <v>9</v>
      </c>
      <c r="E19" s="3" t="s">
        <v>101</v>
      </c>
      <c r="F19" t="s">
        <v>10</v>
      </c>
      <c r="G19" s="8" t="s">
        <v>47</v>
      </c>
      <c r="H19" t="s">
        <v>42</v>
      </c>
    </row>
    <row r="20" spans="1:8" x14ac:dyDescent="0.25">
      <c r="A20">
        <v>6</v>
      </c>
      <c r="B20" s="2">
        <v>46056</v>
      </c>
      <c r="C20" s="3">
        <v>30000</v>
      </c>
      <c r="D20" s="3" t="s">
        <v>9</v>
      </c>
      <c r="E20" s="3" t="s">
        <v>46</v>
      </c>
      <c r="F20" t="s">
        <v>10</v>
      </c>
      <c r="G20" s="8" t="s">
        <v>48</v>
      </c>
      <c r="H20" t="s">
        <v>42</v>
      </c>
    </row>
    <row r="21" spans="1:8" x14ac:dyDescent="0.25">
      <c r="A21">
        <v>7</v>
      </c>
      <c r="B21" s="2">
        <v>46060</v>
      </c>
      <c r="C21" s="3">
        <v>200000</v>
      </c>
      <c r="D21" s="3" t="s">
        <v>9</v>
      </c>
      <c r="E21" s="3" t="s">
        <v>101</v>
      </c>
      <c r="F21" t="s">
        <v>10</v>
      </c>
      <c r="G21" t="s">
        <v>57</v>
      </c>
      <c r="H21" t="s">
        <v>58</v>
      </c>
    </row>
    <row r="22" spans="1:8" x14ac:dyDescent="0.25">
      <c r="A22">
        <v>8</v>
      </c>
      <c r="B22" s="2">
        <v>46060</v>
      </c>
      <c r="C22" s="3">
        <v>110000</v>
      </c>
      <c r="D22" s="3" t="s">
        <v>9</v>
      </c>
      <c r="E22" s="3" t="s">
        <v>101</v>
      </c>
      <c r="F22" t="s">
        <v>10</v>
      </c>
      <c r="G22" s="8" t="s">
        <v>43</v>
      </c>
      <c r="H22" t="s">
        <v>66</v>
      </c>
    </row>
    <row r="23" spans="1:8" x14ac:dyDescent="0.25">
      <c r="A23">
        <v>9</v>
      </c>
      <c r="B23" s="2">
        <v>46060</v>
      </c>
      <c r="C23" s="3">
        <f>27000+35000</f>
        <v>62000</v>
      </c>
      <c r="D23" s="3" t="s">
        <v>9</v>
      </c>
      <c r="E23" s="3" t="s">
        <v>69</v>
      </c>
      <c r="F23" t="s">
        <v>10</v>
      </c>
      <c r="G23" t="s">
        <v>16</v>
      </c>
      <c r="H23" s="3" t="s">
        <v>80</v>
      </c>
    </row>
    <row r="24" spans="1:8" x14ac:dyDescent="0.25">
      <c r="A24">
        <v>10</v>
      </c>
      <c r="B24" s="2">
        <v>46056</v>
      </c>
      <c r="C24" s="3">
        <v>2400000</v>
      </c>
      <c r="D24" s="3" t="s">
        <v>9</v>
      </c>
      <c r="E24" s="3" t="s">
        <v>101</v>
      </c>
      <c r="F24" t="s">
        <v>10</v>
      </c>
      <c r="G24" t="s">
        <v>14</v>
      </c>
      <c r="H24" s="3" t="s">
        <v>40</v>
      </c>
    </row>
    <row r="25" spans="1:8" x14ac:dyDescent="0.25">
      <c r="A25">
        <v>11</v>
      </c>
      <c r="B25" s="2">
        <v>46056</v>
      </c>
      <c r="C25" s="3">
        <v>108150</v>
      </c>
      <c r="D25" s="3" t="s">
        <v>9</v>
      </c>
      <c r="E25" s="3" t="s">
        <v>101</v>
      </c>
      <c r="F25" t="s">
        <v>10</v>
      </c>
      <c r="G25" s="8" t="s">
        <v>44</v>
      </c>
      <c r="H25" s="3" t="s">
        <v>80</v>
      </c>
    </row>
    <row r="26" spans="1:8" x14ac:dyDescent="0.25">
      <c r="A26">
        <v>11</v>
      </c>
      <c r="B26" s="2">
        <v>46056</v>
      </c>
      <c r="C26" s="3">
        <v>180000</v>
      </c>
      <c r="D26" s="3" t="s">
        <v>9</v>
      </c>
      <c r="F26" t="s">
        <v>10</v>
      </c>
      <c r="G26" t="s">
        <v>25</v>
      </c>
      <c r="H26" t="s">
        <v>26</v>
      </c>
    </row>
    <row r="27" spans="1:8" x14ac:dyDescent="0.25">
      <c r="A27">
        <v>13</v>
      </c>
      <c r="B27" s="2">
        <v>46050</v>
      </c>
      <c r="C27" s="17">
        <v>135400</v>
      </c>
      <c r="D27" s="16" t="s">
        <v>9</v>
      </c>
      <c r="E27" s="3" t="s">
        <v>46</v>
      </c>
      <c r="F27" t="s">
        <v>10</v>
      </c>
      <c r="G27" t="s">
        <v>81</v>
      </c>
    </row>
    <row r="28" spans="1:8" x14ac:dyDescent="0.25">
      <c r="A28">
        <v>13</v>
      </c>
      <c r="B28" s="2">
        <v>46051</v>
      </c>
      <c r="C28" s="3">
        <f>50000+40000+10000+22000</f>
        <v>122000</v>
      </c>
      <c r="D28" s="3" t="s">
        <v>9</v>
      </c>
      <c r="E28" s="3" t="s">
        <v>46</v>
      </c>
      <c r="F28" t="s">
        <v>10</v>
      </c>
      <c r="G28" t="s">
        <v>64</v>
      </c>
    </row>
    <row r="29" spans="1:8" x14ac:dyDescent="0.25">
      <c r="A29">
        <v>14</v>
      </c>
      <c r="B29" s="2">
        <v>46051</v>
      </c>
      <c r="C29" s="3">
        <v>21900</v>
      </c>
      <c r="D29" s="18" t="s">
        <v>82</v>
      </c>
      <c r="E29" s="3" t="s">
        <v>95</v>
      </c>
      <c r="F29" t="s">
        <v>2</v>
      </c>
      <c r="G29" s="8" t="s">
        <v>4</v>
      </c>
    </row>
    <row r="30" spans="1:8" x14ac:dyDescent="0.25">
      <c r="A30">
        <v>15</v>
      </c>
      <c r="B30" s="2">
        <v>46051</v>
      </c>
      <c r="C30" s="3">
        <v>380000</v>
      </c>
      <c r="D30" s="18" t="s">
        <v>82</v>
      </c>
      <c r="E30" s="3" t="s">
        <v>95</v>
      </c>
      <c r="F30" t="s">
        <v>10</v>
      </c>
      <c r="G30" s="8" t="s">
        <v>83</v>
      </c>
    </row>
    <row r="31" spans="1:8" x14ac:dyDescent="0.25">
      <c r="A31">
        <v>16</v>
      </c>
      <c r="B31" s="2">
        <v>46051</v>
      </c>
      <c r="C31" s="3">
        <v>100000</v>
      </c>
      <c r="D31" s="18" t="s">
        <v>82</v>
      </c>
      <c r="E31" s="3" t="s">
        <v>95</v>
      </c>
      <c r="F31" t="s">
        <v>2</v>
      </c>
      <c r="G31" s="8" t="s">
        <v>83</v>
      </c>
    </row>
    <row r="32" spans="1:8" x14ac:dyDescent="0.25">
      <c r="A32">
        <v>17</v>
      </c>
      <c r="B32" s="2">
        <v>46051</v>
      </c>
      <c r="C32" s="3">
        <v>30000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18</v>
      </c>
      <c r="B33" s="2">
        <v>46060</v>
      </c>
      <c r="C33" s="3">
        <v>50000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19</v>
      </c>
      <c r="B34" s="2">
        <v>46066</v>
      </c>
      <c r="C34" s="3">
        <v>70000</v>
      </c>
      <c r="D34" s="18" t="s">
        <v>82</v>
      </c>
      <c r="E34" s="3" t="s">
        <v>95</v>
      </c>
      <c r="F34" t="s">
        <v>10</v>
      </c>
      <c r="G34" t="s">
        <v>83</v>
      </c>
    </row>
    <row r="35" spans="1:9" x14ac:dyDescent="0.25">
      <c r="A35">
        <v>20</v>
      </c>
      <c r="B35" s="2">
        <v>46057</v>
      </c>
      <c r="C35" s="3">
        <v>490000</v>
      </c>
      <c r="D35" s="18" t="s">
        <v>96</v>
      </c>
      <c r="F35" t="s">
        <v>2</v>
      </c>
      <c r="G35" s="8" t="s">
        <v>13</v>
      </c>
    </row>
    <row r="36" spans="1:9" x14ac:dyDescent="0.25">
      <c r="A36">
        <v>22</v>
      </c>
      <c r="B36" s="2">
        <v>46062</v>
      </c>
      <c r="C36" s="3">
        <f>1650000+50000</f>
        <v>1700000</v>
      </c>
      <c r="D36" s="18" t="s">
        <v>82</v>
      </c>
      <c r="F36" t="s">
        <v>10</v>
      </c>
      <c r="G36" s="8" t="s">
        <v>65</v>
      </c>
      <c r="H36" t="s">
        <v>19</v>
      </c>
      <c r="I36" t="s">
        <v>20</v>
      </c>
    </row>
    <row r="37" spans="1:9" x14ac:dyDescent="0.25">
      <c r="A37">
        <v>23</v>
      </c>
      <c r="B37" s="21">
        <v>46065</v>
      </c>
      <c r="C37" s="19">
        <f>15500+49000+14400+83115+4900+47200+44500</f>
        <v>258615</v>
      </c>
      <c r="D37" s="18" t="s">
        <v>82</v>
      </c>
      <c r="E37" s="19"/>
      <c r="F37" s="20" t="s">
        <v>10</v>
      </c>
      <c r="G37" s="20" t="s">
        <v>84</v>
      </c>
    </row>
    <row r="38" spans="1:9" x14ac:dyDescent="0.25">
      <c r="A38">
        <v>24</v>
      </c>
      <c r="B38" s="21">
        <v>46065</v>
      </c>
      <c r="C38" s="19">
        <f>38050+47400+30000</f>
        <v>115450</v>
      </c>
      <c r="D38" s="18" t="s">
        <v>82</v>
      </c>
      <c r="E38" s="19"/>
      <c r="F38" s="20" t="s">
        <v>10</v>
      </c>
      <c r="G38" s="20" t="s">
        <v>87</v>
      </c>
    </row>
    <row r="39" spans="1:9" x14ac:dyDescent="0.25">
      <c r="A39">
        <v>25</v>
      </c>
      <c r="B39" s="2">
        <v>46070</v>
      </c>
      <c r="C39" s="3">
        <v>60000</v>
      </c>
      <c r="D39" s="3" t="s">
        <v>8</v>
      </c>
      <c r="F39" t="s">
        <v>2</v>
      </c>
      <c r="G39" s="22" t="s">
        <v>97</v>
      </c>
    </row>
    <row r="40" spans="1:9" x14ac:dyDescent="0.25">
      <c r="A40">
        <v>26</v>
      </c>
      <c r="B40" s="2">
        <v>46071</v>
      </c>
      <c r="C40" s="3">
        <f>1345000+200000</f>
        <v>1545000</v>
      </c>
      <c r="D40" s="3" t="s">
        <v>9</v>
      </c>
      <c r="E40" s="3" t="s">
        <v>101</v>
      </c>
      <c r="F40" t="s">
        <v>10</v>
      </c>
      <c r="G40" t="s">
        <v>29</v>
      </c>
      <c r="H40" t="s">
        <v>28</v>
      </c>
    </row>
    <row r="41" spans="1:9" x14ac:dyDescent="0.25">
      <c r="A41">
        <v>27</v>
      </c>
      <c r="B41" s="2">
        <v>46071</v>
      </c>
      <c r="C41" s="3">
        <v>151300</v>
      </c>
      <c r="D41" s="18" t="s">
        <v>82</v>
      </c>
      <c r="E41" s="3" t="s">
        <v>46</v>
      </c>
      <c r="F41" t="s">
        <v>10</v>
      </c>
      <c r="G41" t="s">
        <v>94</v>
      </c>
      <c r="H41" t="s">
        <v>27</v>
      </c>
    </row>
    <row r="42" spans="1:9" x14ac:dyDescent="0.25">
      <c r="A42">
        <v>28</v>
      </c>
      <c r="B42" s="2">
        <v>46072</v>
      </c>
      <c r="C42" s="3">
        <v>300000</v>
      </c>
      <c r="D42" s="3" t="s">
        <v>9</v>
      </c>
      <c r="E42" s="3" t="s">
        <v>101</v>
      </c>
      <c r="F42" t="s">
        <v>10</v>
      </c>
      <c r="G42" t="s">
        <v>30</v>
      </c>
    </row>
    <row r="43" spans="1:9" x14ac:dyDescent="0.25">
      <c r="A43">
        <v>29</v>
      </c>
      <c r="B43" s="2">
        <v>46048</v>
      </c>
      <c r="C43" s="3">
        <v>150000</v>
      </c>
      <c r="D43" s="18" t="s">
        <v>82</v>
      </c>
      <c r="F43" t="s">
        <v>10</v>
      </c>
      <c r="G43" s="7" t="s">
        <v>86</v>
      </c>
    </row>
    <row r="44" spans="1:9" x14ac:dyDescent="0.25">
      <c r="A44">
        <v>30</v>
      </c>
      <c r="B44" s="2">
        <v>46048</v>
      </c>
      <c r="C44" s="6">
        <v>750000</v>
      </c>
      <c r="D44" s="3" t="s">
        <v>8</v>
      </c>
      <c r="F44" t="s">
        <v>10</v>
      </c>
      <c r="G44" s="7" t="s">
        <v>11</v>
      </c>
    </row>
    <row r="45" spans="1:9" x14ac:dyDescent="0.25">
      <c r="A45">
        <v>31</v>
      </c>
      <c r="B45" s="2">
        <v>46069</v>
      </c>
      <c r="C45" s="3">
        <v>900000</v>
      </c>
      <c r="D45" s="3" t="s">
        <v>8</v>
      </c>
      <c r="F45" t="s">
        <v>2</v>
      </c>
      <c r="G45" s="7" t="s">
        <v>11</v>
      </c>
    </row>
    <row r="46" spans="1:9" x14ac:dyDescent="0.25">
      <c r="A46">
        <v>32</v>
      </c>
      <c r="B46" s="2">
        <v>46070</v>
      </c>
      <c r="C46" s="3">
        <v>730000</v>
      </c>
      <c r="D46" s="18" t="s">
        <v>82</v>
      </c>
      <c r="E46" s="3" t="s">
        <v>89</v>
      </c>
      <c r="F46" t="s">
        <v>10</v>
      </c>
      <c r="G46" t="s">
        <v>90</v>
      </c>
      <c r="H46" t="s">
        <v>91</v>
      </c>
    </row>
    <row r="47" spans="1:9" x14ac:dyDescent="0.25">
      <c r="A47">
        <v>33</v>
      </c>
      <c r="B47" s="2">
        <v>46070</v>
      </c>
      <c r="C47" s="3">
        <v>420000</v>
      </c>
      <c r="D47" s="18" t="s">
        <v>82</v>
      </c>
      <c r="E47" s="3" t="s">
        <v>89</v>
      </c>
      <c r="F47" t="s">
        <v>10</v>
      </c>
      <c r="G47" t="s">
        <v>98</v>
      </c>
      <c r="H47" t="s">
        <v>23</v>
      </c>
    </row>
    <row r="48" spans="1:9" x14ac:dyDescent="0.25">
      <c r="A48">
        <v>34</v>
      </c>
      <c r="B48" s="2">
        <v>46070</v>
      </c>
      <c r="C48" s="3">
        <v>300000</v>
      </c>
      <c r="D48" s="18" t="s">
        <v>82</v>
      </c>
      <c r="F48" t="s">
        <v>10</v>
      </c>
      <c r="G48" s="8" t="s">
        <v>88</v>
      </c>
    </row>
    <row r="49" spans="1:7" x14ac:dyDescent="0.25">
      <c r="A49">
        <v>35</v>
      </c>
      <c r="B49" s="2">
        <v>46070</v>
      </c>
      <c r="C49" s="3">
        <v>140000</v>
      </c>
      <c r="D49" s="18" t="s">
        <v>82</v>
      </c>
      <c r="F49" t="s">
        <v>10</v>
      </c>
      <c r="G49" s="8" t="s">
        <v>92</v>
      </c>
    </row>
    <row r="50" spans="1:7" x14ac:dyDescent="0.25">
      <c r="A50">
        <v>36</v>
      </c>
      <c r="B50" s="2">
        <v>46070</v>
      </c>
      <c r="C50" s="3">
        <v>550000</v>
      </c>
      <c r="D50" s="18" t="s">
        <v>9</v>
      </c>
      <c r="E50" s="3" t="s">
        <v>101</v>
      </c>
      <c r="F50" t="s">
        <v>10</v>
      </c>
      <c r="G50" t="s">
        <v>31</v>
      </c>
    </row>
    <row r="51" spans="1:7" x14ac:dyDescent="0.25">
      <c r="A51">
        <v>37</v>
      </c>
      <c r="B51" s="2">
        <v>46070</v>
      </c>
      <c r="C51" s="3">
        <f>415000+49000</f>
        <v>464000</v>
      </c>
      <c r="D51" s="3" t="s">
        <v>9</v>
      </c>
      <c r="E51" s="3" t="s">
        <v>101</v>
      </c>
      <c r="F51" t="s">
        <v>10</v>
      </c>
      <c r="G51" t="s">
        <v>33</v>
      </c>
    </row>
    <row r="52" spans="1:7" x14ac:dyDescent="0.25">
      <c r="A52">
        <v>38</v>
      </c>
      <c r="B52" s="2">
        <v>46070</v>
      </c>
      <c r="C52" s="3">
        <f>30000+101000</f>
        <v>131000</v>
      </c>
      <c r="D52" s="3" t="s">
        <v>9</v>
      </c>
      <c r="E52" s="3" t="s">
        <v>101</v>
      </c>
      <c r="F52" t="s">
        <v>10</v>
      </c>
      <c r="G52" t="s">
        <v>32</v>
      </c>
    </row>
    <row r="53" spans="1:7" x14ac:dyDescent="0.25">
      <c r="A53">
        <v>40</v>
      </c>
      <c r="B53" s="2">
        <v>46072</v>
      </c>
      <c r="C53" s="3">
        <v>40000</v>
      </c>
      <c r="D53" s="10" t="s">
        <v>24</v>
      </c>
      <c r="E53" s="10"/>
      <c r="F53" t="s">
        <v>10</v>
      </c>
      <c r="G53" t="s">
        <v>93</v>
      </c>
    </row>
    <row r="54" spans="1:7" x14ac:dyDescent="0.25">
      <c r="A54">
        <v>41</v>
      </c>
      <c r="B54" s="2">
        <v>46072</v>
      </c>
      <c r="C54" s="3">
        <v>140000</v>
      </c>
      <c r="D54" s="10" t="s">
        <v>24</v>
      </c>
      <c r="E54" s="10"/>
      <c r="F54" t="s">
        <v>10</v>
      </c>
      <c r="G54" t="s">
        <v>108</v>
      </c>
    </row>
    <row r="55" spans="1:7" x14ac:dyDescent="0.25">
      <c r="A55">
        <v>42</v>
      </c>
      <c r="B55" s="2">
        <v>46072</v>
      </c>
      <c r="C55" s="3">
        <f>3500*580</f>
        <v>2030000</v>
      </c>
      <c r="D55" s="10" t="s">
        <v>24</v>
      </c>
      <c r="E55" s="10"/>
      <c r="F55" t="s">
        <v>10</v>
      </c>
      <c r="G55" t="s">
        <v>85</v>
      </c>
    </row>
    <row r="56" spans="1:7" x14ac:dyDescent="0.25">
      <c r="A56">
        <v>43</v>
      </c>
      <c r="B56" s="2">
        <v>46070</v>
      </c>
      <c r="C56" s="3">
        <v>40000</v>
      </c>
      <c r="D56" s="10" t="s">
        <v>24</v>
      </c>
      <c r="E56" s="10"/>
      <c r="F56" t="s">
        <v>10</v>
      </c>
      <c r="G56" t="s">
        <v>18</v>
      </c>
    </row>
    <row r="57" spans="1:7" x14ac:dyDescent="0.25">
      <c r="A57">
        <v>44</v>
      </c>
      <c r="B57" s="2">
        <v>46073</v>
      </c>
      <c r="C57" s="3">
        <v>15000</v>
      </c>
      <c r="D57" s="3" t="s">
        <v>9</v>
      </c>
      <c r="E57" s="3" t="s">
        <v>101</v>
      </c>
      <c r="F57" t="s">
        <v>2</v>
      </c>
      <c r="G57" s="3" t="s">
        <v>102</v>
      </c>
    </row>
    <row r="58" spans="1:7" x14ac:dyDescent="0.25">
      <c r="A58">
        <v>45</v>
      </c>
      <c r="B58" s="2">
        <v>46073</v>
      </c>
      <c r="C58" s="3">
        <v>619850</v>
      </c>
      <c r="D58" s="10" t="s">
        <v>24</v>
      </c>
      <c r="F58" t="s">
        <v>10</v>
      </c>
      <c r="G58" t="s">
        <v>103</v>
      </c>
    </row>
    <row r="59" spans="1:7" x14ac:dyDescent="0.25">
      <c r="A59">
        <v>46</v>
      </c>
      <c r="B59" s="2">
        <v>46073</v>
      </c>
      <c r="C59" s="3">
        <v>90000</v>
      </c>
      <c r="D59" s="10" t="s">
        <v>24</v>
      </c>
      <c r="F59" t="s">
        <v>10</v>
      </c>
      <c r="G59" t="s">
        <v>104</v>
      </c>
    </row>
    <row r="60" spans="1:7" x14ac:dyDescent="0.25">
      <c r="A60">
        <v>47</v>
      </c>
      <c r="B60" s="2">
        <v>46073</v>
      </c>
      <c r="C60" s="3">
        <v>20000</v>
      </c>
      <c r="D60" s="18" t="s">
        <v>82</v>
      </c>
      <c r="F60" t="s">
        <v>10</v>
      </c>
      <c r="G60" t="s">
        <v>105</v>
      </c>
    </row>
    <row r="61" spans="1:7" x14ac:dyDescent="0.25">
      <c r="A61">
        <v>48</v>
      </c>
      <c r="B61" s="2">
        <v>46073</v>
      </c>
      <c r="C61" s="3">
        <v>260100</v>
      </c>
      <c r="D61" s="3" t="s">
        <v>9</v>
      </c>
      <c r="E61" s="3" t="s">
        <v>46</v>
      </c>
      <c r="F61" t="s">
        <v>10</v>
      </c>
      <c r="G61" t="s">
        <v>106</v>
      </c>
    </row>
    <row r="62" spans="1:7" x14ac:dyDescent="0.25">
      <c r="A62">
        <v>49</v>
      </c>
      <c r="B62" s="2">
        <v>46073</v>
      </c>
      <c r="C62" s="3">
        <v>412000</v>
      </c>
      <c r="D62" s="10" t="s">
        <v>24</v>
      </c>
      <c r="F62" t="s">
        <v>10</v>
      </c>
      <c r="G62" s="1" t="s">
        <v>107</v>
      </c>
    </row>
    <row r="63" spans="1:7" x14ac:dyDescent="0.25">
      <c r="A63">
        <v>50</v>
      </c>
      <c r="B63" s="2">
        <v>46073</v>
      </c>
      <c r="C63" s="3">
        <v>80000</v>
      </c>
      <c r="D63" s="3" t="s">
        <v>9</v>
      </c>
      <c r="F63" t="s">
        <v>2</v>
      </c>
      <c r="G63" t="s">
        <v>113</v>
      </c>
    </row>
    <row r="64" spans="1:7" x14ac:dyDescent="0.25">
      <c r="A64">
        <v>51</v>
      </c>
      <c r="B64" s="2">
        <v>46074</v>
      </c>
      <c r="C64" s="3">
        <v>57000</v>
      </c>
      <c r="D64" s="10" t="s">
        <v>24</v>
      </c>
      <c r="F64" t="s">
        <v>10</v>
      </c>
      <c r="G64" t="s">
        <v>114</v>
      </c>
    </row>
    <row r="65" spans="2:7" x14ac:dyDescent="0.25">
      <c r="B65" s="2">
        <v>46074</v>
      </c>
      <c r="C65" s="3">
        <v>5600</v>
      </c>
      <c r="D65" s="3" t="s">
        <v>8</v>
      </c>
      <c r="F65" t="s">
        <v>10</v>
      </c>
      <c r="G65" t="s">
        <v>115</v>
      </c>
    </row>
    <row r="66" spans="2:7" x14ac:dyDescent="0.25">
      <c r="B66" s="2">
        <v>46074</v>
      </c>
      <c r="C66" s="3">
        <v>15000</v>
      </c>
      <c r="D66" s="3" t="s">
        <v>9</v>
      </c>
      <c r="F66" t="s">
        <v>10</v>
      </c>
      <c r="G66" t="s">
        <v>116</v>
      </c>
    </row>
    <row r="69" spans="2:7" x14ac:dyDescent="0.25">
      <c r="B69" s="2">
        <v>46076</v>
      </c>
      <c r="C69" s="3">
        <v>58200</v>
      </c>
      <c r="D69" s="3" t="s">
        <v>8</v>
      </c>
      <c r="F69" t="s">
        <v>10</v>
      </c>
      <c r="G69" t="s">
        <v>136</v>
      </c>
    </row>
    <row r="70" spans="2:7" x14ac:dyDescent="0.25">
      <c r="B70" s="2">
        <v>46076</v>
      </c>
      <c r="C70" s="3">
        <v>63202</v>
      </c>
      <c r="D70" s="3" t="s">
        <v>8</v>
      </c>
      <c r="F70" t="s">
        <v>10</v>
      </c>
      <c r="G70" t="s">
        <v>119</v>
      </c>
    </row>
    <row r="71" spans="2:7" x14ac:dyDescent="0.25">
      <c r="B71" s="2">
        <v>46076</v>
      </c>
      <c r="C71" s="3">
        <f>8200+1300</f>
        <v>9500</v>
      </c>
      <c r="D71" s="3" t="s">
        <v>8</v>
      </c>
      <c r="F71" t="s">
        <v>10</v>
      </c>
      <c r="G71" t="s">
        <v>12</v>
      </c>
    </row>
    <row r="72" spans="2:7" x14ac:dyDescent="0.25">
      <c r="B72" s="2">
        <v>46076</v>
      </c>
      <c r="C72" s="3">
        <v>20400</v>
      </c>
      <c r="D72" s="10" t="s">
        <v>24</v>
      </c>
      <c r="F72" t="s">
        <v>10</v>
      </c>
      <c r="G72" t="s">
        <v>120</v>
      </c>
    </row>
    <row r="73" spans="2:7" x14ac:dyDescent="0.25">
      <c r="B73" s="2">
        <v>46076</v>
      </c>
      <c r="C73" s="3">
        <v>42500</v>
      </c>
      <c r="D73" s="10" t="s">
        <v>24</v>
      </c>
      <c r="F73" t="s">
        <v>10</v>
      </c>
      <c r="G73" t="s">
        <v>117</v>
      </c>
    </row>
    <row r="74" spans="2:7" x14ac:dyDescent="0.25">
      <c r="B74" s="2">
        <v>46076</v>
      </c>
      <c r="C74" s="3">
        <v>192000</v>
      </c>
      <c r="D74" s="10" t="s">
        <v>24</v>
      </c>
      <c r="F74" t="s">
        <v>10</v>
      </c>
      <c r="G74" t="s">
        <v>118</v>
      </c>
    </row>
    <row r="75" spans="2:7" x14ac:dyDescent="0.25">
      <c r="B75" s="2">
        <v>46076</v>
      </c>
      <c r="C75" s="3">
        <v>260000</v>
      </c>
      <c r="D75" s="3" t="s">
        <v>9</v>
      </c>
      <c r="F75" t="s">
        <v>10</v>
      </c>
      <c r="G75" t="s">
        <v>130</v>
      </c>
    </row>
    <row r="76" spans="2:7" x14ac:dyDescent="0.25">
      <c r="B76" s="2">
        <v>46076</v>
      </c>
      <c r="C76" s="3">
        <v>30000</v>
      </c>
      <c r="D76" s="3" t="s">
        <v>9</v>
      </c>
      <c r="F76" t="s">
        <v>2</v>
      </c>
      <c r="G76" t="s">
        <v>133</v>
      </c>
    </row>
    <row r="77" spans="2:7" x14ac:dyDescent="0.25">
      <c r="B77" s="2">
        <v>46076</v>
      </c>
      <c r="C77" s="16">
        <v>615000</v>
      </c>
      <c r="D77" s="3" t="s">
        <v>8</v>
      </c>
      <c r="F77" t="s">
        <v>2</v>
      </c>
      <c r="G77" t="s">
        <v>134</v>
      </c>
    </row>
    <row r="78" spans="2:7" x14ac:dyDescent="0.25">
      <c r="B78" s="2">
        <v>46076</v>
      </c>
      <c r="C78" s="3">
        <v>81000</v>
      </c>
      <c r="D78" s="3" t="s">
        <v>8</v>
      </c>
      <c r="F78" t="s">
        <v>2</v>
      </c>
      <c r="G78" t="s">
        <v>135</v>
      </c>
    </row>
  </sheetData>
  <autoFilter ref="B14:I57"/>
  <conditionalFormatting sqref="C1:E2 H15:H26 C21:C26 H32:H34 C33:C34 G47 G57 D5:E1048576">
    <cfRule type="containsText" dxfId="5" priority="13" operator="containsText" text="Patrimonio">
      <formula>NOT(ISERROR(SEARCH("Patrimonio",C1)))</formula>
    </cfRule>
    <cfRule type="containsText" dxfId="4" priority="14" operator="containsText" text="Por Pagar">
      <formula>NOT(ISERROR(SEARCH("Por Pagar",C1)))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tabSelected="1" workbookViewId="0">
      <selection activeCell="C8" sqref="C8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</cols>
  <sheetData>
    <row r="1" spans="1:6" x14ac:dyDescent="0.25">
      <c r="C1" s="3">
        <f>+SUM(C2:C1048576)</f>
        <v>205600</v>
      </c>
      <c r="E1">
        <v>197650</v>
      </c>
      <c r="F1" s="13">
        <f>+C1-E1</f>
        <v>7950</v>
      </c>
    </row>
    <row r="2" spans="1:6" x14ac:dyDescent="0.25">
      <c r="A2" s="3">
        <v>100000</v>
      </c>
      <c r="B2">
        <v>0</v>
      </c>
      <c r="C2" s="3">
        <f>+A2*B2</f>
        <v>0</v>
      </c>
    </row>
    <row r="3" spans="1:6" x14ac:dyDescent="0.25">
      <c r="A3" s="3">
        <v>50000</v>
      </c>
      <c r="B3">
        <v>1</v>
      </c>
      <c r="C3" s="3">
        <f t="shared" ref="C3:C12" si="0">+A3*B3</f>
        <v>50000</v>
      </c>
    </row>
    <row r="4" spans="1:6" x14ac:dyDescent="0.25">
      <c r="A4" s="3">
        <v>20000</v>
      </c>
      <c r="B4">
        <v>4</v>
      </c>
      <c r="C4" s="3">
        <f t="shared" si="0"/>
        <v>80000</v>
      </c>
    </row>
    <row r="5" spans="1:6" x14ac:dyDescent="0.25">
      <c r="A5" s="3">
        <v>10000</v>
      </c>
      <c r="B5">
        <v>2</v>
      </c>
      <c r="C5" s="3">
        <f t="shared" si="0"/>
        <v>20000</v>
      </c>
    </row>
    <row r="6" spans="1:6" x14ac:dyDescent="0.25">
      <c r="A6" s="3">
        <v>5000</v>
      </c>
      <c r="B6">
        <v>2</v>
      </c>
      <c r="C6" s="3">
        <f t="shared" si="0"/>
        <v>10000</v>
      </c>
    </row>
    <row r="7" spans="1:6" x14ac:dyDescent="0.25">
      <c r="A7" s="3">
        <v>2000</v>
      </c>
      <c r="B7">
        <v>4</v>
      </c>
      <c r="C7" s="3">
        <f t="shared" si="0"/>
        <v>8000</v>
      </c>
    </row>
    <row r="8" spans="1:6" x14ac:dyDescent="0.25">
      <c r="A8" s="3">
        <v>1000</v>
      </c>
      <c r="B8">
        <v>7</v>
      </c>
      <c r="C8" s="3">
        <f t="shared" si="0"/>
        <v>7000</v>
      </c>
    </row>
    <row r="9" spans="1:6" x14ac:dyDescent="0.25">
      <c r="A9" s="3">
        <v>500</v>
      </c>
      <c r="B9">
        <v>31</v>
      </c>
      <c r="C9" s="3">
        <f t="shared" si="0"/>
        <v>15500</v>
      </c>
    </row>
    <row r="10" spans="1:6" x14ac:dyDescent="0.25">
      <c r="A10" s="3">
        <v>200</v>
      </c>
      <c r="B10">
        <v>54</v>
      </c>
      <c r="C10" s="3">
        <f t="shared" si="0"/>
        <v>10800</v>
      </c>
    </row>
    <row r="11" spans="1:6" x14ac:dyDescent="0.25">
      <c r="A11" s="3">
        <v>100</v>
      </c>
      <c r="B11">
        <v>38</v>
      </c>
      <c r="C11" s="3">
        <f t="shared" si="0"/>
        <v>3800</v>
      </c>
    </row>
    <row r="12" spans="1:6" x14ac:dyDescent="0.25">
      <c r="A12" s="3">
        <v>50</v>
      </c>
      <c r="B12">
        <v>10</v>
      </c>
      <c r="C12" s="3">
        <f t="shared" si="0"/>
        <v>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55" zoomScaleNormal="5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chorizo</vt:lpstr>
      <vt:lpstr>choriboni</vt:lpstr>
      <vt:lpstr>control</vt:lpstr>
      <vt:lpstr>proveedores</vt:lpstr>
      <vt:lpstr>informe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2026-02-24T02:00:33Z</dcterms:modified>
</cp:coreProperties>
</file>