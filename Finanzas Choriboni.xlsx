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38" firstSheet="3" activeTab="3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Hoja2" sheetId="36" state="hidden" r:id="rId9"/>
    <sheet name="Clientes" sheetId="24" state="hidden" r:id="rId10"/>
    <sheet name="Empaques" sheetId="25" r:id="rId11"/>
    <sheet name="proveedores" sheetId="7" state="hidden" r:id="rId12"/>
    <sheet name="informe" sheetId="6" state="hidden" r:id="rId13"/>
    <sheet name="Costos" sheetId="8" state="hidden" r:id="rId14"/>
    <sheet name="Inventario" sheetId="27" state="hidden" r:id="rId15"/>
    <sheet name="Reporte" sheetId="11" r:id="rId16"/>
    <sheet name="Rappi" sheetId="26" r:id="rId17"/>
    <sheet name="7-MARZO" sheetId="22" state="hidden" r:id="rId18"/>
    <sheet name="Prestamos" sheetId="12" r:id="rId19"/>
    <sheet name="maquina" sheetId="23" r:id="rId20"/>
    <sheet name="Informe ventas" sheetId="13" state="hidden" r:id="rId21"/>
    <sheet name="historial de venta" sheetId="14" state="hidden" r:id="rId22"/>
  </sheets>
  <definedNames>
    <definedName name="_xlnm._FilterDatabase" localSheetId="1" hidden="1">choriboni!$B$17:$I$69</definedName>
    <definedName name="_xlnm._FilterDatabase" localSheetId="4" hidden="1">Extracto!$A$5:$M$86</definedName>
  </definedNames>
  <calcPr calcId="162913"/>
  <pivotCaches>
    <pivotCache cacheId="0" r:id="rId23"/>
    <pivotCache cacheId="1" r:id="rId24"/>
    <pivotCache cacheId="2" r:id="rId25"/>
    <pivotCache cacheId="3" r:id="rId26"/>
    <pivotCache cacheId="4" r:id="rId27"/>
    <pivotCache cacheId="5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0" l="1"/>
  <c r="B92" i="10"/>
  <c r="B91" i="10"/>
  <c r="B90" i="10"/>
  <c r="B89" i="10"/>
  <c r="D88" i="10"/>
  <c r="B88" i="10"/>
  <c r="B87" i="10"/>
  <c r="J9" i="36" l="1"/>
  <c r="J7" i="36"/>
  <c r="J6" i="36"/>
  <c r="G6" i="36"/>
  <c r="F6" i="36"/>
  <c r="D6" i="36"/>
  <c r="I6" i="36" s="1"/>
  <c r="C6" i="36"/>
  <c r="H6" i="36" s="1"/>
  <c r="B83" i="10"/>
  <c r="AI31" i="9"/>
  <c r="AK31" i="9"/>
  <c r="AU30" i="9"/>
  <c r="AM38" i="9"/>
  <c r="AU31" i="9"/>
  <c r="D86" i="10"/>
  <c r="I13" i="34"/>
  <c r="B85" i="10"/>
  <c r="B84" i="10"/>
  <c r="B81" i="10"/>
  <c r="AU18" i="9"/>
  <c r="AU33" i="9"/>
  <c r="AU23" i="9"/>
  <c r="AU13" i="9"/>
  <c r="AU12" i="9"/>
  <c r="AU11" i="9"/>
  <c r="AU10" i="9"/>
  <c r="AU9" i="9"/>
  <c r="AU8" i="9"/>
  <c r="AU7" i="9"/>
  <c r="AU6" i="9"/>
  <c r="AU5" i="9"/>
  <c r="AU4" i="9"/>
  <c r="AU3" i="9"/>
  <c r="AU2" i="9"/>
  <c r="AU1" i="9"/>
  <c r="AU17" i="9" s="1"/>
  <c r="AU14" i="9" l="1"/>
  <c r="AU25" i="9"/>
  <c r="AS31" i="9"/>
  <c r="AS27" i="9"/>
  <c r="D80" i="10" l="1"/>
  <c r="AQ35" i="9"/>
  <c r="K7" i="34"/>
  <c r="B80" i="10"/>
  <c r="AS32" i="9"/>
  <c r="B75" i="10"/>
  <c r="B74" i="10"/>
  <c r="AS33" i="9"/>
  <c r="AQ33" i="9"/>
  <c r="B79" i="10"/>
  <c r="B78" i="10"/>
  <c r="B77" i="10"/>
  <c r="B76" i="10"/>
  <c r="AQ31" i="9"/>
  <c r="AO31" i="9"/>
  <c r="B73" i="10"/>
  <c r="B72" i="10"/>
  <c r="AQ30" i="9"/>
  <c r="AS18" i="9"/>
  <c r="AQ27" i="9"/>
  <c r="B71" i="10"/>
  <c r="B70" i="10"/>
  <c r="AO33" i="9"/>
  <c r="AO30" i="9"/>
  <c r="AS23" i="9" l="1"/>
  <c r="AS25" i="9" s="1"/>
  <c r="AS13" i="9"/>
  <c r="AS12" i="9"/>
  <c r="AS11" i="9"/>
  <c r="AS10" i="9"/>
  <c r="AS9" i="9"/>
  <c r="AS8" i="9"/>
  <c r="AS7" i="9"/>
  <c r="AS6" i="9"/>
  <c r="AS5" i="9"/>
  <c r="AS4" i="9"/>
  <c r="AS14" i="9" s="1"/>
  <c r="AS3" i="9"/>
  <c r="AS2" i="9"/>
  <c r="AS1" i="9"/>
  <c r="AS17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Q14" i="9" l="1"/>
  <c r="F11" i="34"/>
  <c r="AQ19" i="9" s="1"/>
  <c r="D4" i="34" l="1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5" i="9" l="1"/>
  <c r="AM32" i="9"/>
  <c r="AE30" i="9"/>
  <c r="AE31" i="9" s="1"/>
  <c r="AG31" i="9" s="1"/>
  <c r="AM31" i="9" s="1"/>
  <c r="AK35" i="9"/>
  <c r="AM30" i="9"/>
  <c r="B69" i="10"/>
  <c r="B68" i="10"/>
  <c r="B67" i="10"/>
  <c r="B66" i="10"/>
  <c r="AG32" i="9"/>
  <c r="AG33" i="9" s="1"/>
  <c r="AI33" i="9" s="1"/>
  <c r="AK33" i="9" s="1"/>
  <c r="B65" i="10"/>
  <c r="AM33" i="9" l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M14" i="9"/>
  <c r="B86" i="10"/>
  <c r="B64" i="10"/>
  <c r="B63" i="10"/>
  <c r="B62" i="10"/>
  <c r="B61" i="10"/>
  <c r="B82" i="10"/>
  <c r="AI21" i="9"/>
  <c r="AI22" i="9"/>
  <c r="C1" i="27"/>
  <c r="AQ25" i="9" l="1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I14" i="9"/>
  <c r="AK18" i="9" s="1"/>
  <c r="AG14" i="9"/>
  <c r="AI18" i="9" s="1"/>
  <c r="AE14" i="9"/>
  <c r="AK23" i="9" l="1"/>
  <c r="AM18" i="9" s="1"/>
  <c r="AM23" i="9" s="1"/>
  <c r="AM25" i="9" s="1"/>
  <c r="AI23" i="9"/>
  <c r="AI25" i="9" s="1"/>
  <c r="AE23" i="9"/>
  <c r="AK25" i="9" l="1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1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<sst xmlns="http://schemas.openxmlformats.org/spreadsheetml/2006/main" count="1141" uniqueCount="455">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</sst>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12" fillId="0" borderId="0" xfId="1" applyNumberFormat="1" applyFont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1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16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6" fillId="5" borderId="3" xfId="3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9" borderId="3" xfId="0" applyFill="1" applyBorder="1" applyAlignment="1">
      <alignment vertical="center"/>
    </xf>
    <xf numFmtId="0" fontId="0" fillId="2" borderId="3" xfId="0" applyFill="1" applyBorder="1" applyAlignment="1">
      <alignment vertical="center" wrapText="1"/>
    </xf>
    <xf numFmtId="0" fontId="0" fillId="2" borderId="3" xfId="0" applyFill="1" applyBorder="1" applyAlignment="1">
      <alignment vertical="center"/>
    </xf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42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41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420</v>
      </c>
      <c r="D1" t="s">
        <v>419</v>
      </c>
      <c r="E1" t="s">
        <v>421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297</v>
      </c>
      <c r="D4">
        <f>8000*3</f>
        <v>24000</v>
      </c>
    </row>
    <row r="5" spans="2:11" x14ac:dyDescent="0.25">
      <c r="B5">
        <v>1</v>
      </c>
      <c r="C5" t="s">
        <v>297</v>
      </c>
      <c r="D5">
        <v>-4000</v>
      </c>
      <c r="I5">
        <f>190+20</f>
        <v>210</v>
      </c>
    </row>
    <row r="6" spans="2:11" x14ac:dyDescent="0.25">
      <c r="B6" s="96">
        <v>1</v>
      </c>
      <c r="C6" s="96" t="s">
        <v>297</v>
      </c>
      <c r="D6" s="96">
        <v>8000</v>
      </c>
    </row>
    <row r="7" spans="2:11" x14ac:dyDescent="0.25">
      <c r="B7" s="96">
        <v>1</v>
      </c>
      <c r="C7" s="96" t="s">
        <v>389</v>
      </c>
      <c r="D7" s="96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297</v>
      </c>
      <c r="D8">
        <v>8000</v>
      </c>
    </row>
    <row r="9" spans="2:11" x14ac:dyDescent="0.25">
      <c r="B9">
        <v>1</v>
      </c>
      <c r="C9" t="s">
        <v>389</v>
      </c>
      <c r="D9">
        <v>3000</v>
      </c>
    </row>
    <row r="10" spans="2:11" x14ac:dyDescent="0.25">
      <c r="B10" s="1">
        <v>6</v>
      </c>
      <c r="C10" s="1" t="s">
        <v>297</v>
      </c>
      <c r="D10" s="1">
        <v>48000</v>
      </c>
      <c r="H10">
        <v>197</v>
      </c>
    </row>
    <row r="11" spans="2:11" x14ac:dyDescent="0.25">
      <c r="B11" s="1">
        <v>3</v>
      </c>
      <c r="C11" s="1" t="s">
        <v>389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418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2" t="s">
        <v>279</v>
      </c>
      <c r="C15" s="82">
        <v>11000</v>
      </c>
    </row>
    <row r="16" spans="2:11" x14ac:dyDescent="0.25">
      <c r="B16" s="82" t="s">
        <v>279</v>
      </c>
      <c r="C16" s="8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U40"/>
  <sheetViews>
    <sheetView showGridLines="0" tabSelected="1" zoomScaleNormal="100" workbookViewId="0">
      <pane xSplit="1" ySplit="2" topLeftCell="B18" activePane="bottomRight" state="frozen"/>
      <selection pane="topRight" activeCell="B1" sqref="B1"/>
      <selection pane="bottomLeft" activeCell="A3" sqref="A3"/>
      <selection pane="bottomRight" activeCell="AU21" sqref="AU21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bestFit="1" customWidth="1" collapsed="1"/>
    <col min="46" max="46" width="3.140625" bestFit="1" customWidth="1" collapsed="1"/>
  </cols>
  <sheetData>
    <row r="1" spans="1:47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</row>
    <row r="2" spans="1:47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</row>
    <row r="3" spans="1:47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</row>
    <row r="4" spans="1:47" outlineLevel="1" x14ac:dyDescent="0.25">
      <c r="A4" s="27">
        <v>50000</v>
      </c>
      <c r="B4" s="26">
        <v>1</v>
      </c>
      <c r="C4" s="3">
        <f t="shared" ref="C4:C13" si="8">+A4*B4</f>
        <v>50000</v>
      </c>
      <c r="D4" s="26">
        <v>1</v>
      </c>
      <c r="E4" s="3">
        <f t="shared" ref="E4:E13" si="9">+$A4*D4</f>
        <v>50000</v>
      </c>
      <c r="F4" s="26">
        <v>1</v>
      </c>
      <c r="G4" s="3"/>
      <c r="H4" s="26">
        <v>0</v>
      </c>
      <c r="I4" s="3">
        <f t="shared" ref="I4" si="10">+$A4*H4</f>
        <v>0</v>
      </c>
      <c r="J4" s="26">
        <v>2</v>
      </c>
      <c r="K4" s="3">
        <f t="shared" ref="K4" si="11">+$A4*J4</f>
        <v>100000</v>
      </c>
      <c r="L4" s="26">
        <v>0</v>
      </c>
      <c r="M4" s="3">
        <f t="shared" ref="M4" si="12">+$A4*L4</f>
        <v>0</v>
      </c>
      <c r="N4" s="26">
        <v>0</v>
      </c>
      <c r="O4" s="3">
        <f t="shared" ref="O4" si="13">+$A4*N4</f>
        <v>0</v>
      </c>
      <c r="P4" s="26">
        <v>1</v>
      </c>
      <c r="Q4" s="3">
        <f t="shared" ref="Q4" si="14">+$A4*P4</f>
        <v>50000</v>
      </c>
      <c r="R4" s="26">
        <v>1</v>
      </c>
      <c r="S4" s="3"/>
      <c r="T4" s="26">
        <v>0</v>
      </c>
      <c r="U4" s="3">
        <f t="shared" ref="U4:U5" si="15">+$A4*T4</f>
        <v>0</v>
      </c>
      <c r="V4" s="1">
        <v>1</v>
      </c>
      <c r="W4" s="3">
        <f t="shared" ref="W4:W5" si="16">+$A4*V4</f>
        <v>50000</v>
      </c>
      <c r="X4" s="1">
        <v>0</v>
      </c>
      <c r="Y4" s="3">
        <f t="shared" ref="Y4:Y5" si="17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</row>
    <row r="5" spans="1:47" outlineLevel="1" x14ac:dyDescent="0.25">
      <c r="A5" s="27">
        <v>20000</v>
      </c>
      <c r="B5" s="26">
        <v>4</v>
      </c>
      <c r="C5" s="3">
        <f t="shared" si="8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5"/>
        <v>0</v>
      </c>
      <c r="V5" s="1">
        <v>0</v>
      </c>
      <c r="W5" s="3">
        <f t="shared" si="16"/>
        <v>0</v>
      </c>
      <c r="X5" s="1">
        <v>0</v>
      </c>
      <c r="Y5" s="3">
        <f t="shared" si="17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</row>
    <row r="6" spans="1:47" outlineLevel="1" x14ac:dyDescent="0.25">
      <c r="A6" s="27">
        <v>10000</v>
      </c>
      <c r="B6" s="26">
        <v>2</v>
      </c>
      <c r="C6" s="3">
        <f t="shared" si="8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</row>
    <row r="7" spans="1:47" outlineLevel="1" x14ac:dyDescent="0.25">
      <c r="A7" s="27">
        <v>5000</v>
      </c>
      <c r="B7" s="26">
        <v>2</v>
      </c>
      <c r="C7" s="3">
        <f t="shared" si="8"/>
        <v>10000</v>
      </c>
      <c r="D7" s="26">
        <v>4</v>
      </c>
      <c r="E7" s="3">
        <f t="shared" si="9"/>
        <v>20000</v>
      </c>
      <c r="F7" s="26">
        <v>4</v>
      </c>
      <c r="G7" s="3"/>
      <c r="H7" s="26">
        <v>6</v>
      </c>
      <c r="I7" s="3">
        <f t="shared" ref="I7:I13" si="18">+$A7*H7</f>
        <v>30000</v>
      </c>
      <c r="J7" s="26">
        <v>5</v>
      </c>
      <c r="K7" s="3">
        <f t="shared" ref="K7:K13" si="19">+$A7*J7</f>
        <v>25000</v>
      </c>
      <c r="L7" s="26">
        <v>5</v>
      </c>
      <c r="M7" s="3">
        <f t="shared" ref="M7:M13" si="20">+$A7*L7</f>
        <v>25000</v>
      </c>
      <c r="N7" s="26">
        <v>5</v>
      </c>
      <c r="O7" s="3">
        <f t="shared" ref="O7:O13" si="21">+$A7*N7</f>
        <v>25000</v>
      </c>
      <c r="P7" s="26">
        <v>3</v>
      </c>
      <c r="Q7" s="3">
        <f t="shared" ref="Q7:Q13" si="22">+$A7*P7</f>
        <v>15000</v>
      </c>
      <c r="R7" s="26">
        <v>3</v>
      </c>
      <c r="S7" s="3"/>
      <c r="T7" s="26">
        <v>3</v>
      </c>
      <c r="U7" s="3">
        <f t="shared" ref="U7:U13" si="23">+$A7*T7</f>
        <v>15000</v>
      </c>
      <c r="V7" s="1">
        <v>4</v>
      </c>
      <c r="W7" s="3">
        <f t="shared" ref="W7:W13" si="24">+$A7*V7</f>
        <v>20000</v>
      </c>
      <c r="X7" s="1">
        <v>0</v>
      </c>
      <c r="Y7" s="3">
        <f t="shared" ref="Y7:Y13" si="25">+$A7*X7</f>
        <v>0</v>
      </c>
      <c r="Z7" s="1">
        <v>0</v>
      </c>
      <c r="AA7" s="3">
        <f t="shared" ref="AA7:AC13" si="26">+$A7*Z7</f>
        <v>0</v>
      </c>
      <c r="AB7" s="1">
        <v>3</v>
      </c>
      <c r="AC7" s="3">
        <f t="shared" si="26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</row>
    <row r="8" spans="1:47" outlineLevel="1" x14ac:dyDescent="0.25">
      <c r="A8" s="27">
        <v>2000</v>
      </c>
      <c r="B8" s="26">
        <v>4</v>
      </c>
      <c r="C8" s="3">
        <f t="shared" si="8"/>
        <v>8000</v>
      </c>
      <c r="D8" s="26">
        <v>5</v>
      </c>
      <c r="E8" s="3">
        <f t="shared" si="9"/>
        <v>10000</v>
      </c>
      <c r="F8" s="26">
        <v>5</v>
      </c>
      <c r="G8" s="3"/>
      <c r="H8" s="26">
        <v>12</v>
      </c>
      <c r="I8" s="3">
        <f t="shared" si="18"/>
        <v>24000</v>
      </c>
      <c r="J8" s="26">
        <v>17</v>
      </c>
      <c r="K8" s="3">
        <f t="shared" si="19"/>
        <v>34000</v>
      </c>
      <c r="L8" s="26">
        <v>14</v>
      </c>
      <c r="M8" s="3">
        <f t="shared" si="20"/>
        <v>28000</v>
      </c>
      <c r="N8" s="26">
        <v>14</v>
      </c>
      <c r="O8" s="3">
        <f t="shared" si="21"/>
        <v>28000</v>
      </c>
      <c r="P8" s="26">
        <v>10</v>
      </c>
      <c r="Q8" s="3">
        <f t="shared" si="22"/>
        <v>20000</v>
      </c>
      <c r="R8" s="26">
        <v>10</v>
      </c>
      <c r="S8" s="3"/>
      <c r="T8" s="26">
        <v>12</v>
      </c>
      <c r="U8" s="3">
        <f t="shared" si="23"/>
        <v>24000</v>
      </c>
      <c r="V8" s="1">
        <v>22</v>
      </c>
      <c r="W8" s="3">
        <f t="shared" si="24"/>
        <v>44000</v>
      </c>
      <c r="X8" s="1">
        <v>23</v>
      </c>
      <c r="Y8" s="3">
        <f t="shared" si="25"/>
        <v>46000</v>
      </c>
      <c r="Z8" s="1">
        <v>20</v>
      </c>
      <c r="AA8" s="3">
        <f t="shared" si="26"/>
        <v>40000</v>
      </c>
      <c r="AB8" s="1">
        <v>25</v>
      </c>
      <c r="AC8" s="3">
        <f t="shared" si="26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</row>
    <row r="9" spans="1:47" outlineLevel="1" x14ac:dyDescent="0.25">
      <c r="A9" s="27">
        <v>1000</v>
      </c>
      <c r="B9" s="26">
        <v>7</v>
      </c>
      <c r="C9" s="3">
        <f t="shared" si="8"/>
        <v>7000</v>
      </c>
      <c r="D9" s="26">
        <v>8</v>
      </c>
      <c r="E9" s="3">
        <f t="shared" si="9"/>
        <v>8000</v>
      </c>
      <c r="F9" s="26">
        <v>8</v>
      </c>
      <c r="G9" s="3"/>
      <c r="H9" s="26">
        <v>3</v>
      </c>
      <c r="I9" s="3">
        <f t="shared" si="18"/>
        <v>3000</v>
      </c>
      <c r="J9" s="26">
        <v>2</v>
      </c>
      <c r="K9" s="3">
        <f t="shared" si="19"/>
        <v>2000</v>
      </c>
      <c r="L9" s="26">
        <v>0</v>
      </c>
      <c r="M9" s="3">
        <f t="shared" si="20"/>
        <v>0</v>
      </c>
      <c r="N9" s="26">
        <v>0</v>
      </c>
      <c r="O9" s="3">
        <f t="shared" si="21"/>
        <v>0</v>
      </c>
      <c r="P9" s="26">
        <v>0</v>
      </c>
      <c r="Q9" s="3">
        <f t="shared" si="22"/>
        <v>0</v>
      </c>
      <c r="R9" s="26">
        <v>0</v>
      </c>
      <c r="S9" s="3"/>
      <c r="T9" s="26">
        <v>20</v>
      </c>
      <c r="U9" s="3">
        <f t="shared" si="23"/>
        <v>20000</v>
      </c>
      <c r="V9" s="1">
        <v>16</v>
      </c>
      <c r="W9" s="3">
        <f t="shared" si="24"/>
        <v>16000</v>
      </c>
      <c r="X9" s="1">
        <v>12</v>
      </c>
      <c r="Y9" s="3">
        <f t="shared" si="25"/>
        <v>12000</v>
      </c>
      <c r="Z9" s="1">
        <v>9</v>
      </c>
      <c r="AA9" s="3">
        <f t="shared" si="26"/>
        <v>9000</v>
      </c>
      <c r="AB9" s="1">
        <v>6</v>
      </c>
      <c r="AC9" s="3">
        <f t="shared" si="26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</row>
    <row r="10" spans="1:47" outlineLevel="1" x14ac:dyDescent="0.25">
      <c r="A10" s="27">
        <v>500</v>
      </c>
      <c r="B10" s="26">
        <v>31</v>
      </c>
      <c r="C10" s="3">
        <f t="shared" si="8"/>
        <v>15500</v>
      </c>
      <c r="D10" s="26">
        <v>32</v>
      </c>
      <c r="E10" s="3">
        <f t="shared" si="9"/>
        <v>16000</v>
      </c>
      <c r="F10" s="26">
        <v>32</v>
      </c>
      <c r="G10" s="3"/>
      <c r="H10" s="26">
        <v>38</v>
      </c>
      <c r="I10" s="3">
        <f t="shared" si="18"/>
        <v>19000</v>
      </c>
      <c r="J10" s="26">
        <v>37</v>
      </c>
      <c r="K10" s="3">
        <f t="shared" si="19"/>
        <v>18500</v>
      </c>
      <c r="L10" s="26">
        <v>36</v>
      </c>
      <c r="M10" s="3">
        <f t="shared" si="20"/>
        <v>18000</v>
      </c>
      <c r="N10" s="26">
        <v>36</v>
      </c>
      <c r="O10" s="3">
        <f t="shared" si="21"/>
        <v>18000</v>
      </c>
      <c r="P10" s="26">
        <v>36</v>
      </c>
      <c r="Q10" s="3">
        <f t="shared" si="22"/>
        <v>18000</v>
      </c>
      <c r="R10" s="26">
        <v>36</v>
      </c>
      <c r="S10" s="3"/>
      <c r="T10" s="26">
        <v>40</v>
      </c>
      <c r="U10" s="3">
        <f t="shared" si="23"/>
        <v>20000</v>
      </c>
      <c r="V10" s="1">
        <v>45</v>
      </c>
      <c r="W10" s="3">
        <f t="shared" si="24"/>
        <v>22500</v>
      </c>
      <c r="X10" s="1">
        <v>31</v>
      </c>
      <c r="Y10" s="3">
        <f t="shared" si="25"/>
        <v>15500</v>
      </c>
      <c r="Z10" s="1">
        <v>20</v>
      </c>
      <c r="AA10" s="3">
        <f t="shared" si="26"/>
        <v>10000</v>
      </c>
      <c r="AB10" s="1">
        <v>21</v>
      </c>
      <c r="AC10" s="3">
        <f t="shared" si="26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</row>
    <row r="11" spans="1:47" outlineLevel="1" x14ac:dyDescent="0.25">
      <c r="A11" s="27">
        <v>200</v>
      </c>
      <c r="B11" s="26">
        <v>54</v>
      </c>
      <c r="C11" s="3">
        <f t="shared" si="8"/>
        <v>10800</v>
      </c>
      <c r="D11" s="26">
        <v>56</v>
      </c>
      <c r="E11" s="3">
        <f t="shared" si="9"/>
        <v>11200</v>
      </c>
      <c r="F11" s="26">
        <v>56</v>
      </c>
      <c r="G11" s="3"/>
      <c r="H11" s="26">
        <v>62</v>
      </c>
      <c r="I11" s="3">
        <f t="shared" si="18"/>
        <v>12400</v>
      </c>
      <c r="J11" s="26">
        <v>62</v>
      </c>
      <c r="K11" s="3">
        <f t="shared" si="19"/>
        <v>12400</v>
      </c>
      <c r="L11" s="26">
        <v>68</v>
      </c>
      <c r="M11" s="3">
        <f t="shared" si="20"/>
        <v>13600</v>
      </c>
      <c r="N11" s="26">
        <v>68</v>
      </c>
      <c r="O11" s="3">
        <f t="shared" si="21"/>
        <v>13600</v>
      </c>
      <c r="P11" s="26">
        <v>81</v>
      </c>
      <c r="Q11" s="3">
        <f t="shared" si="22"/>
        <v>16200</v>
      </c>
      <c r="R11" s="26">
        <v>81</v>
      </c>
      <c r="S11" s="3"/>
      <c r="T11" s="26">
        <v>3</v>
      </c>
      <c r="U11" s="3">
        <f t="shared" si="23"/>
        <v>600</v>
      </c>
      <c r="V11" s="1">
        <v>5</v>
      </c>
      <c r="W11" s="3">
        <f t="shared" si="24"/>
        <v>1000</v>
      </c>
      <c r="X11" s="1">
        <v>4</v>
      </c>
      <c r="Y11" s="3">
        <f t="shared" si="25"/>
        <v>800</v>
      </c>
      <c r="Z11" s="1">
        <v>4</v>
      </c>
      <c r="AA11" s="3">
        <f t="shared" si="26"/>
        <v>800</v>
      </c>
      <c r="AB11" s="1">
        <v>7</v>
      </c>
      <c r="AC11" s="3">
        <f t="shared" si="26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9</v>
      </c>
      <c r="AU11" s="3">
        <f t="shared" si="7"/>
        <v>1800</v>
      </c>
    </row>
    <row r="12" spans="1:47" outlineLevel="1" x14ac:dyDescent="0.25">
      <c r="A12" s="27">
        <v>100</v>
      </c>
      <c r="B12" s="26">
        <v>38</v>
      </c>
      <c r="C12" s="3">
        <f t="shared" si="8"/>
        <v>3800</v>
      </c>
      <c r="D12" s="26">
        <v>39</v>
      </c>
      <c r="E12" s="3">
        <f t="shared" si="9"/>
        <v>3900</v>
      </c>
      <c r="F12" s="26">
        <v>39</v>
      </c>
      <c r="G12" s="3"/>
      <c r="H12" s="26">
        <v>51</v>
      </c>
      <c r="I12" s="3">
        <f t="shared" si="18"/>
        <v>5100</v>
      </c>
      <c r="J12" s="26">
        <v>48</v>
      </c>
      <c r="K12" s="3">
        <f t="shared" si="19"/>
        <v>4800</v>
      </c>
      <c r="L12" s="26">
        <v>63</v>
      </c>
      <c r="M12" s="3">
        <f t="shared" si="20"/>
        <v>6300</v>
      </c>
      <c r="N12" s="26">
        <v>63</v>
      </c>
      <c r="O12" s="3">
        <f t="shared" si="21"/>
        <v>6300</v>
      </c>
      <c r="P12" s="26">
        <v>77</v>
      </c>
      <c r="Q12" s="3">
        <f t="shared" si="22"/>
        <v>7700</v>
      </c>
      <c r="R12" s="26">
        <v>77</v>
      </c>
      <c r="S12" s="3"/>
      <c r="T12" s="26">
        <v>9</v>
      </c>
      <c r="U12" s="3">
        <f t="shared" si="23"/>
        <v>900</v>
      </c>
      <c r="V12" s="1">
        <v>11</v>
      </c>
      <c r="W12" s="3">
        <f t="shared" si="24"/>
        <v>1100</v>
      </c>
      <c r="X12" s="1">
        <v>13</v>
      </c>
      <c r="Y12" s="3">
        <f t="shared" si="25"/>
        <v>1300</v>
      </c>
      <c r="Z12" s="1">
        <v>13</v>
      </c>
      <c r="AA12" s="3">
        <f t="shared" si="26"/>
        <v>1300</v>
      </c>
      <c r="AB12" s="1">
        <v>14</v>
      </c>
      <c r="AC12" s="3">
        <f t="shared" si="26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</row>
    <row r="13" spans="1:47" ht="15.75" outlineLevel="1" thickBot="1" x14ac:dyDescent="0.3">
      <c r="A13" s="27">
        <v>50</v>
      </c>
      <c r="B13" s="26">
        <v>10</v>
      </c>
      <c r="C13" s="28">
        <f t="shared" si="8"/>
        <v>500</v>
      </c>
      <c r="D13" s="26">
        <v>10</v>
      </c>
      <c r="E13" s="28">
        <f t="shared" si="9"/>
        <v>500</v>
      </c>
      <c r="F13" s="26">
        <v>10</v>
      </c>
      <c r="G13" s="28"/>
      <c r="H13" s="26">
        <v>10</v>
      </c>
      <c r="I13" s="28">
        <f t="shared" si="18"/>
        <v>500</v>
      </c>
      <c r="J13" s="26">
        <v>10</v>
      </c>
      <c r="K13" s="28">
        <f t="shared" si="19"/>
        <v>500</v>
      </c>
      <c r="L13" s="26">
        <v>10</v>
      </c>
      <c r="M13" s="28">
        <f t="shared" si="20"/>
        <v>500</v>
      </c>
      <c r="N13" s="26">
        <v>10</v>
      </c>
      <c r="O13" s="28">
        <f t="shared" si="21"/>
        <v>500</v>
      </c>
      <c r="P13" s="26">
        <v>14</v>
      </c>
      <c r="Q13" s="28">
        <f t="shared" si="22"/>
        <v>700</v>
      </c>
      <c r="R13" s="26">
        <v>14</v>
      </c>
      <c r="S13" s="28"/>
      <c r="T13" s="26">
        <v>9</v>
      </c>
      <c r="U13" s="28">
        <f t="shared" si="23"/>
        <v>450</v>
      </c>
      <c r="V13" s="1">
        <v>9</v>
      </c>
      <c r="W13" s="28">
        <f t="shared" si="24"/>
        <v>450</v>
      </c>
      <c r="X13" s="1">
        <v>8</v>
      </c>
      <c r="Y13" s="28">
        <f t="shared" si="25"/>
        <v>400</v>
      </c>
      <c r="Z13" s="1">
        <v>11</v>
      </c>
      <c r="AA13" s="28">
        <f t="shared" si="26"/>
        <v>550</v>
      </c>
      <c r="AB13" s="1">
        <v>9</v>
      </c>
      <c r="AC13" s="28">
        <f t="shared" si="26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</row>
    <row r="14" spans="1:47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172550</v>
      </c>
    </row>
    <row r="15" spans="1:47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47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</row>
    <row r="17" spans="1:47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</row>
    <row r="18" spans="1:47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</row>
    <row r="19" spans="1:47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  <c r="AQ19" s="67">
        <f>'16mar'!$F$11</f>
        <v>99000</v>
      </c>
      <c r="AS19" s="67">
        <v>-250000</v>
      </c>
      <c r="AU19" s="67">
        <v>0</v>
      </c>
    </row>
    <row r="20" spans="1:47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94">
        <v>99000</v>
      </c>
      <c r="AQ20" s="94"/>
      <c r="AS20" s="94">
        <v>176500</v>
      </c>
      <c r="AU20" s="94">
        <v>77250</v>
      </c>
    </row>
    <row r="21" spans="1:47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>
        <f>Gas!$C$15</f>
        <v>221350</v>
      </c>
      <c r="AQ21" s="67">
        <v>15000</v>
      </c>
      <c r="AS21" s="67"/>
      <c r="AU21" s="67"/>
    </row>
    <row r="22" spans="1:47" ht="16.5" thickTop="1" thickBot="1" x14ac:dyDescent="0.3">
      <c r="A22" s="19" t="s">
        <v>309</v>
      </c>
      <c r="C22" s="83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</row>
    <row r="23" spans="1:47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</row>
    <row r="25" spans="1:47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5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-200</v>
      </c>
    </row>
    <row r="26" spans="1:47" x14ac:dyDescent="0.25">
      <c r="A26"/>
    </row>
    <row r="27" spans="1:47" x14ac:dyDescent="0.25">
      <c r="A27" s="19" t="s">
        <v>330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+AM27-50000</f>
        <v>94950</v>
      </c>
      <c r="AQ27" s="67">
        <f>+AO27</f>
        <v>94950</v>
      </c>
      <c r="AS27" s="67">
        <f>+AQ27-AS19</f>
        <v>344950</v>
      </c>
      <c r="AU27" s="67">
        <v>0</v>
      </c>
    </row>
    <row r="28" spans="1:47" x14ac:dyDescent="0.25">
      <c r="A28" s="19" t="s">
        <v>329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  <c r="AQ28" s="67">
        <v>0</v>
      </c>
      <c r="AS28" s="67">
        <v>0</v>
      </c>
      <c r="AU28" s="67">
        <v>0</v>
      </c>
    </row>
    <row r="30" spans="1:47" x14ac:dyDescent="0.25">
      <c r="A30" s="91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91">
        <f>+(32000-2000)+11000+90000+3650</f>
        <v>134650</v>
      </c>
      <c r="AF30" s="3"/>
      <c r="AG30" s="91">
        <v>113000</v>
      </c>
      <c r="AH30" s="3"/>
      <c r="AI30" s="91">
        <v>94000</v>
      </c>
      <c r="AJ30" s="3"/>
      <c r="AK30" s="91">
        <v>0</v>
      </c>
      <c r="AL30" s="3"/>
      <c r="AM30" s="91">
        <f>+(98000-5000)</f>
        <v>93000</v>
      </c>
      <c r="AN30" s="3"/>
      <c r="AO30" s="91">
        <f>19000+(45000-9000)</f>
        <v>55000</v>
      </c>
      <c r="AP30" s="3"/>
      <c r="AQ30" s="91">
        <f>11000+10000</f>
        <v>21000</v>
      </c>
      <c r="AR30" s="3"/>
      <c r="AS30" s="91">
        <v>78000</v>
      </c>
      <c r="AT30" s="3"/>
      <c r="AU30" s="91">
        <f>8000*4</f>
        <v>32000</v>
      </c>
    </row>
    <row r="31" spans="1:47" x14ac:dyDescent="0.25">
      <c r="A31" s="91" t="s">
        <v>409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91">
        <f>+AE30</f>
        <v>134650</v>
      </c>
      <c r="AF31" s="3"/>
      <c r="AG31" s="91">
        <f>+AG30+AE31</f>
        <v>247650</v>
      </c>
      <c r="AH31" s="3"/>
      <c r="AI31" s="91">
        <f>+AI30+AG31</f>
        <v>341650</v>
      </c>
      <c r="AJ31" s="3"/>
      <c r="AK31" s="91">
        <f>+AK30+AI31</f>
        <v>341650</v>
      </c>
      <c r="AL31" s="3"/>
      <c r="AM31" s="91">
        <f>+AM30+AK31</f>
        <v>434650</v>
      </c>
      <c r="AN31" s="3"/>
      <c r="AO31" s="91">
        <f>+AO30+AM31</f>
        <v>489650</v>
      </c>
      <c r="AP31" s="3"/>
      <c r="AQ31" s="91">
        <f>+AQ30+AO31</f>
        <v>510650</v>
      </c>
      <c r="AR31" s="3"/>
      <c r="AS31" s="91">
        <f>+AS30+AQ31-(40000+20000)</f>
        <v>528650</v>
      </c>
      <c r="AT31" s="3"/>
      <c r="AU31" s="91">
        <f>+AS31+AS27-40000-40000</f>
        <v>793600</v>
      </c>
    </row>
    <row r="32" spans="1:47" x14ac:dyDescent="0.25">
      <c r="A32" s="92" t="s">
        <v>398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92">
        <v>0</v>
      </c>
      <c r="AF32" s="3"/>
      <c r="AG32" s="92">
        <f>22000+1000</f>
        <v>23000</v>
      </c>
      <c r="AH32" s="3"/>
      <c r="AI32" s="92">
        <v>82000</v>
      </c>
      <c r="AJ32" s="3"/>
      <c r="AK32" s="92">
        <v>0</v>
      </c>
      <c r="AL32" s="3"/>
      <c r="AM32" s="92">
        <f>23000</f>
        <v>23000</v>
      </c>
      <c r="AN32" s="3"/>
      <c r="AO32" s="92">
        <v>0</v>
      </c>
      <c r="AP32" s="3"/>
      <c r="AQ32" s="92">
        <v>0</v>
      </c>
      <c r="AR32" s="3"/>
      <c r="AS32" s="92">
        <f>15000+8000</f>
        <v>23000</v>
      </c>
      <c r="AT32" s="3"/>
      <c r="AU32" s="92">
        <v>0</v>
      </c>
    </row>
    <row r="33" spans="1:47" x14ac:dyDescent="0.25">
      <c r="A33" s="92" t="s">
        <v>408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2">
        <v>0</v>
      </c>
      <c r="AF33" s="3"/>
      <c r="AG33" s="92">
        <f>+AG32</f>
        <v>23000</v>
      </c>
      <c r="AH33" s="3"/>
      <c r="AI33" s="92">
        <f>+AI32+AG33</f>
        <v>105000</v>
      </c>
      <c r="AJ33" s="3"/>
      <c r="AK33" s="92">
        <f>+AK32+AI33</f>
        <v>105000</v>
      </c>
      <c r="AL33" s="3"/>
      <c r="AM33" s="92">
        <f>+AM32+AK33</f>
        <v>128000</v>
      </c>
      <c r="AN33" s="3"/>
      <c r="AO33" s="92">
        <f>+AO32+AM33</f>
        <v>128000</v>
      </c>
      <c r="AP33" s="3"/>
      <c r="AQ33" s="92">
        <f>+AQ32+AO33</f>
        <v>128000</v>
      </c>
      <c r="AR33" s="3"/>
      <c r="AS33" s="92">
        <f>+AS32+AQ33</f>
        <v>151000</v>
      </c>
      <c r="AT33" s="3"/>
      <c r="AU33" s="92">
        <f>+AU32+AS33</f>
        <v>151000</v>
      </c>
    </row>
    <row r="35" spans="1:47" x14ac:dyDescent="0.25">
      <c r="A35" s="16" t="s">
        <v>410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91"/>
      <c r="AH35" s="3"/>
      <c r="AI35" s="91">
        <v>24000</v>
      </c>
      <c r="AJ35" s="3"/>
      <c r="AK35" s="91">
        <f>16000+AI35</f>
        <v>40000</v>
      </c>
      <c r="AL35" s="3"/>
      <c r="AM35" s="16">
        <f>8000*5</f>
        <v>40000</v>
      </c>
      <c r="AN35" s="3"/>
      <c r="AO35" s="91"/>
      <c r="AP35" s="3"/>
      <c r="AQ35" s="16">
        <f>16000+AM35</f>
        <v>56000</v>
      </c>
      <c r="AR35" s="3"/>
      <c r="AS35" s="91"/>
      <c r="AT35" s="3"/>
      <c r="AU35" s="91"/>
    </row>
    <row r="36" spans="1:47" x14ac:dyDescent="0.25">
      <c r="A36" s="16" t="s">
        <v>406</v>
      </c>
    </row>
    <row r="38" spans="1:47" x14ac:dyDescent="0.25">
      <c r="AM38" s="13">
        <f>+SUM(AM23,AM27,AM31,AM33)</f>
        <v>843850</v>
      </c>
    </row>
    <row r="40" spans="1:47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92"/>
  <sheetViews>
    <sheetView zoomScale="115" zoomScaleNormal="115" workbookViewId="0">
      <pane ySplit="5" topLeftCell="A87" activePane="bottomLeft" state="frozen"/>
      <selection activeCell="C1" sqref="C1"/>
      <selection pane="bottomLeft" activeCell="E2" sqref="E2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3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766100</v>
      </c>
    </row>
    <row r="2" spans="1:10" ht="15.75" thickBot="1" x14ac:dyDescent="0.3">
      <c r="C2" s="33" t="s">
        <v>147</v>
      </c>
      <c r="D2" s="28">
        <f>+SUMIF($H$6:$H$1048576,C2,$D$6:$D$1048576)</f>
        <v>151000</v>
      </c>
    </row>
    <row r="3" spans="1:10" ht="15.75" thickTop="1" x14ac:dyDescent="0.25">
      <c r="D3" s="3">
        <f>+SUM(D6:D1048576)</f>
        <v>960100</v>
      </c>
      <c r="H3" s="22" t="s">
        <v>127</v>
      </c>
    </row>
    <row r="5" spans="1:10" x14ac:dyDescent="0.25">
      <c r="A5" s="36" t="s">
        <v>5</v>
      </c>
      <c r="B5" s="36" t="s">
        <v>381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88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317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361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363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362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364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318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352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353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354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351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355</v>
      </c>
    </row>
    <row r="52" spans="1:9" x14ac:dyDescent="0.25">
      <c r="A52" s="2">
        <v>46092</v>
      </c>
      <c r="B52" s="2" t="str">
        <f t="shared" si="6"/>
        <v>mié</v>
      </c>
      <c r="D52" s="93">
        <v>24000</v>
      </c>
      <c r="E52" s="3" t="s">
        <v>222</v>
      </c>
      <c r="H52" s="32" t="s">
        <v>142</v>
      </c>
      <c r="I52" t="s">
        <v>356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351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357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360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358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359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89" t="s">
        <v>366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3">
        <v>11000</v>
      </c>
      <c r="E61" s="3" t="s">
        <v>222</v>
      </c>
      <c r="F61" s="89" t="s">
        <v>382</v>
      </c>
      <c r="H61" s="32" t="s">
        <v>142</v>
      </c>
      <c r="I61" t="s">
        <v>351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3">
        <v>24000</v>
      </c>
      <c r="E62" s="3" t="s">
        <v>222</v>
      </c>
      <c r="F62" s="89" t="s">
        <v>383</v>
      </c>
      <c r="H62" s="32" t="s">
        <v>142</v>
      </c>
      <c r="I62" t="s">
        <v>376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3">
        <v>24000</v>
      </c>
      <c r="E63" s="3" t="s">
        <v>222</v>
      </c>
      <c r="F63" s="89" t="s">
        <v>407</v>
      </c>
      <c r="H63" s="32" t="s">
        <v>142</v>
      </c>
      <c r="I63" t="s">
        <v>377</v>
      </c>
    </row>
    <row r="64" spans="1:9" x14ac:dyDescent="0.25">
      <c r="A64" s="2">
        <v>46093</v>
      </c>
      <c r="B64" s="2" t="str">
        <f t="shared" si="8"/>
        <v>jue</v>
      </c>
      <c r="D64" s="3">
        <v>11000</v>
      </c>
      <c r="E64" s="3" t="s">
        <v>222</v>
      </c>
      <c r="H64" s="32" t="s">
        <v>142</v>
      </c>
      <c r="I64" t="s">
        <v>378</v>
      </c>
    </row>
    <row r="65" spans="1:9" x14ac:dyDescent="0.25">
      <c r="A65" s="2">
        <v>46095</v>
      </c>
      <c r="B65" s="2" t="str">
        <f t="shared" si="8"/>
        <v>sáb</v>
      </c>
      <c r="D65" s="3">
        <v>23000</v>
      </c>
      <c r="E65" s="3" t="s">
        <v>222</v>
      </c>
      <c r="F65" s="89" t="s">
        <v>366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3">
        <v>11000</v>
      </c>
      <c r="E66" s="3" t="s">
        <v>222</v>
      </c>
      <c r="F66" s="89" t="s">
        <v>405</v>
      </c>
      <c r="H66" s="32" t="s">
        <v>142</v>
      </c>
      <c r="I66" t="s">
        <v>399</v>
      </c>
    </row>
    <row r="67" spans="1:9" x14ac:dyDescent="0.25">
      <c r="A67" s="2">
        <v>46095</v>
      </c>
      <c r="B67" s="2" t="str">
        <f t="shared" si="8"/>
        <v>sáb</v>
      </c>
      <c r="D67" s="3">
        <v>11000</v>
      </c>
      <c r="E67" s="3" t="s">
        <v>222</v>
      </c>
      <c r="F67" s="89" t="s">
        <v>404</v>
      </c>
      <c r="H67" s="32" t="s">
        <v>142</v>
      </c>
      <c r="I67" t="s">
        <v>400</v>
      </c>
    </row>
    <row r="68" spans="1:9" x14ac:dyDescent="0.25">
      <c r="A68" s="2">
        <v>46095</v>
      </c>
      <c r="B68" s="2" t="str">
        <f t="shared" si="8"/>
        <v>sáb</v>
      </c>
      <c r="D68" s="3">
        <v>57500</v>
      </c>
      <c r="E68" s="3" t="s">
        <v>222</v>
      </c>
      <c r="F68" s="89"/>
      <c r="H68" s="32" t="s">
        <v>142</v>
      </c>
      <c r="I68" t="s">
        <v>401</v>
      </c>
    </row>
    <row r="69" spans="1:9" x14ac:dyDescent="0.25">
      <c r="A69" s="2">
        <v>46095</v>
      </c>
      <c r="B69" s="2" t="str">
        <f t="shared" si="8"/>
        <v>sáb</v>
      </c>
      <c r="D69" s="3">
        <v>13500</v>
      </c>
      <c r="E69" s="3" t="s">
        <v>222</v>
      </c>
      <c r="F69" s="89" t="s">
        <v>403</v>
      </c>
      <c r="H69" s="32" t="s">
        <v>142</v>
      </c>
      <c r="I69" t="s">
        <v>402</v>
      </c>
    </row>
    <row r="70" spans="1:9" x14ac:dyDescent="0.25">
      <c r="A70" s="2">
        <v>46096</v>
      </c>
      <c r="B70" s="2" t="str">
        <f t="shared" si="8"/>
        <v>dom</v>
      </c>
      <c r="D70" s="3">
        <v>19000</v>
      </c>
      <c r="E70" s="3" t="s">
        <v>222</v>
      </c>
      <c r="H70" s="32" t="s">
        <v>142</v>
      </c>
      <c r="I70" t="s">
        <v>402</v>
      </c>
    </row>
    <row r="71" spans="1:9" x14ac:dyDescent="0.25">
      <c r="A71" s="2">
        <v>46096</v>
      </c>
      <c r="B71" s="2" t="str">
        <f t="shared" si="8"/>
        <v>dom</v>
      </c>
      <c r="D71" s="3">
        <v>36000</v>
      </c>
      <c r="E71" s="3" t="s">
        <v>222</v>
      </c>
      <c r="H71" s="32" t="s">
        <v>142</v>
      </c>
      <c r="I71" t="s">
        <v>422</v>
      </c>
    </row>
    <row r="72" spans="1:9" x14ac:dyDescent="0.25">
      <c r="A72" s="2">
        <v>46097</v>
      </c>
      <c r="B72" s="2" t="str">
        <f t="shared" si="8"/>
        <v>lun</v>
      </c>
      <c r="D72" s="3">
        <v>10000</v>
      </c>
      <c r="E72" s="3" t="s">
        <v>222</v>
      </c>
      <c r="H72" s="32" t="s">
        <v>142</v>
      </c>
      <c r="I72" t="s">
        <v>423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3">
        <v>11000</v>
      </c>
      <c r="E73" s="3" t="s">
        <v>222</v>
      </c>
      <c r="H73" s="32" t="s">
        <v>142</v>
      </c>
      <c r="I73" t="s">
        <v>424</v>
      </c>
    </row>
    <row r="74" spans="1:9" x14ac:dyDescent="0.25">
      <c r="A74" s="2">
        <v>46098</v>
      </c>
      <c r="B74" s="2" t="str">
        <f t="shared" si="9"/>
        <v>mar</v>
      </c>
      <c r="D74" s="3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3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3">
        <v>50000</v>
      </c>
      <c r="E76" s="3" t="s">
        <v>222</v>
      </c>
      <c r="H76" s="32" t="s">
        <v>142</v>
      </c>
      <c r="I76" t="s">
        <v>425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3">
        <v>11000</v>
      </c>
      <c r="E77" s="3" t="s">
        <v>222</v>
      </c>
      <c r="H77" s="32" t="s">
        <v>142</v>
      </c>
      <c r="I77" t="s">
        <v>426</v>
      </c>
    </row>
    <row r="78" spans="1:9" x14ac:dyDescent="0.25">
      <c r="A78" s="2">
        <v>46098</v>
      </c>
      <c r="B78" s="2" t="str">
        <f t="shared" si="11"/>
        <v>mar</v>
      </c>
      <c r="D78" s="3">
        <v>8000</v>
      </c>
      <c r="E78" s="3" t="s">
        <v>222</v>
      </c>
      <c r="H78" s="32" t="s">
        <v>142</v>
      </c>
      <c r="I78" t="s">
        <v>427</v>
      </c>
    </row>
    <row r="79" spans="1:9" x14ac:dyDescent="0.25">
      <c r="A79" s="2">
        <v>46098</v>
      </c>
      <c r="B79" s="2" t="str">
        <f t="shared" si="11"/>
        <v>mar</v>
      </c>
      <c r="D79" s="3">
        <v>9000</v>
      </c>
      <c r="E79" s="3" t="s">
        <v>222</v>
      </c>
      <c r="H79" s="32" t="s">
        <v>142</v>
      </c>
      <c r="I79" t="s">
        <v>428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429</v>
      </c>
      <c r="H80" s="32" t="s">
        <v>142</v>
      </c>
      <c r="I80" t="s">
        <v>430</v>
      </c>
    </row>
    <row r="81" spans="1:9" x14ac:dyDescent="0.25">
      <c r="A81" s="2">
        <v>46099</v>
      </c>
      <c r="B81" s="2" t="str">
        <f t="shared" ref="B81" si="12">+TEXT(A81,"ddd")</f>
        <v>mié</v>
      </c>
      <c r="D81" s="3">
        <v>344950</v>
      </c>
      <c r="E81" s="3" t="s">
        <v>139</v>
      </c>
      <c r="H81" s="32" t="s">
        <v>142</v>
      </c>
      <c r="I81" t="s">
        <v>436</v>
      </c>
    </row>
    <row r="82" spans="1:9" x14ac:dyDescent="0.25">
      <c r="A82" s="15">
        <v>46093</v>
      </c>
      <c r="B82" s="15" t="str">
        <f>+TEXT(A82,"ddd")</f>
        <v>jue</v>
      </c>
      <c r="C82" s="1"/>
      <c r="D82" s="16">
        <v>24000</v>
      </c>
      <c r="E82" s="16" t="s">
        <v>222</v>
      </c>
      <c r="F82" s="16" t="s">
        <v>441</v>
      </c>
      <c r="G82" s="16" t="s">
        <v>380</v>
      </c>
      <c r="H82" s="32" t="s">
        <v>142</v>
      </c>
      <c r="I82" s="16" t="s">
        <v>438</v>
      </c>
    </row>
    <row r="83" spans="1:9" x14ac:dyDescent="0.25">
      <c r="A83" s="15">
        <v>46093</v>
      </c>
      <c r="B83" s="15" t="str">
        <f>+TEXT(A83,"ddd")</f>
        <v>jue</v>
      </c>
      <c r="C83" s="1"/>
      <c r="D83" s="16">
        <v>-24000</v>
      </c>
      <c r="E83" s="16" t="s">
        <v>222</v>
      </c>
      <c r="F83" s="16" t="s">
        <v>441</v>
      </c>
      <c r="G83" s="16" t="s">
        <v>380</v>
      </c>
      <c r="H83" s="32" t="s">
        <v>142</v>
      </c>
      <c r="I83" s="16" t="s">
        <v>439</v>
      </c>
    </row>
    <row r="84" spans="1:9" x14ac:dyDescent="0.25">
      <c r="A84" s="2">
        <v>46099</v>
      </c>
      <c r="B84" s="2" t="str">
        <f t="shared" ref="B84" si="13">+TEXT(A84,"ddd")</f>
        <v>mié</v>
      </c>
      <c r="D84" s="3">
        <v>-40000</v>
      </c>
      <c r="E84" s="3" t="s">
        <v>429</v>
      </c>
      <c r="H84" s="32" t="s">
        <v>142</v>
      </c>
      <c r="I84" t="s">
        <v>435</v>
      </c>
    </row>
    <row r="85" spans="1:9" x14ac:dyDescent="0.25">
      <c r="A85" s="2">
        <v>46099</v>
      </c>
      <c r="B85" s="2" t="str">
        <f t="shared" ref="B85" si="14">+TEXT(A85,"ddd")</f>
        <v>mié</v>
      </c>
      <c r="D85" s="3">
        <v>-40000</v>
      </c>
      <c r="E85" s="3" t="s">
        <v>429</v>
      </c>
      <c r="H85" s="32" t="s">
        <v>142</v>
      </c>
      <c r="I85" t="s">
        <v>437</v>
      </c>
    </row>
    <row r="86" spans="1:9" x14ac:dyDescent="0.25">
      <c r="A86" s="15">
        <v>46099</v>
      </c>
      <c r="B86" s="15" t="str">
        <f>+TEXT(A86,"ddd")</f>
        <v>mié</v>
      </c>
      <c r="C86" s="1"/>
      <c r="D86" s="16">
        <f>8000*4</f>
        <v>32000</v>
      </c>
      <c r="E86" s="16" t="s">
        <v>222</v>
      </c>
      <c r="F86" s="89" t="s">
        <v>440</v>
      </c>
      <c r="G86" s="16" t="s">
        <v>380</v>
      </c>
      <c r="H86" s="32" t="s">
        <v>142</v>
      </c>
      <c r="I86" s="16" t="s">
        <v>438</v>
      </c>
    </row>
    <row r="87" spans="1:9" x14ac:dyDescent="0.25">
      <c r="A87" s="2">
        <v>46100</v>
      </c>
      <c r="B87" s="2" t="str">
        <f t="shared" ref="B87" si="15">+TEXT(A87,"ddd")</f>
        <v>jue</v>
      </c>
      <c r="D87" s="58">
        <v>-116000</v>
      </c>
      <c r="E87" s="3" t="s">
        <v>429</v>
      </c>
      <c r="H87" s="32" t="s">
        <v>142</v>
      </c>
      <c r="I87" s="16" t="s">
        <v>451</v>
      </c>
    </row>
    <row r="88" spans="1:9" x14ac:dyDescent="0.25">
      <c r="A88" s="2">
        <v>46100</v>
      </c>
      <c r="B88" s="2" t="str">
        <f t="shared" ref="B88" si="16">+TEXT(A88,"ddd")</f>
        <v>jue</v>
      </c>
      <c r="D88" s="88">
        <f>+-8500-6000</f>
        <v>-14500</v>
      </c>
      <c r="E88" s="3" t="s">
        <v>429</v>
      </c>
      <c r="H88" s="32" t="s">
        <v>142</v>
      </c>
      <c r="I88" s="16" t="s">
        <v>452</v>
      </c>
    </row>
    <row r="89" spans="1:9" x14ac:dyDescent="0.25">
      <c r="A89" s="2">
        <v>46100</v>
      </c>
      <c r="B89" s="2" t="str">
        <f t="shared" ref="B89:B91" si="17">+TEXT(A89,"ddd")</f>
        <v>jue</v>
      </c>
      <c r="D89" s="3">
        <v>38000</v>
      </c>
      <c r="E89" s="3" t="s">
        <v>222</v>
      </c>
      <c r="H89" s="32" t="s">
        <v>142</v>
      </c>
    </row>
    <row r="90" spans="1:9" x14ac:dyDescent="0.25">
      <c r="A90" s="2">
        <v>46100</v>
      </c>
      <c r="B90" s="2" t="str">
        <f t="shared" si="17"/>
        <v>jue</v>
      </c>
      <c r="D90" s="3">
        <v>16000</v>
      </c>
      <c r="E90" s="3" t="s">
        <v>222</v>
      </c>
      <c r="H90" s="32" t="s">
        <v>142</v>
      </c>
    </row>
    <row r="91" spans="1:9" x14ac:dyDescent="0.25">
      <c r="A91" s="2">
        <v>46100</v>
      </c>
      <c r="B91" s="2" t="str">
        <f t="shared" si="17"/>
        <v>jue</v>
      </c>
      <c r="D91" s="3">
        <v>8000</v>
      </c>
      <c r="E91" s="3" t="s">
        <v>222</v>
      </c>
      <c r="H91" s="32" t="s">
        <v>142</v>
      </c>
    </row>
    <row r="92" spans="1:9" x14ac:dyDescent="0.25">
      <c r="A92" s="2">
        <v>46100</v>
      </c>
      <c r="B92" s="2" t="str">
        <f t="shared" ref="B92" si="18">+TEXT(A92,"ddd")</f>
        <v>jue</v>
      </c>
      <c r="D92" s="3">
        <v>9000</v>
      </c>
      <c r="E92" s="3" t="s">
        <v>222</v>
      </c>
      <c r="H92" s="32" t="s">
        <v>142</v>
      </c>
    </row>
  </sheetData>
  <autoFilter ref="A5:M86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5">
        <f>30000+120000+50000+51500</f>
        <v>251500</v>
      </c>
      <c r="G6" s="95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415</v>
      </c>
      <c r="C10" s="16">
        <v>116300</v>
      </c>
      <c r="D10" t="s">
        <v>416</v>
      </c>
    </row>
    <row r="11" spans="1:8" x14ac:dyDescent="0.25">
      <c r="B11" t="s">
        <v>413</v>
      </c>
      <c r="C11" s="3">
        <v>17400</v>
      </c>
    </row>
    <row r="12" spans="1:8" x14ac:dyDescent="0.25">
      <c r="B12" t="s">
        <v>414</v>
      </c>
      <c r="C12" s="3">
        <v>8000</v>
      </c>
    </row>
    <row r="13" spans="1:8" x14ac:dyDescent="0.25">
      <c r="B13" t="s">
        <v>417</v>
      </c>
      <c r="C13" s="3">
        <v>72150</v>
      </c>
      <c r="D13" s="13">
        <f>+C13+C14</f>
        <v>79650</v>
      </c>
    </row>
    <row r="14" spans="1:8" x14ac:dyDescent="0.25">
      <c r="B14" t="s">
        <v>417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0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297</v>
      </c>
      <c r="C4" s="81">
        <v>8000</v>
      </c>
      <c r="D4" t="s">
        <v>397</v>
      </c>
      <c r="F4" t="s">
        <v>395</v>
      </c>
    </row>
    <row r="5" spans="1:7" x14ac:dyDescent="0.25">
      <c r="A5" s="1">
        <v>2</v>
      </c>
      <c r="B5" s="1" t="s">
        <v>387</v>
      </c>
      <c r="C5" s="87">
        <v>16000</v>
      </c>
      <c r="D5" t="s">
        <v>397</v>
      </c>
      <c r="F5" t="s">
        <v>396</v>
      </c>
    </row>
    <row r="6" spans="1:7" x14ac:dyDescent="0.25">
      <c r="A6" s="1">
        <v>2</v>
      </c>
      <c r="B6" s="1" t="s">
        <v>390</v>
      </c>
      <c r="C6" s="87">
        <v>6000</v>
      </c>
      <c r="D6">
        <v>3</v>
      </c>
    </row>
    <row r="7" spans="1:7" x14ac:dyDescent="0.25">
      <c r="A7">
        <v>3</v>
      </c>
      <c r="B7" t="s">
        <v>394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387</v>
      </c>
      <c r="C8" s="87">
        <v>24000</v>
      </c>
    </row>
    <row r="9" spans="1:7" x14ac:dyDescent="0.25">
      <c r="A9" s="1">
        <v>3</v>
      </c>
      <c r="B9" s="1" t="s">
        <v>390</v>
      </c>
      <c r="C9" s="87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394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297</v>
      </c>
      <c r="C11" s="81">
        <v>8000</v>
      </c>
      <c r="F11" s="1">
        <v>6</v>
      </c>
    </row>
    <row r="12" spans="1:7" ht="15.75" thickBot="1" x14ac:dyDescent="0.3">
      <c r="B12" t="s">
        <v>285</v>
      </c>
      <c r="C12" s="86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0">
        <v>41699</v>
      </c>
    </row>
    <row r="19" spans="1:5" x14ac:dyDescent="0.25">
      <c r="A19">
        <v>2</v>
      </c>
      <c r="B19" t="s">
        <v>387</v>
      </c>
      <c r="C19">
        <v>16000</v>
      </c>
    </row>
    <row r="20" spans="1:5" x14ac:dyDescent="0.25">
      <c r="A20">
        <v>2</v>
      </c>
      <c r="B20" t="s">
        <v>390</v>
      </c>
      <c r="C20">
        <v>6000</v>
      </c>
    </row>
    <row r="21" spans="1:5" x14ac:dyDescent="0.25">
      <c r="A21" s="1">
        <v>1</v>
      </c>
      <c r="B21" s="1" t="s">
        <v>297</v>
      </c>
      <c r="C21" s="1">
        <v>8000</v>
      </c>
    </row>
    <row r="22" spans="1:5" x14ac:dyDescent="0.25">
      <c r="A22" s="1">
        <v>1</v>
      </c>
      <c r="B22" s="1" t="s">
        <v>389</v>
      </c>
      <c r="C22" s="1">
        <v>3000</v>
      </c>
    </row>
    <row r="23" spans="1:5" x14ac:dyDescent="0.25">
      <c r="A23">
        <v>2</v>
      </c>
      <c r="B23" t="s">
        <v>391</v>
      </c>
      <c r="C23">
        <v>9000</v>
      </c>
    </row>
    <row r="24" spans="1:5" x14ac:dyDescent="0.25">
      <c r="A24" s="1">
        <v>2</v>
      </c>
      <c r="B24" s="1" t="s">
        <v>387</v>
      </c>
      <c r="C24" s="1">
        <v>16000</v>
      </c>
    </row>
    <row r="25" spans="1:5" x14ac:dyDescent="0.25">
      <c r="A25" s="1">
        <v>2</v>
      </c>
      <c r="B25" s="1" t="s">
        <v>390</v>
      </c>
      <c r="C25" s="1">
        <v>6000</v>
      </c>
    </row>
    <row r="27" spans="1:5" x14ac:dyDescent="0.25">
      <c r="A27">
        <v>1</v>
      </c>
      <c r="B27" t="s">
        <v>388</v>
      </c>
      <c r="C27">
        <v>37000</v>
      </c>
      <c r="D27" t="s">
        <v>392</v>
      </c>
      <c r="E27">
        <f>30+7</f>
        <v>37</v>
      </c>
    </row>
    <row r="28" spans="1:5" x14ac:dyDescent="0.25">
      <c r="A28" s="1">
        <v>3</v>
      </c>
      <c r="B28" s="1" t="s">
        <v>387</v>
      </c>
      <c r="C28" s="1">
        <v>24000</v>
      </c>
    </row>
    <row r="29" spans="1:5" x14ac:dyDescent="0.25">
      <c r="A29" s="1">
        <v>1</v>
      </c>
      <c r="B29" s="1" t="s">
        <v>386</v>
      </c>
      <c r="C29" s="1">
        <v>15000</v>
      </c>
    </row>
    <row r="30" spans="1:5" x14ac:dyDescent="0.25">
      <c r="A30" s="1">
        <v>1</v>
      </c>
      <c r="B30" s="1" t="s">
        <v>389</v>
      </c>
      <c r="C30" s="1">
        <v>3000</v>
      </c>
    </row>
    <row r="31" spans="1:5" x14ac:dyDescent="0.25">
      <c r="B31" t="s">
        <v>388</v>
      </c>
      <c r="C31" s="1">
        <v>23000</v>
      </c>
      <c r="D31" t="s">
        <v>393</v>
      </c>
    </row>
    <row r="33" spans="1:4" x14ac:dyDescent="0.25">
      <c r="A33" s="1">
        <v>1</v>
      </c>
      <c r="B33" s="1" t="s">
        <v>297</v>
      </c>
      <c r="C33" s="1">
        <v>8000</v>
      </c>
      <c r="D33" t="s">
        <v>279</v>
      </c>
    </row>
    <row r="34" spans="1:4" x14ac:dyDescent="0.25">
      <c r="A34" s="1">
        <v>1</v>
      </c>
      <c r="B34" s="1" t="s">
        <v>389</v>
      </c>
      <c r="C34" s="1">
        <v>3000</v>
      </c>
      <c r="D34" t="s">
        <v>279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4"/>
  <sheetViews>
    <sheetView zoomScaleNormal="100" workbookViewId="0">
      <pane ySplit="2" topLeftCell="A12" activePane="bottomLeft" state="frozen"/>
      <selection pane="bottomLeft" activeCell="B14" sqref="B14"/>
    </sheetView>
  </sheetViews>
  <sheetFormatPr baseColWidth="10" defaultRowHeight="15" x14ac:dyDescent="0.25"/>
  <cols>
    <col min="1" max="1" width="7.28515625" style="97" bestFit="1" customWidth="1"/>
    <col min="2" max="2" width="46.7109375" style="97" bestFit="1" customWidth="1"/>
    <col min="3" max="3" width="7.7109375" style="97" bestFit="1" customWidth="1"/>
    <col min="4" max="4" width="7.42578125" style="97" bestFit="1" customWidth="1"/>
    <col min="5" max="5" width="60.7109375" style="100" customWidth="1"/>
  </cols>
  <sheetData>
    <row r="1" spans="1:5" ht="21" x14ac:dyDescent="0.25">
      <c r="B1" s="98" t="s">
        <v>350</v>
      </c>
      <c r="C1" s="99"/>
    </row>
    <row r="2" spans="1:5" x14ac:dyDescent="0.25">
      <c r="A2" s="101" t="s">
        <v>5</v>
      </c>
      <c r="B2" s="101" t="s">
        <v>333</v>
      </c>
      <c r="C2" s="101" t="s">
        <v>305</v>
      </c>
      <c r="D2" s="101" t="s">
        <v>349</v>
      </c>
      <c r="E2" s="102" t="s">
        <v>302</v>
      </c>
    </row>
    <row r="3" spans="1:5" ht="30" x14ac:dyDescent="0.25">
      <c r="A3" s="103">
        <v>46090</v>
      </c>
      <c r="B3" s="104" t="s">
        <v>454</v>
      </c>
      <c r="C3" s="105" t="s">
        <v>306</v>
      </c>
      <c r="D3" s="104" t="s">
        <v>303</v>
      </c>
      <c r="E3" s="106" t="s">
        <v>304</v>
      </c>
    </row>
    <row r="4" spans="1:5" ht="30" x14ac:dyDescent="0.25">
      <c r="A4" s="103">
        <v>46090</v>
      </c>
      <c r="B4" s="104" t="s">
        <v>453</v>
      </c>
      <c r="C4" s="105" t="s">
        <v>306</v>
      </c>
      <c r="D4" s="104" t="s">
        <v>307</v>
      </c>
      <c r="E4" s="106" t="s">
        <v>308</v>
      </c>
    </row>
    <row r="5" spans="1:5" ht="30" x14ac:dyDescent="0.25">
      <c r="A5" s="103">
        <v>46093</v>
      </c>
      <c r="B5" s="104" t="s">
        <v>336</v>
      </c>
      <c r="C5" s="105" t="s">
        <v>306</v>
      </c>
      <c r="D5" s="104" t="s">
        <v>334</v>
      </c>
      <c r="E5" s="106" t="s">
        <v>335</v>
      </c>
    </row>
    <row r="6" spans="1:5" ht="45" x14ac:dyDescent="0.25">
      <c r="A6" s="103">
        <v>46093</v>
      </c>
      <c r="B6" s="104" t="s">
        <v>339</v>
      </c>
      <c r="C6" s="105" t="s">
        <v>306</v>
      </c>
      <c r="D6" s="104" t="s">
        <v>337</v>
      </c>
      <c r="E6" s="106" t="s">
        <v>338</v>
      </c>
    </row>
    <row r="7" spans="1:5" ht="30" x14ac:dyDescent="0.25">
      <c r="A7" s="103">
        <v>46093</v>
      </c>
      <c r="B7" s="104" t="s">
        <v>340</v>
      </c>
      <c r="C7" s="105" t="s">
        <v>306</v>
      </c>
      <c r="D7" s="104" t="s">
        <v>342</v>
      </c>
      <c r="E7" s="106" t="s">
        <v>341</v>
      </c>
    </row>
    <row r="8" spans="1:5" ht="30" x14ac:dyDescent="0.25">
      <c r="A8" s="103">
        <v>46093</v>
      </c>
      <c r="B8" s="104" t="s">
        <v>346</v>
      </c>
      <c r="C8" s="105" t="s">
        <v>306</v>
      </c>
      <c r="D8" s="104" t="s">
        <v>343</v>
      </c>
      <c r="E8" s="106" t="s">
        <v>344</v>
      </c>
    </row>
    <row r="9" spans="1:5" ht="45" x14ac:dyDescent="0.25">
      <c r="A9" s="103">
        <v>46093</v>
      </c>
      <c r="B9" s="104" t="s">
        <v>347</v>
      </c>
      <c r="C9" s="105" t="s">
        <v>306</v>
      </c>
      <c r="D9" s="104" t="s">
        <v>345</v>
      </c>
      <c r="E9" s="106" t="s">
        <v>348</v>
      </c>
    </row>
    <row r="10" spans="1:5" x14ac:dyDescent="0.25">
      <c r="A10" s="103">
        <v>46093</v>
      </c>
      <c r="B10" s="104" t="s">
        <v>374</v>
      </c>
      <c r="C10" s="105" t="s">
        <v>306</v>
      </c>
      <c r="D10" s="104" t="s">
        <v>375</v>
      </c>
      <c r="E10" s="106" t="s">
        <v>365</v>
      </c>
    </row>
    <row r="11" spans="1:5" ht="30" x14ac:dyDescent="0.25">
      <c r="A11" s="103">
        <v>46093</v>
      </c>
      <c r="B11" s="104" t="s">
        <v>385</v>
      </c>
      <c r="C11" s="105" t="s">
        <v>306</v>
      </c>
      <c r="D11" s="104" t="s">
        <v>384</v>
      </c>
      <c r="E11" s="106" t="s">
        <v>432</v>
      </c>
    </row>
    <row r="12" spans="1:5" ht="30" x14ac:dyDescent="0.25">
      <c r="A12" s="103">
        <v>46099</v>
      </c>
      <c r="B12" s="104" t="s">
        <v>433</v>
      </c>
      <c r="C12" s="105" t="s">
        <v>306</v>
      </c>
      <c r="D12" s="104" t="s">
        <v>431</v>
      </c>
      <c r="E12" s="106" t="s">
        <v>434</v>
      </c>
    </row>
    <row r="13" spans="1:5" ht="30" x14ac:dyDescent="0.25">
      <c r="A13" s="103">
        <v>46099</v>
      </c>
      <c r="B13" s="104" t="s">
        <v>443</v>
      </c>
      <c r="C13" s="105" t="s">
        <v>306</v>
      </c>
      <c r="D13" s="104" t="s">
        <v>442</v>
      </c>
      <c r="E13" s="106" t="s">
        <v>367</v>
      </c>
    </row>
    <row r="14" spans="1:5" x14ac:dyDescent="0.25">
      <c r="A14" s="103">
        <v>46099</v>
      </c>
      <c r="B14" s="104"/>
      <c r="C14" s="105" t="s">
        <v>306</v>
      </c>
      <c r="D14" s="104" t="s">
        <v>444</v>
      </c>
      <c r="E14" s="106"/>
    </row>
    <row r="15" spans="1:5" x14ac:dyDescent="0.25">
      <c r="A15" s="104"/>
      <c r="B15" s="104" t="s">
        <v>246</v>
      </c>
      <c r="C15" s="107" t="s">
        <v>305</v>
      </c>
      <c r="D15" s="104"/>
      <c r="E15" s="104" t="s">
        <v>246</v>
      </c>
    </row>
    <row r="16" spans="1:5" x14ac:dyDescent="0.25">
      <c r="A16" s="103"/>
      <c r="B16" s="108" t="s">
        <v>368</v>
      </c>
      <c r="C16" s="107" t="s">
        <v>305</v>
      </c>
      <c r="D16" s="104"/>
      <c r="E16" s="108" t="s">
        <v>368</v>
      </c>
    </row>
    <row r="17" spans="1:5" x14ac:dyDescent="0.25">
      <c r="A17" s="103"/>
      <c r="B17" s="109" t="s">
        <v>369</v>
      </c>
      <c r="C17" s="107" t="s">
        <v>305</v>
      </c>
      <c r="D17" s="104"/>
      <c r="E17" s="109" t="s">
        <v>369</v>
      </c>
    </row>
    <row r="18" spans="1:5" x14ac:dyDescent="0.25">
      <c r="A18" s="103"/>
      <c r="B18" s="109" t="s">
        <v>379</v>
      </c>
      <c r="C18" s="107" t="s">
        <v>305</v>
      </c>
      <c r="D18" s="104"/>
      <c r="E18" s="109" t="s">
        <v>379</v>
      </c>
    </row>
    <row r="19" spans="1:5" x14ac:dyDescent="0.25">
      <c r="A19" s="104"/>
      <c r="B19" s="104" t="s">
        <v>245</v>
      </c>
      <c r="C19" s="107" t="s">
        <v>305</v>
      </c>
      <c r="D19" s="104"/>
      <c r="E19" s="104" t="s">
        <v>245</v>
      </c>
    </row>
    <row r="20" spans="1:5" x14ac:dyDescent="0.25">
      <c r="A20" s="104"/>
      <c r="B20" s="104" t="s">
        <v>244</v>
      </c>
      <c r="C20" s="107" t="s">
        <v>305</v>
      </c>
      <c r="D20" s="104"/>
      <c r="E20" s="104" t="s">
        <v>244</v>
      </c>
    </row>
    <row r="21" spans="1:5" x14ac:dyDescent="0.25">
      <c r="A21" s="104"/>
      <c r="B21" s="104" t="s">
        <v>247</v>
      </c>
      <c r="C21" s="107" t="s">
        <v>305</v>
      </c>
      <c r="D21" s="104"/>
      <c r="E21" s="104" t="s">
        <v>247</v>
      </c>
    </row>
    <row r="22" spans="1:5" x14ac:dyDescent="0.25">
      <c r="A22" s="104"/>
      <c r="B22" s="104" t="s">
        <v>248</v>
      </c>
      <c r="C22" s="107" t="s">
        <v>305</v>
      </c>
      <c r="D22" s="104"/>
      <c r="E22" s="104" t="s">
        <v>248</v>
      </c>
    </row>
    <row r="23" spans="1:5" x14ac:dyDescent="0.25">
      <c r="A23" s="104"/>
      <c r="B23" s="104" t="s">
        <v>254</v>
      </c>
      <c r="C23" s="107" t="s">
        <v>305</v>
      </c>
      <c r="D23" s="104"/>
      <c r="E23" s="104" t="s">
        <v>254</v>
      </c>
    </row>
    <row r="24" spans="1:5" x14ac:dyDescent="0.25">
      <c r="A24" s="104"/>
      <c r="B24" s="104" t="s">
        <v>255</v>
      </c>
      <c r="C24" s="107" t="s">
        <v>305</v>
      </c>
      <c r="D24" s="104"/>
      <c r="E24" s="104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445</v>
      </c>
      <c r="F5" t="s">
        <v>447</v>
      </c>
      <c r="G5" t="s">
        <v>448</v>
      </c>
      <c r="H5" t="s">
        <v>446</v>
      </c>
      <c r="I5" t="s">
        <v>449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7">
        <v>10</v>
      </c>
      <c r="F6" s="87">
        <f>3+1+1+1+1</f>
        <v>7</v>
      </c>
      <c r="G6" s="87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450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331</v>
      </c>
      <c r="B1" t="s">
        <v>332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B16" sqref="B16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314</v>
      </c>
    </row>
    <row r="2" spans="1:5" x14ac:dyDescent="0.25">
      <c r="A2" t="s">
        <v>310</v>
      </c>
      <c r="B2">
        <v>10000</v>
      </c>
      <c r="C2">
        <f>+B2*4</f>
        <v>40000</v>
      </c>
    </row>
    <row r="3" spans="1:5" x14ac:dyDescent="0.25">
      <c r="A3" t="s">
        <v>311</v>
      </c>
    </row>
    <row r="4" spans="1:5" x14ac:dyDescent="0.25">
      <c r="A4" t="s">
        <v>312</v>
      </c>
    </row>
    <row r="5" spans="1:5" x14ac:dyDescent="0.25">
      <c r="A5" s="84" t="s">
        <v>313</v>
      </c>
      <c r="B5" s="84"/>
      <c r="C5" s="84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314</v>
      </c>
    </row>
    <row r="16" spans="1:5" x14ac:dyDescent="0.25">
      <c r="C16" t="s">
        <v>276</v>
      </c>
      <c r="D16" t="s">
        <v>276</v>
      </c>
    </row>
    <row r="17" spans="1:5" x14ac:dyDescent="0.25">
      <c r="A17" t="s">
        <v>411</v>
      </c>
      <c r="B17">
        <v>9000</v>
      </c>
      <c r="C17">
        <v>20</v>
      </c>
      <c r="D17">
        <f>+B17/C17</f>
        <v>450</v>
      </c>
      <c r="E17" t="s">
        <v>412</v>
      </c>
    </row>
    <row r="18" spans="1:5" x14ac:dyDescent="0.25">
      <c r="A18" t="s">
        <v>411</v>
      </c>
      <c r="B18">
        <v>8400</v>
      </c>
      <c r="C18">
        <v>20</v>
      </c>
      <c r="D18">
        <f>+B18/C18</f>
        <v>420</v>
      </c>
      <c r="E18" t="s">
        <v>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328</v>
      </c>
      <c r="B12" s="1"/>
      <c r="C12" s="1" t="s">
        <v>315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319</v>
      </c>
      <c r="E2" t="s">
        <v>326</v>
      </c>
    </row>
    <row r="3" spans="2:7" x14ac:dyDescent="0.25">
      <c r="B3" t="s">
        <v>320</v>
      </c>
    </row>
    <row r="4" spans="2:7" x14ac:dyDescent="0.25">
      <c r="B4" t="s">
        <v>321</v>
      </c>
    </row>
    <row r="5" spans="2:7" x14ac:dyDescent="0.25">
      <c r="B5" t="s">
        <v>322</v>
      </c>
      <c r="D5">
        <v>7</v>
      </c>
      <c r="E5" t="s">
        <v>325</v>
      </c>
    </row>
    <row r="6" spans="2:7" x14ac:dyDescent="0.25">
      <c r="B6" s="24">
        <v>0</v>
      </c>
      <c r="C6" t="s">
        <v>324</v>
      </c>
      <c r="G6" t="s">
        <v>327</v>
      </c>
    </row>
    <row r="7" spans="2:7" x14ac:dyDescent="0.25">
      <c r="G7">
        <v>26</v>
      </c>
    </row>
    <row r="8" spans="2:7" x14ac:dyDescent="0.25">
      <c r="B8" t="s">
        <v>323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3" sqref="B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372</v>
      </c>
      <c r="C24" s="58">
        <v>-100000</v>
      </c>
    </row>
    <row r="25" spans="1:4" x14ac:dyDescent="0.25">
      <c r="A25" s="2">
        <v>46124</v>
      </c>
      <c r="B25" t="s">
        <v>371</v>
      </c>
      <c r="C25" s="58">
        <v>23990</v>
      </c>
      <c r="D25" t="s">
        <v>370</v>
      </c>
    </row>
    <row r="26" spans="1:4" x14ac:dyDescent="0.25">
      <c r="A26" s="2">
        <v>46124</v>
      </c>
      <c r="B26" t="s">
        <v>373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316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788789B1-0D01-44D2-92B3-AE3C27D29AF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2026-03-19T01:05:09Z</dcterms:modified>
</cp:coreProperties>
</file>