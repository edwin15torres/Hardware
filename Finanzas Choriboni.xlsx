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PC\Documents\Fabrica\"/>
    </mc:Choice>
  </mc:AlternateContent>
  <bookViews>
    <workbookView xWindow="-120" yWindow="-120" windowWidth="20730" windowHeight="11160" tabRatio="738" firstSheet="3" activeTab="3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Extracto" sheetId="10" r:id="rId5"/>
    <sheet name="Gas" sheetId="32" state="hidden" r:id="rId6"/>
    <sheet name="Registros" sheetId="31" state="hidden" r:id="rId7"/>
    <sheet name="DevOps" sheetId="21" r:id="rId8"/>
    <sheet name="MP" sheetId="37" r:id="rId9"/>
    <sheet name="MP2" sheetId="38" r:id="rId10"/>
    <sheet name="Hoja2" sheetId="36" state="hidden" r:id="rId11"/>
    <sheet name="Clientes" sheetId="24" state="hidden" r:id="rId12"/>
    <sheet name="Empaques" sheetId="25" r:id="rId13"/>
    <sheet name="proveedores" sheetId="7" state="hidden" r:id="rId14"/>
    <sheet name="informe" sheetId="6" state="hidden" r:id="rId15"/>
    <sheet name="Costos" sheetId="8" state="hidden" r:id="rId16"/>
    <sheet name="Inventario" sheetId="27" state="hidden" r:id="rId17"/>
    <sheet name="Reporte" sheetId="11" r:id="rId18"/>
    <sheet name="Rappi" sheetId="26" r:id="rId19"/>
    <sheet name="7-MARZO" sheetId="22" state="hidden" r:id="rId20"/>
    <sheet name="Prestamos" sheetId="12" r:id="rId21"/>
    <sheet name="maquina" sheetId="23" r:id="rId22"/>
    <sheet name="Informe ventas" sheetId="13" state="hidden" r:id="rId23"/>
    <sheet name="historial de venta" sheetId="14" state="hidden" r:id="rId24"/>
  </sheets>
  <definedNames>
    <definedName name="_xlnm._FilterDatabase" localSheetId="1" hidden="1">choriboni!$B$17:$I$69</definedName>
    <definedName name="_xlnm._FilterDatabase" localSheetId="7" hidden="1">DevOps!$A$2:$E$35</definedName>
    <definedName name="_xlnm._FilterDatabase" localSheetId="4" hidden="1">Extracto!$A$5:$M$86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6" i="9" l="1"/>
  <c r="AY32" i="9"/>
  <c r="AY18" i="9"/>
  <c r="AY34" i="9"/>
  <c r="AY23" i="9"/>
  <c r="AY13" i="9"/>
  <c r="AY12" i="9"/>
  <c r="AY11" i="9"/>
  <c r="AY10" i="9"/>
  <c r="AY9" i="9"/>
  <c r="AY8" i="9"/>
  <c r="AY7" i="9"/>
  <c r="AY6" i="9"/>
  <c r="AY5" i="9"/>
  <c r="AY4" i="9"/>
  <c r="AY3" i="9"/>
  <c r="AY14" i="9" s="1"/>
  <c r="AY2" i="9"/>
  <c r="AY1" i="9"/>
  <c r="AY17" i="9" s="1"/>
  <c r="L10" i="37"/>
  <c r="L9" i="37"/>
  <c r="L8" i="37"/>
  <c r="L7" i="37"/>
  <c r="L6" i="37"/>
  <c r="B108" i="10"/>
  <c r="AW36" i="9"/>
  <c r="AW32" i="9"/>
  <c r="AY25" i="9" l="1"/>
  <c r="B106" i="10"/>
  <c r="B105" i="10"/>
  <c r="B100" i="10"/>
  <c r="D106" i="10"/>
  <c r="B104" i="10"/>
  <c r="B103" i="10"/>
  <c r="B102" i="10"/>
  <c r="B101" i="10"/>
  <c r="B99" i="10"/>
  <c r="B98" i="10"/>
  <c r="B97" i="10"/>
  <c r="B96" i="10"/>
  <c r="B107" i="10"/>
  <c r="B95" i="10"/>
  <c r="AW21" i="9" l="1"/>
  <c r="AW13" i="9"/>
  <c r="AW12" i="9"/>
  <c r="AW11" i="9"/>
  <c r="AW10" i="9"/>
  <c r="AW9" i="9"/>
  <c r="AW8" i="9"/>
  <c r="AW7" i="9"/>
  <c r="AW6" i="9"/>
  <c r="AW5" i="9"/>
  <c r="AW4" i="9"/>
  <c r="AW3" i="9"/>
  <c r="M16" i="37"/>
  <c r="M15" i="37"/>
  <c r="M14" i="37"/>
  <c r="M17" i="37"/>
  <c r="AW14" i="9" l="1"/>
  <c r="H17" i="37"/>
  <c r="G17" i="37"/>
  <c r="H16" i="37"/>
  <c r="G16" i="37"/>
  <c r="H15" i="37"/>
  <c r="G15" i="37"/>
  <c r="H14" i="37"/>
  <c r="G14" i="37"/>
  <c r="G7" i="37"/>
  <c r="I7" i="37" s="1"/>
  <c r="H7" i="37"/>
  <c r="G8" i="37"/>
  <c r="H8" i="37"/>
  <c r="G9" i="37"/>
  <c r="H9" i="37"/>
  <c r="G10" i="37"/>
  <c r="H10" i="37"/>
  <c r="H6" i="37"/>
  <c r="G6" i="37"/>
  <c r="I6" i="37" s="1"/>
  <c r="I8" i="37" l="1"/>
  <c r="I17" i="37"/>
  <c r="I16" i="37"/>
  <c r="I15" i="37"/>
  <c r="I14" i="37"/>
  <c r="I10" i="37"/>
  <c r="I9" i="37"/>
  <c r="AU30" i="9"/>
  <c r="N15" i="37" l="1"/>
  <c r="J15" i="37"/>
  <c r="J16" i="37"/>
  <c r="N16" i="37"/>
  <c r="J17" i="37"/>
  <c r="N17" i="37"/>
  <c r="J14" i="37"/>
  <c r="N14" i="37"/>
  <c r="N18" i="37" s="1"/>
  <c r="B93" i="10"/>
  <c r="B92" i="10"/>
  <c r="B91" i="10"/>
  <c r="B90" i="10"/>
  <c r="B89" i="10"/>
  <c r="D88" i="10"/>
  <c r="B88" i="10"/>
  <c r="B87" i="10"/>
  <c r="F6" i="36" l="1"/>
  <c r="G6" i="36" s="1"/>
  <c r="J6" i="36" s="1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7" i="36" l="1"/>
  <c r="J9" i="36" s="1"/>
  <c r="AU14" i="9"/>
  <c r="AW18" i="9" s="1"/>
  <c r="AW23" i="9" l="1"/>
  <c r="AW25" i="9" s="1"/>
  <c r="D80" i="10"/>
  <c r="D1" i="10" s="1"/>
  <c r="K7" i="34"/>
  <c r="B80" i="10"/>
  <c r="AS33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U1" i="9" l="1"/>
  <c r="AU17" i="9" s="1"/>
  <c r="AW2" i="9"/>
  <c r="AW1" i="9" s="1"/>
  <c r="AW17" i="9" s="1"/>
  <c r="AS14" i="9"/>
  <c r="AS1" i="9"/>
  <c r="AS17" i="9" s="1"/>
  <c r="AQ14" i="9"/>
  <c r="F11" i="34"/>
  <c r="AQ19" i="9" s="1"/>
  <c r="D4" i="34" l="1"/>
  <c r="D2" i="34" s="1"/>
  <c r="F2" i="34" s="1"/>
  <c r="C15" i="32" l="1"/>
  <c r="AO21" i="9" s="1"/>
  <c r="D13" i="32"/>
  <c r="AM21" i="9"/>
  <c r="D18" i="25"/>
  <c r="D17" i="25"/>
  <c r="E6" i="32"/>
  <c r="E7" i="32" s="1"/>
  <c r="B4" i="32"/>
  <c r="B5" i="32" s="1"/>
  <c r="A3" i="32"/>
  <c r="AM38" i="9" l="1"/>
  <c r="AQ38" i="9" s="1"/>
  <c r="AM33" i="9"/>
  <c r="AE30" i="9"/>
  <c r="AE32" i="9" s="1"/>
  <c r="AG32" i="9" s="1"/>
  <c r="AK38" i="9"/>
  <c r="AM30" i="9"/>
  <c r="B69" i="10"/>
  <c r="B68" i="10"/>
  <c r="B67" i="10"/>
  <c r="B66" i="10"/>
  <c r="AG33" i="9"/>
  <c r="AG34" i="9" s="1"/>
  <c r="AI34" i="9" s="1"/>
  <c r="AK34" i="9" s="1"/>
  <c r="B65" i="10"/>
  <c r="AI32" i="9" l="1"/>
  <c r="AK32" i="9" s="1"/>
  <c r="AM32" i="9" s="1"/>
  <c r="AO32" i="9" s="1"/>
  <c r="AQ32" i="9" s="1"/>
  <c r="AS32" i="9" s="1"/>
  <c r="AM34" i="9"/>
  <c r="AO34" i="9" s="1"/>
  <c r="AQ34" i="9" s="1"/>
  <c r="AS34" i="9" s="1"/>
  <c r="AU34" i="9" s="1"/>
  <c r="AW34" i="9" s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U18" i="9" s="1"/>
  <c r="AM14" i="9"/>
  <c r="B86" i="10"/>
  <c r="B64" i="10"/>
  <c r="B63" i="10"/>
  <c r="B62" i="10"/>
  <c r="B61" i="10"/>
  <c r="B82" i="10"/>
  <c r="AI21" i="9"/>
  <c r="AI22" i="9"/>
  <c r="C1" i="27"/>
  <c r="AS25" i="9" l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U23" i="9" l="1"/>
  <c r="AU25" i="9" s="1"/>
  <c r="AG21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U32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M41" i="9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C9" i="12"/>
  <c r="C1" i="12" s="1"/>
  <c r="D2" i="10" l="1"/>
  <c r="D3" i="10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 l="1"/>
  <c r="C14" i="4"/>
  <c r="I11" i="4" s="1"/>
</calcChain>
</file>

<file path=xl/comments1.xml><?xml version="1.0" encoding="utf-8"?>
<comments xmlns="http://schemas.openxmlformats.org/spreadsheetml/2006/main">
  <authors>
    <author>PC</author>
    <author>ADMIN</author>
  </authors>
  <commentList>
    <comment ref="C18" authorId="0" shapeId="0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PC</author>
  </authors>
  <commentList>
    <comment ref="E14" authorId="0" shapeId="0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A22" authorId="0" shapeId="0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2" authorId="0" shapeId="0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2" authorId="0" shapeId="0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</commentList>
</comments>
</file>

<file path=xl/comments3.xml><?xml version="1.0" encoding="utf-8"?>
<comments xmlns="http://schemas.openxmlformats.org/spreadsheetml/2006/main">
  <authors>
    <author>PC</author>
  </authors>
  <commentList>
    <comment ref="H82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>
  <authors>
    <author>PC</author>
  </authors>
  <commentList>
    <comment ref="E6" authorId="0" shapeId="0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>
  <authors>
    <author>PC</author>
  </authors>
  <commentList>
    <comment ref="B13" authorId="0" shapeId="0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6.xml><?xml version="1.0" encoding="utf-8"?>
<comments xmlns="http://schemas.openxmlformats.org/spreadsheetml/2006/main">
  <authors>
    <author>PC</author>
  </authors>
  <commentList>
    <comment ref="D9" authorId="0" shapeId="0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7.xml><?xml version="1.0" encoding="utf-8"?>
<comments xmlns="http://schemas.openxmlformats.org/spreadsheetml/2006/main">
  <authors>
    <author>PC</author>
  </authors>
  <commentList>
    <comment ref="J1" authorId="0" shapeId="0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>
  <connection id="1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<sst xmlns="http://schemas.openxmlformats.org/spreadsheetml/2006/main" count="1310" uniqueCount="562">
  <si>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</si>
  <si>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</si>
  <si>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</si>
  <si>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</si>
  <si>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</si>
  <si>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</si>
  <si>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</si>
  <si>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</si>
  <si>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</si>
  <si>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</si>
  <si>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</si>
  <si>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</si>
  <si>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</si>
  <si>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</si>
  <si>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</si>
  <si>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</si>
  <si>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</si>
  <si>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</si>
  <si>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</si>
  <si>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</si>
  <si>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</si>
  <si>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</si>
  <si>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</si>
  <si>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</si>
  <si>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</si>
  <si>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</si>
  <si>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</si>
  <si>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</si>
  <si>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</si>
  <si>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</si>
  <si>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</si>
  <si>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</si>
  <si>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</si>
  <si>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</si>
  <si>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</si>
  <si>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</si>
  <si>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</si>
  <si>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</si>
  <si>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</si>
  <si>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</si>
  <si>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</si>
  <si>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</si>
  <si>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</si>
  <si>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</si>
  <si>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</si>
  <si>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</si>
  <si>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</si>
  <si>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</si>
  <si>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</si>
  <si>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</si>
  <si>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</si>
  <si>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</si>
  <si>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</si>
  <si>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</si>
  <si>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</si>
  <si>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</si>
  <si>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</si>
  <si>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</si>
  <si>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</si>
  <si>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</si>
  <si>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</si>
  <si>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</si>
  <si>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</si>
  <si>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</si>
  <si>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</si>
  <si>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</si>
  <si>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</si>
  <si>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</si>
  <si>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</si>
  <si>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</si>
  <si>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</si>
  <si>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</si>
  <si>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</si>
  <si>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</si>
  <si>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</si>
  <si>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</si>
  <si>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</si>
  <si>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</si>
  <si>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</si>
  <si>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</si>
  <si>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</si>
  <si>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</si>
  <si>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</si>
  <si>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</si>
  <si>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</si>
  <si>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</si>
  <si>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</si>
  <si>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</si>
  <si>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</si>
  <si>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</si>
  <si>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</si>
  <si>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</si>
  <si>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</si>
  <si>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</si>
  <si>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</si>
  <si>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</si>
  <si>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</si>
  <si>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</si>
  <si>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</si>
  <si>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</si>
  <si>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</si>
  <si>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</si>
  <si>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</si>
  <si>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</si>
  <si>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</si>
  <si>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</si>
  <si>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</si>
  <si>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</si>
  <si>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</si>
  <si>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</si>
  <si>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</si>
  <si>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</si>
  <si>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</si>
  <si>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</si>
  <si>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</si>
  <si>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</si>
  <si>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</si>
  <si>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</si>
  <si>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</si>
  <si>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</si>
  <si>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</si>
  <si>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</si>
  <si>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</si>
  <si>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</si>
  <si>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</si>
  <si>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</si>
  <si>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</si>
  <si>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</si>
  <si>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</si>
  <si>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</si>
  <si>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</si>
  <si>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</si>
  <si>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</si>
  <si>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</si>
  <si>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</si>
  <si>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</si>
  <si>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</si>
  <si>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</si>
  <si>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</si>
  <si>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</si>
  <si>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</si>
  <si>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</si>
  <si>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</si>
  <si>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</si>
  <si>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</si>
  <si>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</si>
  <si>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</si>
  <si>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</si>
  <si>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</si>
  <si>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</si>
  <si>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</si>
  <si>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</si>
  <si>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</si>
  <si>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</si>
  <si>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</si>
  <si>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</si>
  <si>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</si>
  <si>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</si>
  <si>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</si>
  <si>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</si>
  <si>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</si>
  <si>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</si>
  <si>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</si>
  <si>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</si>
  <si>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</si>
  <si>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</si>
  <si>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</si>
  <si>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</si>
  <si>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</si>
  <si>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</si>
  <si>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</si>
  <si>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</si>
  <si>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</si>
  <si>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</si>
  <si>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</si>
  <si>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</si>
  <si>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</si>
  <si>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</si>
  <si>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</si>
  <si>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</si>
  <si>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</si>
  <si>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</si>
  <si>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</si>
  <si>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</si>
  <si>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</si>
  <si>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</si>
  <si>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</si>
  <si>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</si>
  <si>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</si>
  <si>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</si>
  <si>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</si>
  <si>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</si>
  <si>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</si>
  <si>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</si>
  <si>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</si>
  <si>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</si>
  <si>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</si>
  <si>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</si>
  <si>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</si>
  <si>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</si>
  <si>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</si>
  <si>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</si>
  <si>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</si>
  <si>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</si>
  <si>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</si>
  <si>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</si>
  <si>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</si>
  <si>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</si>
  <si>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</si>
  <si>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</si>
  <si>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</si>
  <si>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</si>
  <si>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</si>
  <si>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</si>
  <si>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</si>
  <si>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</si>
  <si>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</si>
  <si>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</si>
  <si>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</si>
  <si>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</si>
  <si>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</si>
  <si>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</si>
  <si>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</si>
  <si>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</si>
  <si>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</si>
  <si>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</si>
  <si>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</si>
  <si>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</si>
  <si>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</si>
  <si>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</si>
  <si>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</si>
  <si>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</si>
  <si>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</si>
  <si>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</si>
  <si>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</si>
  <si>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</si>
  <si>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</si>
  <si>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</si>
  <si>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</si>
  <si>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</si>
  <si>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</si>
  <si>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</si>
  <si>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</si>
  <si>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</si>
  <si>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</si>
  <si>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</si>
  <si>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</si>
  <si>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</si>
  <si>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</si>
  <si>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</si>
  <si>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</si>
  <si>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</si>
  <si>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</si>
  <si>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</si>
  <si>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</si>
  <si>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</si>
  <si>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</si>
  <si>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</si>
  <si>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</si>
  <si>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</si>
  <si>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</si>
  <si>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</si>
  <si>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</si>
  <si>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</si>
  <si>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</si>
  <si>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</si>
  <si>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</si>
  <si>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</si>
  <si>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</si>
  <si>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</si>
  <si>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</si>
  <si>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</si>
  <si>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</si>
  <si>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</si>
  <si>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</si>
  <si>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</si>
  <si>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</si>
  <si>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</si>
  <si>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</si>
  <si>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</si>
  <si>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</si>
  <si>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</si>
  <si>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</si>
  <si>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</si>
  <si>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</si>
  <si>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</si>
  <si>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</si>
  <si>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</si>
  <si>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</si>
  <si>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</si>
  <si>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</si>
  <si>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</si>
  <si>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</si>
  <si>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</si>
  <si>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</si>
  <si>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</si>
  <si>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</si>
  <si>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</si>
  <si>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</si>
  <si>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</si>
  <si>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</si>
  <si>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</si>
  <si>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</si>
  <si>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</si>
  <si>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</si>
  <si>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</si>
  <si>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</si>
  <si>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</si>
  <si>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</si>
  <si>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</si>
  <si>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</si>
  <si>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</si>
  <si>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</si>
  <si>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</si>
  <si>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</si>
  <si>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</si>
  <si>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</si>
  <si>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</si>
  <si>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</si>
  <si>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</si>
  <si>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</si>
  <si>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</si>
  <si>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</si>
  <si>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</si>
  <si>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</si>
  <si>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</si>
  <si>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</si>
  <si>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</si>
  <si>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</si>
  <si>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</si>
  <si>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</si>
  <si>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</si>
  <si>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</si>
  <si>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</si>
  <si>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</si>
  <si>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</si>
  <si>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</si>
  <si>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</si>
  <si>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</si>
  <si>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</si>
  <si>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</si>
  <si>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</si>
  <si>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</si>
  <si>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</si>
  <si>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</si>
  <si>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</si>
  <si>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</si>
  <si>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</si>
  <si>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</si>
  <si>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</si>
  <si>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</si>
  <si>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</si>
  <si>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</si>
  <si>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</si>
  <si>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</si>
  <si>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</si>
  <si>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</si>
  <si>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</si>
  <si>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</si>
  <si>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</si>
  <si>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</si>
  <si>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</si>
  <si>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</si>
  <si>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</si>
  <si>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</si>
  <si>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</si>
  <si>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</si>
  <si>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</si>
  <si>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</si>
  <si>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</si>
  <si>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</si>
  <si>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</si>
  <si>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</si>
  <si>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</si>
  <si>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</si>
  <si>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</si>
  <si>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</si>
  <si>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</si>
  <si>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</si>
  <si>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</si>
  <si>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</si>
  <si>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</si>
  <si>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</si>
  <si>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</si>
  <si>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</si>
  <si>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</si>
  <si>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</si>
  <si>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</si>
  <si>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</si>
  <si>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</si>
  <si>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</si>
  <si>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</si>
  <si>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</si>
  <si>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</si>
  <si>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</si>
  <si>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</si>
  <si>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</si>
  <si>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</si>
  <si>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</si>
  <si>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</si>
  <si>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</si>
  <si>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</si>
  <si>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</si>
  <si>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</si>
  <si>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</si>
  <si>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</si>
  <si>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</si>
  <si>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</si>
  <si>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</si>
  <si>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</si>
  <si>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</si>
  <si>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</si>
  <si>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</si>
  <si>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</si>
  <si>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</si>
  <si>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</si>
  <si>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</si>
  <si>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</si>
  <si>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</si>
  <si>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</si>
  <si>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</si>
  <si>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</si>
  <si>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</si>
  <si>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</si>
  <si>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</si>
  <si>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</si>
  <si>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</si>
  <si>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</si>
  <si>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</si>
  <si>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</si>
  <si>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</si>
  <si>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</si>
  <si>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</si>
  <si>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</si>
  <si>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</si>
  <si>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</si>
  <si>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</si>
  <si>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</si>
  <si>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</si>
  <si>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</si>
  <si>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</si>
  <si>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</si>
  <si>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</si>
  <si>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</si>
  <si>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</si>
  <si>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</si>
  <si>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</si>
  <si>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</si>
  <si>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</si>
  <si>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</si>
  <si>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</si>
  <si>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</si>
  <si>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</si>
  <si>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</si>
  <si>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</si>
  <si>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</si>
  <si>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</si>
  <si>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</si>
  <si>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</si>
  <si>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</si>
  <si>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</si>
  <si>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</si>
  <si>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</si>
  <si>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</si>
  <si>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z. MP -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</si>
  <si>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</si>
  <si>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</si>
  <si>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</si>
  <si>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</si>
  <si>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</si>
  <si>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</si>
  <si>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</si>
  <si>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</si>
  <si>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</si>
  <si>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</si>
  <si>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</si>
  <si>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</si>
  <si>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</si>
  <si>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</si>
  <si>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</si>
  <si>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</si>
  <si>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</si>
  <si>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</si>
  <si>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</si>
  <si>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</si>
  <si>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</si>
  <si>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</si>
  <si>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</si>
  <si>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</si>
  <si>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</si>
  <si>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</si>
  <si>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</si>
  <si>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</si>
  <si>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</si>
  <si>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</si>
  <si>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</si>
  <si>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</si>
  <si>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</si>
  <si>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</si>
  <si>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</si>
  <si>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</si>
  <si>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</si>
  <si>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</si>
  <si>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</si>
  <si>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</si>
  <si>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</si>
  <si>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</si>
  <si>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</si>
  <si>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</si>
  <si>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</si>
  <si>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</si>
  <si>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</si>
  <si>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</si>
  <si>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</si>
  <si>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</si>
  <si>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</si>
  <si>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</si>
  <si>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</si>
  <si>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</si>
  <si>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</si>
  <si>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</si>
  <si>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</si>
  <si>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chorizo precio fijo</t>
  </si>
  <si>
    <t>BEBIDA - Coca Cola ZERO</t>
  </si>
  <si>
    <t>nombre_materia_prima</t>
  </si>
  <si>
    <t>pan</t>
  </si>
  <si>
    <t>tomat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</si>
  <si>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</si>
  <si>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</si>
  <si>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</si>
  <si>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</si>
  <si>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</si>
  <si>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</si>
  <si>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</si>
  <si>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</si>
  <si>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</si>
  <si>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</si>
  <si>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</si>
  <si>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</si>
  <si>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</si>
  <si>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</si>
  <si>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</si>
  <si>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</si>
  <si>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</si>
  <si>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</si>
  <si>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</si>
  <si>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</si>
  <si>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</si>
  <si>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</si>
  <si>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</si>
  <si>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</si>
  <si>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</si>
  <si>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</si>
  <si>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</si>
  <si>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</si>
  <si>
    <t>NEQUI - venta</t>
  </si>
  <si>
    <t>NEQUI - egreso</t>
  </si>
  <si>
    <t>Valor de venta en facturas y valor venta al generar</t>
  </si>
  <si>
    <t>Agregar "Cantidad"</t>
  </si>
  <si>
    <t>Mojarra (6) y habian 3</t>
  </si>
  <si>
    <t>Color por default "AMARILLO" en facuto</t>
  </si>
  <si>
    <t>Relacionar materia prima con producto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</si>
</sst>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21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16" fontId="0" fillId="0" borderId="3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0" fontId="6" fillId="5" borderId="3" xfId="3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9" borderId="3" xfId="0" applyFill="1" applyBorder="1" applyAlignment="1">
      <alignment vertical="center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0" fontId="16" fillId="7" borderId="4" xfId="0" applyFont="1" applyFill="1" applyBorder="1" applyAlignment="1">
      <alignment horizontal="center" vertical="center"/>
    </xf>
    <xf numFmtId="164" fontId="0" fillId="17" borderId="0" xfId="0" applyNumberFormat="1" applyFill="1"/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6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6073.923448263886" createdVersion="6" refreshedVersion="8" minRefreshableVersion="3" recordCount="50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ADMIN" refreshedDate="46080.494079050928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ADMIN" refreshedDate="46080.489722916667" backgroundQuery="1" createdVersion="8" refreshedVersion="8" minRefreshableVersion="3" recordCount="0" supportSubquery="1" supportAdvancedDrill="1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ADMIN" refreshedDate="46080.501817245371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ADMIN" refreshedDate="46080.508252430554" backgroundQuery="1" createdVersion="8" refreshedVersion="8" minRefreshableVersion="3" recordCount="0" supportSubquery="1" supportAdvancedDrill="1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freshedBy="PC" refreshedDate="46081.862336342594" createdVersion="8" refreshedVersion="6" minRefreshableVersion="3" recordCount="21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laDinámica5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laDinámica2" cacheId="3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name="TablaDinámica1" cacheId="1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name="TablaDinámica3" cacheId="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6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248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>
    <filterColumn colId="4">
      <filters>
        <filter val="Edwin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417</v>
      </c>
      <c r="D1" t="s">
        <v>416</v>
      </c>
      <c r="E1" t="s">
        <v>418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296</v>
      </c>
      <c r="D4">
        <f>8000*3</f>
        <v>24000</v>
      </c>
    </row>
    <row r="5" spans="2:11" x14ac:dyDescent="0.25">
      <c r="B5">
        <v>1</v>
      </c>
      <c r="C5" t="s">
        <v>296</v>
      </c>
      <c r="D5">
        <v>-4000</v>
      </c>
      <c r="I5">
        <f>190+20</f>
        <v>210</v>
      </c>
    </row>
    <row r="6" spans="2:11" x14ac:dyDescent="0.25">
      <c r="B6" s="93">
        <v>1</v>
      </c>
      <c r="C6" s="93" t="s">
        <v>296</v>
      </c>
      <c r="D6" s="93">
        <v>8000</v>
      </c>
    </row>
    <row r="7" spans="2:11" x14ac:dyDescent="0.25">
      <c r="B7" s="93">
        <v>1</v>
      </c>
      <c r="C7" s="93" t="s">
        <v>386</v>
      </c>
      <c r="D7" s="9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296</v>
      </c>
      <c r="D8">
        <v>8000</v>
      </c>
    </row>
    <row r="9" spans="2:11" x14ac:dyDescent="0.25">
      <c r="B9">
        <v>1</v>
      </c>
      <c r="C9" t="s">
        <v>386</v>
      </c>
      <c r="D9">
        <v>3000</v>
      </c>
    </row>
    <row r="10" spans="2:11" x14ac:dyDescent="0.25">
      <c r="B10" s="1">
        <v>6</v>
      </c>
      <c r="C10" s="1" t="s">
        <v>296</v>
      </c>
      <c r="D10" s="1">
        <v>48000</v>
      </c>
      <c r="H10">
        <v>197</v>
      </c>
    </row>
    <row r="11" spans="2:11" x14ac:dyDescent="0.25">
      <c r="B11" s="1">
        <v>3</v>
      </c>
      <c r="C11" s="1" t="s">
        <v>386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415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1" t="s">
        <v>278</v>
      </c>
      <c r="C15" s="81">
        <v>11000</v>
      </c>
    </row>
    <row r="16" spans="2:11" x14ac:dyDescent="0.25">
      <c r="B16" s="81" t="s">
        <v>278</v>
      </c>
      <c r="C16" s="81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BB43"/>
  <sheetViews>
    <sheetView showGridLines="0" tabSelected="1" zoomScaleNormal="100" workbookViewId="0">
      <pane xSplit="1" ySplit="2" topLeftCell="AT27" activePane="bottomRight" state="frozen"/>
      <selection pane="topRight" activeCell="B1" sqref="B1"/>
      <selection pane="bottomLeft" activeCell="A3" sqref="A3"/>
      <selection pane="bottomRight" activeCell="AY39" sqref="AY39"/>
    </sheetView>
  </sheetViews>
  <sheetFormatPr baseColWidth="10" defaultRowHeight="15" outlineLevelRow="1" outlineLevelCol="1" x14ac:dyDescent="0.25"/>
  <cols>
    <col min="1" max="1" width="18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hidden="1" customWidth="1" collapsed="1"/>
    <col min="41" max="41" width="11.42578125" hidden="1" customWidth="1"/>
    <col min="42" max="42" width="3.140625" hidden="1" customWidth="1" collapsed="1"/>
    <col min="43" max="43" width="0" hidden="1" customWidth="1"/>
    <col min="44" max="44" width="3.140625" hidden="1" customWidth="1" collapsed="1"/>
    <col min="45" max="45" width="0" hidden="1" customWidth="1"/>
    <col min="46" max="46" width="3.140625" bestFit="1" customWidth="1" collapsed="1"/>
    <col min="48" max="48" width="3.140625" bestFit="1" customWidth="1" collapsed="1"/>
    <col min="50" max="50" width="3.140625" bestFit="1" customWidth="1" collapsed="1"/>
    <col min="52" max="52" width="14.5703125" bestFit="1" customWidth="1"/>
  </cols>
  <sheetData>
    <row r="1" spans="1:54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  <c r="AV1" s="41"/>
      <c r="AW1" s="41" t="str">
        <f>+TEXT(AW2,"ddd")</f>
        <v>jue</v>
      </c>
      <c r="AX1" s="41"/>
      <c r="AY1" s="41" t="str">
        <f>+TEXT(AY2,"ddd")</f>
        <v>vie</v>
      </c>
    </row>
    <row r="2" spans="1:54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  <c r="AV2" s="44" t="s">
        <v>137</v>
      </c>
      <c r="AW2" s="45">
        <f>+AU2+1</f>
        <v>46100</v>
      </c>
      <c r="AX2" s="44" t="s">
        <v>137</v>
      </c>
      <c r="AY2" s="45">
        <f>+AW2+1</f>
        <v>46101</v>
      </c>
    </row>
    <row r="3" spans="1:54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  <c r="AX3" s="1">
        <v>0</v>
      </c>
      <c r="AY3" s="3">
        <f t="shared" ref="AY3:AY13" si="9">+$A3*AX3</f>
        <v>0</v>
      </c>
    </row>
    <row r="4" spans="1:54" outlineLevel="1" x14ac:dyDescent="0.25">
      <c r="A4" s="27">
        <v>50000</v>
      </c>
      <c r="B4" s="26">
        <v>1</v>
      </c>
      <c r="C4" s="3">
        <f t="shared" ref="C4:C13" si="10">+A4*B4</f>
        <v>50000</v>
      </c>
      <c r="D4" s="26">
        <v>1</v>
      </c>
      <c r="E4" s="3">
        <f t="shared" ref="E4:E13" si="11">+$A4*D4</f>
        <v>50000</v>
      </c>
      <c r="F4" s="26">
        <v>1</v>
      </c>
      <c r="G4" s="3"/>
      <c r="H4" s="26">
        <v>0</v>
      </c>
      <c r="I4" s="3">
        <f t="shared" ref="I4" si="12">+$A4*H4</f>
        <v>0</v>
      </c>
      <c r="J4" s="26">
        <v>2</v>
      </c>
      <c r="K4" s="3">
        <f t="shared" ref="K4" si="13">+$A4*J4</f>
        <v>100000</v>
      </c>
      <c r="L4" s="26">
        <v>0</v>
      </c>
      <c r="M4" s="3">
        <f t="shared" ref="M4" si="14">+$A4*L4</f>
        <v>0</v>
      </c>
      <c r="N4" s="26">
        <v>0</v>
      </c>
      <c r="O4" s="3">
        <f t="shared" ref="O4" si="15">+$A4*N4</f>
        <v>0</v>
      </c>
      <c r="P4" s="26">
        <v>1</v>
      </c>
      <c r="Q4" s="3">
        <f t="shared" ref="Q4" si="16">+$A4*P4</f>
        <v>50000</v>
      </c>
      <c r="R4" s="26">
        <v>1</v>
      </c>
      <c r="S4" s="3"/>
      <c r="T4" s="26">
        <v>0</v>
      </c>
      <c r="U4" s="3">
        <f t="shared" ref="U4:U5" si="17">+$A4*T4</f>
        <v>0</v>
      </c>
      <c r="V4" s="1">
        <v>1</v>
      </c>
      <c r="W4" s="3">
        <f t="shared" ref="W4:W5" si="18">+$A4*V4</f>
        <v>50000</v>
      </c>
      <c r="X4" s="1">
        <v>0</v>
      </c>
      <c r="Y4" s="3">
        <f t="shared" ref="Y4:Y5" si="19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  <c r="AX4" s="1">
        <v>0</v>
      </c>
      <c r="AY4" s="3">
        <f t="shared" si="9"/>
        <v>0</v>
      </c>
    </row>
    <row r="5" spans="1:54" outlineLevel="1" x14ac:dyDescent="0.25">
      <c r="A5" s="27">
        <v>20000</v>
      </c>
      <c r="B5" s="26">
        <v>4</v>
      </c>
      <c r="C5" s="3">
        <f t="shared" si="10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7"/>
        <v>0</v>
      </c>
      <c r="V5" s="1">
        <v>0</v>
      </c>
      <c r="W5" s="3">
        <f t="shared" si="18"/>
        <v>0</v>
      </c>
      <c r="X5" s="1">
        <v>0</v>
      </c>
      <c r="Y5" s="3">
        <f t="shared" si="19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  <c r="AX5" s="1">
        <v>0</v>
      </c>
      <c r="AY5" s="3">
        <f t="shared" si="9"/>
        <v>0</v>
      </c>
    </row>
    <row r="6" spans="1:54" outlineLevel="1" x14ac:dyDescent="0.25">
      <c r="A6" s="27">
        <v>10000</v>
      </c>
      <c r="B6" s="26">
        <v>2</v>
      </c>
      <c r="C6" s="3">
        <f t="shared" si="10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  <c r="AX6" s="1">
        <v>0</v>
      </c>
      <c r="AY6" s="3">
        <f t="shared" si="9"/>
        <v>0</v>
      </c>
    </row>
    <row r="7" spans="1:54" outlineLevel="1" x14ac:dyDescent="0.25">
      <c r="A7" s="27">
        <v>5000</v>
      </c>
      <c r="B7" s="26">
        <v>2</v>
      </c>
      <c r="C7" s="3">
        <f t="shared" si="10"/>
        <v>10000</v>
      </c>
      <c r="D7" s="26">
        <v>4</v>
      </c>
      <c r="E7" s="3">
        <f t="shared" si="11"/>
        <v>20000</v>
      </c>
      <c r="F7" s="26">
        <v>4</v>
      </c>
      <c r="G7" s="3"/>
      <c r="H7" s="26">
        <v>6</v>
      </c>
      <c r="I7" s="3">
        <f t="shared" ref="I7:I13" si="20">+$A7*H7</f>
        <v>30000</v>
      </c>
      <c r="J7" s="26">
        <v>5</v>
      </c>
      <c r="K7" s="3">
        <f t="shared" ref="K7:K13" si="21">+$A7*J7</f>
        <v>25000</v>
      </c>
      <c r="L7" s="26">
        <v>5</v>
      </c>
      <c r="M7" s="3">
        <f t="shared" ref="M7:M13" si="22">+$A7*L7</f>
        <v>25000</v>
      </c>
      <c r="N7" s="26">
        <v>5</v>
      </c>
      <c r="O7" s="3">
        <f t="shared" ref="O7:O13" si="23">+$A7*N7</f>
        <v>25000</v>
      </c>
      <c r="P7" s="26">
        <v>3</v>
      </c>
      <c r="Q7" s="3">
        <f t="shared" ref="Q7:Q13" si="24">+$A7*P7</f>
        <v>15000</v>
      </c>
      <c r="R7" s="26">
        <v>3</v>
      </c>
      <c r="S7" s="3"/>
      <c r="T7" s="26">
        <v>3</v>
      </c>
      <c r="U7" s="3">
        <f t="shared" ref="U7:U13" si="25">+$A7*T7</f>
        <v>15000</v>
      </c>
      <c r="V7" s="1">
        <v>4</v>
      </c>
      <c r="W7" s="3">
        <f t="shared" ref="W7:W13" si="26">+$A7*V7</f>
        <v>20000</v>
      </c>
      <c r="X7" s="1">
        <v>0</v>
      </c>
      <c r="Y7" s="3">
        <f t="shared" ref="Y7:Y13" si="27">+$A7*X7</f>
        <v>0</v>
      </c>
      <c r="Z7" s="1">
        <v>0</v>
      </c>
      <c r="AA7" s="3">
        <f t="shared" ref="AA7:AC13" si="28">+$A7*Z7</f>
        <v>0</v>
      </c>
      <c r="AB7" s="1">
        <v>3</v>
      </c>
      <c r="AC7" s="3">
        <f t="shared" si="28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  <c r="AX7" s="1">
        <v>6</v>
      </c>
      <c r="AY7" s="3">
        <f t="shared" si="9"/>
        <v>30000</v>
      </c>
    </row>
    <row r="8" spans="1:54" outlineLevel="1" x14ac:dyDescent="0.25">
      <c r="A8" s="27">
        <v>2000</v>
      </c>
      <c r="B8" s="26">
        <v>4</v>
      </c>
      <c r="C8" s="3">
        <f t="shared" si="10"/>
        <v>8000</v>
      </c>
      <c r="D8" s="26">
        <v>5</v>
      </c>
      <c r="E8" s="3">
        <f t="shared" si="11"/>
        <v>10000</v>
      </c>
      <c r="F8" s="26">
        <v>5</v>
      </c>
      <c r="G8" s="3"/>
      <c r="H8" s="26">
        <v>12</v>
      </c>
      <c r="I8" s="3">
        <f t="shared" si="20"/>
        <v>24000</v>
      </c>
      <c r="J8" s="26">
        <v>17</v>
      </c>
      <c r="K8" s="3">
        <f t="shared" si="21"/>
        <v>34000</v>
      </c>
      <c r="L8" s="26">
        <v>14</v>
      </c>
      <c r="M8" s="3">
        <f t="shared" si="22"/>
        <v>28000</v>
      </c>
      <c r="N8" s="26">
        <v>14</v>
      </c>
      <c r="O8" s="3">
        <f t="shared" si="23"/>
        <v>28000</v>
      </c>
      <c r="P8" s="26">
        <v>10</v>
      </c>
      <c r="Q8" s="3">
        <f t="shared" si="24"/>
        <v>20000</v>
      </c>
      <c r="R8" s="26">
        <v>10</v>
      </c>
      <c r="S8" s="3"/>
      <c r="T8" s="26">
        <v>12</v>
      </c>
      <c r="U8" s="3">
        <f t="shared" si="25"/>
        <v>24000</v>
      </c>
      <c r="V8" s="1">
        <v>22</v>
      </c>
      <c r="W8" s="3">
        <f t="shared" si="26"/>
        <v>44000</v>
      </c>
      <c r="X8" s="1">
        <v>23</v>
      </c>
      <c r="Y8" s="3">
        <f t="shared" si="27"/>
        <v>46000</v>
      </c>
      <c r="Z8" s="1">
        <v>20</v>
      </c>
      <c r="AA8" s="3">
        <f t="shared" si="28"/>
        <v>40000</v>
      </c>
      <c r="AB8" s="1">
        <v>25</v>
      </c>
      <c r="AC8" s="3">
        <f t="shared" si="28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23</v>
      </c>
      <c r="AW8" s="3">
        <f t="shared" si="8"/>
        <v>46000</v>
      </c>
      <c r="AX8" s="1">
        <v>21</v>
      </c>
      <c r="AY8" s="3">
        <f t="shared" si="9"/>
        <v>42000</v>
      </c>
    </row>
    <row r="9" spans="1:54" outlineLevel="1" x14ac:dyDescent="0.25">
      <c r="A9" s="27">
        <v>1000</v>
      </c>
      <c r="B9" s="26">
        <v>7</v>
      </c>
      <c r="C9" s="3">
        <f t="shared" si="10"/>
        <v>7000</v>
      </c>
      <c r="D9" s="26">
        <v>8</v>
      </c>
      <c r="E9" s="3">
        <f t="shared" si="11"/>
        <v>8000</v>
      </c>
      <c r="F9" s="26">
        <v>8</v>
      </c>
      <c r="G9" s="3"/>
      <c r="H9" s="26">
        <v>3</v>
      </c>
      <c r="I9" s="3">
        <f t="shared" si="20"/>
        <v>3000</v>
      </c>
      <c r="J9" s="26">
        <v>2</v>
      </c>
      <c r="K9" s="3">
        <f t="shared" si="21"/>
        <v>2000</v>
      </c>
      <c r="L9" s="26">
        <v>0</v>
      </c>
      <c r="M9" s="3">
        <f t="shared" si="22"/>
        <v>0</v>
      </c>
      <c r="N9" s="26">
        <v>0</v>
      </c>
      <c r="O9" s="3">
        <f t="shared" si="23"/>
        <v>0</v>
      </c>
      <c r="P9" s="26">
        <v>0</v>
      </c>
      <c r="Q9" s="3">
        <f t="shared" si="24"/>
        <v>0</v>
      </c>
      <c r="R9" s="26">
        <v>0</v>
      </c>
      <c r="S9" s="3"/>
      <c r="T9" s="26">
        <v>20</v>
      </c>
      <c r="U9" s="3">
        <f t="shared" si="25"/>
        <v>20000</v>
      </c>
      <c r="V9" s="1">
        <v>16</v>
      </c>
      <c r="W9" s="3">
        <f t="shared" si="26"/>
        <v>16000</v>
      </c>
      <c r="X9" s="1">
        <v>12</v>
      </c>
      <c r="Y9" s="3">
        <f t="shared" si="27"/>
        <v>12000</v>
      </c>
      <c r="Z9" s="1">
        <v>9</v>
      </c>
      <c r="AA9" s="3">
        <f t="shared" si="28"/>
        <v>9000</v>
      </c>
      <c r="AB9" s="1">
        <v>6</v>
      </c>
      <c r="AC9" s="3">
        <f t="shared" si="28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  <c r="AX9" s="1">
        <v>7</v>
      </c>
      <c r="AY9" s="3">
        <f t="shared" si="9"/>
        <v>7000</v>
      </c>
    </row>
    <row r="10" spans="1:54" outlineLevel="1" x14ac:dyDescent="0.25">
      <c r="A10" s="27">
        <v>500</v>
      </c>
      <c r="B10" s="26">
        <v>31</v>
      </c>
      <c r="C10" s="3">
        <f t="shared" si="10"/>
        <v>15500</v>
      </c>
      <c r="D10" s="26">
        <v>32</v>
      </c>
      <c r="E10" s="3">
        <f t="shared" si="11"/>
        <v>16000</v>
      </c>
      <c r="F10" s="26">
        <v>32</v>
      </c>
      <c r="G10" s="3"/>
      <c r="H10" s="26">
        <v>38</v>
      </c>
      <c r="I10" s="3">
        <f t="shared" si="20"/>
        <v>19000</v>
      </c>
      <c r="J10" s="26">
        <v>37</v>
      </c>
      <c r="K10" s="3">
        <f t="shared" si="21"/>
        <v>18500</v>
      </c>
      <c r="L10" s="26">
        <v>36</v>
      </c>
      <c r="M10" s="3">
        <f t="shared" si="22"/>
        <v>18000</v>
      </c>
      <c r="N10" s="26">
        <v>36</v>
      </c>
      <c r="O10" s="3">
        <f t="shared" si="23"/>
        <v>18000</v>
      </c>
      <c r="P10" s="26">
        <v>36</v>
      </c>
      <c r="Q10" s="3">
        <f t="shared" si="24"/>
        <v>18000</v>
      </c>
      <c r="R10" s="26">
        <v>36</v>
      </c>
      <c r="S10" s="3"/>
      <c r="T10" s="26">
        <v>40</v>
      </c>
      <c r="U10" s="3">
        <f t="shared" si="25"/>
        <v>20000</v>
      </c>
      <c r="V10" s="1">
        <v>45</v>
      </c>
      <c r="W10" s="3">
        <f t="shared" si="26"/>
        <v>22500</v>
      </c>
      <c r="X10" s="1">
        <v>31</v>
      </c>
      <c r="Y10" s="3">
        <f t="shared" si="27"/>
        <v>15500</v>
      </c>
      <c r="Z10" s="1">
        <v>20</v>
      </c>
      <c r="AA10" s="3">
        <f t="shared" si="28"/>
        <v>10000</v>
      </c>
      <c r="AB10" s="1">
        <v>21</v>
      </c>
      <c r="AC10" s="3">
        <f t="shared" si="28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49</v>
      </c>
      <c r="AW10" s="3">
        <f t="shared" si="8"/>
        <v>24500</v>
      </c>
      <c r="AX10" s="1">
        <v>49</v>
      </c>
      <c r="AY10" s="3">
        <f t="shared" si="9"/>
        <v>24500</v>
      </c>
    </row>
    <row r="11" spans="1:54" outlineLevel="1" x14ac:dyDescent="0.25">
      <c r="A11" s="27">
        <v>200</v>
      </c>
      <c r="B11" s="26">
        <v>54</v>
      </c>
      <c r="C11" s="3">
        <f t="shared" si="10"/>
        <v>10800</v>
      </c>
      <c r="D11" s="26">
        <v>56</v>
      </c>
      <c r="E11" s="3">
        <f t="shared" si="11"/>
        <v>11200</v>
      </c>
      <c r="F11" s="26">
        <v>56</v>
      </c>
      <c r="G11" s="3"/>
      <c r="H11" s="26">
        <v>62</v>
      </c>
      <c r="I11" s="3">
        <f t="shared" si="20"/>
        <v>12400</v>
      </c>
      <c r="J11" s="26">
        <v>62</v>
      </c>
      <c r="K11" s="3">
        <f t="shared" si="21"/>
        <v>12400</v>
      </c>
      <c r="L11" s="26">
        <v>68</v>
      </c>
      <c r="M11" s="3">
        <f t="shared" si="22"/>
        <v>13600</v>
      </c>
      <c r="N11" s="26">
        <v>68</v>
      </c>
      <c r="O11" s="3">
        <f t="shared" si="23"/>
        <v>13600</v>
      </c>
      <c r="P11" s="26">
        <v>81</v>
      </c>
      <c r="Q11" s="3">
        <f t="shared" si="24"/>
        <v>16200</v>
      </c>
      <c r="R11" s="26">
        <v>81</v>
      </c>
      <c r="S11" s="3"/>
      <c r="T11" s="26">
        <v>3</v>
      </c>
      <c r="U11" s="3">
        <f t="shared" si="25"/>
        <v>600</v>
      </c>
      <c r="V11" s="1">
        <v>5</v>
      </c>
      <c r="W11" s="3">
        <f t="shared" si="26"/>
        <v>1000</v>
      </c>
      <c r="X11" s="1">
        <v>4</v>
      </c>
      <c r="Y11" s="3">
        <f t="shared" si="27"/>
        <v>800</v>
      </c>
      <c r="Z11" s="1">
        <v>4</v>
      </c>
      <c r="AA11" s="3">
        <f t="shared" si="28"/>
        <v>800</v>
      </c>
      <c r="AB11" s="1">
        <v>7</v>
      </c>
      <c r="AC11" s="3">
        <f t="shared" si="28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10</v>
      </c>
      <c r="AW11" s="3">
        <f t="shared" si="8"/>
        <v>2000</v>
      </c>
      <c r="AX11" s="1">
        <v>14</v>
      </c>
      <c r="AY11" s="3">
        <f t="shared" si="9"/>
        <v>2800</v>
      </c>
    </row>
    <row r="12" spans="1:54" outlineLevel="1" x14ac:dyDescent="0.25">
      <c r="A12" s="27">
        <v>100</v>
      </c>
      <c r="B12" s="26">
        <v>38</v>
      </c>
      <c r="C12" s="3">
        <f t="shared" si="10"/>
        <v>3800</v>
      </c>
      <c r="D12" s="26">
        <v>39</v>
      </c>
      <c r="E12" s="3">
        <f t="shared" si="11"/>
        <v>3900</v>
      </c>
      <c r="F12" s="26">
        <v>39</v>
      </c>
      <c r="G12" s="3"/>
      <c r="H12" s="26">
        <v>51</v>
      </c>
      <c r="I12" s="3">
        <f t="shared" si="20"/>
        <v>5100</v>
      </c>
      <c r="J12" s="26">
        <v>48</v>
      </c>
      <c r="K12" s="3">
        <f t="shared" si="21"/>
        <v>4800</v>
      </c>
      <c r="L12" s="26">
        <v>63</v>
      </c>
      <c r="M12" s="3">
        <f t="shared" si="22"/>
        <v>6300</v>
      </c>
      <c r="N12" s="26">
        <v>63</v>
      </c>
      <c r="O12" s="3">
        <f t="shared" si="23"/>
        <v>6300</v>
      </c>
      <c r="P12" s="26">
        <v>77</v>
      </c>
      <c r="Q12" s="3">
        <f t="shared" si="24"/>
        <v>7700</v>
      </c>
      <c r="R12" s="26">
        <v>77</v>
      </c>
      <c r="S12" s="3"/>
      <c r="T12" s="26">
        <v>9</v>
      </c>
      <c r="U12" s="3">
        <f t="shared" si="25"/>
        <v>900</v>
      </c>
      <c r="V12" s="1">
        <v>11</v>
      </c>
      <c r="W12" s="3">
        <f t="shared" si="26"/>
        <v>1100</v>
      </c>
      <c r="X12" s="1">
        <v>13</v>
      </c>
      <c r="Y12" s="3">
        <f t="shared" si="27"/>
        <v>1300</v>
      </c>
      <c r="Z12" s="1">
        <v>13</v>
      </c>
      <c r="AA12" s="3">
        <f t="shared" si="28"/>
        <v>1300</v>
      </c>
      <c r="AB12" s="1">
        <v>14</v>
      </c>
      <c r="AC12" s="3">
        <f t="shared" si="28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11</v>
      </c>
      <c r="AW12" s="3">
        <f t="shared" si="8"/>
        <v>1100</v>
      </c>
      <c r="AX12" s="1">
        <v>13</v>
      </c>
      <c r="AY12" s="3">
        <f t="shared" si="9"/>
        <v>1300</v>
      </c>
    </row>
    <row r="13" spans="1:54" ht="15.75" outlineLevel="1" thickBot="1" x14ac:dyDescent="0.3">
      <c r="A13" s="27">
        <v>50</v>
      </c>
      <c r="B13" s="26">
        <v>10</v>
      </c>
      <c r="C13" s="28">
        <f t="shared" si="10"/>
        <v>500</v>
      </c>
      <c r="D13" s="26">
        <v>10</v>
      </c>
      <c r="E13" s="28">
        <f t="shared" si="11"/>
        <v>500</v>
      </c>
      <c r="F13" s="26">
        <v>10</v>
      </c>
      <c r="G13" s="28"/>
      <c r="H13" s="26">
        <v>10</v>
      </c>
      <c r="I13" s="28">
        <f t="shared" si="20"/>
        <v>500</v>
      </c>
      <c r="J13" s="26">
        <v>10</v>
      </c>
      <c r="K13" s="28">
        <f t="shared" si="21"/>
        <v>500</v>
      </c>
      <c r="L13" s="26">
        <v>10</v>
      </c>
      <c r="M13" s="28">
        <f t="shared" si="22"/>
        <v>500</v>
      </c>
      <c r="N13" s="26">
        <v>10</v>
      </c>
      <c r="O13" s="28">
        <f t="shared" si="23"/>
        <v>500</v>
      </c>
      <c r="P13" s="26">
        <v>14</v>
      </c>
      <c r="Q13" s="28">
        <f t="shared" si="24"/>
        <v>700</v>
      </c>
      <c r="R13" s="26">
        <v>14</v>
      </c>
      <c r="S13" s="28"/>
      <c r="T13" s="26">
        <v>9</v>
      </c>
      <c r="U13" s="28">
        <f t="shared" si="25"/>
        <v>450</v>
      </c>
      <c r="V13" s="1">
        <v>9</v>
      </c>
      <c r="W13" s="28">
        <f t="shared" si="26"/>
        <v>450</v>
      </c>
      <c r="X13" s="1">
        <v>8</v>
      </c>
      <c r="Y13" s="28">
        <f t="shared" si="27"/>
        <v>400</v>
      </c>
      <c r="Z13" s="1">
        <v>11</v>
      </c>
      <c r="AA13" s="28">
        <f t="shared" si="28"/>
        <v>550</v>
      </c>
      <c r="AB13" s="1">
        <v>9</v>
      </c>
      <c r="AC13" s="28">
        <f t="shared" si="28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11</v>
      </c>
      <c r="AU13" s="28">
        <f t="shared" si="7"/>
        <v>550</v>
      </c>
      <c r="AV13" s="1">
        <v>12</v>
      </c>
      <c r="AW13" s="28">
        <f t="shared" si="8"/>
        <v>600</v>
      </c>
      <c r="AX13" s="1">
        <v>12</v>
      </c>
      <c r="AY13" s="28">
        <f t="shared" si="9"/>
        <v>600</v>
      </c>
    </row>
    <row r="14" spans="1:54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8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172750</v>
      </c>
      <c r="AW14" s="17">
        <f>SUM(AW3:AW13)</f>
        <v>331200</v>
      </c>
      <c r="AY14" s="17">
        <f>SUM(AY3:AY13)</f>
        <v>108200</v>
      </c>
    </row>
    <row r="15" spans="1:54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</row>
    <row r="16" spans="1:54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  <c r="AZ16" s="3"/>
      <c r="BA16" s="80"/>
      <c r="BB16" s="29"/>
    </row>
    <row r="17" spans="1:54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  <c r="AV17" s="47"/>
      <c r="AW17" s="48" t="str">
        <f>+AW1</f>
        <v>jue</v>
      </c>
      <c r="AX17" s="47"/>
      <c r="AY17" s="48" t="str">
        <f>+AY1</f>
        <v>vie</v>
      </c>
      <c r="AZ17" s="3"/>
      <c r="BA17" s="80"/>
      <c r="BB17" s="29"/>
    </row>
    <row r="18" spans="1:54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7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  <c r="AW18" s="19">
        <f>+AU14</f>
        <v>172750</v>
      </c>
      <c r="AY18" s="19">
        <f>+AW14</f>
        <v>331200</v>
      </c>
      <c r="AZ18" s="3"/>
      <c r="BA18" s="80"/>
      <c r="BB18" s="29"/>
    </row>
    <row r="19" spans="1:54" x14ac:dyDescent="0.25">
      <c r="A19" s="19" t="s">
        <v>204</v>
      </c>
      <c r="C19" s="19"/>
      <c r="E19" s="49"/>
      <c r="G19" s="49"/>
      <c r="I19" s="49"/>
      <c r="K19" s="49"/>
      <c r="M19" s="64">
        <v>-350000</v>
      </c>
      <c r="O19" s="66">
        <v>0</v>
      </c>
      <c r="Q19" s="66">
        <v>0</v>
      </c>
      <c r="S19" s="66">
        <v>4300</v>
      </c>
      <c r="U19" s="64"/>
      <c r="W19" s="66">
        <f>+U25</f>
        <v>17400</v>
      </c>
      <c r="Y19" s="66"/>
      <c r="AA19" s="66">
        <v>75050</v>
      </c>
      <c r="AC19" s="66"/>
      <c r="AE19" s="66">
        <v>0</v>
      </c>
      <c r="AG19" s="64">
        <v>-100000</v>
      </c>
      <c r="AI19" s="66">
        <v>0</v>
      </c>
      <c r="AK19" s="66">
        <v>0</v>
      </c>
      <c r="AM19" s="66">
        <v>-100000</v>
      </c>
      <c r="AO19" s="66"/>
      <c r="AQ19" s="66">
        <f>'16mar'!$F$11</f>
        <v>99000</v>
      </c>
      <c r="AS19" s="66">
        <v>-250000</v>
      </c>
      <c r="AU19" s="66">
        <v>0</v>
      </c>
      <c r="AW19" s="66">
        <v>0</v>
      </c>
      <c r="AY19" s="66">
        <v>-300000</v>
      </c>
    </row>
    <row r="20" spans="1:54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6">
        <v>105000</v>
      </c>
      <c r="U20" s="31">
        <v>260000</v>
      </c>
      <c r="W20" s="31">
        <v>143500</v>
      </c>
      <c r="Y20" s="31"/>
      <c r="AA20" s="31">
        <v>123500</v>
      </c>
      <c r="AC20" s="66">
        <v>172500</v>
      </c>
      <c r="AE20" s="66">
        <v>51000</v>
      </c>
      <c r="AG20" s="66">
        <v>335500</v>
      </c>
      <c r="AI20" s="66">
        <v>67000</v>
      </c>
      <c r="AK20" s="66">
        <f>Registros!$C$13</f>
        <v>132500</v>
      </c>
      <c r="AM20" s="66">
        <v>271000</v>
      </c>
      <c r="AO20" s="91">
        <v>99000</v>
      </c>
      <c r="AQ20" s="91"/>
      <c r="AS20" s="91">
        <v>176500</v>
      </c>
      <c r="AU20" s="91">
        <v>77250</v>
      </c>
      <c r="AW20" s="91">
        <v>207700</v>
      </c>
      <c r="AY20" s="66">
        <v>107000</v>
      </c>
    </row>
    <row r="21" spans="1:54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6">
        <f>4500+21600</f>
        <v>26100</v>
      </c>
      <c r="AK21" s="66"/>
      <c r="AM21" s="66">
        <f>30000+120000+50000+51500</f>
        <v>251500</v>
      </c>
      <c r="AO21" s="66">
        <f>Gas!$C$15</f>
        <v>221350</v>
      </c>
      <c r="AQ21" s="66">
        <v>15000</v>
      </c>
      <c r="AS21" s="66"/>
      <c r="AU21" s="66"/>
      <c r="AW21" s="66">
        <f>13500+7800+27950</f>
        <v>49250</v>
      </c>
      <c r="AY21" s="66">
        <v>30000</v>
      </c>
    </row>
    <row r="22" spans="1:54" ht="16.5" thickTop="1" thickBot="1" x14ac:dyDescent="0.3">
      <c r="A22" s="19" t="s">
        <v>308</v>
      </c>
      <c r="C22" s="82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  <c r="AW22" s="50">
        <v>0</v>
      </c>
      <c r="AY22" s="50">
        <v>0</v>
      </c>
    </row>
    <row r="23" spans="1:54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172750</v>
      </c>
      <c r="AW23" s="13">
        <f>+SUM(AW18:AW20)-SUM(AW21:AW22)</f>
        <v>331200</v>
      </c>
      <c r="AY23" s="13">
        <f>+SUM(AY18:AY20)-SUM(AY21:AY22)</f>
        <v>108200</v>
      </c>
    </row>
    <row r="25" spans="1:54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4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0</v>
      </c>
      <c r="AV25" s="58"/>
      <c r="AW25" s="58">
        <f>AW14-AW23</f>
        <v>0</v>
      </c>
      <c r="AX25" s="58"/>
      <c r="AY25" s="58">
        <f>AY14-AY23</f>
        <v>0</v>
      </c>
    </row>
    <row r="26" spans="1:54" x14ac:dyDescent="0.25">
      <c r="A26"/>
    </row>
    <row r="27" spans="1:54" x14ac:dyDescent="0.25">
      <c r="A27" s="19" t="s">
        <v>329</v>
      </c>
      <c r="AE27" s="66">
        <f>100000-12050</f>
        <v>87950</v>
      </c>
      <c r="AG27" s="66">
        <f>100000-12050</f>
        <v>87950</v>
      </c>
      <c r="AI27" s="66">
        <f>+AG27-43000</f>
        <v>44950</v>
      </c>
      <c r="AK27" s="66">
        <f>+AI27</f>
        <v>44950</v>
      </c>
      <c r="AM27" s="66">
        <f>+AK27+100000</f>
        <v>144950</v>
      </c>
      <c r="AO27" s="66">
        <f>+AM27-50000</f>
        <v>94950</v>
      </c>
      <c r="AQ27" s="66">
        <f>+AO27</f>
        <v>94950</v>
      </c>
      <c r="AS27" s="66">
        <f>+AQ27-AS19</f>
        <v>344950</v>
      </c>
      <c r="AU27" s="66">
        <v>0</v>
      </c>
      <c r="AW27" s="66">
        <v>0</v>
      </c>
      <c r="AY27" s="66">
        <v>0</v>
      </c>
    </row>
    <row r="28" spans="1:54" x14ac:dyDescent="0.25">
      <c r="A28" s="19" t="s">
        <v>328</v>
      </c>
      <c r="W28">
        <v>75050</v>
      </c>
      <c r="Y28">
        <v>75050</v>
      </c>
      <c r="AG28" s="66">
        <v>100000</v>
      </c>
      <c r="AI28" s="66">
        <v>0</v>
      </c>
      <c r="AK28" s="66">
        <v>0</v>
      </c>
      <c r="AM28" s="66">
        <v>0</v>
      </c>
      <c r="AO28" s="66">
        <v>0</v>
      </c>
      <c r="AQ28" s="66">
        <v>0</v>
      </c>
      <c r="AS28" s="66">
        <v>0</v>
      </c>
      <c r="AU28" s="66">
        <v>0</v>
      </c>
      <c r="AW28" s="66">
        <v>0</v>
      </c>
      <c r="AY28" s="66">
        <v>0</v>
      </c>
    </row>
    <row r="30" spans="1:54" x14ac:dyDescent="0.25">
      <c r="A30" s="89" t="s">
        <v>555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89">
        <f>+(32000-2000)+11000+90000+3650</f>
        <v>134650</v>
      </c>
      <c r="AF30" s="3"/>
      <c r="AG30" s="89">
        <v>113000</v>
      </c>
      <c r="AH30" s="3"/>
      <c r="AI30" s="89">
        <v>94000</v>
      </c>
      <c r="AJ30" s="3"/>
      <c r="AK30" s="89">
        <v>0</v>
      </c>
      <c r="AL30" s="3"/>
      <c r="AM30" s="89">
        <f>+(98000-5000)</f>
        <v>93000</v>
      </c>
      <c r="AN30" s="3"/>
      <c r="AO30" s="89">
        <f>19000+(45000-9000)</f>
        <v>55000</v>
      </c>
      <c r="AP30" s="3"/>
      <c r="AQ30" s="89">
        <f>11000+10000</f>
        <v>21000</v>
      </c>
      <c r="AR30" s="3"/>
      <c r="AS30" s="89">
        <v>78000</v>
      </c>
      <c r="AT30" s="3"/>
      <c r="AU30" s="89">
        <f>8000*4-109500</f>
        <v>-77500</v>
      </c>
      <c r="AV30" s="3"/>
      <c r="AW30" s="89">
        <v>169800</v>
      </c>
      <c r="AX30" s="3"/>
      <c r="AY30" s="89">
        <v>67500</v>
      </c>
    </row>
    <row r="31" spans="1:54" x14ac:dyDescent="0.25">
      <c r="A31" s="89" t="s">
        <v>556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89"/>
      <c r="AF31" s="3"/>
      <c r="AG31" s="89"/>
      <c r="AH31" s="3"/>
      <c r="AI31" s="89"/>
      <c r="AJ31" s="3"/>
      <c r="AK31" s="89"/>
      <c r="AL31" s="3"/>
      <c r="AM31" s="89"/>
      <c r="AN31" s="3"/>
      <c r="AO31" s="89"/>
      <c r="AP31" s="3"/>
      <c r="AQ31" s="89"/>
      <c r="AR31" s="3"/>
      <c r="AS31" s="89"/>
      <c r="AT31" s="3"/>
      <c r="AU31" s="89"/>
      <c r="AV31" s="3"/>
      <c r="AW31" s="89">
        <v>-454000</v>
      </c>
      <c r="AX31" s="3"/>
      <c r="AY31" s="89">
        <v>0</v>
      </c>
    </row>
    <row r="32" spans="1:54" x14ac:dyDescent="0.25">
      <c r="A32" s="89" t="s">
        <v>406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89">
        <f>+AE30</f>
        <v>134650</v>
      </c>
      <c r="AF32" s="3"/>
      <c r="AG32" s="89">
        <f>+AG30+AE32</f>
        <v>247650</v>
      </c>
      <c r="AH32" s="3"/>
      <c r="AI32" s="89">
        <f>+AI30+AG32</f>
        <v>341650</v>
      </c>
      <c r="AJ32" s="3"/>
      <c r="AK32" s="89">
        <f>+AK30+AI32</f>
        <v>341650</v>
      </c>
      <c r="AL32" s="3"/>
      <c r="AM32" s="89">
        <f>+AM30+AK32</f>
        <v>434650</v>
      </c>
      <c r="AN32" s="3"/>
      <c r="AO32" s="89">
        <f>+AO30+AM32</f>
        <v>489650</v>
      </c>
      <c r="AP32" s="3"/>
      <c r="AQ32" s="89">
        <f>+AQ30+AO32</f>
        <v>510650</v>
      </c>
      <c r="AR32" s="3"/>
      <c r="AS32" s="89">
        <f>+AS30+AQ32-(40000+20000)</f>
        <v>528650</v>
      </c>
      <c r="AT32" s="3"/>
      <c r="AU32" s="89">
        <f>+AS32+AS27-40000-40000+AU30</f>
        <v>716100</v>
      </c>
      <c r="AV32" s="3"/>
      <c r="AW32" s="89">
        <f>+AU32+SUM(AW30:AW31)</f>
        <v>431900</v>
      </c>
      <c r="AX32" s="3"/>
      <c r="AY32" s="89">
        <f>+AW32+SUM(AY30:AY31)</f>
        <v>499400</v>
      </c>
    </row>
    <row r="33" spans="1:51" x14ac:dyDescent="0.25">
      <c r="A33" s="90" t="s">
        <v>395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90">
        <v>0</v>
      </c>
      <c r="AF33" s="3"/>
      <c r="AG33" s="90">
        <f>22000+1000</f>
        <v>23000</v>
      </c>
      <c r="AH33" s="3"/>
      <c r="AI33" s="90">
        <v>82000</v>
      </c>
      <c r="AJ33" s="3"/>
      <c r="AK33" s="90">
        <v>0</v>
      </c>
      <c r="AL33" s="3"/>
      <c r="AM33" s="90">
        <f>23000</f>
        <v>23000</v>
      </c>
      <c r="AN33" s="3"/>
      <c r="AO33" s="90">
        <v>0</v>
      </c>
      <c r="AP33" s="3"/>
      <c r="AQ33" s="90">
        <v>0</v>
      </c>
      <c r="AR33" s="3"/>
      <c r="AS33" s="90">
        <f>15000+8000</f>
        <v>23000</v>
      </c>
      <c r="AT33" s="3"/>
      <c r="AU33" s="90">
        <v>0</v>
      </c>
      <c r="AV33" s="3"/>
      <c r="AW33" s="90">
        <v>11000</v>
      </c>
      <c r="AX33" s="3"/>
      <c r="AY33" s="90">
        <v>0</v>
      </c>
    </row>
    <row r="34" spans="1:51" x14ac:dyDescent="0.25">
      <c r="A34" s="90" t="s">
        <v>405</v>
      </c>
      <c r="B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90">
        <v>0</v>
      </c>
      <c r="AF34" s="3"/>
      <c r="AG34" s="90">
        <f>+AG33</f>
        <v>23000</v>
      </c>
      <c r="AH34" s="3"/>
      <c r="AI34" s="90">
        <f>+AI33+AG34</f>
        <v>105000</v>
      </c>
      <c r="AJ34" s="3"/>
      <c r="AK34" s="90">
        <f>+AK33+AI34</f>
        <v>105000</v>
      </c>
      <c r="AL34" s="3"/>
      <c r="AM34" s="90">
        <f>+AM33+AK34</f>
        <v>128000</v>
      </c>
      <c r="AN34" s="3"/>
      <c r="AO34" s="90">
        <f>+AO33+AM34</f>
        <v>128000</v>
      </c>
      <c r="AP34" s="3"/>
      <c r="AQ34" s="90">
        <f>+AQ33+AO34</f>
        <v>128000</v>
      </c>
      <c r="AR34" s="3"/>
      <c r="AS34" s="90">
        <f>+AS33+AQ34</f>
        <v>151000</v>
      </c>
      <c r="AT34" s="3"/>
      <c r="AU34" s="90">
        <f>+AU33+AS34</f>
        <v>151000</v>
      </c>
      <c r="AV34" s="3"/>
      <c r="AW34" s="90">
        <f>+AW33+AU34</f>
        <v>162000</v>
      </c>
      <c r="AX34" s="3"/>
      <c r="AY34" s="90">
        <f>+AY33+AW34</f>
        <v>162000</v>
      </c>
    </row>
    <row r="36" spans="1:51" x14ac:dyDescent="0.25">
      <c r="A36" s="76" t="s">
        <v>138</v>
      </c>
      <c r="AW36" s="120">
        <f>+AW20+AW30+AW33</f>
        <v>388500</v>
      </c>
      <c r="AY36" s="120">
        <f>+AY20+AY30+AY33</f>
        <v>174500</v>
      </c>
    </row>
    <row r="38" spans="1:51" x14ac:dyDescent="0.25">
      <c r="A38" s="16" t="s">
        <v>407</v>
      </c>
      <c r="B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89"/>
      <c r="AH38" s="3"/>
      <c r="AI38" s="89">
        <v>24000</v>
      </c>
      <c r="AJ38" s="3"/>
      <c r="AK38" s="89">
        <f>16000+AI38</f>
        <v>40000</v>
      </c>
      <c r="AL38" s="3"/>
      <c r="AM38" s="16">
        <f>8000*5</f>
        <v>40000</v>
      </c>
      <c r="AN38" s="3"/>
      <c r="AO38" s="89"/>
      <c r="AP38" s="3"/>
      <c r="AQ38" s="16">
        <f>16000+AM38</f>
        <v>56000</v>
      </c>
      <c r="AR38" s="3"/>
      <c r="AS38" s="89"/>
      <c r="AT38" s="3"/>
      <c r="AU38" s="89"/>
      <c r="AV38" s="3"/>
      <c r="AW38" s="89"/>
      <c r="AX38" s="3"/>
      <c r="AY38" s="89"/>
    </row>
    <row r="39" spans="1:51" x14ac:dyDescent="0.25">
      <c r="A39" s="16" t="s">
        <v>403</v>
      </c>
      <c r="AY39">
        <v>423300</v>
      </c>
    </row>
    <row r="41" spans="1:51" x14ac:dyDescent="0.25">
      <c r="AM41" s="13">
        <f>+SUM(AM23,AM27,AM32,AM34)</f>
        <v>843850</v>
      </c>
    </row>
    <row r="43" spans="1:51" x14ac:dyDescent="0.25">
      <c r="AM43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1:M108"/>
  <sheetViews>
    <sheetView zoomScale="115" zoomScaleNormal="115" workbookViewId="0">
      <pane ySplit="5" topLeftCell="A105" activePane="bottomLeft" state="frozen"/>
      <selection activeCell="C1" sqref="C1"/>
      <selection pane="bottomLeft" activeCell="D113" sqref="D113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58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/>
      <c r="C1" s="32" t="s">
        <v>142</v>
      </c>
      <c r="D1" s="3">
        <f>+SUMIF($H$6:$H$1048576,C1,$D$6:$D$1048576)</f>
        <v>464900</v>
      </c>
    </row>
    <row r="2" spans="1:10" ht="15.75" thickBot="1" x14ac:dyDescent="0.3">
      <c r="C2" s="33" t="s">
        <v>147</v>
      </c>
      <c r="D2" s="28">
        <f>+SUMIF($H$6:$H$1048576,C2,$D$6:$D$1048576)</f>
        <v>151000</v>
      </c>
    </row>
    <row r="3" spans="1:10" ht="15.75" thickTop="1" x14ac:dyDescent="0.25">
      <c r="D3" s="3">
        <f>+SUM(D6:D1048576)</f>
        <v>658900</v>
      </c>
      <c r="H3" s="22" t="s">
        <v>127</v>
      </c>
    </row>
    <row r="4" spans="1:10" x14ac:dyDescent="0.25">
      <c r="D4" s="3"/>
    </row>
    <row r="5" spans="1:10" x14ac:dyDescent="0.25">
      <c r="A5" s="36" t="s">
        <v>5</v>
      </c>
      <c r="B5" s="36" t="s">
        <v>378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58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58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58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58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58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58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58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58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58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58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58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113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113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113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113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113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113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58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58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58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114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58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58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58">
        <v>19000</v>
      </c>
      <c r="E30" s="3" t="s">
        <v>222</v>
      </c>
      <c r="H30" s="32" t="s">
        <v>142</v>
      </c>
      <c r="I30" t="s">
        <v>261</v>
      </c>
    </row>
    <row r="31" spans="1:10" x14ac:dyDescent="0.25">
      <c r="A31" s="2">
        <v>46085</v>
      </c>
      <c r="B31" s="2" t="str">
        <f t="shared" si="3"/>
        <v>mié</v>
      </c>
      <c r="D31" s="58">
        <v>8000</v>
      </c>
      <c r="E31" s="3" t="s">
        <v>222</v>
      </c>
      <c r="H31" s="32" t="s">
        <v>142</v>
      </c>
      <c r="I31" t="s">
        <v>260</v>
      </c>
    </row>
    <row r="32" spans="1:10" x14ac:dyDescent="0.25">
      <c r="A32" s="2">
        <v>46085</v>
      </c>
      <c r="B32" s="2" t="str">
        <f t="shared" si="3"/>
        <v>mié</v>
      </c>
      <c r="D32" s="58">
        <v>18000</v>
      </c>
      <c r="E32" s="3" t="s">
        <v>222</v>
      </c>
      <c r="H32" s="32" t="s">
        <v>142</v>
      </c>
      <c r="I32" t="s">
        <v>259</v>
      </c>
    </row>
    <row r="33" spans="1:13" x14ac:dyDescent="0.25">
      <c r="A33" s="2">
        <v>46085</v>
      </c>
      <c r="B33" s="2" t="str">
        <f t="shared" si="3"/>
        <v>mié</v>
      </c>
      <c r="D33" s="58">
        <v>8000</v>
      </c>
      <c r="E33" s="3" t="s">
        <v>222</v>
      </c>
      <c r="H33" s="32" t="s">
        <v>142</v>
      </c>
      <c r="I33" t="s">
        <v>258</v>
      </c>
    </row>
    <row r="34" spans="1:13" x14ac:dyDescent="0.25">
      <c r="A34" s="2">
        <v>46085</v>
      </c>
      <c r="B34" s="2" t="str">
        <f t="shared" si="3"/>
        <v>mié</v>
      </c>
      <c r="D34" s="58">
        <v>64000</v>
      </c>
      <c r="E34" s="3" t="s">
        <v>222</v>
      </c>
      <c r="H34" s="32" t="s">
        <v>142</v>
      </c>
      <c r="I34" t="s">
        <v>257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58">
        <v>30000</v>
      </c>
      <c r="E35" s="3" t="s">
        <v>222</v>
      </c>
      <c r="H35" s="32" t="s">
        <v>142</v>
      </c>
      <c r="I35" t="s">
        <v>266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58">
        <v>11000</v>
      </c>
      <c r="E36" s="3" t="s">
        <v>222</v>
      </c>
      <c r="H36" s="32" t="s">
        <v>142</v>
      </c>
      <c r="I36" t="s">
        <v>265</v>
      </c>
    </row>
    <row r="37" spans="1:13" x14ac:dyDescent="0.25">
      <c r="A37" s="2">
        <v>46086</v>
      </c>
      <c r="B37" s="2" t="str">
        <f t="shared" si="3"/>
        <v>jue</v>
      </c>
      <c r="D37" s="58">
        <v>16000</v>
      </c>
      <c r="E37" s="3" t="s">
        <v>222</v>
      </c>
      <c r="H37" s="32" t="s">
        <v>142</v>
      </c>
      <c r="I37" t="s">
        <v>264</v>
      </c>
    </row>
    <row r="38" spans="1:13" x14ac:dyDescent="0.25">
      <c r="A38" s="2">
        <v>46086</v>
      </c>
      <c r="B38" s="2" t="str">
        <f t="shared" si="3"/>
        <v>jue</v>
      </c>
      <c r="D38" s="58">
        <v>39500</v>
      </c>
      <c r="E38" s="3" t="s">
        <v>222</v>
      </c>
      <c r="H38" s="32" t="s">
        <v>142</v>
      </c>
      <c r="I38" t="s">
        <v>263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58">
        <v>35000</v>
      </c>
      <c r="E39" s="3" t="s">
        <v>222</v>
      </c>
      <c r="H39" s="32" t="s">
        <v>142</v>
      </c>
      <c r="I39" t="s">
        <v>262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58">
        <v>28000</v>
      </c>
      <c r="E40" s="3" t="s">
        <v>222</v>
      </c>
      <c r="H40" s="32" t="s">
        <v>142</v>
      </c>
      <c r="I40" t="s">
        <v>316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58">
        <v>43000</v>
      </c>
      <c r="E41" s="3" t="s">
        <v>222</v>
      </c>
      <c r="H41" s="32"/>
      <c r="I41" t="s">
        <v>267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58">
        <v>30000</v>
      </c>
      <c r="E42" s="3" t="s">
        <v>222</v>
      </c>
      <c r="H42" s="32" t="s">
        <v>142</v>
      </c>
      <c r="I42" t="s">
        <v>360</v>
      </c>
    </row>
    <row r="43" spans="1:13" x14ac:dyDescent="0.25">
      <c r="A43" s="2">
        <v>46089</v>
      </c>
      <c r="B43" s="2" t="str">
        <f t="shared" si="5"/>
        <v>dom</v>
      </c>
      <c r="D43" s="58">
        <v>54000</v>
      </c>
      <c r="E43" s="3" t="s">
        <v>222</v>
      </c>
      <c r="H43" s="32" t="s">
        <v>142</v>
      </c>
      <c r="I43" t="s">
        <v>362</v>
      </c>
    </row>
    <row r="44" spans="1:13" x14ac:dyDescent="0.25">
      <c r="A44" s="2">
        <v>46089</v>
      </c>
      <c r="B44" s="2" t="str">
        <f t="shared" si="5"/>
        <v>dom</v>
      </c>
      <c r="D44" s="58">
        <v>8000</v>
      </c>
      <c r="E44" s="3" t="s">
        <v>222</v>
      </c>
      <c r="H44" s="32" t="s">
        <v>142</v>
      </c>
      <c r="I44" t="s">
        <v>361</v>
      </c>
    </row>
    <row r="45" spans="1:13" x14ac:dyDescent="0.25">
      <c r="A45" s="2">
        <v>46089</v>
      </c>
      <c r="B45" s="2" t="str">
        <f t="shared" si="5"/>
        <v>dom</v>
      </c>
      <c r="D45" s="58">
        <v>30000</v>
      </c>
      <c r="E45" s="3" t="s">
        <v>222</v>
      </c>
      <c r="H45" s="32" t="s">
        <v>142</v>
      </c>
      <c r="I45" t="s">
        <v>363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268</v>
      </c>
      <c r="D46" s="69">
        <v>16000</v>
      </c>
      <c r="E46" s="3" t="s">
        <v>222</v>
      </c>
      <c r="H46" s="32" t="s">
        <v>142</v>
      </c>
      <c r="I46" s="1" t="s">
        <v>317</v>
      </c>
    </row>
    <row r="47" spans="1:13" x14ac:dyDescent="0.25">
      <c r="A47" s="2">
        <v>46091</v>
      </c>
      <c r="B47" s="2" t="str">
        <f>+TEXT(A47,"ddd")</f>
        <v>mar</v>
      </c>
      <c r="D47" s="58">
        <v>90000</v>
      </c>
      <c r="E47" s="3" t="s">
        <v>222</v>
      </c>
      <c r="H47" s="32" t="s">
        <v>142</v>
      </c>
      <c r="I47" s="33" t="s">
        <v>351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352</v>
      </c>
    </row>
    <row r="49" spans="1:9" x14ac:dyDescent="0.25">
      <c r="A49" s="2">
        <v>46091</v>
      </c>
      <c r="B49" s="2" t="str">
        <f>+TEXT(A49,"ddd")</f>
        <v>mar</v>
      </c>
      <c r="D49" s="58">
        <v>30000</v>
      </c>
      <c r="E49" s="3" t="s">
        <v>222</v>
      </c>
      <c r="H49" s="32" t="s">
        <v>142</v>
      </c>
      <c r="I49" t="s">
        <v>353</v>
      </c>
    </row>
    <row r="50" spans="1:9" x14ac:dyDescent="0.25">
      <c r="A50" s="2">
        <v>46091</v>
      </c>
      <c r="B50" s="2" t="str">
        <f>+TEXT(A50,"ddd")</f>
        <v>mar</v>
      </c>
      <c r="D50" s="58">
        <v>11000</v>
      </c>
      <c r="E50" s="3" t="s">
        <v>222</v>
      </c>
      <c r="H50" s="32" t="s">
        <v>142</v>
      </c>
      <c r="I50" t="s">
        <v>350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58">
        <v>8000</v>
      </c>
      <c r="E51" s="3" t="s">
        <v>222</v>
      </c>
      <c r="H51" s="32" t="s">
        <v>142</v>
      </c>
      <c r="I51" t="s">
        <v>354</v>
      </c>
    </row>
    <row r="52" spans="1:9" x14ac:dyDescent="0.25">
      <c r="A52" s="2">
        <v>46092</v>
      </c>
      <c r="B52" s="2" t="str">
        <f t="shared" si="6"/>
        <v>mié</v>
      </c>
      <c r="D52" s="115">
        <v>24000</v>
      </c>
      <c r="E52" s="3" t="s">
        <v>222</v>
      </c>
      <c r="H52" s="32" t="s">
        <v>142</v>
      </c>
      <c r="I52" t="s">
        <v>355</v>
      </c>
    </row>
    <row r="53" spans="1:9" x14ac:dyDescent="0.25">
      <c r="A53" s="2">
        <v>46092</v>
      </c>
      <c r="B53" s="2" t="str">
        <f t="shared" si="6"/>
        <v>mié</v>
      </c>
      <c r="D53" s="58">
        <v>22000</v>
      </c>
      <c r="E53" s="3" t="s">
        <v>222</v>
      </c>
      <c r="H53" s="32" t="s">
        <v>142</v>
      </c>
      <c r="I53" t="s">
        <v>350</v>
      </c>
    </row>
    <row r="54" spans="1:9" x14ac:dyDescent="0.25">
      <c r="A54" s="2">
        <v>46092</v>
      </c>
      <c r="B54" s="2" t="str">
        <f t="shared" si="6"/>
        <v>mié</v>
      </c>
      <c r="D54" s="58">
        <v>8000</v>
      </c>
      <c r="E54" s="3" t="s">
        <v>222</v>
      </c>
      <c r="H54" s="32" t="s">
        <v>142</v>
      </c>
      <c r="I54" t="s">
        <v>356</v>
      </c>
    </row>
    <row r="55" spans="1:9" x14ac:dyDescent="0.25">
      <c r="A55" s="2">
        <v>46092</v>
      </c>
      <c r="B55" s="2" t="str">
        <f t="shared" si="6"/>
        <v>mié</v>
      </c>
      <c r="D55" s="58">
        <v>32000</v>
      </c>
      <c r="E55" s="3" t="s">
        <v>222</v>
      </c>
      <c r="H55" s="32" t="s">
        <v>142</v>
      </c>
      <c r="I55" t="s">
        <v>359</v>
      </c>
    </row>
    <row r="56" spans="1:9" x14ac:dyDescent="0.25">
      <c r="A56" s="2">
        <v>46092</v>
      </c>
      <c r="B56" s="2" t="str">
        <f t="shared" si="6"/>
        <v>mié</v>
      </c>
      <c r="D56" s="58">
        <v>8000</v>
      </c>
      <c r="E56" s="3" t="s">
        <v>222</v>
      </c>
      <c r="H56" s="32" t="s">
        <v>142</v>
      </c>
      <c r="I56" t="s">
        <v>357</v>
      </c>
    </row>
    <row r="57" spans="1:9" x14ac:dyDescent="0.25">
      <c r="A57" s="2">
        <v>46092</v>
      </c>
      <c r="B57" s="2" t="str">
        <f t="shared" si="6"/>
        <v>mié</v>
      </c>
      <c r="D57" s="58">
        <v>11000</v>
      </c>
      <c r="E57" s="3" t="s">
        <v>222</v>
      </c>
      <c r="H57" s="32" t="s">
        <v>142</v>
      </c>
      <c r="I57" t="s">
        <v>358</v>
      </c>
    </row>
    <row r="58" spans="1:9" x14ac:dyDescent="0.25">
      <c r="A58" s="2">
        <v>46092</v>
      </c>
      <c r="B58" s="2" t="str">
        <f t="shared" si="6"/>
        <v>mié</v>
      </c>
      <c r="D58" s="58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58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58">
        <v>82000</v>
      </c>
      <c r="E60" s="3" t="s">
        <v>222</v>
      </c>
      <c r="F60" s="87" t="s">
        <v>365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58">
        <v>11000</v>
      </c>
      <c r="E61" s="3" t="s">
        <v>222</v>
      </c>
      <c r="F61" s="87" t="s">
        <v>379</v>
      </c>
      <c r="H61" s="32" t="s">
        <v>142</v>
      </c>
      <c r="I61" t="s">
        <v>350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58">
        <v>24000</v>
      </c>
      <c r="E62" s="3" t="s">
        <v>222</v>
      </c>
      <c r="F62" s="87" t="s">
        <v>380</v>
      </c>
      <c r="H62" s="32" t="s">
        <v>142</v>
      </c>
      <c r="I62" t="s">
        <v>374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58">
        <v>24000</v>
      </c>
      <c r="E63" s="3" t="s">
        <v>222</v>
      </c>
      <c r="F63" s="87" t="s">
        <v>404</v>
      </c>
      <c r="H63" s="32" t="s">
        <v>142</v>
      </c>
      <c r="I63" t="s">
        <v>375</v>
      </c>
    </row>
    <row r="64" spans="1:9" x14ac:dyDescent="0.25">
      <c r="A64" s="2">
        <v>46093</v>
      </c>
      <c r="B64" s="2" t="str">
        <f t="shared" si="8"/>
        <v>jue</v>
      </c>
      <c r="D64" s="58">
        <v>11000</v>
      </c>
      <c r="E64" s="3" t="s">
        <v>222</v>
      </c>
      <c r="H64" s="32" t="s">
        <v>142</v>
      </c>
      <c r="I64" t="s">
        <v>376</v>
      </c>
    </row>
    <row r="65" spans="1:9" x14ac:dyDescent="0.25">
      <c r="A65" s="2">
        <v>46095</v>
      </c>
      <c r="B65" s="2" t="str">
        <f t="shared" si="8"/>
        <v>sáb</v>
      </c>
      <c r="D65" s="58">
        <v>23000</v>
      </c>
      <c r="E65" s="3" t="s">
        <v>222</v>
      </c>
      <c r="F65" s="87" t="s">
        <v>365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58">
        <v>11000</v>
      </c>
      <c r="E66" s="3" t="s">
        <v>222</v>
      </c>
      <c r="F66" s="87" t="s">
        <v>402</v>
      </c>
      <c r="H66" s="32" t="s">
        <v>142</v>
      </c>
      <c r="I66" t="s">
        <v>396</v>
      </c>
    </row>
    <row r="67" spans="1:9" x14ac:dyDescent="0.25">
      <c r="A67" s="2">
        <v>46095</v>
      </c>
      <c r="B67" s="2" t="str">
        <f t="shared" si="8"/>
        <v>sáb</v>
      </c>
      <c r="D67" s="58">
        <v>11000</v>
      </c>
      <c r="E67" s="3" t="s">
        <v>222</v>
      </c>
      <c r="F67" s="87" t="s">
        <v>401</v>
      </c>
      <c r="H67" s="32" t="s">
        <v>142</v>
      </c>
      <c r="I67" t="s">
        <v>397</v>
      </c>
    </row>
    <row r="68" spans="1:9" x14ac:dyDescent="0.25">
      <c r="A68" s="2">
        <v>46095</v>
      </c>
      <c r="B68" s="2" t="str">
        <f t="shared" si="8"/>
        <v>sáb</v>
      </c>
      <c r="D68" s="58">
        <v>57500</v>
      </c>
      <c r="E68" s="3" t="s">
        <v>222</v>
      </c>
      <c r="F68" s="87"/>
      <c r="H68" s="32" t="s">
        <v>142</v>
      </c>
      <c r="I68" t="s">
        <v>398</v>
      </c>
    </row>
    <row r="69" spans="1:9" x14ac:dyDescent="0.25">
      <c r="A69" s="2">
        <v>46095</v>
      </c>
      <c r="B69" s="2" t="str">
        <f t="shared" si="8"/>
        <v>sáb</v>
      </c>
      <c r="D69" s="58">
        <v>13500</v>
      </c>
      <c r="E69" s="3" t="s">
        <v>222</v>
      </c>
      <c r="F69" s="87" t="s">
        <v>400</v>
      </c>
      <c r="H69" s="32" t="s">
        <v>142</v>
      </c>
      <c r="I69" t="s">
        <v>399</v>
      </c>
    </row>
    <row r="70" spans="1:9" x14ac:dyDescent="0.25">
      <c r="A70" s="2">
        <v>46096</v>
      </c>
      <c r="B70" s="2" t="str">
        <f t="shared" si="8"/>
        <v>dom</v>
      </c>
      <c r="D70" s="58">
        <v>19000</v>
      </c>
      <c r="E70" s="3" t="s">
        <v>222</v>
      </c>
      <c r="H70" s="32" t="s">
        <v>142</v>
      </c>
      <c r="I70" t="s">
        <v>399</v>
      </c>
    </row>
    <row r="71" spans="1:9" x14ac:dyDescent="0.25">
      <c r="A71" s="2">
        <v>46096</v>
      </c>
      <c r="B71" s="2" t="str">
        <f t="shared" si="8"/>
        <v>dom</v>
      </c>
      <c r="D71" s="58">
        <v>36000</v>
      </c>
      <c r="E71" s="3" t="s">
        <v>222</v>
      </c>
      <c r="H71" s="32" t="s">
        <v>142</v>
      </c>
      <c r="I71" t="s">
        <v>419</v>
      </c>
    </row>
    <row r="72" spans="1:9" x14ac:dyDescent="0.25">
      <c r="A72" s="2">
        <v>46097</v>
      </c>
      <c r="B72" s="2" t="str">
        <f t="shared" si="8"/>
        <v>lun</v>
      </c>
      <c r="D72" s="58">
        <v>10000</v>
      </c>
      <c r="E72" s="3" t="s">
        <v>222</v>
      </c>
      <c r="H72" s="32" t="s">
        <v>142</v>
      </c>
      <c r="I72" t="s">
        <v>420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58">
        <v>11000</v>
      </c>
      <c r="E73" s="3" t="s">
        <v>222</v>
      </c>
      <c r="H73" s="32" t="s">
        <v>142</v>
      </c>
      <c r="I73" t="s">
        <v>421</v>
      </c>
    </row>
    <row r="74" spans="1:9" x14ac:dyDescent="0.25">
      <c r="A74" s="2">
        <v>46098</v>
      </c>
      <c r="B74" s="2" t="str">
        <f t="shared" si="9"/>
        <v>mar</v>
      </c>
      <c r="D74" s="58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58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58">
        <v>50000</v>
      </c>
      <c r="E76" s="3" t="s">
        <v>222</v>
      </c>
      <c r="H76" s="32" t="s">
        <v>142</v>
      </c>
      <c r="I76" t="s">
        <v>422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58">
        <v>11000</v>
      </c>
      <c r="E77" s="3" t="s">
        <v>222</v>
      </c>
      <c r="H77" s="32" t="s">
        <v>142</v>
      </c>
      <c r="I77" t="s">
        <v>423</v>
      </c>
    </row>
    <row r="78" spans="1:9" x14ac:dyDescent="0.25">
      <c r="A78" s="2">
        <v>46098</v>
      </c>
      <c r="B78" s="2" t="str">
        <f t="shared" si="11"/>
        <v>mar</v>
      </c>
      <c r="D78" s="58">
        <v>8000</v>
      </c>
      <c r="E78" s="3" t="s">
        <v>222</v>
      </c>
      <c r="H78" s="32" t="s">
        <v>142</v>
      </c>
      <c r="I78" t="s">
        <v>424</v>
      </c>
    </row>
    <row r="79" spans="1:9" x14ac:dyDescent="0.25">
      <c r="A79" s="2">
        <v>46098</v>
      </c>
      <c r="B79" s="2" t="str">
        <f t="shared" si="11"/>
        <v>mar</v>
      </c>
      <c r="D79" s="58">
        <v>9000</v>
      </c>
      <c r="E79" s="3" t="s">
        <v>222</v>
      </c>
      <c r="H79" s="32" t="s">
        <v>142</v>
      </c>
      <c r="I79" t="s">
        <v>425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426</v>
      </c>
      <c r="H80" s="32" t="s">
        <v>142</v>
      </c>
      <c r="I80" t="s">
        <v>427</v>
      </c>
    </row>
    <row r="81" spans="1:9" x14ac:dyDescent="0.25">
      <c r="A81" s="2">
        <v>46099</v>
      </c>
      <c r="B81" s="2" t="str">
        <f t="shared" ref="B81" si="12">+TEXT(A81,"ddd")</f>
        <v>mié</v>
      </c>
      <c r="D81" s="58">
        <v>344950</v>
      </c>
      <c r="E81" s="3" t="s">
        <v>139</v>
      </c>
      <c r="H81" s="32" t="s">
        <v>142</v>
      </c>
      <c r="I81" t="s">
        <v>433</v>
      </c>
    </row>
    <row r="82" spans="1:9" x14ac:dyDescent="0.25">
      <c r="A82" s="15">
        <v>46093</v>
      </c>
      <c r="B82" s="15" t="str">
        <f>+TEXT(A82,"ddd")</f>
        <v>jue</v>
      </c>
      <c r="C82" s="1"/>
      <c r="D82" s="69">
        <v>24000</v>
      </c>
      <c r="E82" s="16" t="s">
        <v>222</v>
      </c>
      <c r="F82" s="16" t="s">
        <v>438</v>
      </c>
      <c r="G82" s="16" t="s">
        <v>377</v>
      </c>
      <c r="H82" s="32" t="s">
        <v>142</v>
      </c>
      <c r="I82" s="16" t="s">
        <v>435</v>
      </c>
    </row>
    <row r="83" spans="1:9" x14ac:dyDescent="0.25">
      <c r="A83" s="15">
        <v>46093</v>
      </c>
      <c r="B83" s="15" t="str">
        <f>+TEXT(A83,"ddd")</f>
        <v>jue</v>
      </c>
      <c r="C83" s="1"/>
      <c r="D83" s="69">
        <v>-24000</v>
      </c>
      <c r="E83" s="16" t="s">
        <v>222</v>
      </c>
      <c r="F83" s="16" t="s">
        <v>438</v>
      </c>
      <c r="G83" s="16" t="s">
        <v>377</v>
      </c>
      <c r="H83" s="32" t="s">
        <v>142</v>
      </c>
      <c r="I83" s="16" t="s">
        <v>436</v>
      </c>
    </row>
    <row r="84" spans="1:9" x14ac:dyDescent="0.25">
      <c r="A84" s="2">
        <v>46099</v>
      </c>
      <c r="B84" s="2" t="str">
        <f t="shared" ref="B84" si="13">+TEXT(A84,"ddd")</f>
        <v>mié</v>
      </c>
      <c r="D84" s="58">
        <v>-40000</v>
      </c>
      <c r="E84" s="3" t="s">
        <v>426</v>
      </c>
      <c r="H84" s="32" t="s">
        <v>142</v>
      </c>
      <c r="I84" t="s">
        <v>432</v>
      </c>
    </row>
    <row r="85" spans="1:9" x14ac:dyDescent="0.25">
      <c r="A85" s="2">
        <v>46099</v>
      </c>
      <c r="B85" s="2" t="str">
        <f t="shared" ref="B85" si="14">+TEXT(A85,"ddd")</f>
        <v>mié</v>
      </c>
      <c r="D85" s="58">
        <v>-40000</v>
      </c>
      <c r="E85" s="3" t="s">
        <v>426</v>
      </c>
      <c r="H85" s="32" t="s">
        <v>142</v>
      </c>
      <c r="I85" t="s">
        <v>434</v>
      </c>
    </row>
    <row r="86" spans="1:9" x14ac:dyDescent="0.25">
      <c r="A86" s="15">
        <v>46099</v>
      </c>
      <c r="B86" s="15" t="str">
        <f>+TEXT(A86,"ddd")</f>
        <v>mié</v>
      </c>
      <c r="C86" s="1"/>
      <c r="D86" s="69">
        <f>8000*4</f>
        <v>32000</v>
      </c>
      <c r="E86" s="16" t="s">
        <v>222</v>
      </c>
      <c r="F86" s="87" t="s">
        <v>437</v>
      </c>
      <c r="G86" s="16" t="s">
        <v>377</v>
      </c>
      <c r="H86" s="32" t="s">
        <v>142</v>
      </c>
      <c r="I86" s="16" t="s">
        <v>435</v>
      </c>
    </row>
    <row r="87" spans="1:9" x14ac:dyDescent="0.25">
      <c r="A87" s="2">
        <v>46099</v>
      </c>
      <c r="B87" s="2" t="str">
        <f t="shared" ref="B87" si="15">+TEXT(A87,"ddd")</f>
        <v>mié</v>
      </c>
      <c r="D87" s="58">
        <v>-116000</v>
      </c>
      <c r="E87" s="3" t="s">
        <v>426</v>
      </c>
      <c r="H87" s="32" t="s">
        <v>142</v>
      </c>
      <c r="I87" s="16" t="s">
        <v>448</v>
      </c>
    </row>
    <row r="88" spans="1:9" x14ac:dyDescent="0.25">
      <c r="A88" s="2">
        <v>46099</v>
      </c>
      <c r="B88" s="2" t="str">
        <f t="shared" ref="B88" si="16">+TEXT(A88,"ddd")</f>
        <v>mié</v>
      </c>
      <c r="D88" s="114">
        <f>+-8500-6000</f>
        <v>-14500</v>
      </c>
      <c r="E88" s="3" t="s">
        <v>426</v>
      </c>
      <c r="H88" s="32" t="s">
        <v>142</v>
      </c>
      <c r="I88" s="16" t="s">
        <v>449</v>
      </c>
    </row>
    <row r="89" spans="1:9" x14ac:dyDescent="0.25">
      <c r="A89" s="2">
        <v>46099</v>
      </c>
      <c r="B89" s="2" t="str">
        <f t="shared" ref="B89:B91" si="17">+TEXT(A89,"ddd")</f>
        <v>mié</v>
      </c>
      <c r="D89" s="58">
        <v>38000</v>
      </c>
      <c r="E89" s="3" t="s">
        <v>222</v>
      </c>
      <c r="H89" s="32" t="s">
        <v>142</v>
      </c>
    </row>
    <row r="90" spans="1:9" x14ac:dyDescent="0.25">
      <c r="A90" s="2">
        <v>46099</v>
      </c>
      <c r="B90" s="2" t="str">
        <f t="shared" si="17"/>
        <v>mié</v>
      </c>
      <c r="D90" s="58">
        <v>16000</v>
      </c>
      <c r="E90" s="3" t="s">
        <v>222</v>
      </c>
      <c r="H90" s="32" t="s">
        <v>142</v>
      </c>
    </row>
    <row r="91" spans="1:9" x14ac:dyDescent="0.25">
      <c r="A91" s="2">
        <v>46099</v>
      </c>
      <c r="B91" s="2" t="str">
        <f t="shared" si="17"/>
        <v>mié</v>
      </c>
      <c r="D91" s="58">
        <v>8000</v>
      </c>
      <c r="E91" s="3" t="s">
        <v>222</v>
      </c>
      <c r="H91" s="32" t="s">
        <v>142</v>
      </c>
    </row>
    <row r="92" spans="1:9" x14ac:dyDescent="0.25">
      <c r="A92" s="2">
        <v>46099</v>
      </c>
      <c r="B92" s="2" t="str">
        <f t="shared" ref="B92" si="18">+TEXT(A92,"ddd")</f>
        <v>mié</v>
      </c>
      <c r="D92" s="58">
        <v>9000</v>
      </c>
      <c r="E92" s="3" t="s">
        <v>222</v>
      </c>
      <c r="H92" s="32" t="s">
        <v>142</v>
      </c>
    </row>
    <row r="93" spans="1:9" x14ac:dyDescent="0.25">
      <c r="A93" s="2">
        <v>46099</v>
      </c>
      <c r="B93" s="2" t="str">
        <f t="shared" ref="B93" si="19">+TEXT(A93,"ddd")</f>
        <v>mié</v>
      </c>
      <c r="D93" s="114">
        <v>-50000</v>
      </c>
      <c r="E93" s="3" t="s">
        <v>426</v>
      </c>
      <c r="H93" s="32" t="s">
        <v>142</v>
      </c>
      <c r="I93" t="s">
        <v>452</v>
      </c>
    </row>
    <row r="95" spans="1:9" x14ac:dyDescent="0.25">
      <c r="A95" s="2">
        <v>46100</v>
      </c>
      <c r="B95" s="2" t="str">
        <f t="shared" ref="B95" si="20">+TEXT(A95,"ddd")</f>
        <v>jue</v>
      </c>
      <c r="D95" s="58">
        <v>8000</v>
      </c>
      <c r="E95" s="3" t="s">
        <v>222</v>
      </c>
      <c r="F95" s="117">
        <v>268</v>
      </c>
      <c r="H95" s="32" t="s">
        <v>142</v>
      </c>
      <c r="I95" t="s">
        <v>530</v>
      </c>
    </row>
    <row r="96" spans="1:9" x14ac:dyDescent="0.25">
      <c r="A96" s="2">
        <v>46100</v>
      </c>
      <c r="B96" s="2" t="str">
        <f t="shared" ref="B96:B103" si="21">+TEXT(A96,"ddd")</f>
        <v>jue</v>
      </c>
      <c r="D96" s="58">
        <v>14000</v>
      </c>
      <c r="E96" s="3" t="s">
        <v>222</v>
      </c>
      <c r="F96" s="118">
        <v>270</v>
      </c>
      <c r="H96" s="32" t="s">
        <v>142</v>
      </c>
      <c r="I96" t="s">
        <v>531</v>
      </c>
    </row>
    <row r="97" spans="1:9" x14ac:dyDescent="0.25">
      <c r="A97" s="2">
        <v>46100</v>
      </c>
      <c r="B97" s="2" t="str">
        <f t="shared" si="21"/>
        <v>jue</v>
      </c>
      <c r="D97" s="58">
        <v>8000</v>
      </c>
      <c r="E97" s="3" t="s">
        <v>222</v>
      </c>
      <c r="F97" s="118">
        <v>270</v>
      </c>
      <c r="H97" s="32" t="s">
        <v>142</v>
      </c>
      <c r="I97" t="s">
        <v>531</v>
      </c>
    </row>
    <row r="98" spans="1:9" x14ac:dyDescent="0.25">
      <c r="A98" s="2">
        <v>46100</v>
      </c>
      <c r="B98" s="2" t="str">
        <f t="shared" si="21"/>
        <v>jue</v>
      </c>
      <c r="D98" s="58">
        <v>30000</v>
      </c>
      <c r="E98" s="3" t="s">
        <v>222</v>
      </c>
      <c r="F98" s="117">
        <v>271</v>
      </c>
      <c r="H98" s="32" t="s">
        <v>142</v>
      </c>
      <c r="I98" t="s">
        <v>532</v>
      </c>
    </row>
    <row r="99" spans="1:9" x14ac:dyDescent="0.25">
      <c r="A99" s="2">
        <v>46100</v>
      </c>
      <c r="B99" s="2" t="str">
        <f t="shared" si="21"/>
        <v>jue</v>
      </c>
      <c r="D99" s="58">
        <v>19000</v>
      </c>
      <c r="E99" s="3" t="s">
        <v>222</v>
      </c>
      <c r="F99" s="116">
        <v>272</v>
      </c>
      <c r="H99" s="32" t="s">
        <v>142</v>
      </c>
      <c r="I99" t="s">
        <v>533</v>
      </c>
    </row>
    <row r="100" spans="1:9" x14ac:dyDescent="0.25">
      <c r="A100" s="2">
        <v>46100</v>
      </c>
      <c r="B100" s="2" t="str">
        <f t="shared" ref="B100" si="22">+TEXT(A100,"ddd")</f>
        <v>jue</v>
      </c>
      <c r="D100" s="58">
        <v>16000</v>
      </c>
      <c r="E100" s="3" t="s">
        <v>222</v>
      </c>
      <c r="F100" s="117">
        <v>278</v>
      </c>
      <c r="H100" s="32" t="s">
        <v>142</v>
      </c>
      <c r="I100" t="s">
        <v>534</v>
      </c>
    </row>
    <row r="101" spans="1:9" x14ac:dyDescent="0.25">
      <c r="A101" s="2">
        <v>46100</v>
      </c>
      <c r="B101" s="2" t="str">
        <f t="shared" si="21"/>
        <v>jue</v>
      </c>
      <c r="D101" s="58">
        <v>16000</v>
      </c>
      <c r="E101" s="3" t="s">
        <v>222</v>
      </c>
      <c r="F101" s="116">
        <v>279</v>
      </c>
      <c r="H101" s="32" t="s">
        <v>142</v>
      </c>
      <c r="I101" t="s">
        <v>535</v>
      </c>
    </row>
    <row r="102" spans="1:9" x14ac:dyDescent="0.25">
      <c r="A102" s="2">
        <v>46100</v>
      </c>
      <c r="B102" s="2" t="str">
        <f t="shared" si="21"/>
        <v>jue</v>
      </c>
      <c r="D102" s="58">
        <v>2800</v>
      </c>
      <c r="E102" s="3" t="s">
        <v>222</v>
      </c>
      <c r="F102" s="117">
        <v>286</v>
      </c>
      <c r="H102" s="32" t="s">
        <v>142</v>
      </c>
      <c r="I102" t="s">
        <v>531</v>
      </c>
    </row>
    <row r="103" spans="1:9" x14ac:dyDescent="0.25">
      <c r="A103" s="2">
        <v>46100</v>
      </c>
      <c r="B103" s="2" t="str">
        <f t="shared" si="21"/>
        <v>jue</v>
      </c>
      <c r="C103" s="34">
        <v>0.79166666666666663</v>
      </c>
      <c r="D103" s="69">
        <v>8000</v>
      </c>
      <c r="E103" s="3" t="s">
        <v>222</v>
      </c>
      <c r="F103" s="117">
        <v>282</v>
      </c>
      <c r="H103" s="32" t="s">
        <v>142</v>
      </c>
      <c r="I103" t="s">
        <v>536</v>
      </c>
    </row>
    <row r="104" spans="1:9" x14ac:dyDescent="0.25">
      <c r="A104" s="2">
        <v>46100</v>
      </c>
      <c r="B104" s="2" t="str">
        <f t="shared" ref="B104" si="23">+TEXT(A104,"ddd")</f>
        <v>jue</v>
      </c>
      <c r="D104" s="58">
        <v>40000</v>
      </c>
      <c r="E104" s="3" t="s">
        <v>222</v>
      </c>
      <c r="F104" s="116">
        <v>285</v>
      </c>
      <c r="H104" s="32" t="s">
        <v>142</v>
      </c>
      <c r="I104" t="s">
        <v>537</v>
      </c>
    </row>
    <row r="105" spans="1:9" x14ac:dyDescent="0.25">
      <c r="A105" s="2">
        <v>46100</v>
      </c>
      <c r="B105" s="2" t="str">
        <f t="shared" ref="B105:B106" si="24">+TEXT(A105,"ddd")</f>
        <v>jue</v>
      </c>
      <c r="C105" s="34">
        <v>0.84930555555555554</v>
      </c>
      <c r="D105" s="69">
        <v>8000</v>
      </c>
      <c r="E105" s="3" t="s">
        <v>222</v>
      </c>
      <c r="H105" s="32" t="s">
        <v>142</v>
      </c>
      <c r="I105" t="s">
        <v>539</v>
      </c>
    </row>
    <row r="106" spans="1:9" x14ac:dyDescent="0.25">
      <c r="A106" s="2">
        <v>46100</v>
      </c>
      <c r="B106" s="2" t="str">
        <f t="shared" si="24"/>
        <v>jue</v>
      </c>
      <c r="D106" s="58">
        <f>-40000-10000</f>
        <v>-50000</v>
      </c>
      <c r="E106" s="3" t="s">
        <v>426</v>
      </c>
      <c r="H106" s="32" t="s">
        <v>142</v>
      </c>
      <c r="I106" t="s">
        <v>415</v>
      </c>
    </row>
    <row r="107" spans="1:9" x14ac:dyDescent="0.25">
      <c r="A107" s="2">
        <v>46100</v>
      </c>
      <c r="B107" s="2" t="str">
        <f>+TEXT(A107,"ddd")</f>
        <v>jue</v>
      </c>
      <c r="D107" s="58">
        <v>-404000</v>
      </c>
      <c r="E107" s="3" t="s">
        <v>222</v>
      </c>
      <c r="H107" s="32" t="s">
        <v>142</v>
      </c>
      <c r="I107" t="s">
        <v>538</v>
      </c>
    </row>
    <row r="108" spans="1:9" x14ac:dyDescent="0.25">
      <c r="A108" s="2">
        <v>46101</v>
      </c>
      <c r="B108" s="2" t="str">
        <f>+TEXT(A108,"ddd")</f>
        <v>vie</v>
      </c>
      <c r="D108" s="58">
        <v>33000</v>
      </c>
      <c r="E108" s="3" t="s">
        <v>222</v>
      </c>
      <c r="H108" s="32" t="s">
        <v>142</v>
      </c>
    </row>
  </sheetData>
  <autoFilter ref="A5:M86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92">
        <f>30000+120000+50000+51500</f>
        <v>251500</v>
      </c>
      <c r="G6" s="92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412</v>
      </c>
      <c r="C10" s="16">
        <v>116300</v>
      </c>
      <c r="D10" t="s">
        <v>413</v>
      </c>
    </row>
    <row r="11" spans="1:8" x14ac:dyDescent="0.25">
      <c r="B11" t="s">
        <v>410</v>
      </c>
      <c r="C11" s="3">
        <v>17400</v>
      </c>
    </row>
    <row r="12" spans="1:8" x14ac:dyDescent="0.25">
      <c r="B12" t="s">
        <v>411</v>
      </c>
      <c r="C12" s="3">
        <v>8000</v>
      </c>
    </row>
    <row r="13" spans="1:8" x14ac:dyDescent="0.25">
      <c r="B13" t="s">
        <v>414</v>
      </c>
      <c r="C13" s="3">
        <v>72150</v>
      </c>
      <c r="D13" s="13">
        <f>+C13+C14</f>
        <v>79650</v>
      </c>
    </row>
    <row r="14" spans="1:8" x14ac:dyDescent="0.25">
      <c r="B14" t="s">
        <v>414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8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296</v>
      </c>
      <c r="C4" s="80">
        <v>8000</v>
      </c>
      <c r="D4" t="s">
        <v>394</v>
      </c>
      <c r="F4" t="s">
        <v>392</v>
      </c>
    </row>
    <row r="5" spans="1:7" x14ac:dyDescent="0.25">
      <c r="A5" s="1">
        <v>2</v>
      </c>
      <c r="B5" s="1" t="s">
        <v>384</v>
      </c>
      <c r="C5" s="86">
        <v>16000</v>
      </c>
      <c r="D5" t="s">
        <v>394</v>
      </c>
      <c r="F5" t="s">
        <v>393</v>
      </c>
    </row>
    <row r="6" spans="1:7" x14ac:dyDescent="0.25">
      <c r="A6" s="1">
        <v>2</v>
      </c>
      <c r="B6" s="1" t="s">
        <v>387</v>
      </c>
      <c r="C6" s="86">
        <v>6000</v>
      </c>
      <c r="D6">
        <v>3</v>
      </c>
    </row>
    <row r="7" spans="1:7" x14ac:dyDescent="0.25">
      <c r="A7">
        <v>3</v>
      </c>
      <c r="B7" t="s">
        <v>391</v>
      </c>
      <c r="C7" s="80">
        <f>4500*3</f>
        <v>13500</v>
      </c>
      <c r="D7">
        <v>3</v>
      </c>
    </row>
    <row r="8" spans="1:7" x14ac:dyDescent="0.25">
      <c r="A8" s="1">
        <v>3</v>
      </c>
      <c r="B8" s="1" t="s">
        <v>384</v>
      </c>
      <c r="C8" s="86">
        <v>24000</v>
      </c>
    </row>
    <row r="9" spans="1:7" x14ac:dyDescent="0.25">
      <c r="A9" s="1">
        <v>3</v>
      </c>
      <c r="B9" s="1" t="s">
        <v>387</v>
      </c>
      <c r="C9" s="8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391</v>
      </c>
      <c r="C10" s="80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296</v>
      </c>
      <c r="C11" s="80">
        <v>8000</v>
      </c>
      <c r="F11" s="1">
        <v>6</v>
      </c>
    </row>
    <row r="12" spans="1:7" ht="15.75" thickBot="1" x14ac:dyDescent="0.3">
      <c r="B12" t="s">
        <v>284</v>
      </c>
      <c r="C12" s="85">
        <v>30000</v>
      </c>
      <c r="F12" s="1">
        <v>4.5</v>
      </c>
    </row>
    <row r="13" spans="1:7" ht="15.75" thickTop="1" x14ac:dyDescent="0.25">
      <c r="C13" s="80">
        <f>+SUM(C3:C12)</f>
        <v>132500</v>
      </c>
      <c r="F13" s="1">
        <v>57500</v>
      </c>
    </row>
    <row r="17" spans="1:5" x14ac:dyDescent="0.25">
      <c r="A17" s="88">
        <v>41699</v>
      </c>
    </row>
    <row r="19" spans="1:5" x14ac:dyDescent="0.25">
      <c r="A19">
        <v>2</v>
      </c>
      <c r="B19" t="s">
        <v>384</v>
      </c>
      <c r="C19">
        <v>16000</v>
      </c>
    </row>
    <row r="20" spans="1:5" x14ac:dyDescent="0.25">
      <c r="A20">
        <v>2</v>
      </c>
      <c r="B20" t="s">
        <v>387</v>
      </c>
      <c r="C20">
        <v>6000</v>
      </c>
    </row>
    <row r="21" spans="1:5" x14ac:dyDescent="0.25">
      <c r="A21" s="1">
        <v>1</v>
      </c>
      <c r="B21" s="1" t="s">
        <v>296</v>
      </c>
      <c r="C21" s="1">
        <v>8000</v>
      </c>
    </row>
    <row r="22" spans="1:5" x14ac:dyDescent="0.25">
      <c r="A22" s="1">
        <v>1</v>
      </c>
      <c r="B22" s="1" t="s">
        <v>386</v>
      </c>
      <c r="C22" s="1">
        <v>3000</v>
      </c>
    </row>
    <row r="23" spans="1:5" x14ac:dyDescent="0.25">
      <c r="A23">
        <v>2</v>
      </c>
      <c r="B23" t="s">
        <v>388</v>
      </c>
      <c r="C23">
        <v>9000</v>
      </c>
    </row>
    <row r="24" spans="1:5" x14ac:dyDescent="0.25">
      <c r="A24" s="1">
        <v>2</v>
      </c>
      <c r="B24" s="1" t="s">
        <v>384</v>
      </c>
      <c r="C24" s="1">
        <v>16000</v>
      </c>
    </row>
    <row r="25" spans="1:5" x14ac:dyDescent="0.25">
      <c r="A25" s="1">
        <v>2</v>
      </c>
      <c r="B25" s="1" t="s">
        <v>387</v>
      </c>
      <c r="C25" s="1">
        <v>6000</v>
      </c>
    </row>
    <row r="27" spans="1:5" x14ac:dyDescent="0.25">
      <c r="A27">
        <v>1</v>
      </c>
      <c r="B27" t="s">
        <v>385</v>
      </c>
      <c r="C27">
        <v>37000</v>
      </c>
      <c r="D27" t="s">
        <v>389</v>
      </c>
      <c r="E27">
        <f>30+7</f>
        <v>37</v>
      </c>
    </row>
    <row r="28" spans="1:5" x14ac:dyDescent="0.25">
      <c r="A28" s="1">
        <v>3</v>
      </c>
      <c r="B28" s="1" t="s">
        <v>384</v>
      </c>
      <c r="C28" s="1">
        <v>24000</v>
      </c>
    </row>
    <row r="29" spans="1:5" x14ac:dyDescent="0.25">
      <c r="A29" s="1">
        <v>1</v>
      </c>
      <c r="B29" s="1" t="s">
        <v>383</v>
      </c>
      <c r="C29" s="1">
        <v>15000</v>
      </c>
    </row>
    <row r="30" spans="1:5" x14ac:dyDescent="0.25">
      <c r="A30" s="1">
        <v>1</v>
      </c>
      <c r="B30" s="1" t="s">
        <v>386</v>
      </c>
      <c r="C30" s="1">
        <v>3000</v>
      </c>
    </row>
    <row r="31" spans="1:5" x14ac:dyDescent="0.25">
      <c r="B31" t="s">
        <v>385</v>
      </c>
      <c r="C31" s="1">
        <v>23000</v>
      </c>
      <c r="D31" t="s">
        <v>390</v>
      </c>
    </row>
    <row r="33" spans="1:4" x14ac:dyDescent="0.25">
      <c r="A33" s="1">
        <v>1</v>
      </c>
      <c r="B33" s="1" t="s">
        <v>296</v>
      </c>
      <c r="C33" s="1">
        <v>8000</v>
      </c>
      <c r="D33" t="s">
        <v>278</v>
      </c>
    </row>
    <row r="34" spans="1:4" x14ac:dyDescent="0.25">
      <c r="A34" s="1">
        <v>1</v>
      </c>
      <c r="B34" s="1" t="s">
        <v>386</v>
      </c>
      <c r="C34" s="1">
        <v>3000</v>
      </c>
      <c r="D34" t="s">
        <v>278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5"/>
  <sheetViews>
    <sheetView showGridLines="0" topLeftCell="C1" zoomScale="86" zoomScaleNormal="86" workbookViewId="0">
      <pane ySplit="2" topLeftCell="A21" activePane="bottomLeft" state="frozen"/>
      <selection pane="bottomLeft" activeCell="E30" sqref="E30"/>
    </sheetView>
  </sheetViews>
  <sheetFormatPr baseColWidth="10" defaultRowHeight="15" x14ac:dyDescent="0.25"/>
  <cols>
    <col min="1" max="1" width="8.140625" style="94" bestFit="1" customWidth="1"/>
    <col min="2" max="2" width="51" style="94" bestFit="1" customWidth="1"/>
    <col min="3" max="3" width="7.7109375" style="94" bestFit="1" customWidth="1"/>
    <col min="4" max="4" width="7.42578125" style="94" bestFit="1" customWidth="1"/>
    <col min="5" max="5" width="60.7109375" style="95" customWidth="1"/>
  </cols>
  <sheetData>
    <row r="1" spans="1:5" ht="33.75" x14ac:dyDescent="0.25">
      <c r="A1" s="119" t="s">
        <v>349</v>
      </c>
      <c r="B1" s="119"/>
      <c r="C1" s="119"/>
      <c r="D1" s="119"/>
      <c r="E1" s="119"/>
    </row>
    <row r="2" spans="1:5" x14ac:dyDescent="0.25">
      <c r="A2" s="96" t="s">
        <v>5</v>
      </c>
      <c r="B2" s="96" t="s">
        <v>332</v>
      </c>
      <c r="C2" s="96" t="s">
        <v>304</v>
      </c>
      <c r="D2" s="96" t="s">
        <v>348</v>
      </c>
      <c r="E2" s="97" t="s">
        <v>301</v>
      </c>
    </row>
    <row r="3" spans="1:5" ht="30" x14ac:dyDescent="0.25">
      <c r="A3" s="98">
        <v>46090</v>
      </c>
      <c r="B3" s="99" t="s">
        <v>451</v>
      </c>
      <c r="C3" s="100" t="s">
        <v>305</v>
      </c>
      <c r="D3" s="99" t="s">
        <v>302</v>
      </c>
      <c r="E3" s="101" t="s">
        <v>303</v>
      </c>
    </row>
    <row r="4" spans="1:5" ht="30" x14ac:dyDescent="0.25">
      <c r="A4" s="98">
        <v>46090</v>
      </c>
      <c r="B4" s="99" t="s">
        <v>450</v>
      </c>
      <c r="C4" s="100" t="s">
        <v>305</v>
      </c>
      <c r="D4" s="99" t="s">
        <v>306</v>
      </c>
      <c r="E4" s="101" t="s">
        <v>307</v>
      </c>
    </row>
    <row r="5" spans="1:5" ht="30" x14ac:dyDescent="0.25">
      <c r="A5" s="98">
        <v>46093</v>
      </c>
      <c r="B5" s="99" t="s">
        <v>335</v>
      </c>
      <c r="C5" s="100" t="s">
        <v>305</v>
      </c>
      <c r="D5" s="99" t="s">
        <v>333</v>
      </c>
      <c r="E5" s="101" t="s">
        <v>334</v>
      </c>
    </row>
    <row r="6" spans="1:5" ht="45" x14ac:dyDescent="0.25">
      <c r="A6" s="98">
        <v>46093</v>
      </c>
      <c r="B6" s="99" t="s">
        <v>338</v>
      </c>
      <c r="C6" s="100" t="s">
        <v>305</v>
      </c>
      <c r="D6" s="99" t="s">
        <v>336</v>
      </c>
      <c r="E6" s="101" t="s">
        <v>337</v>
      </c>
    </row>
    <row r="7" spans="1:5" ht="30" x14ac:dyDescent="0.25">
      <c r="A7" s="98">
        <v>46093</v>
      </c>
      <c r="B7" s="99" t="s">
        <v>339</v>
      </c>
      <c r="C7" s="100" t="s">
        <v>305</v>
      </c>
      <c r="D7" s="99" t="s">
        <v>341</v>
      </c>
      <c r="E7" s="101" t="s">
        <v>340</v>
      </c>
    </row>
    <row r="8" spans="1:5" ht="30" x14ac:dyDescent="0.25">
      <c r="A8" s="98">
        <v>46093</v>
      </c>
      <c r="B8" s="99" t="s">
        <v>345</v>
      </c>
      <c r="C8" s="100" t="s">
        <v>305</v>
      </c>
      <c r="D8" s="99" t="s">
        <v>342</v>
      </c>
      <c r="E8" s="101" t="s">
        <v>343</v>
      </c>
    </row>
    <row r="9" spans="1:5" ht="45" x14ac:dyDescent="0.25">
      <c r="A9" s="98">
        <v>46093</v>
      </c>
      <c r="B9" s="99" t="s">
        <v>346</v>
      </c>
      <c r="C9" s="100" t="s">
        <v>305</v>
      </c>
      <c r="D9" s="99" t="s">
        <v>344</v>
      </c>
      <c r="E9" s="101" t="s">
        <v>347</v>
      </c>
    </row>
    <row r="10" spans="1:5" x14ac:dyDescent="0.25">
      <c r="A10" s="98">
        <v>46093</v>
      </c>
      <c r="B10" s="99" t="s">
        <v>372</v>
      </c>
      <c r="C10" s="100" t="s">
        <v>305</v>
      </c>
      <c r="D10" s="99" t="s">
        <v>373</v>
      </c>
      <c r="E10" s="101" t="s">
        <v>364</v>
      </c>
    </row>
    <row r="11" spans="1:5" ht="30" x14ac:dyDescent="0.25">
      <c r="A11" s="98">
        <v>46093</v>
      </c>
      <c r="B11" s="99" t="s">
        <v>382</v>
      </c>
      <c r="C11" s="100" t="s">
        <v>305</v>
      </c>
      <c r="D11" s="99" t="s">
        <v>381</v>
      </c>
      <c r="E11" s="101" t="s">
        <v>429</v>
      </c>
    </row>
    <row r="12" spans="1:5" ht="30" x14ac:dyDescent="0.25">
      <c r="A12" s="98">
        <v>46099</v>
      </c>
      <c r="B12" s="99" t="s">
        <v>430</v>
      </c>
      <c r="C12" s="100" t="s">
        <v>305</v>
      </c>
      <c r="D12" s="99" t="s">
        <v>428</v>
      </c>
      <c r="E12" s="101" t="s">
        <v>431</v>
      </c>
    </row>
    <row r="13" spans="1:5" ht="30" x14ac:dyDescent="0.25">
      <c r="A13" s="98">
        <v>46099</v>
      </c>
      <c r="B13" s="99" t="s">
        <v>440</v>
      </c>
      <c r="C13" s="100" t="s">
        <v>305</v>
      </c>
      <c r="D13" s="99" t="s">
        <v>439</v>
      </c>
      <c r="E13" s="101" t="s">
        <v>366</v>
      </c>
    </row>
    <row r="14" spans="1:5" ht="30" x14ac:dyDescent="0.25">
      <c r="A14" s="98">
        <v>46100</v>
      </c>
      <c r="B14" s="99" t="s">
        <v>453</v>
      </c>
      <c r="C14" s="100" t="s">
        <v>305</v>
      </c>
      <c r="D14" s="99" t="s">
        <v>441</v>
      </c>
      <c r="E14" s="101" t="s">
        <v>454</v>
      </c>
    </row>
    <row r="15" spans="1:5" ht="30" x14ac:dyDescent="0.25">
      <c r="A15" s="98">
        <v>46100</v>
      </c>
      <c r="B15" s="99" t="s">
        <v>455</v>
      </c>
      <c r="C15" s="100" t="s">
        <v>305</v>
      </c>
      <c r="D15" s="99" t="s">
        <v>439</v>
      </c>
      <c r="E15" s="101" t="s">
        <v>366</v>
      </c>
    </row>
    <row r="16" spans="1:5" ht="30" x14ac:dyDescent="0.25">
      <c r="A16" s="98">
        <v>46100</v>
      </c>
      <c r="B16" s="99" t="s">
        <v>458</v>
      </c>
      <c r="C16" s="100" t="s">
        <v>305</v>
      </c>
      <c r="D16" s="99" t="s">
        <v>457</v>
      </c>
      <c r="E16" s="103" t="s">
        <v>456</v>
      </c>
    </row>
    <row r="17" spans="1:5" ht="30" x14ac:dyDescent="0.25">
      <c r="A17" s="98">
        <v>46100</v>
      </c>
      <c r="B17" s="99" t="s">
        <v>461</v>
      </c>
      <c r="C17" s="100" t="s">
        <v>305</v>
      </c>
      <c r="D17" s="99" t="s">
        <v>552</v>
      </c>
      <c r="E17" s="101" t="s">
        <v>460</v>
      </c>
    </row>
    <row r="18" spans="1:5" ht="45" x14ac:dyDescent="0.25">
      <c r="A18" s="98">
        <v>46100</v>
      </c>
      <c r="B18" s="99" t="s">
        <v>529</v>
      </c>
      <c r="C18" s="100" t="s">
        <v>305</v>
      </c>
      <c r="D18" s="99" t="s">
        <v>527</v>
      </c>
      <c r="E18" s="101" t="s">
        <v>528</v>
      </c>
    </row>
    <row r="19" spans="1:5" ht="30" x14ac:dyDescent="0.25">
      <c r="A19" s="98">
        <v>46100</v>
      </c>
      <c r="B19" s="99" t="s">
        <v>541</v>
      </c>
      <c r="C19" s="100" t="s">
        <v>305</v>
      </c>
      <c r="D19" s="99" t="s">
        <v>540</v>
      </c>
      <c r="E19" s="101" t="s">
        <v>542</v>
      </c>
    </row>
    <row r="20" spans="1:5" ht="30" x14ac:dyDescent="0.25">
      <c r="A20" s="98">
        <v>46101</v>
      </c>
      <c r="B20" s="99" t="s">
        <v>545</v>
      </c>
      <c r="C20" s="100" t="s">
        <v>305</v>
      </c>
      <c r="D20" s="99" t="s">
        <v>543</v>
      </c>
      <c r="E20" s="101" t="s">
        <v>544</v>
      </c>
    </row>
    <row r="21" spans="1:5" ht="45" x14ac:dyDescent="0.25">
      <c r="A21" s="98">
        <v>46101</v>
      </c>
      <c r="B21" s="99" t="s">
        <v>548</v>
      </c>
      <c r="C21" s="100" t="s">
        <v>305</v>
      </c>
      <c r="D21" s="99" t="s">
        <v>547</v>
      </c>
      <c r="E21" s="101" t="s">
        <v>549</v>
      </c>
    </row>
    <row r="22" spans="1:5" ht="45" x14ac:dyDescent="0.25">
      <c r="A22" s="98">
        <v>46101</v>
      </c>
      <c r="B22" s="99" t="s">
        <v>551</v>
      </c>
      <c r="C22" s="100" t="s">
        <v>305</v>
      </c>
      <c r="D22" s="99" t="s">
        <v>550</v>
      </c>
      <c r="E22" s="101" t="s">
        <v>549</v>
      </c>
    </row>
    <row r="23" spans="1:5" x14ac:dyDescent="0.25">
      <c r="A23" s="98">
        <v>46101</v>
      </c>
      <c r="B23" s="99" t="s">
        <v>553</v>
      </c>
      <c r="C23" s="100" t="s">
        <v>305</v>
      </c>
      <c r="D23" s="99" t="s">
        <v>459</v>
      </c>
      <c r="E23" s="101" t="s">
        <v>554</v>
      </c>
    </row>
    <row r="24" spans="1:5" x14ac:dyDescent="0.25">
      <c r="A24" s="98"/>
      <c r="B24" s="103"/>
      <c r="C24" s="100"/>
      <c r="D24" s="99"/>
      <c r="E24" s="103" t="s">
        <v>557</v>
      </c>
    </row>
    <row r="25" spans="1:5" x14ac:dyDescent="0.25">
      <c r="A25" s="98"/>
      <c r="B25" s="103"/>
      <c r="C25" s="100"/>
      <c r="D25" s="99"/>
      <c r="E25" s="103" t="s">
        <v>560</v>
      </c>
    </row>
    <row r="26" spans="1:5" x14ac:dyDescent="0.25">
      <c r="A26" s="98"/>
      <c r="B26" s="103"/>
      <c r="C26" s="100"/>
      <c r="D26" s="99"/>
      <c r="E26" s="103" t="s">
        <v>558</v>
      </c>
    </row>
    <row r="27" spans="1:5" x14ac:dyDescent="0.25">
      <c r="A27" s="98"/>
      <c r="B27" s="103"/>
      <c r="C27" s="100"/>
      <c r="D27" s="99"/>
      <c r="E27" s="103" t="s">
        <v>561</v>
      </c>
    </row>
    <row r="28" spans="1:5" x14ac:dyDescent="0.25">
      <c r="A28" s="98"/>
      <c r="B28" s="103" t="s">
        <v>367</v>
      </c>
      <c r="C28" s="102" t="s">
        <v>304</v>
      </c>
      <c r="D28" s="99"/>
      <c r="E28" s="103" t="s">
        <v>367</v>
      </c>
    </row>
    <row r="29" spans="1:5" x14ac:dyDescent="0.25">
      <c r="A29" s="99"/>
      <c r="B29" s="99" t="s">
        <v>245</v>
      </c>
      <c r="C29" s="102" t="s">
        <v>304</v>
      </c>
      <c r="D29" s="99"/>
      <c r="E29" s="99" t="s">
        <v>245</v>
      </c>
    </row>
    <row r="30" spans="1:5" x14ac:dyDescent="0.25">
      <c r="A30" s="99"/>
      <c r="B30" s="99" t="s">
        <v>244</v>
      </c>
      <c r="C30" s="102" t="s">
        <v>304</v>
      </c>
      <c r="D30" s="99"/>
      <c r="E30" s="99" t="s">
        <v>244</v>
      </c>
    </row>
    <row r="31" spans="1:5" x14ac:dyDescent="0.25">
      <c r="A31" s="99"/>
      <c r="B31" s="99" t="s">
        <v>546</v>
      </c>
      <c r="C31" s="102" t="s">
        <v>304</v>
      </c>
      <c r="D31" s="99"/>
      <c r="E31" s="99"/>
    </row>
    <row r="32" spans="1:5" x14ac:dyDescent="0.25">
      <c r="A32" s="99"/>
      <c r="B32" s="99" t="s">
        <v>246</v>
      </c>
      <c r="C32" s="102" t="s">
        <v>304</v>
      </c>
      <c r="D32" s="99"/>
      <c r="E32" s="99" t="s">
        <v>246</v>
      </c>
    </row>
    <row r="33" spans="1:5" x14ac:dyDescent="0.25">
      <c r="A33" s="99"/>
      <c r="B33" s="99" t="s">
        <v>247</v>
      </c>
      <c r="C33" s="102" t="s">
        <v>304</v>
      </c>
      <c r="D33" s="99"/>
      <c r="E33" s="99" t="s">
        <v>247</v>
      </c>
    </row>
    <row r="34" spans="1:5" x14ac:dyDescent="0.25">
      <c r="A34" s="99"/>
      <c r="B34" s="99" t="s">
        <v>253</v>
      </c>
      <c r="C34" s="102" t="s">
        <v>304</v>
      </c>
      <c r="D34" s="99"/>
      <c r="E34" s="99" t="s">
        <v>253</v>
      </c>
    </row>
    <row r="35" spans="1:5" x14ac:dyDescent="0.25">
      <c r="A35" s="99"/>
      <c r="B35" s="99" t="s">
        <v>254</v>
      </c>
      <c r="C35" s="102" t="s">
        <v>304</v>
      </c>
      <c r="D35" s="99"/>
      <c r="E35" s="99" t="s">
        <v>254</v>
      </c>
    </row>
  </sheetData>
  <autoFilter ref="A2:E35"/>
  <mergeCells count="1">
    <mergeCell ref="A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65"/>
  <sheetViews>
    <sheetView topLeftCell="B1" zoomScale="85" zoomScaleNormal="85" workbookViewId="0">
      <selection activeCell="C11" sqref="C11"/>
    </sheetView>
  </sheetViews>
  <sheetFormatPr baseColWidth="10" defaultRowHeight="15" outlineLevelCol="1" x14ac:dyDescent="0.25"/>
  <cols>
    <col min="1" max="1" width="1.5703125" customWidth="1"/>
    <col min="2" max="2" width="10.7109375" bestFit="1" customWidth="1"/>
    <col min="3" max="3" width="21.28515625" bestFit="1" customWidth="1"/>
    <col min="4" max="4" width="10.5703125" style="40" hidden="1" customWidth="1" outlineLevel="1"/>
    <col min="5" max="5" width="18.5703125" style="41" hidden="1" customWidth="1" outlineLevel="1"/>
    <col min="6" max="6" width="18.140625" style="40" hidden="1" customWidth="1" outlineLevel="1"/>
    <col min="7" max="7" width="10.5703125" style="3" hidden="1" customWidth="1" outlineLevel="1"/>
    <col min="8" max="8" width="15.28515625" bestFit="1" customWidth="1" collapsed="1"/>
    <col min="9" max="9" width="15.140625" style="3" bestFit="1" customWidth="1"/>
    <col min="10" max="10" width="15.140625" style="3" customWidth="1"/>
  </cols>
  <sheetData>
    <row r="1" spans="2:14" x14ac:dyDescent="0.25">
      <c r="C1" t="s">
        <v>462</v>
      </c>
    </row>
    <row r="2" spans="2:14" x14ac:dyDescent="0.25">
      <c r="C2" t="s">
        <v>463</v>
      </c>
      <c r="D2" s="40">
        <v>3400</v>
      </c>
    </row>
    <row r="4" spans="2:14" x14ac:dyDescent="0.25">
      <c r="C4" t="s">
        <v>464</v>
      </c>
      <c r="D4" s="104"/>
      <c r="H4" s="105" t="s">
        <v>476</v>
      </c>
      <c r="J4" s="105" t="s">
        <v>477</v>
      </c>
    </row>
    <row r="5" spans="2:14" x14ac:dyDescent="0.25">
      <c r="B5" s="105" t="s">
        <v>5</v>
      </c>
      <c r="C5" s="105" t="s">
        <v>185</v>
      </c>
      <c r="D5" s="108" t="s">
        <v>465</v>
      </c>
      <c r="E5" s="110" t="s">
        <v>467</v>
      </c>
      <c r="F5" s="106" t="s">
        <v>466</v>
      </c>
      <c r="G5" s="105" t="s">
        <v>468</v>
      </c>
      <c r="H5" s="105" t="s">
        <v>469</v>
      </c>
      <c r="I5" s="107" t="s">
        <v>470</v>
      </c>
      <c r="J5" s="107"/>
    </row>
    <row r="6" spans="2:14" x14ac:dyDescent="0.25">
      <c r="B6" s="56">
        <v>46100</v>
      </c>
      <c r="C6" t="s">
        <v>474</v>
      </c>
      <c r="D6" s="109">
        <v>12</v>
      </c>
      <c r="E6" s="112">
        <v>2</v>
      </c>
      <c r="F6" s="111">
        <v>15000</v>
      </c>
      <c r="G6" s="3">
        <f>+F6*E6</f>
        <v>30000</v>
      </c>
      <c r="H6">
        <f>+D6*E6</f>
        <v>24</v>
      </c>
      <c r="I6" s="3">
        <f>+G6/H6</f>
        <v>1250</v>
      </c>
      <c r="K6">
        <v>3200</v>
      </c>
      <c r="L6" s="13">
        <f>+K6-I6</f>
        <v>1950</v>
      </c>
    </row>
    <row r="7" spans="2:14" x14ac:dyDescent="0.25">
      <c r="B7" s="56">
        <v>46100</v>
      </c>
      <c r="C7" t="s">
        <v>473</v>
      </c>
      <c r="D7" s="109">
        <v>12</v>
      </c>
      <c r="E7" s="112">
        <v>2</v>
      </c>
      <c r="F7" s="111">
        <v>29000</v>
      </c>
      <c r="G7" s="3">
        <f>+F7*E7</f>
        <v>58000</v>
      </c>
      <c r="H7">
        <f>+D7*E7</f>
        <v>24</v>
      </c>
      <c r="I7" s="3">
        <f t="shared" ref="I7:I10" si="0">+G7/H7</f>
        <v>2416.6666666666665</v>
      </c>
      <c r="K7">
        <v>4500</v>
      </c>
      <c r="L7" s="13">
        <f t="shared" ref="L7:L10" si="1">+K7-I7</f>
        <v>2083.3333333333335</v>
      </c>
    </row>
    <row r="8" spans="2:14" x14ac:dyDescent="0.25">
      <c r="B8" s="56">
        <v>46100</v>
      </c>
      <c r="C8" t="s">
        <v>472</v>
      </c>
      <c r="D8" s="109">
        <v>24</v>
      </c>
      <c r="E8" s="112">
        <v>1</v>
      </c>
      <c r="F8" s="111">
        <v>34000</v>
      </c>
      <c r="G8" s="3">
        <f>+F8*E8</f>
        <v>34000</v>
      </c>
      <c r="H8">
        <f>+D8*E8</f>
        <v>24</v>
      </c>
      <c r="I8" s="3">
        <f t="shared" si="0"/>
        <v>1416.6666666666667</v>
      </c>
      <c r="K8">
        <v>3000</v>
      </c>
      <c r="L8" s="13">
        <f t="shared" si="1"/>
        <v>1583.3333333333333</v>
      </c>
    </row>
    <row r="9" spans="2:14" x14ac:dyDescent="0.25">
      <c r="B9" s="56">
        <v>46100</v>
      </c>
      <c r="C9" t="s">
        <v>471</v>
      </c>
      <c r="D9" s="109">
        <v>30</v>
      </c>
      <c r="E9" s="112">
        <v>3</v>
      </c>
      <c r="F9" s="111">
        <v>34000</v>
      </c>
      <c r="G9" s="3">
        <f>+F9*E9</f>
        <v>102000</v>
      </c>
      <c r="H9">
        <f>+D9*E9</f>
        <v>90</v>
      </c>
      <c r="I9" s="3">
        <f t="shared" si="0"/>
        <v>1133.3333333333333</v>
      </c>
      <c r="K9">
        <v>3000</v>
      </c>
      <c r="L9" s="13">
        <f t="shared" si="1"/>
        <v>1866.6666666666667</v>
      </c>
    </row>
    <row r="10" spans="2:14" x14ac:dyDescent="0.25">
      <c r="B10" s="56">
        <v>46100</v>
      </c>
      <c r="C10" t="s">
        <v>475</v>
      </c>
      <c r="D10" s="109">
        <v>30</v>
      </c>
      <c r="E10" s="112">
        <v>5</v>
      </c>
      <c r="F10" s="111">
        <v>36000</v>
      </c>
      <c r="G10" s="3">
        <f>+F10*E10</f>
        <v>180000</v>
      </c>
      <c r="H10">
        <f>+D10*E10</f>
        <v>150</v>
      </c>
      <c r="I10" s="3">
        <f t="shared" si="0"/>
        <v>1200</v>
      </c>
      <c r="K10">
        <v>3000</v>
      </c>
      <c r="L10" s="13">
        <f t="shared" si="1"/>
        <v>1800</v>
      </c>
    </row>
    <row r="11" spans="2:14" x14ac:dyDescent="0.25">
      <c r="B11" s="56"/>
      <c r="D11" s="109"/>
      <c r="E11" s="112"/>
      <c r="F11" s="111"/>
    </row>
    <row r="12" spans="2:14" x14ac:dyDescent="0.25">
      <c r="B12" s="56"/>
      <c r="D12" s="109"/>
      <c r="E12" s="112"/>
      <c r="F12" s="111"/>
    </row>
    <row r="13" spans="2:14" x14ac:dyDescent="0.25">
      <c r="B13" s="56"/>
      <c r="D13" s="109"/>
      <c r="E13" s="112"/>
      <c r="F13" s="111"/>
    </row>
    <row r="14" spans="2:14" x14ac:dyDescent="0.25">
      <c r="B14" s="56">
        <v>46073</v>
      </c>
      <c r="C14" t="s">
        <v>473</v>
      </c>
      <c r="D14" s="109">
        <v>12</v>
      </c>
      <c r="E14" s="112">
        <v>2</v>
      </c>
      <c r="F14" s="111">
        <v>29000</v>
      </c>
      <c r="G14" s="3">
        <f>+F14*E14</f>
        <v>58000</v>
      </c>
      <c r="H14">
        <f>+D14*E14</f>
        <v>24</v>
      </c>
      <c r="I14" s="3">
        <f t="shared" ref="I14:I17" si="2">+G14/H14</f>
        <v>2416.6666666666665</v>
      </c>
      <c r="J14" s="3">
        <f>+I14-K14</f>
        <v>2416.6666666666665</v>
      </c>
      <c r="K14">
        <v>0</v>
      </c>
      <c r="L14">
        <v>12</v>
      </c>
      <c r="M14">
        <f t="shared" ref="M14:M16" si="3">+L14-K14</f>
        <v>12</v>
      </c>
      <c r="N14" s="13">
        <f>+M14*I14</f>
        <v>29000</v>
      </c>
    </row>
    <row r="15" spans="2:14" x14ac:dyDescent="0.25">
      <c r="B15" s="56">
        <v>46073</v>
      </c>
      <c r="C15" t="s">
        <v>472</v>
      </c>
      <c r="D15" s="109">
        <v>24</v>
      </c>
      <c r="E15" s="112">
        <v>1</v>
      </c>
      <c r="F15" s="111">
        <v>33000</v>
      </c>
      <c r="G15" s="3">
        <f>+F15*E15</f>
        <v>33000</v>
      </c>
      <c r="H15">
        <f>+D15*E15</f>
        <v>24</v>
      </c>
      <c r="I15" s="3">
        <f t="shared" si="2"/>
        <v>1375</v>
      </c>
      <c r="J15" s="3">
        <f t="shared" ref="J15:J17" si="4">+I15-K15</f>
        <v>1369</v>
      </c>
      <c r="K15">
        <v>6</v>
      </c>
      <c r="L15">
        <v>12</v>
      </c>
      <c r="M15">
        <f t="shared" si="3"/>
        <v>6</v>
      </c>
      <c r="N15" s="13">
        <f t="shared" ref="N15:N16" si="5">+M15*I15</f>
        <v>8250</v>
      </c>
    </row>
    <row r="16" spans="2:14" x14ac:dyDescent="0.25">
      <c r="B16" s="56">
        <v>46073</v>
      </c>
      <c r="C16" t="s">
        <v>471</v>
      </c>
      <c r="D16" s="109">
        <v>30</v>
      </c>
      <c r="E16" s="112">
        <v>3</v>
      </c>
      <c r="F16" s="111">
        <v>35000</v>
      </c>
      <c r="G16" s="3">
        <f>+F16*E16</f>
        <v>105000</v>
      </c>
      <c r="H16">
        <f>+D16*E16</f>
        <v>90</v>
      </c>
      <c r="I16" s="3">
        <f t="shared" si="2"/>
        <v>1166.6666666666667</v>
      </c>
      <c r="J16" s="3">
        <f t="shared" si="4"/>
        <v>1155.6666666666667</v>
      </c>
      <c r="K16">
        <v>11</v>
      </c>
      <c r="L16">
        <v>46</v>
      </c>
      <c r="M16">
        <f t="shared" si="3"/>
        <v>35</v>
      </c>
      <c r="N16" s="13">
        <f t="shared" si="5"/>
        <v>40833.333333333336</v>
      </c>
    </row>
    <row r="17" spans="2:14" x14ac:dyDescent="0.25">
      <c r="B17" s="56">
        <v>46073</v>
      </c>
      <c r="C17" t="s">
        <v>475</v>
      </c>
      <c r="D17" s="109">
        <v>30</v>
      </c>
      <c r="E17" s="112">
        <v>6</v>
      </c>
      <c r="F17" s="111">
        <v>36000</v>
      </c>
      <c r="G17" s="3">
        <f>+F17*E17</f>
        <v>216000</v>
      </c>
      <c r="H17">
        <f>+D17*E17</f>
        <v>180</v>
      </c>
      <c r="I17" s="3">
        <f t="shared" si="2"/>
        <v>1200</v>
      </c>
      <c r="J17" s="3">
        <f t="shared" si="4"/>
        <v>1175</v>
      </c>
      <c r="K17">
        <v>25</v>
      </c>
      <c r="L17">
        <v>58</v>
      </c>
      <c r="M17">
        <f>+L17-K17</f>
        <v>33</v>
      </c>
      <c r="N17" s="13">
        <f>+M17*I17</f>
        <v>39600</v>
      </c>
    </row>
    <row r="18" spans="2:14" x14ac:dyDescent="0.25">
      <c r="D18" s="109"/>
      <c r="E18" s="112"/>
      <c r="F18" s="111"/>
      <c r="N18" s="13">
        <f>+SUM(N14:N17)</f>
        <v>117683.33333333334</v>
      </c>
    </row>
    <row r="19" spans="2:14" x14ac:dyDescent="0.25">
      <c r="D19" s="109"/>
      <c r="E19" s="112"/>
      <c r="F19" s="111"/>
    </row>
    <row r="20" spans="2:14" x14ac:dyDescent="0.25">
      <c r="D20" s="109"/>
      <c r="E20" s="112"/>
      <c r="F20" s="111"/>
    </row>
    <row r="21" spans="2:14" x14ac:dyDescent="0.25">
      <c r="B21" s="34">
        <v>0.66666666666666663</v>
      </c>
      <c r="C21" t="s">
        <v>475</v>
      </c>
      <c r="D21" s="109"/>
      <c r="E21" s="112"/>
      <c r="F21" s="111"/>
      <c r="H21" s="1">
        <v>25</v>
      </c>
    </row>
    <row r="22" spans="2:14" x14ac:dyDescent="0.25">
      <c r="C22" t="s">
        <v>471</v>
      </c>
      <c r="D22" s="109"/>
      <c r="E22" s="112"/>
      <c r="F22" s="111"/>
      <c r="H22">
        <v>11</v>
      </c>
    </row>
    <row r="23" spans="2:14" x14ac:dyDescent="0.25">
      <c r="C23" t="s">
        <v>472</v>
      </c>
      <c r="D23" s="109"/>
      <c r="E23" s="112"/>
      <c r="F23" s="111"/>
      <c r="H23" s="1">
        <v>6</v>
      </c>
    </row>
    <row r="24" spans="2:14" x14ac:dyDescent="0.25">
      <c r="D24" s="109"/>
      <c r="E24" s="112"/>
      <c r="F24" s="111"/>
    </row>
    <row r="25" spans="2:14" x14ac:dyDescent="0.25">
      <c r="D25" s="104"/>
    </row>
    <row r="26" spans="2:14" x14ac:dyDescent="0.25">
      <c r="D26" s="104"/>
    </row>
    <row r="27" spans="2:14" x14ac:dyDescent="0.25">
      <c r="D27" s="104"/>
    </row>
    <row r="28" spans="2:14" x14ac:dyDescent="0.25">
      <c r="D28" s="104"/>
    </row>
    <row r="29" spans="2:14" x14ac:dyDescent="0.25">
      <c r="D29" s="104"/>
    </row>
    <row r="30" spans="2:14" x14ac:dyDescent="0.25">
      <c r="D30" s="104"/>
    </row>
    <row r="31" spans="2:14" x14ac:dyDescent="0.25">
      <c r="D31" s="104"/>
    </row>
    <row r="32" spans="2:14" x14ac:dyDescent="0.25">
      <c r="D32" s="104"/>
    </row>
    <row r="33" spans="4:4" x14ac:dyDescent="0.25">
      <c r="D33" s="104"/>
    </row>
    <row r="34" spans="4:4" x14ac:dyDescent="0.25">
      <c r="D34" s="104"/>
    </row>
    <row r="35" spans="4:4" x14ac:dyDescent="0.25">
      <c r="D35" s="104"/>
    </row>
    <row r="36" spans="4:4" x14ac:dyDescent="0.25">
      <c r="D36" s="104"/>
    </row>
    <row r="37" spans="4:4" x14ac:dyDescent="0.25">
      <c r="D37" s="104"/>
    </row>
    <row r="38" spans="4:4" x14ac:dyDescent="0.25">
      <c r="D38" s="104"/>
    </row>
    <row r="39" spans="4:4" x14ac:dyDescent="0.25">
      <c r="D39" s="104"/>
    </row>
    <row r="40" spans="4:4" x14ac:dyDescent="0.25">
      <c r="D40" s="104"/>
    </row>
    <row r="41" spans="4:4" x14ac:dyDescent="0.25">
      <c r="D41" s="104"/>
    </row>
    <row r="42" spans="4:4" x14ac:dyDescent="0.25">
      <c r="D42" s="104"/>
    </row>
    <row r="43" spans="4:4" x14ac:dyDescent="0.25">
      <c r="D43" s="104"/>
    </row>
    <row r="44" spans="4:4" x14ac:dyDescent="0.25">
      <c r="D44" s="104"/>
    </row>
    <row r="45" spans="4:4" x14ac:dyDescent="0.25">
      <c r="D45" s="104"/>
    </row>
    <row r="46" spans="4:4" x14ac:dyDescent="0.25">
      <c r="D46" s="104"/>
    </row>
    <row r="47" spans="4:4" x14ac:dyDescent="0.25">
      <c r="D47" s="104"/>
    </row>
    <row r="48" spans="4:4" x14ac:dyDescent="0.25">
      <c r="D48" s="104"/>
    </row>
    <row r="49" spans="4:4" x14ac:dyDescent="0.25">
      <c r="D49" s="104"/>
    </row>
    <row r="50" spans="4:4" x14ac:dyDescent="0.25">
      <c r="D50" s="104"/>
    </row>
    <row r="51" spans="4:4" x14ac:dyDescent="0.25">
      <c r="D51" s="104"/>
    </row>
    <row r="52" spans="4:4" x14ac:dyDescent="0.25">
      <c r="D52" s="104"/>
    </row>
    <row r="53" spans="4:4" x14ac:dyDescent="0.25">
      <c r="D53" s="104"/>
    </row>
    <row r="54" spans="4:4" x14ac:dyDescent="0.25">
      <c r="D54" s="104"/>
    </row>
    <row r="55" spans="4:4" x14ac:dyDescent="0.25">
      <c r="D55" s="104"/>
    </row>
    <row r="56" spans="4:4" x14ac:dyDescent="0.25">
      <c r="D56" s="104"/>
    </row>
    <row r="57" spans="4:4" x14ac:dyDescent="0.25">
      <c r="D57" s="104"/>
    </row>
    <row r="58" spans="4:4" x14ac:dyDescent="0.25">
      <c r="D58" s="104"/>
    </row>
    <row r="59" spans="4:4" x14ac:dyDescent="0.25">
      <c r="D59" s="104"/>
    </row>
    <row r="60" spans="4:4" x14ac:dyDescent="0.25">
      <c r="D60" s="104"/>
    </row>
    <row r="61" spans="4:4" x14ac:dyDescent="0.25">
      <c r="D61" s="104"/>
    </row>
    <row r="62" spans="4:4" x14ac:dyDescent="0.25">
      <c r="D62" s="104"/>
    </row>
    <row r="63" spans="4:4" x14ac:dyDescent="0.25">
      <c r="D63" s="104"/>
    </row>
    <row r="64" spans="4:4" x14ac:dyDescent="0.25">
      <c r="D64" s="104"/>
    </row>
    <row r="65" spans="4:4" x14ac:dyDescent="0.25">
      <c r="D65" s="104"/>
    </row>
  </sheetData>
  <pageMargins left="0.7" right="0.7" top="0.75" bottom="0.75" header="0.3" footer="0.3"/>
  <pageSetup paperSize="119" orientation="portrait" horizontalDpi="203" verticalDpi="20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workbookViewId="0">
      <selection activeCell="B11" sqref="B11"/>
    </sheetView>
  </sheetViews>
  <sheetFormatPr baseColWidth="10" defaultRowHeight="15" x14ac:dyDescent="0.25"/>
  <cols>
    <col min="1" max="1" width="32.85546875" bestFit="1" customWidth="1"/>
    <col min="2" max="2" width="22.28515625" bestFit="1" customWidth="1"/>
  </cols>
  <sheetData>
    <row r="1" spans="1:5" x14ac:dyDescent="0.25">
      <c r="A1" t="s">
        <v>185</v>
      </c>
      <c r="B1" t="s">
        <v>524</v>
      </c>
      <c r="C1" t="s">
        <v>462</v>
      </c>
    </row>
    <row r="2" spans="1:5" x14ac:dyDescent="0.25">
      <c r="A2" t="s">
        <v>478</v>
      </c>
      <c r="B2" t="s">
        <v>191</v>
      </c>
      <c r="C2">
        <v>1</v>
      </c>
    </row>
    <row r="3" spans="1:5" x14ac:dyDescent="0.25">
      <c r="A3" t="s">
        <v>478</v>
      </c>
      <c r="B3" t="s">
        <v>272</v>
      </c>
      <c r="C3">
        <v>3</v>
      </c>
    </row>
    <row r="4" spans="1:5" x14ac:dyDescent="0.25">
      <c r="A4" t="s">
        <v>479</v>
      </c>
      <c r="B4" t="s">
        <v>479</v>
      </c>
    </row>
    <row r="5" spans="1:5" x14ac:dyDescent="0.25">
      <c r="A5" t="s">
        <v>480</v>
      </c>
      <c r="B5" t="s">
        <v>480</v>
      </c>
    </row>
    <row r="6" spans="1:5" x14ac:dyDescent="0.25">
      <c r="A6" t="s">
        <v>481</v>
      </c>
      <c r="B6" t="s">
        <v>481</v>
      </c>
      <c r="E6">
        <v>13500</v>
      </c>
    </row>
    <row r="7" spans="1:5" x14ac:dyDescent="0.25">
      <c r="A7" t="s">
        <v>482</v>
      </c>
      <c r="B7" t="s">
        <v>493</v>
      </c>
      <c r="E7">
        <v>7800</v>
      </c>
    </row>
    <row r="8" spans="1:5" x14ac:dyDescent="0.25">
      <c r="A8" t="s">
        <v>482</v>
      </c>
      <c r="B8" t="s">
        <v>525</v>
      </c>
    </row>
    <row r="9" spans="1:5" x14ac:dyDescent="0.25">
      <c r="A9" t="s">
        <v>482</v>
      </c>
      <c r="B9" t="s">
        <v>526</v>
      </c>
    </row>
    <row r="11" spans="1:5" x14ac:dyDescent="0.25">
      <c r="A11" t="s">
        <v>483</v>
      </c>
    </row>
    <row r="12" spans="1:5" x14ac:dyDescent="0.25">
      <c r="A12" t="s">
        <v>484</v>
      </c>
    </row>
    <row r="13" spans="1:5" x14ac:dyDescent="0.25">
      <c r="A13" t="s">
        <v>485</v>
      </c>
    </row>
    <row r="14" spans="1:5" x14ac:dyDescent="0.25">
      <c r="A14" t="s">
        <v>486</v>
      </c>
    </row>
    <row r="15" spans="1:5" x14ac:dyDescent="0.25">
      <c r="A15" t="s">
        <v>487</v>
      </c>
    </row>
    <row r="16" spans="1:5" x14ac:dyDescent="0.25">
      <c r="A16" t="s">
        <v>488</v>
      </c>
    </row>
    <row r="17" spans="1:1" x14ac:dyDescent="0.25">
      <c r="A17" t="s">
        <v>489</v>
      </c>
    </row>
    <row r="18" spans="1:1" x14ac:dyDescent="0.25">
      <c r="A18" t="s">
        <v>490</v>
      </c>
    </row>
    <row r="19" spans="1:1" x14ac:dyDescent="0.25">
      <c r="A19" t="s">
        <v>491</v>
      </c>
    </row>
    <row r="20" spans="1:1" x14ac:dyDescent="0.25">
      <c r="A20" t="s">
        <v>492</v>
      </c>
    </row>
    <row r="21" spans="1:1" x14ac:dyDescent="0.25">
      <c r="A21" t="s">
        <v>493</v>
      </c>
    </row>
    <row r="22" spans="1:1" x14ac:dyDescent="0.25">
      <c r="A22" t="s">
        <v>494</v>
      </c>
    </row>
    <row r="23" spans="1:1" x14ac:dyDescent="0.25">
      <c r="A23" t="s">
        <v>495</v>
      </c>
    </row>
    <row r="24" spans="1:1" x14ac:dyDescent="0.25">
      <c r="A24" t="s">
        <v>496</v>
      </c>
    </row>
    <row r="25" spans="1:1" x14ac:dyDescent="0.25">
      <c r="A25" t="s">
        <v>497</v>
      </c>
    </row>
    <row r="26" spans="1:1" x14ac:dyDescent="0.25">
      <c r="A26" t="s">
        <v>498</v>
      </c>
    </row>
    <row r="27" spans="1:1" x14ac:dyDescent="0.25">
      <c r="A27" t="s">
        <v>499</v>
      </c>
    </row>
    <row r="28" spans="1:1" x14ac:dyDescent="0.25">
      <c r="A28" t="s">
        <v>500</v>
      </c>
    </row>
    <row r="29" spans="1:1" x14ac:dyDescent="0.25">
      <c r="A29" t="s">
        <v>501</v>
      </c>
    </row>
    <row r="30" spans="1:1" x14ac:dyDescent="0.25">
      <c r="A30" t="s">
        <v>502</v>
      </c>
    </row>
    <row r="31" spans="1:1" x14ac:dyDescent="0.25">
      <c r="A31" t="s">
        <v>503</v>
      </c>
    </row>
    <row r="32" spans="1:1" x14ac:dyDescent="0.25">
      <c r="A32" t="s">
        <v>504</v>
      </c>
    </row>
    <row r="33" spans="1:1" x14ac:dyDescent="0.25">
      <c r="A33" t="s">
        <v>505</v>
      </c>
    </row>
    <row r="34" spans="1:1" x14ac:dyDescent="0.25">
      <c r="A34" t="s">
        <v>506</v>
      </c>
    </row>
    <row r="35" spans="1:1" x14ac:dyDescent="0.25">
      <c r="A35" t="s">
        <v>507</v>
      </c>
    </row>
    <row r="36" spans="1:1" x14ac:dyDescent="0.25">
      <c r="A36" t="s">
        <v>508</v>
      </c>
    </row>
    <row r="37" spans="1:1" x14ac:dyDescent="0.25">
      <c r="A37" t="s">
        <v>509</v>
      </c>
    </row>
    <row r="38" spans="1:1" x14ac:dyDescent="0.25">
      <c r="A38" t="s">
        <v>510</v>
      </c>
    </row>
    <row r="39" spans="1:1" x14ac:dyDescent="0.25">
      <c r="A39" t="s">
        <v>511</v>
      </c>
    </row>
    <row r="40" spans="1:1" x14ac:dyDescent="0.25">
      <c r="A40" t="s">
        <v>512</v>
      </c>
    </row>
    <row r="41" spans="1:1" x14ac:dyDescent="0.25">
      <c r="A41" t="s">
        <v>513</v>
      </c>
    </row>
    <row r="42" spans="1:1" x14ac:dyDescent="0.25">
      <c r="A42" t="s">
        <v>514</v>
      </c>
    </row>
    <row r="43" spans="1:1" x14ac:dyDescent="0.25">
      <c r="A43" t="s">
        <v>515</v>
      </c>
    </row>
    <row r="44" spans="1:1" x14ac:dyDescent="0.25">
      <c r="A44" t="s">
        <v>516</v>
      </c>
    </row>
    <row r="45" spans="1:1" x14ac:dyDescent="0.25">
      <c r="A45" t="s">
        <v>517</v>
      </c>
    </row>
    <row r="46" spans="1:1" x14ac:dyDescent="0.25">
      <c r="A46" t="s">
        <v>518</v>
      </c>
    </row>
    <row r="47" spans="1:1" x14ac:dyDescent="0.25">
      <c r="A47" t="s">
        <v>519</v>
      </c>
    </row>
    <row r="48" spans="1:1" x14ac:dyDescent="0.25">
      <c r="A48" t="s">
        <v>520</v>
      </c>
    </row>
    <row r="49" spans="1:1" x14ac:dyDescent="0.25">
      <c r="A49" t="s">
        <v>521</v>
      </c>
    </row>
    <row r="50" spans="1:1" x14ac:dyDescent="0.25">
      <c r="A50" t="s">
        <v>522</v>
      </c>
    </row>
    <row r="51" spans="1:1" x14ac:dyDescent="0.25">
      <c r="A51" t="s">
        <v>523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80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442</v>
      </c>
      <c r="F5" t="s">
        <v>444</v>
      </c>
      <c r="G5" t="s">
        <v>445</v>
      </c>
      <c r="H5" t="s">
        <v>443</v>
      </c>
      <c r="I5" t="s">
        <v>446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86">
        <v>10</v>
      </c>
      <c r="F6" s="86">
        <f>3+1+1+1+1</f>
        <v>7</v>
      </c>
      <c r="G6" s="8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447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330</v>
      </c>
      <c r="B1" t="s">
        <v>331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313</v>
      </c>
    </row>
    <row r="2" spans="1:5" x14ac:dyDescent="0.25">
      <c r="A2" t="s">
        <v>309</v>
      </c>
      <c r="B2">
        <v>10000</v>
      </c>
      <c r="C2">
        <f>+B2*4</f>
        <v>40000</v>
      </c>
    </row>
    <row r="3" spans="1:5" x14ac:dyDescent="0.25">
      <c r="A3" t="s">
        <v>310</v>
      </c>
    </row>
    <row r="4" spans="1:5" x14ac:dyDescent="0.25">
      <c r="A4" t="s">
        <v>311</v>
      </c>
    </row>
    <row r="5" spans="1:5" x14ac:dyDescent="0.25">
      <c r="A5" s="83" t="s">
        <v>312</v>
      </c>
      <c r="B5" s="83"/>
      <c r="C5" s="83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313</v>
      </c>
    </row>
    <row r="16" spans="1:5" x14ac:dyDescent="0.25">
      <c r="C16" t="s">
        <v>275</v>
      </c>
      <c r="D16" t="s">
        <v>275</v>
      </c>
    </row>
    <row r="17" spans="1:5" x14ac:dyDescent="0.25">
      <c r="A17" t="s">
        <v>408</v>
      </c>
      <c r="B17">
        <v>9000</v>
      </c>
      <c r="C17">
        <v>20</v>
      </c>
      <c r="D17">
        <f>+B17/C17</f>
        <v>450</v>
      </c>
      <c r="E17" t="s">
        <v>409</v>
      </c>
    </row>
    <row r="18" spans="1:5" x14ac:dyDescent="0.25">
      <c r="A18" t="s">
        <v>408</v>
      </c>
      <c r="B18">
        <v>8400</v>
      </c>
      <c r="C18">
        <v>20</v>
      </c>
      <c r="D18">
        <f>+B18/C18</f>
        <v>420</v>
      </c>
      <c r="E18" t="s">
        <v>409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251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249</v>
      </c>
      <c r="C10" s="71" t="s">
        <v>250</v>
      </c>
      <c r="D10" t="s">
        <v>252</v>
      </c>
    </row>
    <row r="11" spans="1:4" x14ac:dyDescent="0.25">
      <c r="A11" t="s">
        <v>256</v>
      </c>
      <c r="C11" t="s">
        <v>255</v>
      </c>
    </row>
    <row r="12" spans="1:4" x14ac:dyDescent="0.25">
      <c r="A12" s="1" t="s">
        <v>327</v>
      </c>
      <c r="B12" s="1"/>
      <c r="C12" s="1" t="s">
        <v>314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2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2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2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2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3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318</v>
      </c>
      <c r="E2" t="s">
        <v>325</v>
      </c>
    </row>
    <row r="3" spans="2:7" x14ac:dyDescent="0.25">
      <c r="B3" t="s">
        <v>319</v>
      </c>
    </row>
    <row r="4" spans="2:7" x14ac:dyDescent="0.25">
      <c r="B4" t="s">
        <v>320</v>
      </c>
    </row>
    <row r="5" spans="2:7" x14ac:dyDescent="0.25">
      <c r="B5" t="s">
        <v>321</v>
      </c>
      <c r="D5">
        <v>7</v>
      </c>
      <c r="E5" t="s">
        <v>324</v>
      </c>
    </row>
    <row r="6" spans="2:7" x14ac:dyDescent="0.25">
      <c r="B6" s="24">
        <v>0</v>
      </c>
      <c r="C6" t="s">
        <v>323</v>
      </c>
      <c r="G6" t="s">
        <v>326</v>
      </c>
    </row>
    <row r="7" spans="2:7" x14ac:dyDescent="0.25">
      <c r="G7">
        <v>26</v>
      </c>
    </row>
    <row r="8" spans="2:7" x14ac:dyDescent="0.25">
      <c r="B8" t="s">
        <v>322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69">
        <f>+SUM(F3:F1048576)</f>
        <v>89700</v>
      </c>
      <c r="H1" s="3">
        <f>'Arqueo de Caja'!$Y$14</f>
        <v>86000</v>
      </c>
      <c r="I1" s="39">
        <f>+F1-H1</f>
        <v>3700</v>
      </c>
      <c r="J1" s="79">
        <v>93000</v>
      </c>
    </row>
    <row r="2" spans="1:10" x14ac:dyDescent="0.25">
      <c r="A2" s="72" t="s">
        <v>281</v>
      </c>
      <c r="B2" s="72" t="s">
        <v>275</v>
      </c>
      <c r="C2" s="72" t="s">
        <v>276</v>
      </c>
      <c r="D2" s="72" t="s">
        <v>3</v>
      </c>
      <c r="E2" s="72"/>
      <c r="F2" s="73" t="s">
        <v>279</v>
      </c>
      <c r="G2" s="73" t="s">
        <v>280</v>
      </c>
      <c r="I2" s="39"/>
    </row>
    <row r="3" spans="1:10" x14ac:dyDescent="0.25">
      <c r="A3" s="74" t="s">
        <v>139</v>
      </c>
      <c r="B3" s="74"/>
      <c r="C3" s="74"/>
      <c r="D3" s="74" t="s">
        <v>139</v>
      </c>
      <c r="E3" s="74"/>
      <c r="F3" s="77">
        <v>93000</v>
      </c>
      <c r="G3" s="74"/>
    </row>
    <row r="4" spans="1:10" x14ac:dyDescent="0.25">
      <c r="A4" s="74" t="s">
        <v>269</v>
      </c>
      <c r="B4" s="74"/>
      <c r="C4" s="74"/>
      <c r="D4" s="74" t="s">
        <v>269</v>
      </c>
      <c r="E4" s="74"/>
      <c r="F4" s="77">
        <v>-70000</v>
      </c>
      <c r="G4" s="74"/>
    </row>
    <row r="5" spans="1:10" x14ac:dyDescent="0.25">
      <c r="A5" s="74" t="s">
        <v>140</v>
      </c>
      <c r="B5" s="74"/>
      <c r="C5" s="74"/>
      <c r="D5" s="74" t="s">
        <v>270</v>
      </c>
      <c r="E5" s="74" t="s">
        <v>271</v>
      </c>
      <c r="F5" s="77">
        <f>-3800*10</f>
        <v>-38000</v>
      </c>
      <c r="G5" s="74"/>
    </row>
    <row r="6" spans="1:10" x14ac:dyDescent="0.25">
      <c r="A6" s="74" t="s">
        <v>140</v>
      </c>
      <c r="B6" s="74"/>
      <c r="C6" s="74"/>
      <c r="D6" s="74" t="s">
        <v>270</v>
      </c>
      <c r="E6" s="74" t="s">
        <v>272</v>
      </c>
      <c r="F6" s="77">
        <v>-28500</v>
      </c>
      <c r="G6" s="74"/>
    </row>
    <row r="7" spans="1:10" x14ac:dyDescent="0.25">
      <c r="A7" s="74" t="s">
        <v>140</v>
      </c>
      <c r="B7" s="74"/>
      <c r="C7" s="74"/>
      <c r="D7" s="74" t="s">
        <v>273</v>
      </c>
      <c r="E7" s="74"/>
      <c r="F7" s="77">
        <v>-27800</v>
      </c>
      <c r="G7" s="74"/>
    </row>
    <row r="8" spans="1:10" x14ac:dyDescent="0.25">
      <c r="A8" s="74" t="s">
        <v>140</v>
      </c>
      <c r="B8" s="74"/>
      <c r="C8" s="74"/>
      <c r="D8" s="74" t="s">
        <v>274</v>
      </c>
      <c r="E8" s="74"/>
      <c r="F8" s="77">
        <v>-27000</v>
      </c>
      <c r="G8" s="74"/>
    </row>
    <row r="9" spans="1:10" x14ac:dyDescent="0.25">
      <c r="A9" s="74"/>
      <c r="B9" s="74"/>
      <c r="C9" s="74"/>
      <c r="D9" s="74" t="s">
        <v>288</v>
      </c>
      <c r="E9" s="74"/>
      <c r="F9" s="77">
        <v>-22000</v>
      </c>
      <c r="G9" s="74"/>
    </row>
    <row r="10" spans="1:10" x14ac:dyDescent="0.25">
      <c r="A10" s="74" t="s">
        <v>277</v>
      </c>
      <c r="B10" s="74">
        <v>2</v>
      </c>
      <c r="C10" s="74">
        <v>8000</v>
      </c>
      <c r="D10" s="74" t="s">
        <v>191</v>
      </c>
      <c r="E10" s="74"/>
      <c r="F10" s="77">
        <f t="shared" ref="F10:F15" si="0">+B10*C10</f>
        <v>16000</v>
      </c>
      <c r="G10" s="74"/>
    </row>
    <row r="11" spans="1:10" x14ac:dyDescent="0.25">
      <c r="A11" s="74" t="s">
        <v>277</v>
      </c>
      <c r="B11" s="74">
        <v>2</v>
      </c>
      <c r="C11" s="74">
        <v>8000</v>
      </c>
      <c r="D11" s="74" t="s">
        <v>191</v>
      </c>
      <c r="E11" s="74"/>
      <c r="F11" s="77">
        <f t="shared" si="0"/>
        <v>16000</v>
      </c>
      <c r="G11" s="74"/>
    </row>
    <row r="12" spans="1:10" x14ac:dyDescent="0.25">
      <c r="A12" s="74" t="s">
        <v>277</v>
      </c>
      <c r="B12" s="74">
        <v>4</v>
      </c>
      <c r="C12" s="74">
        <v>8000</v>
      </c>
      <c r="D12" s="74" t="s">
        <v>191</v>
      </c>
      <c r="E12" s="74"/>
      <c r="F12" s="77">
        <f t="shared" si="0"/>
        <v>32000</v>
      </c>
      <c r="G12" s="74"/>
    </row>
    <row r="13" spans="1:10" x14ac:dyDescent="0.25">
      <c r="A13" s="74" t="s">
        <v>277</v>
      </c>
      <c r="B13" s="74">
        <v>1</v>
      </c>
      <c r="C13" s="74">
        <v>8000</v>
      </c>
      <c r="D13" s="74" t="s">
        <v>191</v>
      </c>
      <c r="E13" s="74"/>
      <c r="F13" s="77">
        <f t="shared" si="0"/>
        <v>8000</v>
      </c>
      <c r="G13" s="74"/>
    </row>
    <row r="14" spans="1:10" x14ac:dyDescent="0.25">
      <c r="A14" s="74" t="s">
        <v>277</v>
      </c>
      <c r="B14" s="74">
        <v>2</v>
      </c>
      <c r="C14" s="74">
        <v>8000</v>
      </c>
      <c r="D14" s="74" t="s">
        <v>191</v>
      </c>
      <c r="E14" s="74"/>
      <c r="F14" s="77">
        <f t="shared" si="0"/>
        <v>16000</v>
      </c>
      <c r="G14" s="74"/>
    </row>
    <row r="15" spans="1:10" x14ac:dyDescent="0.25">
      <c r="A15" s="74" t="s">
        <v>277</v>
      </c>
      <c r="B15" s="74">
        <v>5</v>
      </c>
      <c r="C15" s="74">
        <v>3000</v>
      </c>
      <c r="D15" s="74" t="s">
        <v>121</v>
      </c>
      <c r="E15" s="74"/>
      <c r="F15" s="77">
        <f t="shared" si="0"/>
        <v>15000</v>
      </c>
      <c r="G15" s="74"/>
    </row>
    <row r="16" spans="1:10" x14ac:dyDescent="0.25">
      <c r="A16" s="74" t="s">
        <v>278</v>
      </c>
      <c r="B16" s="74">
        <v>2</v>
      </c>
      <c r="C16" s="74">
        <v>8000</v>
      </c>
      <c r="D16" s="74" t="s">
        <v>191</v>
      </c>
      <c r="E16" s="74"/>
      <c r="F16" s="75"/>
      <c r="G16" s="77">
        <f>+B16*C16</f>
        <v>16000</v>
      </c>
    </row>
    <row r="17" spans="1:7" x14ac:dyDescent="0.25">
      <c r="A17" s="74" t="s">
        <v>278</v>
      </c>
      <c r="B17" s="74"/>
      <c r="C17" s="74"/>
      <c r="D17" s="74" t="s">
        <v>283</v>
      </c>
      <c r="E17" s="74"/>
      <c r="F17" s="75"/>
      <c r="G17" s="78">
        <v>28000</v>
      </c>
    </row>
    <row r="18" spans="1:7" x14ac:dyDescent="0.25">
      <c r="A18" s="74" t="s">
        <v>277</v>
      </c>
      <c r="B18" s="74"/>
      <c r="C18" s="74"/>
      <c r="D18" s="74" t="s">
        <v>286</v>
      </c>
      <c r="E18" s="74"/>
      <c r="F18" s="77">
        <v>15000</v>
      </c>
      <c r="G18" s="76"/>
    </row>
    <row r="19" spans="1:7" x14ac:dyDescent="0.25">
      <c r="A19" s="74" t="s">
        <v>277</v>
      </c>
      <c r="B19" s="74"/>
      <c r="C19" s="74"/>
      <c r="D19" s="74" t="s">
        <v>284</v>
      </c>
      <c r="E19" s="74"/>
      <c r="F19" s="77">
        <v>60000</v>
      </c>
      <c r="G19" s="76"/>
    </row>
    <row r="20" spans="1:7" x14ac:dyDescent="0.25">
      <c r="A20" s="74" t="s">
        <v>277</v>
      </c>
      <c r="B20" s="74"/>
      <c r="C20" s="74"/>
      <c r="D20" s="74" t="s">
        <v>285</v>
      </c>
      <c r="E20" s="74"/>
      <c r="F20" s="77">
        <v>12000</v>
      </c>
      <c r="G20" s="76"/>
    </row>
    <row r="21" spans="1:7" x14ac:dyDescent="0.25">
      <c r="A21" s="74" t="s">
        <v>278</v>
      </c>
      <c r="B21" s="74"/>
      <c r="C21" s="74"/>
      <c r="D21" s="74" t="s">
        <v>282</v>
      </c>
      <c r="E21" s="74"/>
      <c r="F21" s="75"/>
      <c r="G21" s="78">
        <v>43000</v>
      </c>
    </row>
    <row r="22" spans="1:7" x14ac:dyDescent="0.25">
      <c r="A22" s="74" t="s">
        <v>277</v>
      </c>
      <c r="D22" s="74" t="s">
        <v>287</v>
      </c>
      <c r="F22" s="77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D28"/>
  <sheetViews>
    <sheetView zoomScale="145" zoomScaleNormal="145" workbookViewId="0">
      <pane ySplit="2" topLeftCell="A22" activePane="bottomLeft" state="frozen"/>
      <selection pane="bottomLeft" activeCell="B28" sqref="B28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1" t="s">
        <v>207</v>
      </c>
      <c r="C1" s="60">
        <f>+SUM(C3:C1048576)</f>
        <v>70040</v>
      </c>
    </row>
    <row r="2" spans="1:3" x14ac:dyDescent="0.25">
      <c r="A2" s="36" t="s">
        <v>5</v>
      </c>
      <c r="B2" s="36" t="s">
        <v>3</v>
      </c>
      <c r="C2" s="59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0" t="s">
        <v>206</v>
      </c>
      <c r="C6" s="58">
        <v>-16000</v>
      </c>
    </row>
    <row r="7" spans="1:3" x14ac:dyDescent="0.25">
      <c r="A7" s="56">
        <v>46081</v>
      </c>
      <c r="B7" s="70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5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69">
        <v>46350</v>
      </c>
    </row>
    <row r="14" spans="1:3" x14ac:dyDescent="0.25">
      <c r="A14" s="2">
        <v>46085</v>
      </c>
      <c r="B14" t="s">
        <v>235</v>
      </c>
      <c r="C14" s="69">
        <v>16500</v>
      </c>
    </row>
    <row r="15" spans="1:3" x14ac:dyDescent="0.25">
      <c r="A15" s="2">
        <v>46085</v>
      </c>
      <c r="B15" t="s">
        <v>236</v>
      </c>
      <c r="C15" s="69">
        <v>11000</v>
      </c>
    </row>
    <row r="16" spans="1:3" x14ac:dyDescent="0.25">
      <c r="A16" s="2">
        <v>46085</v>
      </c>
      <c r="B16" t="s">
        <v>240</v>
      </c>
      <c r="C16" s="69">
        <v>3500</v>
      </c>
    </row>
    <row r="17" spans="1:4" x14ac:dyDescent="0.25">
      <c r="A17" s="2">
        <v>46085</v>
      </c>
      <c r="B17" t="s">
        <v>238</v>
      </c>
      <c r="C17" s="69">
        <v>124400</v>
      </c>
    </row>
    <row r="18" spans="1:4" x14ac:dyDescent="0.25">
      <c r="A18" s="2">
        <v>46085</v>
      </c>
      <c r="B18" s="70" t="s">
        <v>239</v>
      </c>
      <c r="C18" s="58">
        <v>-201750</v>
      </c>
    </row>
    <row r="19" spans="1:4" x14ac:dyDescent="0.25">
      <c r="A19" s="2">
        <v>46085</v>
      </c>
      <c r="B19" s="70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290</v>
      </c>
      <c r="C21" s="58">
        <v>129000</v>
      </c>
    </row>
    <row r="22" spans="1:4" x14ac:dyDescent="0.25">
      <c r="A22" s="2">
        <v>46120</v>
      </c>
      <c r="B22" t="s">
        <v>289</v>
      </c>
      <c r="C22" s="58">
        <f>6*8000</f>
        <v>48000</v>
      </c>
    </row>
    <row r="23" spans="1:4" x14ac:dyDescent="0.25">
      <c r="A23" s="2">
        <v>46120</v>
      </c>
      <c r="B23" s="70" t="s">
        <v>239</v>
      </c>
      <c r="C23" s="58">
        <v>-100000</v>
      </c>
    </row>
    <row r="24" spans="1:4" x14ac:dyDescent="0.25">
      <c r="A24" s="2">
        <v>46123</v>
      </c>
      <c r="B24" s="70" t="s">
        <v>370</v>
      </c>
      <c r="C24" s="58">
        <v>-100000</v>
      </c>
    </row>
    <row r="25" spans="1:4" x14ac:dyDescent="0.25">
      <c r="A25" s="2">
        <v>46124</v>
      </c>
      <c r="B25" t="s">
        <v>369</v>
      </c>
      <c r="C25" s="58">
        <v>23990</v>
      </c>
      <c r="D25" t="s">
        <v>368</v>
      </c>
    </row>
    <row r="26" spans="1:4" x14ac:dyDescent="0.25">
      <c r="A26" s="2">
        <v>46124</v>
      </c>
      <c r="B26" t="s">
        <v>371</v>
      </c>
      <c r="C26" s="58">
        <v>45400</v>
      </c>
    </row>
    <row r="27" spans="1:4" x14ac:dyDescent="0.25">
      <c r="A27" s="2">
        <v>46124</v>
      </c>
      <c r="B27" s="70" t="s">
        <v>239</v>
      </c>
      <c r="C27" s="58">
        <v>-51350</v>
      </c>
    </row>
    <row r="28" spans="1:4" x14ac:dyDescent="0.25">
      <c r="B28" s="70" t="s">
        <v>559</v>
      </c>
      <c r="C28" s="58">
        <v>70000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69">
        <f>+SUM(B2:B1048576)</f>
        <v>-581250</v>
      </c>
      <c r="C1" t="s">
        <v>299</v>
      </c>
    </row>
    <row r="2" spans="1:7" x14ac:dyDescent="0.25">
      <c r="A2" t="s">
        <v>109</v>
      </c>
      <c r="B2" s="58">
        <v>1300000</v>
      </c>
      <c r="C2" t="s">
        <v>298</v>
      </c>
      <c r="F2">
        <v>1600</v>
      </c>
      <c r="G2" t="s">
        <v>315</v>
      </c>
    </row>
    <row r="3" spans="1:7" x14ac:dyDescent="0.25">
      <c r="A3" t="s">
        <v>291</v>
      </c>
      <c r="B3" s="58">
        <v>-1350000</v>
      </c>
      <c r="C3" t="s">
        <v>297</v>
      </c>
      <c r="F3" s="80">
        <v>3700000</v>
      </c>
    </row>
    <row r="4" spans="1:7" x14ac:dyDescent="0.25">
      <c r="A4" s="1" t="s">
        <v>292</v>
      </c>
      <c r="B4" s="58">
        <v>-400000</v>
      </c>
      <c r="C4" t="s">
        <v>297</v>
      </c>
      <c r="F4" s="80">
        <f>+F3/F2</f>
        <v>2312.5</v>
      </c>
    </row>
    <row r="5" spans="1:7" x14ac:dyDescent="0.25">
      <c r="A5" t="s">
        <v>293</v>
      </c>
      <c r="B5" s="58">
        <f>-500000/2</f>
        <v>-250000</v>
      </c>
      <c r="C5" t="s">
        <v>297</v>
      </c>
    </row>
    <row r="6" spans="1:7" x14ac:dyDescent="0.25">
      <c r="A6" t="s">
        <v>294</v>
      </c>
      <c r="B6" s="58">
        <f>-180000/2</f>
        <v>-90000</v>
      </c>
      <c r="C6" t="s">
        <v>297</v>
      </c>
      <c r="F6">
        <v>3500</v>
      </c>
    </row>
    <row r="7" spans="1:7" x14ac:dyDescent="0.25">
      <c r="A7" t="s">
        <v>295</v>
      </c>
      <c r="B7" s="58">
        <v>-30000</v>
      </c>
      <c r="C7" t="s">
        <v>297</v>
      </c>
      <c r="F7">
        <f>+F6*F2</f>
        <v>5600000</v>
      </c>
    </row>
    <row r="8" spans="1:7" x14ac:dyDescent="0.25">
      <c r="A8" t="s">
        <v>296</v>
      </c>
      <c r="B8" s="58">
        <f>((550-185)*3500)/2</f>
        <v>638750</v>
      </c>
      <c r="C8" t="s">
        <v>297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297</v>
      </c>
    </row>
    <row r="10" spans="1:7" x14ac:dyDescent="0.25">
      <c r="A10" t="s">
        <v>296</v>
      </c>
      <c r="D10" t="s">
        <v>300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0">
        <f>715*3500</f>
        <v>2502500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788789B1-0D01-44D2-92B3-AE3C27D29AF4}">
  <ds:schemaRefs/>
</ds:datastoreItem>
</file>

<file path=customXml/itemProps3.xml><?xml version="1.0" encoding="utf-8"?>
<ds:datastoreItem xmlns:ds="http://schemas.openxmlformats.org/officeDocument/2006/customXml" ds:itemID="{3BFDF280-F210-4B3E-AFDE-1E932821F2B6}">
  <ds:schemaRefs/>
</ds:datastoreItem>
</file>

<file path=customXml/itemProps4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customXml/itemProps5.xml><?xml version="1.0" encoding="utf-8"?>
<ds:datastoreItem xmlns:ds="http://schemas.openxmlformats.org/officeDocument/2006/customXml" ds:itemID="{26BBDD3B-5549-4B7F-A242-39E079346B51}">
  <ds:schemaRefs/>
</ds:datastoreItem>
</file>

<file path=customXml/itemProps6.xml><?xml version="1.0" encoding="utf-8"?>
<ds:datastoreItem xmlns:ds="http://schemas.openxmlformats.org/officeDocument/2006/customXml" ds:itemID="{651B3BFD-4BC7-48D9-94DF-A7E0AC3AE58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chorizo</vt:lpstr>
      <vt:lpstr>choriboni</vt:lpstr>
      <vt:lpstr>16mar</vt:lpstr>
      <vt:lpstr>Arqueo de Caja</vt:lpstr>
      <vt:lpstr>Extracto</vt:lpstr>
      <vt:lpstr>Gas</vt:lpstr>
      <vt:lpstr>Registros</vt:lpstr>
      <vt:lpstr>DevOps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PC</cp:lastModifiedBy>
  <cp:lastPrinted>2026-03-18T14:33:01Z</cp:lastPrinted>
  <dcterms:created xsi:type="dcterms:W3CDTF">2015-06-05T18:19:34Z</dcterms:created>
  <dcterms:modified xsi:type="dcterms:W3CDTF">2026-03-21T00:57:10Z</dcterms:modified>
</cp:coreProperties>
</file>