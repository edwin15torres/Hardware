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365" firstSheet="2" activeTab="2"/>
  </bookViews>
  <sheets>
    <sheet name="chorizo" sheetId="3" state="hidden" r:id="rId1"/>
    <sheet name="choriboni" sheetId="4" r:id="rId2"/>
    <sheet name="Arqueo de Caja" sheetId="9" r:id="rId3"/>
    <sheet name="Clientes frecuentas" sheetId="24" r:id="rId4"/>
    <sheet name="empaque" sheetId="15" r:id="rId5"/>
    <sheet name="proveedores" sheetId="7" r:id="rId6"/>
    <sheet name="informe" sheetId="6" state="hidden" r:id="rId7"/>
    <sheet name="Costos" sheetId="8" state="hidden" r:id="rId8"/>
    <sheet name="Reporte" sheetId="11" r:id="rId9"/>
    <sheet name="Extracto_bancario" sheetId="10" r:id="rId10"/>
    <sheet name="Rappi" sheetId="26" r:id="rId11"/>
    <sheet name="7-MARZO" sheetId="22" r:id="rId12"/>
    <sheet name="Prestamos" sheetId="12" r:id="rId13"/>
    <sheet name="maquina" sheetId="23" r:id="rId14"/>
    <sheet name="Hoja4" sheetId="19" r:id="rId15"/>
    <sheet name="Inventario" sheetId="20" r:id="rId16"/>
    <sheet name="Bugs" sheetId="21" r:id="rId17"/>
    <sheet name="Gastos del dìa" sheetId="17" r:id="rId18"/>
    <sheet name="H" sheetId="16" r:id="rId19"/>
    <sheet name="Empaques" sheetId="25" r:id="rId20"/>
    <sheet name="Informe ventas" sheetId="13" state="hidden" r:id="rId21"/>
    <sheet name="historial de venta" sheetId="14" state="hidden" r:id="rId22"/>
  </sheets>
  <definedNames>
    <definedName name="_xlnm._FilterDatabase" localSheetId="1" hidden="1">choriboni!$B$17:$I$69</definedName>
  </definedNames>
  <calcPr calcId="162913"/>
  <pivotCaches>
    <pivotCache cacheId="0" r:id="rId23"/>
    <pivotCache cacheId="1" r:id="rId24"/>
    <pivotCache cacheId="2" r:id="rId25"/>
    <pivotCache cacheId="3" r:id="rId26"/>
    <pivotCache cacheId="4" r:id="rId27"/>
    <pivotCache cacheId="5" r:id="rId2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7" i="9" l="1"/>
  <c r="AI23" i="9"/>
  <c r="AI13" i="9"/>
  <c r="AI12" i="9"/>
  <c r="AI11" i="9"/>
  <c r="AI10" i="9"/>
  <c r="AI9" i="9"/>
  <c r="AI8" i="9"/>
  <c r="AI7" i="9"/>
  <c r="AI6" i="9"/>
  <c r="AI5" i="9"/>
  <c r="AI14" i="9" s="1"/>
  <c r="AI4" i="9"/>
  <c r="AI3" i="9"/>
  <c r="AI1" i="9"/>
  <c r="AI17" i="9" s="1"/>
  <c r="AG21" i="9"/>
  <c r="AG27" i="9"/>
  <c r="AG23" i="9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7" i="9"/>
  <c r="AG1" i="9"/>
  <c r="AI25" i="9" l="1"/>
  <c r="AG14" i="9"/>
  <c r="AG25" i="9" s="1"/>
  <c r="AE14" i="9"/>
  <c r="AE23" i="9" l="1"/>
  <c r="AG18" i="9" l="1"/>
  <c r="B47" i="10"/>
  <c r="B45" i="10"/>
  <c r="B44" i="10"/>
  <c r="B43" i="10"/>
  <c r="B42" i="10"/>
  <c r="B41" i="10"/>
  <c r="B46" i="10"/>
  <c r="B40" i="10"/>
  <c r="B39" i="10"/>
  <c r="B38" i="10"/>
  <c r="AE1" i="9" l="1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F11" i="23"/>
  <c r="F10" i="23"/>
  <c r="F8" i="23"/>
  <c r="F7" i="23"/>
  <c r="F4" i="23"/>
  <c r="G10" i="25"/>
  <c r="E6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3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K37" i="10"/>
  <c r="B37" i="10"/>
  <c r="B36" i="10"/>
  <c r="B35" i="10"/>
  <c r="B34" i="10"/>
  <c r="B33" i="10"/>
  <c r="B32" i="10"/>
  <c r="B31" i="10"/>
  <c r="B30" i="10"/>
  <c r="B29" i="10"/>
  <c r="B28" i="10"/>
  <c r="K32" i="10"/>
  <c r="W21" i="9"/>
  <c r="AC18" i="9" l="1"/>
  <c r="AC23" i="9" s="1"/>
  <c r="AA25" i="9"/>
  <c r="AC25" i="9"/>
  <c r="H1" i="22"/>
  <c r="I1" i="22" s="1"/>
  <c r="C1" i="17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K36" i="10" s="1"/>
  <c r="U21" i="9"/>
  <c r="U5" i="9"/>
  <c r="U4" i="9"/>
  <c r="AK13" i="9"/>
  <c r="AK12" i="9"/>
  <c r="AK11" i="9"/>
  <c r="AK10" i="9"/>
  <c r="AK9" i="9"/>
  <c r="AK8" i="9"/>
  <c r="AK7" i="9"/>
  <c r="AK6" i="9"/>
  <c r="AK5" i="9"/>
  <c r="AK4" i="9"/>
  <c r="AK3" i="9"/>
  <c r="S21" i="9"/>
  <c r="U1" i="9"/>
  <c r="U17" i="9" s="1"/>
  <c r="S1" i="9"/>
  <c r="S17" i="9" s="1"/>
  <c r="Q1" i="9"/>
  <c r="Q17" i="9" s="1"/>
  <c r="O1" i="9"/>
  <c r="O17" i="9" s="1"/>
  <c r="AK14" i="9" l="1"/>
  <c r="U13" i="9" l="1"/>
  <c r="U12" i="9"/>
  <c r="U11" i="9"/>
  <c r="U10" i="9"/>
  <c r="U9" i="9"/>
  <c r="U8" i="9"/>
  <c r="U7" i="9"/>
  <c r="U6" i="9"/>
  <c r="U14" i="9" s="1"/>
  <c r="B27" i="10" l="1"/>
  <c r="B26" i="10"/>
  <c r="B25" i="10"/>
  <c r="B24" i="10"/>
  <c r="B23" i="10"/>
  <c r="D23" i="10"/>
  <c r="D1" i="10" s="1"/>
  <c r="C9" i="12"/>
  <c r="C1" i="12" s="1"/>
  <c r="Q13" i="9" l="1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0" i="10"/>
  <c r="B21" i="10"/>
  <c r="B22" i="10"/>
  <c r="M21" i="9" l="1"/>
  <c r="M23" i="9" s="1"/>
  <c r="B19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18" i="10"/>
  <c r="B17" i="10"/>
  <c r="B16" i="10"/>
  <c r="B15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K33" i="10" s="1"/>
  <c r="H37" i="14"/>
  <c r="H31" i="14"/>
  <c r="E4" i="1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/>
  <c r="C14" i="4" l="1"/>
  <c r="I11" i="4" s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8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I2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4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5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<sst xmlns="http://schemas.openxmlformats.org/spreadsheetml/2006/main" count="873" uniqueCount="344">
  <si>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</si>
  <si>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</si>
  <si>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</si>
  <si>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</si>
  <si>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</si>
  <si>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</si>
  <si>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</si>
  <si>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</si>
  <si>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</si>
  <si>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</si>
  <si>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</si>
  <si>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</si>
  <si>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</si>
  <si>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</si>
  <si>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</si>
  <si>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</si>
  <si>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</si>
  <si>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</si>
  <si>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</si>
  <si>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</si>
  <si>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</si>
  <si>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</si>
  <si>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</si>
  <si>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</si>
  <si>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</si>
  <si>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</si>
  <si>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</si>
  <si>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</si>
  <si>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</si>
  <si>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</si>
  <si>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</si>
  <si>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</si>
  <si>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</si>
  <si>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</si>
  <si>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</si>
  <si>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</si>
  <si>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</si>
  <si>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</si>
  <si>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</si>
  <si>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</si>
  <si>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</si>
  <si>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</si>
  <si>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</si>
  <si>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</si>
  <si>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</si>
  <si>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</si>
  <si>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</si>
  <si>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</si>
  <si>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</si>
  <si>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</si>
  <si>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</si>
  <si>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</si>
  <si>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</si>
  <si>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</si>
  <si>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</si>
  <si>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</si>
  <si>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</si>
  <si>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</si>
  <si>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</si>
  <si>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</si>
  <si>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</si>
  <si>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</si>
  <si>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</si>
  <si>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</si>
  <si>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</si>
  <si>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</si>
  <si>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</si>
  <si>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</si>
  <si>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</si>
  <si>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</si>
  <si>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</si>
  <si>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</si>
  <si>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</si>
  <si>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</si>
  <si>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</si>
  <si>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</si>
  <si>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</si>
  <si>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</si>
  <si>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</si>
  <si>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</si>
  <si>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</si>
  <si>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</si>
  <si>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</si>
  <si>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</si>
  <si>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</si>
  <si>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</si>
  <si>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</si>
  <si>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</si>
  <si>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</si>
  <si>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</si>
  <si>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</si>
  <si>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</si>
  <si>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</si>
  <si>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</si>
  <si>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</si>
  <si>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</si>
  <si>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</si>
  <si>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</si>
  <si>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</si>
  <si>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</si>
  <si>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</si>
  <si>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</si>
  <si>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</si>
  <si>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</si>
  <si>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</si>
  <si>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</si>
  <si>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</si>
  <si>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</si>
  <si>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</si>
  <si>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</si>
  <si>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</si>
  <si>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</si>
  <si>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</si>
  <si>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</si>
  <si>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</si>
  <si>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</si>
  <si>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</si>
  <si>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</si>
  <si>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</si>
  <si>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</si>
  <si>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</si>
  <si>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</si>
  <si>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</si>
  <si>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</si>
  <si>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</si>
  <si>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</si>
  <si>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</si>
  <si>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</si>
  <si>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</si>
  <si>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</si>
  <si>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</si>
  <si>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</si>
  <si>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</si>
  <si>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</si>
  <si>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</si>
  <si>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</si>
  <si>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</si>
  <si>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</si>
  <si>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</si>
  <si>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</si>
  <si>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</si>
  <si>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</si>
  <si>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</si>
  <si>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</si>
  <si>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</si>
  <si>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</si>
  <si>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</si>
  <si>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</si>
  <si>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</si>
  <si>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</si>
  <si>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</si>
  <si>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</si>
  <si>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</si>
  <si>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</si>
  <si>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</si>
  <si>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</si>
  <si>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</si>
  <si>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</si>
  <si>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</si>
  <si>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</si>
  <si>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</si>
  <si>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</si>
  <si>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</si>
  <si>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</si>
  <si>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</si>
  <si>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</si>
  <si>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</si>
  <si>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</si>
  <si>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</si>
  <si>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</si>
  <si>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</si>
  <si>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</si>
  <si>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</si>
  <si>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</si>
  <si>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</si>
  <si>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</si>
  <si>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</si>
  <si>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</si>
  <si>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</si>
  <si>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</si>
  <si>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</si>
  <si>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</si>
  <si>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</si>
  <si>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</si>
  <si>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</si>
  <si>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</si>
  <si>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</si>
  <si>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</si>
  <si>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</si>
  <si>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</si>
  <si>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</si>
  <si>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</si>
  <si>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</si>
  <si>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</si>
  <si>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</si>
  <si>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</si>
  <si>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</si>
  <si>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</si>
  <si>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</si>
  <si>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</si>
  <si>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</si>
  <si>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</si>
  <si>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</si>
  <si>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</si>
  <si>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</si>
  <si>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</si>
  <si>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</si>
  <si>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</si>
  <si>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</si>
  <si>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</si>
  <si>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</si>
  <si>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</si>
  <si>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</si>
  <si>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</si>
  <si>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</si>
  <si>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</si>
  <si>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</si>
  <si>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</si>
  <si>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</si>
  <si>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</si>
  <si>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</si>
  <si>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</si>
  <si>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</si>
  <si>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</si>
  <si>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</si>
  <si>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</si>
  <si>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</si>
  <si>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</si>
  <si>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</si>
  <si>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</si>
  <si>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</si>
  <si>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</si>
  <si>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</si>
  <si>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</si>
  <si>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</si>
  <si>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</si>
  <si>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</si>
  <si>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</si>
  <si>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</si>
  <si>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</si>
  <si>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</si>
  <si>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</si>
  <si>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</si>
  <si>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</si>
  <si>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3 - 5 dia</t>
  </si>
  <si>
    <t>Coca- Cola</t>
  </si>
  <si>
    <t>stock mìnimo</t>
  </si>
  <si>
    <t>imprimir informe</t>
  </si>
  <si>
    <t>avisar si se guardo o no</t>
  </si>
  <si>
    <t>se abre multiples ventanas</t>
  </si>
  <si>
    <t>pago parcial no se permite entre nequi y efectivo</t>
  </si>
  <si>
    <t>picadas, no hay manera de digitar picadas</t>
  </si>
  <si>
    <t>la caja abre en registros incorrectos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</si>
  <si>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</si>
  <si>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</si>
  <si>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</si>
  <si>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</si>
  <si>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</si>
  <si>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</si>
  <si>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diferencia entre bas y gasto</t>
  </si>
  <si>
    <t>no hay ruta rapida de chorizo</t>
  </si>
  <si>
    <t>¿Cuánto es la venta y gasto del dìa?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</si>
  <si>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</si>
  <si>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</si>
  <si>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</si>
  <si>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</si>
  <si>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</si>
  <si>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</si>
  <si>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</si>
  <si>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</si>
  <si>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</si>
  <si>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</si>
  <si>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</si>
  <si>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</si>
  <si>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</si>
  <si>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</si>
  <si>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</si>
  <si>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</si>
  <si>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</si>
  <si>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</si>
  <si>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</si>
  <si>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</si>
  <si>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</si>
  <si>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</si>
  <si>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</si>
  <si>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</si>
  <si>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</si>
  <si>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</si>
  <si>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</si>
  <si>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</si>
  <si>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</si>
  <si>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</si>
  <si>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</si>
  <si>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</si>
  <si>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</si>
  <si>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</si>
  <si>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</si>
  <si>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</si>
  <si>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</si>
  <si>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</si>
  <si>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</si>
  <si>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</si>
  <si>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</si>
  <si>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</si>
  <si>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</si>
  <si>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</si>
  <si>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</si>
  <si>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</si>
  <si>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</si>
  <si>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Nombre</t>
  </si>
  <si>
    <t>Detalle</t>
  </si>
  <si>
    <t>Botón de emergencia</t>
  </si>
  <si>
    <t>HU38</t>
  </si>
  <si>
    <t>Como usuario general requiero abrir la caja para ágilizar el proceso de devolución de vueltas</t>
  </si>
  <si>
    <t>Backlog</t>
  </si>
  <si>
    <t>Operaciones</t>
  </si>
  <si>
    <t>Done</t>
  </si>
  <si>
    <t>BU001</t>
  </si>
  <si>
    <t>El título de la sección de ee</t>
  </si>
  <si>
    <t>El título de la sección de efectivo no corresponde: "Registro Base" ---&gt; "Registro de entradas y retiros de efectivo"</t>
  </si>
  <si>
    <t>Retiros</t>
  </si>
  <si>
    <t>314 433 7558</t>
  </si>
  <si>
    <t>Sandra Patricia</t>
  </si>
  <si>
    <t>Chorizo y papa o arepa</t>
  </si>
  <si>
    <t>papa francesa</t>
  </si>
  <si>
    <t>hamburguesa</t>
  </si>
  <si>
    <t>Carnes</t>
  </si>
  <si>
    <t>Empaques</t>
  </si>
  <si>
    <t>322 460 2946</t>
  </si>
  <si>
    <t>3 dias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</si>
  <si>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</si>
  <si>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</si>
  <si>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</si>
  <si>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</si>
  <si>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</si>
  <si>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</si>
  <si>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</si>
  <si>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</si>
  <si>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</si>
  <si>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</si>
  <si>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</si>
  <si>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El botón "Abrir" debe estar en registro de Ingresos</t>
  </si>
  <si>
    <t>Cambiar a item por producto</t>
  </si>
  <si>
    <t>Edison Valbuena - Gaseosa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</si>
</sst>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90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10" fillId="19" borderId="3" xfId="0" applyFont="1" applyFill="1" applyBorder="1"/>
    <xf numFmtId="0" fontId="0" fillId="0" borderId="3" xfId="0" applyBorder="1"/>
    <xf numFmtId="0" fontId="14" fillId="0" borderId="0" xfId="0" applyFont="1"/>
    <xf numFmtId="16" fontId="0" fillId="0" borderId="3" xfId="0" applyNumberFormat="1" applyBorder="1"/>
    <xf numFmtId="0" fontId="6" fillId="5" borderId="3" xfId="3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openxmlformats.org/officeDocument/2006/relationships/sheetMetadata" Target="metadata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41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2.xml"/><Relationship Id="rId40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pivotCacheDefinition" Target="pivotCache/pivotCacheDefinition6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openxmlformats.org/officeDocument/2006/relationships/connections" Target="connections.xml"/><Relationship Id="rId35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P21" sheet="Extracto_bancari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outline="0" fieldPosition="0">
        <references count="1">
          <reference field="4294967294" count="1">
            <x v="1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I83"/>
  <sheetViews>
    <sheetView showGridLines="0" zoomScale="90" zoomScaleNormal="90" workbookViewId="0">
      <pane ySplit="17" topLeftCell="A23" activePane="bottomLeft" state="frozen"/>
      <selection pane="bottomLeft" activeCell="B45" sqref="A45:XFD45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254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hidden="1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hidden="1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hidden="1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hidden="1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hidden="1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hidden="1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hidden="1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hidden="1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hidden="1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230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221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229</v>
      </c>
    </row>
  </sheetData>
  <autoFilter ref="B17:I69">
    <filterColumn colId="5">
      <filters>
        <filter val="Despostador"/>
        <filter val="Sistma POS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AK31"/>
  <sheetViews>
    <sheetView showGridLines="0" tabSelected="1" topLeftCell="A4" zoomScale="85" zoomScaleNormal="85" workbookViewId="0">
      <selection activeCell="AM15" sqref="AM15"/>
    </sheetView>
  </sheetViews>
  <sheetFormatPr baseColWidth="10" defaultRowHeight="15" outlineLevelRow="1" outlineLevelCol="1" x14ac:dyDescent="0.25"/>
  <cols>
    <col min="1" max="1" width="13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0" hidden="1" customWidth="1"/>
    <col min="28" max="28" width="3.140625" hidden="1" customWidth="1" collapsed="1"/>
    <col min="29" max="29" width="0" hidden="1" customWidth="1"/>
    <col min="30" max="30" width="3.140625" bestFit="1" customWidth="1" collapsed="1"/>
    <col min="32" max="32" width="3.140625" bestFit="1" customWidth="1" collapsed="1"/>
    <col min="34" max="34" width="3.140625" bestFit="1" customWidth="1" collapsed="1"/>
    <col min="36" max="37" width="0" hidden="1" customWidth="1"/>
  </cols>
  <sheetData>
    <row r="1" spans="1:37" x14ac:dyDescent="0.25">
      <c r="A1" s="40">
        <v>197650</v>
      </c>
      <c r="C1" s="42">
        <f>+C14-A1</f>
        <v>7950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mié</v>
      </c>
    </row>
    <row r="2" spans="1:37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46092</v>
      </c>
      <c r="AJ2" s="44" t="s">
        <v>137</v>
      </c>
      <c r="AK2" s="45">
        <v>46083</v>
      </c>
    </row>
    <row r="3" spans="1:37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/>
      <c r="AI3" s="3">
        <f t="shared" ref="AI3:AI13" si="2">+$A3*AH3</f>
        <v>0</v>
      </c>
      <c r="AJ3" s="26">
        <v>0</v>
      </c>
      <c r="AK3" s="3">
        <f>+$A3*AJ3</f>
        <v>0</v>
      </c>
    </row>
    <row r="4" spans="1:37" outlineLevel="1" x14ac:dyDescent="0.25">
      <c r="A4" s="27">
        <v>50000</v>
      </c>
      <c r="B4" s="26">
        <v>1</v>
      </c>
      <c r="C4" s="3">
        <f t="shared" ref="C4:C13" si="3">+A4*B4</f>
        <v>50000</v>
      </c>
      <c r="D4" s="26">
        <v>1</v>
      </c>
      <c r="E4" s="3">
        <f t="shared" ref="E4:E13" si="4">+$A4*D4</f>
        <v>50000</v>
      </c>
      <c r="F4" s="26">
        <v>1</v>
      </c>
      <c r="G4" s="3"/>
      <c r="H4" s="26">
        <v>0</v>
      </c>
      <c r="I4" s="3">
        <f t="shared" ref="I4" si="5">+$A4*H4</f>
        <v>0</v>
      </c>
      <c r="J4" s="26">
        <v>2</v>
      </c>
      <c r="K4" s="3">
        <f t="shared" ref="K4" si="6">+$A4*J4</f>
        <v>100000</v>
      </c>
      <c r="L4" s="26">
        <v>0</v>
      </c>
      <c r="M4" s="3">
        <f t="shared" ref="M4" si="7">+$A4*L4</f>
        <v>0</v>
      </c>
      <c r="N4" s="26">
        <v>0</v>
      </c>
      <c r="O4" s="3">
        <f t="shared" ref="O4" si="8">+$A4*N4</f>
        <v>0</v>
      </c>
      <c r="P4" s="26">
        <v>1</v>
      </c>
      <c r="Q4" s="3">
        <f t="shared" ref="Q4" si="9">+$A4*P4</f>
        <v>50000</v>
      </c>
      <c r="R4" s="26">
        <v>1</v>
      </c>
      <c r="S4" s="3"/>
      <c r="T4" s="26">
        <v>0</v>
      </c>
      <c r="U4" s="3">
        <f t="shared" ref="U4:U5" si="10">+$A4*T4</f>
        <v>0</v>
      </c>
      <c r="V4" s="1">
        <v>1</v>
      </c>
      <c r="W4" s="3">
        <f t="shared" ref="W4:W5" si="11">+$A4*V4</f>
        <v>50000</v>
      </c>
      <c r="X4" s="1">
        <v>0</v>
      </c>
      <c r="Y4" s="3">
        <f t="shared" ref="Y4:Y5" si="12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4</v>
      </c>
      <c r="AG4" s="3">
        <f t="shared" si="1"/>
        <v>200000</v>
      </c>
      <c r="AH4" s="1"/>
      <c r="AI4" s="3">
        <f t="shared" si="2"/>
        <v>0</v>
      </c>
      <c r="AJ4" s="26">
        <v>1</v>
      </c>
      <c r="AK4" s="3">
        <f t="shared" ref="AK4" si="13">+$A4*AJ4</f>
        <v>50000</v>
      </c>
    </row>
    <row r="5" spans="1:37" outlineLevel="1" x14ac:dyDescent="0.25">
      <c r="A5" s="27">
        <v>20000</v>
      </c>
      <c r="B5" s="26">
        <v>4</v>
      </c>
      <c r="C5" s="3">
        <f t="shared" si="3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10"/>
        <v>0</v>
      </c>
      <c r="V5" s="1">
        <v>0</v>
      </c>
      <c r="W5" s="3">
        <f t="shared" si="11"/>
        <v>0</v>
      </c>
      <c r="X5" s="1">
        <v>0</v>
      </c>
      <c r="Y5" s="3">
        <f t="shared" si="12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3</v>
      </c>
      <c r="AG5" s="3">
        <f t="shared" si="1"/>
        <v>60000</v>
      </c>
      <c r="AH5" s="1"/>
      <c r="AI5" s="3">
        <f t="shared" si="2"/>
        <v>0</v>
      </c>
      <c r="AJ5" s="26">
        <v>1</v>
      </c>
      <c r="AK5" s="3">
        <f>+$A5*AJ5</f>
        <v>20000</v>
      </c>
    </row>
    <row r="6" spans="1:37" outlineLevel="1" x14ac:dyDescent="0.25">
      <c r="A6" s="27">
        <v>10000</v>
      </c>
      <c r="B6" s="26">
        <v>2</v>
      </c>
      <c r="C6" s="3">
        <f t="shared" si="3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/>
      <c r="AI6" s="3">
        <f t="shared" si="2"/>
        <v>0</v>
      </c>
      <c r="AJ6" s="26">
        <v>4</v>
      </c>
      <c r="AK6" s="3">
        <f>+$A6*AJ6</f>
        <v>40000</v>
      </c>
    </row>
    <row r="7" spans="1:37" outlineLevel="1" x14ac:dyDescent="0.25">
      <c r="A7" s="27">
        <v>5000</v>
      </c>
      <c r="B7" s="26">
        <v>2</v>
      </c>
      <c r="C7" s="3">
        <f t="shared" si="3"/>
        <v>10000</v>
      </c>
      <c r="D7" s="26">
        <v>4</v>
      </c>
      <c r="E7" s="3">
        <f t="shared" si="4"/>
        <v>20000</v>
      </c>
      <c r="F7" s="26">
        <v>4</v>
      </c>
      <c r="G7" s="3"/>
      <c r="H7" s="26">
        <v>6</v>
      </c>
      <c r="I7" s="3">
        <f t="shared" ref="I7:I13" si="14">+$A7*H7</f>
        <v>30000</v>
      </c>
      <c r="J7" s="26">
        <v>5</v>
      </c>
      <c r="K7" s="3">
        <f t="shared" ref="K7:K13" si="15">+$A7*J7</f>
        <v>25000</v>
      </c>
      <c r="L7" s="26">
        <v>5</v>
      </c>
      <c r="M7" s="3">
        <f t="shared" ref="M7:M13" si="16">+$A7*L7</f>
        <v>25000</v>
      </c>
      <c r="N7" s="26">
        <v>5</v>
      </c>
      <c r="O7" s="3">
        <f t="shared" ref="O7:O13" si="17">+$A7*N7</f>
        <v>25000</v>
      </c>
      <c r="P7" s="26">
        <v>3</v>
      </c>
      <c r="Q7" s="3">
        <f t="shared" ref="Q7:Q13" si="18">+$A7*P7</f>
        <v>15000</v>
      </c>
      <c r="R7" s="26">
        <v>3</v>
      </c>
      <c r="S7" s="3"/>
      <c r="T7" s="26">
        <v>3</v>
      </c>
      <c r="U7" s="3">
        <f t="shared" ref="U7:U13" si="19">+$A7*T7</f>
        <v>15000</v>
      </c>
      <c r="V7" s="1">
        <v>4</v>
      </c>
      <c r="W7" s="3">
        <f t="shared" ref="W7:W13" si="20">+$A7*V7</f>
        <v>20000</v>
      </c>
      <c r="X7" s="1">
        <v>0</v>
      </c>
      <c r="Y7" s="3">
        <f t="shared" ref="Y7:Y13" si="21">+$A7*X7</f>
        <v>0</v>
      </c>
      <c r="Z7" s="1">
        <v>0</v>
      </c>
      <c r="AA7" s="3">
        <f t="shared" ref="AA7:AC13" si="22">+$A7*Z7</f>
        <v>0</v>
      </c>
      <c r="AB7" s="1">
        <v>3</v>
      </c>
      <c r="AC7" s="3">
        <f t="shared" si="22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/>
      <c r="AI7" s="3">
        <f t="shared" si="2"/>
        <v>0</v>
      </c>
      <c r="AJ7" s="26">
        <v>3</v>
      </c>
      <c r="AK7" s="3">
        <f t="shared" ref="AK7:AK13" si="23">+$A7*AJ7</f>
        <v>15000</v>
      </c>
    </row>
    <row r="8" spans="1:37" outlineLevel="1" x14ac:dyDescent="0.25">
      <c r="A8" s="27">
        <v>2000</v>
      </c>
      <c r="B8" s="26">
        <v>4</v>
      </c>
      <c r="C8" s="3">
        <f t="shared" si="3"/>
        <v>8000</v>
      </c>
      <c r="D8" s="26">
        <v>5</v>
      </c>
      <c r="E8" s="3">
        <f t="shared" si="4"/>
        <v>10000</v>
      </c>
      <c r="F8" s="26">
        <v>5</v>
      </c>
      <c r="G8" s="3"/>
      <c r="H8" s="26">
        <v>12</v>
      </c>
      <c r="I8" s="3">
        <f t="shared" si="14"/>
        <v>24000</v>
      </c>
      <c r="J8" s="26">
        <v>17</v>
      </c>
      <c r="K8" s="3">
        <f t="shared" si="15"/>
        <v>34000</v>
      </c>
      <c r="L8" s="26">
        <v>14</v>
      </c>
      <c r="M8" s="3">
        <f t="shared" si="16"/>
        <v>28000</v>
      </c>
      <c r="N8" s="26">
        <v>14</v>
      </c>
      <c r="O8" s="3">
        <f t="shared" si="17"/>
        <v>28000</v>
      </c>
      <c r="P8" s="26">
        <v>10</v>
      </c>
      <c r="Q8" s="3">
        <f t="shared" si="18"/>
        <v>20000</v>
      </c>
      <c r="R8" s="26">
        <v>10</v>
      </c>
      <c r="S8" s="3"/>
      <c r="T8" s="26">
        <v>12</v>
      </c>
      <c r="U8" s="3">
        <f t="shared" si="19"/>
        <v>24000</v>
      </c>
      <c r="V8" s="1">
        <v>22</v>
      </c>
      <c r="W8" s="3">
        <f t="shared" si="20"/>
        <v>44000</v>
      </c>
      <c r="X8" s="1">
        <v>23</v>
      </c>
      <c r="Y8" s="3">
        <f t="shared" si="21"/>
        <v>46000</v>
      </c>
      <c r="Z8" s="1">
        <v>20</v>
      </c>
      <c r="AA8" s="3">
        <f t="shared" si="22"/>
        <v>40000</v>
      </c>
      <c r="AB8" s="1">
        <v>25</v>
      </c>
      <c r="AC8" s="3">
        <f t="shared" si="22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/>
      <c r="AI8" s="3">
        <f t="shared" si="2"/>
        <v>0</v>
      </c>
      <c r="AJ8" s="26">
        <v>10</v>
      </c>
      <c r="AK8" s="3">
        <f t="shared" si="23"/>
        <v>20000</v>
      </c>
    </row>
    <row r="9" spans="1:37" outlineLevel="1" x14ac:dyDescent="0.25">
      <c r="A9" s="27">
        <v>1000</v>
      </c>
      <c r="B9" s="26">
        <v>7</v>
      </c>
      <c r="C9" s="3">
        <f t="shared" si="3"/>
        <v>7000</v>
      </c>
      <c r="D9" s="26">
        <v>8</v>
      </c>
      <c r="E9" s="3">
        <f t="shared" si="4"/>
        <v>8000</v>
      </c>
      <c r="F9" s="26">
        <v>8</v>
      </c>
      <c r="G9" s="3"/>
      <c r="H9" s="26">
        <v>3</v>
      </c>
      <c r="I9" s="3">
        <f t="shared" si="14"/>
        <v>3000</v>
      </c>
      <c r="J9" s="26">
        <v>2</v>
      </c>
      <c r="K9" s="3">
        <f t="shared" si="15"/>
        <v>2000</v>
      </c>
      <c r="L9" s="26">
        <v>0</v>
      </c>
      <c r="M9" s="3">
        <f t="shared" si="16"/>
        <v>0</v>
      </c>
      <c r="N9" s="26">
        <v>0</v>
      </c>
      <c r="O9" s="3">
        <f t="shared" si="17"/>
        <v>0</v>
      </c>
      <c r="P9" s="26">
        <v>0</v>
      </c>
      <c r="Q9" s="3">
        <f t="shared" si="18"/>
        <v>0</v>
      </c>
      <c r="R9" s="26">
        <v>0</v>
      </c>
      <c r="S9" s="3"/>
      <c r="T9" s="26">
        <v>20</v>
      </c>
      <c r="U9" s="3">
        <f t="shared" si="19"/>
        <v>20000</v>
      </c>
      <c r="V9" s="1">
        <v>16</v>
      </c>
      <c r="W9" s="3">
        <f t="shared" si="20"/>
        <v>16000</v>
      </c>
      <c r="X9" s="1">
        <v>12</v>
      </c>
      <c r="Y9" s="3">
        <f t="shared" si="21"/>
        <v>12000</v>
      </c>
      <c r="Z9" s="1">
        <v>9</v>
      </c>
      <c r="AA9" s="3">
        <f t="shared" si="22"/>
        <v>9000</v>
      </c>
      <c r="AB9" s="1">
        <v>6</v>
      </c>
      <c r="AC9" s="3">
        <f t="shared" si="22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/>
      <c r="AI9" s="3">
        <f t="shared" si="2"/>
        <v>0</v>
      </c>
      <c r="AJ9" s="26">
        <v>0</v>
      </c>
      <c r="AK9" s="3">
        <f t="shared" si="23"/>
        <v>0</v>
      </c>
    </row>
    <row r="10" spans="1:37" outlineLevel="1" x14ac:dyDescent="0.25">
      <c r="A10" s="27">
        <v>500</v>
      </c>
      <c r="B10" s="26">
        <v>31</v>
      </c>
      <c r="C10" s="3">
        <f t="shared" si="3"/>
        <v>15500</v>
      </c>
      <c r="D10" s="26">
        <v>32</v>
      </c>
      <c r="E10" s="3">
        <f t="shared" si="4"/>
        <v>16000</v>
      </c>
      <c r="F10" s="26">
        <v>32</v>
      </c>
      <c r="G10" s="3"/>
      <c r="H10" s="26">
        <v>38</v>
      </c>
      <c r="I10" s="3">
        <f t="shared" si="14"/>
        <v>19000</v>
      </c>
      <c r="J10" s="26">
        <v>37</v>
      </c>
      <c r="K10" s="3">
        <f t="shared" si="15"/>
        <v>18500</v>
      </c>
      <c r="L10" s="26">
        <v>36</v>
      </c>
      <c r="M10" s="3">
        <f t="shared" si="16"/>
        <v>18000</v>
      </c>
      <c r="N10" s="26">
        <v>36</v>
      </c>
      <c r="O10" s="3">
        <f t="shared" si="17"/>
        <v>18000</v>
      </c>
      <c r="P10" s="26">
        <v>36</v>
      </c>
      <c r="Q10" s="3">
        <f t="shared" si="18"/>
        <v>18000</v>
      </c>
      <c r="R10" s="26">
        <v>36</v>
      </c>
      <c r="S10" s="3"/>
      <c r="T10" s="26">
        <v>40</v>
      </c>
      <c r="U10" s="3">
        <f t="shared" si="19"/>
        <v>20000</v>
      </c>
      <c r="V10" s="1">
        <v>45</v>
      </c>
      <c r="W10" s="3">
        <f t="shared" si="20"/>
        <v>22500</v>
      </c>
      <c r="X10" s="1">
        <v>31</v>
      </c>
      <c r="Y10" s="3">
        <f t="shared" si="21"/>
        <v>15500</v>
      </c>
      <c r="Z10" s="1">
        <v>20</v>
      </c>
      <c r="AA10" s="3">
        <f t="shared" si="22"/>
        <v>10000</v>
      </c>
      <c r="AB10" s="1">
        <v>21</v>
      </c>
      <c r="AC10" s="3">
        <f t="shared" si="22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/>
      <c r="AI10" s="3">
        <f t="shared" si="2"/>
        <v>0</v>
      </c>
      <c r="AJ10" s="26">
        <v>36</v>
      </c>
      <c r="AK10" s="3">
        <f t="shared" si="23"/>
        <v>18000</v>
      </c>
    </row>
    <row r="11" spans="1:37" outlineLevel="1" x14ac:dyDescent="0.25">
      <c r="A11" s="27">
        <v>200</v>
      </c>
      <c r="B11" s="26">
        <v>54</v>
      </c>
      <c r="C11" s="3">
        <f t="shared" si="3"/>
        <v>10800</v>
      </c>
      <c r="D11" s="26">
        <v>56</v>
      </c>
      <c r="E11" s="3">
        <f t="shared" si="4"/>
        <v>11200</v>
      </c>
      <c r="F11" s="26">
        <v>56</v>
      </c>
      <c r="G11" s="3"/>
      <c r="H11" s="26">
        <v>62</v>
      </c>
      <c r="I11" s="3">
        <f t="shared" si="14"/>
        <v>12400</v>
      </c>
      <c r="J11" s="26">
        <v>62</v>
      </c>
      <c r="K11" s="3">
        <f t="shared" si="15"/>
        <v>12400</v>
      </c>
      <c r="L11" s="26">
        <v>68</v>
      </c>
      <c r="M11" s="3">
        <f t="shared" si="16"/>
        <v>13600</v>
      </c>
      <c r="N11" s="26">
        <v>68</v>
      </c>
      <c r="O11" s="3">
        <f t="shared" si="17"/>
        <v>13600</v>
      </c>
      <c r="P11" s="26">
        <v>81</v>
      </c>
      <c r="Q11" s="3">
        <f t="shared" si="18"/>
        <v>16200</v>
      </c>
      <c r="R11" s="26">
        <v>81</v>
      </c>
      <c r="S11" s="3"/>
      <c r="T11" s="26">
        <v>3</v>
      </c>
      <c r="U11" s="3">
        <f t="shared" si="19"/>
        <v>600</v>
      </c>
      <c r="V11" s="1">
        <v>5</v>
      </c>
      <c r="W11" s="3">
        <f t="shared" si="20"/>
        <v>1000</v>
      </c>
      <c r="X11" s="1">
        <v>4</v>
      </c>
      <c r="Y11" s="3">
        <f t="shared" si="21"/>
        <v>800</v>
      </c>
      <c r="Z11" s="1">
        <v>4</v>
      </c>
      <c r="AA11" s="3">
        <f t="shared" si="22"/>
        <v>800</v>
      </c>
      <c r="AB11" s="1">
        <v>7</v>
      </c>
      <c r="AC11" s="3">
        <f t="shared" si="22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/>
      <c r="AI11" s="3">
        <f t="shared" si="2"/>
        <v>0</v>
      </c>
      <c r="AJ11" s="26">
        <v>81</v>
      </c>
      <c r="AK11" s="3">
        <f t="shared" si="23"/>
        <v>16200</v>
      </c>
    </row>
    <row r="12" spans="1:37" outlineLevel="1" x14ac:dyDescent="0.25">
      <c r="A12" s="27">
        <v>100</v>
      </c>
      <c r="B12" s="26">
        <v>38</v>
      </c>
      <c r="C12" s="3">
        <f t="shared" si="3"/>
        <v>3800</v>
      </c>
      <c r="D12" s="26">
        <v>39</v>
      </c>
      <c r="E12" s="3">
        <f t="shared" si="4"/>
        <v>3900</v>
      </c>
      <c r="F12" s="26">
        <v>39</v>
      </c>
      <c r="G12" s="3"/>
      <c r="H12" s="26">
        <v>51</v>
      </c>
      <c r="I12" s="3">
        <f t="shared" si="14"/>
        <v>5100</v>
      </c>
      <c r="J12" s="26">
        <v>48</v>
      </c>
      <c r="K12" s="3">
        <f t="shared" si="15"/>
        <v>4800</v>
      </c>
      <c r="L12" s="26">
        <v>63</v>
      </c>
      <c r="M12" s="3">
        <f t="shared" si="16"/>
        <v>6300</v>
      </c>
      <c r="N12" s="26">
        <v>63</v>
      </c>
      <c r="O12" s="3">
        <f t="shared" si="17"/>
        <v>6300</v>
      </c>
      <c r="P12" s="26">
        <v>77</v>
      </c>
      <c r="Q12" s="3">
        <f t="shared" si="18"/>
        <v>7700</v>
      </c>
      <c r="R12" s="26">
        <v>77</v>
      </c>
      <c r="S12" s="3"/>
      <c r="T12" s="26">
        <v>9</v>
      </c>
      <c r="U12" s="3">
        <f t="shared" si="19"/>
        <v>900</v>
      </c>
      <c r="V12" s="1">
        <v>11</v>
      </c>
      <c r="W12" s="3">
        <f t="shared" si="20"/>
        <v>1100</v>
      </c>
      <c r="X12" s="1">
        <v>13</v>
      </c>
      <c r="Y12" s="3">
        <f t="shared" si="21"/>
        <v>1300</v>
      </c>
      <c r="Z12" s="1">
        <v>13</v>
      </c>
      <c r="AA12" s="3">
        <f t="shared" si="22"/>
        <v>1300</v>
      </c>
      <c r="AB12" s="1">
        <v>14</v>
      </c>
      <c r="AC12" s="3">
        <f t="shared" si="22"/>
        <v>1400</v>
      </c>
      <c r="AD12" s="1">
        <v>15</v>
      </c>
      <c r="AE12" s="3">
        <f t="shared" si="1"/>
        <v>1500</v>
      </c>
      <c r="AF12" s="1">
        <v>16</v>
      </c>
      <c r="AG12" s="3">
        <f t="shared" si="1"/>
        <v>1600</v>
      </c>
      <c r="AH12" s="1"/>
      <c r="AI12" s="3">
        <f t="shared" si="2"/>
        <v>0</v>
      </c>
      <c r="AJ12" s="26">
        <v>77</v>
      </c>
      <c r="AK12" s="3">
        <f t="shared" si="23"/>
        <v>7700</v>
      </c>
    </row>
    <row r="13" spans="1:37" ht="15.75" outlineLevel="1" thickBot="1" x14ac:dyDescent="0.3">
      <c r="A13" s="27">
        <v>50</v>
      </c>
      <c r="B13" s="26">
        <v>10</v>
      </c>
      <c r="C13" s="28">
        <f t="shared" si="3"/>
        <v>500</v>
      </c>
      <c r="D13" s="26">
        <v>10</v>
      </c>
      <c r="E13" s="28">
        <f t="shared" si="4"/>
        <v>500</v>
      </c>
      <c r="F13" s="26">
        <v>10</v>
      </c>
      <c r="G13" s="28"/>
      <c r="H13" s="26">
        <v>10</v>
      </c>
      <c r="I13" s="28">
        <f t="shared" si="14"/>
        <v>500</v>
      </c>
      <c r="J13" s="26">
        <v>10</v>
      </c>
      <c r="K13" s="28">
        <f t="shared" si="15"/>
        <v>500</v>
      </c>
      <c r="L13" s="26">
        <v>10</v>
      </c>
      <c r="M13" s="28">
        <f t="shared" si="16"/>
        <v>500</v>
      </c>
      <c r="N13" s="26">
        <v>10</v>
      </c>
      <c r="O13" s="28">
        <f t="shared" si="17"/>
        <v>500</v>
      </c>
      <c r="P13" s="26">
        <v>14</v>
      </c>
      <c r="Q13" s="28">
        <f t="shared" si="18"/>
        <v>700</v>
      </c>
      <c r="R13" s="26">
        <v>14</v>
      </c>
      <c r="S13" s="28"/>
      <c r="T13" s="26">
        <v>9</v>
      </c>
      <c r="U13" s="28">
        <f t="shared" si="19"/>
        <v>450</v>
      </c>
      <c r="V13" s="1">
        <v>9</v>
      </c>
      <c r="W13" s="28">
        <f t="shared" si="20"/>
        <v>450</v>
      </c>
      <c r="X13" s="1">
        <v>8</v>
      </c>
      <c r="Y13" s="28">
        <f t="shared" si="21"/>
        <v>400</v>
      </c>
      <c r="Z13" s="1">
        <v>11</v>
      </c>
      <c r="AA13" s="28">
        <f t="shared" si="22"/>
        <v>550</v>
      </c>
      <c r="AB13" s="1">
        <v>9</v>
      </c>
      <c r="AC13" s="28">
        <f t="shared" si="22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/>
      <c r="AI13" s="28">
        <f t="shared" si="2"/>
        <v>0</v>
      </c>
      <c r="AJ13" s="26">
        <v>14</v>
      </c>
      <c r="AK13" s="28">
        <f t="shared" si="23"/>
        <v>700</v>
      </c>
    </row>
    <row r="14" spans="1:37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366300</v>
      </c>
      <c r="AI14" s="17">
        <f>SUM(AI3:AI13)</f>
        <v>0</v>
      </c>
      <c r="AK14" s="69">
        <f>SUM(AK3:AK13)</f>
        <v>187600</v>
      </c>
    </row>
    <row r="15" spans="1:37" x14ac:dyDescent="0.25">
      <c r="E15" s="18">
        <f>+SUM('historial de venta'!G32:G37)</f>
        <v>76000</v>
      </c>
      <c r="U15">
        <v>324300</v>
      </c>
      <c r="AE15" s="17"/>
      <c r="AG15" s="17"/>
      <c r="AI15" s="17"/>
    </row>
    <row r="16" spans="1:37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</row>
    <row r="17" spans="1:35" x14ac:dyDescent="0.25">
      <c r="A17" s="48" t="s">
        <v>3</v>
      </c>
      <c r="C17" s="48" t="s">
        <v>165</v>
      </c>
      <c r="D17" s="46"/>
      <c r="E17" s="48" t="s">
        <v>166</v>
      </c>
      <c r="F17" s="47"/>
      <c r="G17" s="48" t="s">
        <v>167</v>
      </c>
      <c r="H17" s="47"/>
      <c r="I17" s="48" t="s">
        <v>168</v>
      </c>
      <c r="J17" s="47"/>
      <c r="K17" s="48" t="s">
        <v>196</v>
      </c>
      <c r="L17" s="47"/>
      <c r="M17" s="48" t="s">
        <v>204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mié</v>
      </c>
    </row>
    <row r="18" spans="1:35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v>100000</v>
      </c>
    </row>
    <row r="19" spans="1:35" x14ac:dyDescent="0.25">
      <c r="A19" s="19" t="s">
        <v>205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E19" s="67">
        <v>0</v>
      </c>
      <c r="AG19" s="67">
        <v>0</v>
      </c>
      <c r="AI19" s="67">
        <v>0</v>
      </c>
    </row>
    <row r="20" spans="1:35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>
        <v>172500</v>
      </c>
      <c r="AE20" s="67">
        <v>51000</v>
      </c>
      <c r="AG20" s="67">
        <v>351500</v>
      </c>
      <c r="AI20" s="67">
        <v>0</v>
      </c>
    </row>
    <row r="21" spans="1:35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</f>
        <v>141000</v>
      </c>
      <c r="AI21" s="67">
        <v>0</v>
      </c>
    </row>
    <row r="22" spans="1:35" ht="16.5" thickTop="1" thickBot="1" x14ac:dyDescent="0.3">
      <c r="A22" s="19" t="s">
        <v>320</v>
      </c>
      <c r="C22" s="87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v>0</v>
      </c>
    </row>
    <row r="23" spans="1:35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361500</v>
      </c>
      <c r="AI23" s="13">
        <f>+SUM(AI18:AI20)-SUM(AI21:AI22)</f>
        <v>100000</v>
      </c>
    </row>
    <row r="25" spans="1:35" x14ac:dyDescent="0.25">
      <c r="A25" s="57" t="s">
        <v>198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9">
        <f>AE14-AE23</f>
        <v>0</v>
      </c>
      <c r="AF25" s="58"/>
      <c r="AG25" s="58">
        <f>AG14-AG23</f>
        <v>4800</v>
      </c>
      <c r="AH25" s="58"/>
      <c r="AI25" s="58">
        <f>AI14-AI23</f>
        <v>-100000</v>
      </c>
    </row>
    <row r="27" spans="1:35" x14ac:dyDescent="0.25">
      <c r="A27" s="19" t="s">
        <v>205</v>
      </c>
      <c r="AE27" s="67">
        <f>100000-12050</f>
        <v>87950</v>
      </c>
      <c r="AG27" s="67">
        <f>100000-12050</f>
        <v>87950</v>
      </c>
      <c r="AI27" s="67">
        <f>100000-12050</f>
        <v>87950</v>
      </c>
    </row>
    <row r="28" spans="1:35" x14ac:dyDescent="0.25">
      <c r="W28">
        <v>75050</v>
      </c>
      <c r="Y28">
        <v>75050</v>
      </c>
    </row>
    <row r="31" spans="1:35" x14ac:dyDescent="0.25">
      <c r="I31" s="29"/>
      <c r="K31" s="29"/>
      <c r="M31" s="2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1:H2"/>
  <sheetViews>
    <sheetView workbookViewId="0">
      <selection activeCell="F17" sqref="F17"/>
    </sheetView>
  </sheetViews>
  <sheetFormatPr baseColWidth="10" defaultRowHeight="15" x14ac:dyDescent="0.25"/>
  <cols>
    <col min="1" max="1" width="5" bestFit="1" customWidth="1"/>
    <col min="2" max="2" width="18" bestFit="1" customWidth="1"/>
  </cols>
  <sheetData>
    <row r="1" spans="7:8" x14ac:dyDescent="0.25">
      <c r="G1" t="s">
        <v>232</v>
      </c>
      <c r="H1" t="s">
        <v>235</v>
      </c>
    </row>
    <row r="2" spans="7:8" x14ac:dyDescent="0.25">
      <c r="G2" t="s">
        <v>233</v>
      </c>
      <c r="H2" t="s">
        <v>234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3"/>
  <sheetViews>
    <sheetView workbookViewId="0">
      <selection activeCell="B17" sqref="B17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257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255</v>
      </c>
      <c r="C10" s="72" t="s">
        <v>256</v>
      </c>
      <c r="D10" t="s">
        <v>258</v>
      </c>
    </row>
    <row r="11" spans="1:4" x14ac:dyDescent="0.25">
      <c r="A11" t="s">
        <v>264</v>
      </c>
      <c r="C11" t="s">
        <v>263</v>
      </c>
    </row>
    <row r="12" spans="1:4" x14ac:dyDescent="0.25">
      <c r="A12" s="1" t="s">
        <v>343</v>
      </c>
      <c r="B12" s="1"/>
      <c r="C12" s="1" t="s">
        <v>328</v>
      </c>
    </row>
    <row r="13" spans="1:4" x14ac:dyDescent="0.25">
      <c r="A13" t="s">
        <v>245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169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202</v>
      </c>
      <c r="E3" s="22" t="s">
        <v>164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163</v>
      </c>
      <c r="G4" t="s">
        <v>162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161</v>
      </c>
      <c r="G5" t="s">
        <v>160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159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159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159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171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1:K47"/>
  <sheetViews>
    <sheetView zoomScale="115" zoomScaleNormal="115" workbookViewId="0">
      <pane ySplit="2" topLeftCell="A33" activePane="bottomLeft" state="frozen"/>
      <selection activeCell="C1" sqref="C1"/>
      <selection pane="bottomLeft" activeCell="D34" sqref="D34"/>
    </sheetView>
  </sheetViews>
  <sheetFormatPr baseColWidth="10" defaultColWidth="9.140625" defaultRowHeight="15" x14ac:dyDescent="0.25"/>
  <cols>
    <col min="2" max="2" width="11.5703125" bestFit="1" customWidth="1"/>
    <col min="3" max="3" width="11" bestFit="1" customWidth="1"/>
    <col min="4" max="4" width="12.28515625" style="3" bestFit="1" customWidth="1"/>
    <col min="5" max="5" width="7" style="3" customWidth="1"/>
    <col min="7" max="7" width="30.42578125" bestFit="1" customWidth="1"/>
    <col min="8" max="8" width="13.42578125" customWidth="1"/>
    <col min="11" max="11" width="11.140625" bestFit="1" customWidth="1"/>
  </cols>
  <sheetData>
    <row r="1" spans="1:8" x14ac:dyDescent="0.25">
      <c r="D1" s="3">
        <f>+SUM(D3:D1048576)</f>
        <v>187650</v>
      </c>
    </row>
    <row r="2" spans="1:8" x14ac:dyDescent="0.25">
      <c r="A2" s="36" t="s">
        <v>5</v>
      </c>
      <c r="B2" s="36" t="s">
        <v>158</v>
      </c>
      <c r="C2" s="36" t="s">
        <v>157</v>
      </c>
      <c r="D2" s="37" t="s">
        <v>6</v>
      </c>
      <c r="E2" s="37" t="s">
        <v>224</v>
      </c>
      <c r="F2" s="36" t="s">
        <v>156</v>
      </c>
      <c r="G2" s="36" t="s">
        <v>155</v>
      </c>
      <c r="H2" s="36" t="s">
        <v>154</v>
      </c>
    </row>
    <row r="3" spans="1:8" x14ac:dyDescent="0.25">
      <c r="A3" s="2">
        <v>46076</v>
      </c>
      <c r="B3" s="2" t="str">
        <f t="shared" ref="B3:B14" si="0">+TEXT(A3,"ddd")</f>
        <v>lun</v>
      </c>
      <c r="C3" s="34">
        <v>0.72986111111111107</v>
      </c>
      <c r="D3" s="3">
        <v>6500</v>
      </c>
      <c r="E3" s="3" t="s">
        <v>223</v>
      </c>
      <c r="F3" s="32" t="s">
        <v>142</v>
      </c>
      <c r="G3" s="1" t="s">
        <v>143</v>
      </c>
      <c r="H3" t="s">
        <v>216</v>
      </c>
    </row>
    <row r="4" spans="1:8" x14ac:dyDescent="0.25">
      <c r="A4" s="2">
        <v>46076</v>
      </c>
      <c r="B4" s="2" t="str">
        <f t="shared" si="0"/>
        <v>lun</v>
      </c>
      <c r="C4" s="35"/>
      <c r="D4" s="3">
        <v>24000</v>
      </c>
      <c r="E4" s="3" t="s">
        <v>223</v>
      </c>
      <c r="F4" s="32" t="s">
        <v>142</v>
      </c>
      <c r="G4" s="1" t="s">
        <v>153</v>
      </c>
    </row>
    <row r="5" spans="1:8" x14ac:dyDescent="0.25">
      <c r="A5" s="2">
        <v>46077</v>
      </c>
      <c r="B5" s="2" t="str">
        <f t="shared" si="0"/>
        <v>mar</v>
      </c>
      <c r="C5" s="34">
        <v>0.79374999999999996</v>
      </c>
      <c r="D5" s="3">
        <v>3000</v>
      </c>
      <c r="E5" s="3" t="s">
        <v>223</v>
      </c>
      <c r="F5" s="32" t="s">
        <v>142</v>
      </c>
      <c r="G5" t="s">
        <v>152</v>
      </c>
    </row>
    <row r="6" spans="1:8" x14ac:dyDescent="0.25">
      <c r="A6" s="2">
        <v>46077</v>
      </c>
      <c r="B6" s="2" t="str">
        <f t="shared" si="0"/>
        <v>mar</v>
      </c>
      <c r="C6" s="34">
        <v>0.82777777777777772</v>
      </c>
      <c r="D6" s="3">
        <v>8000</v>
      </c>
      <c r="E6" s="3" t="s">
        <v>223</v>
      </c>
      <c r="F6" s="32" t="s">
        <v>142</v>
      </c>
      <c r="G6" t="s">
        <v>151</v>
      </c>
    </row>
    <row r="7" spans="1:8" x14ac:dyDescent="0.25">
      <c r="A7" s="2">
        <v>46078</v>
      </c>
      <c r="B7" s="2" t="str">
        <f t="shared" si="0"/>
        <v>mié</v>
      </c>
      <c r="C7" s="34">
        <v>0.69444444444444442</v>
      </c>
      <c r="D7" s="3">
        <v>8000</v>
      </c>
      <c r="E7" s="3" t="s">
        <v>223</v>
      </c>
      <c r="F7" s="32" t="s">
        <v>142</v>
      </c>
      <c r="G7" t="s">
        <v>150</v>
      </c>
    </row>
    <row r="8" spans="1:8" x14ac:dyDescent="0.25">
      <c r="A8" s="2">
        <v>46078</v>
      </c>
      <c r="B8" s="2" t="str">
        <f t="shared" si="0"/>
        <v>mié</v>
      </c>
      <c r="C8" s="34">
        <v>0.7944444444444444</v>
      </c>
      <c r="D8" s="3">
        <v>8000</v>
      </c>
      <c r="E8" s="3" t="s">
        <v>223</v>
      </c>
      <c r="F8" s="32" t="s">
        <v>142</v>
      </c>
      <c r="G8" t="s">
        <v>149</v>
      </c>
      <c r="H8" t="s">
        <v>215</v>
      </c>
    </row>
    <row r="9" spans="1:8" x14ac:dyDescent="0.25">
      <c r="A9" s="2">
        <v>46078</v>
      </c>
      <c r="B9" s="2" t="str">
        <f t="shared" si="0"/>
        <v>mié</v>
      </c>
      <c r="C9" s="34">
        <v>0.80694444444444446</v>
      </c>
      <c r="D9" s="3">
        <v>22500</v>
      </c>
      <c r="E9" s="3" t="s">
        <v>223</v>
      </c>
      <c r="F9" s="32" t="s">
        <v>142</v>
      </c>
      <c r="G9" s="1" t="s">
        <v>143</v>
      </c>
      <c r="H9" t="s">
        <v>216</v>
      </c>
    </row>
    <row r="10" spans="1:8" x14ac:dyDescent="0.25">
      <c r="A10" s="2">
        <v>46078</v>
      </c>
      <c r="B10" s="2" t="str">
        <f t="shared" si="0"/>
        <v>mié</v>
      </c>
      <c r="C10" s="34">
        <v>0.83958333333333335</v>
      </c>
      <c r="D10" s="3">
        <v>8000</v>
      </c>
      <c r="E10" s="3" t="s">
        <v>223</v>
      </c>
      <c r="F10" s="32" t="s">
        <v>142</v>
      </c>
      <c r="G10" t="s">
        <v>148</v>
      </c>
    </row>
    <row r="11" spans="1:8" x14ac:dyDescent="0.25">
      <c r="A11" s="2">
        <v>46078</v>
      </c>
      <c r="B11" s="2" t="str">
        <f t="shared" si="0"/>
        <v>mié</v>
      </c>
      <c r="C11" s="34">
        <v>0.79374999999999996</v>
      </c>
      <c r="D11" s="3">
        <v>16000</v>
      </c>
      <c r="E11" s="3" t="s">
        <v>223</v>
      </c>
      <c r="F11" s="33" t="s">
        <v>147</v>
      </c>
      <c r="G11" t="s">
        <v>146</v>
      </c>
      <c r="H11" t="s">
        <v>147</v>
      </c>
    </row>
    <row r="12" spans="1:8" x14ac:dyDescent="0.25">
      <c r="A12" s="2">
        <v>46079</v>
      </c>
      <c r="B12" s="2" t="str">
        <f t="shared" si="0"/>
        <v>jue</v>
      </c>
      <c r="C12" s="34">
        <v>0.56458333333333333</v>
      </c>
      <c r="D12" s="3">
        <v>25000</v>
      </c>
      <c r="E12" s="3" t="s">
        <v>223</v>
      </c>
      <c r="F12" s="32" t="s">
        <v>142</v>
      </c>
      <c r="G12" t="s">
        <v>145</v>
      </c>
      <c r="H12" t="s">
        <v>144</v>
      </c>
    </row>
    <row r="13" spans="1:8" x14ac:dyDescent="0.25">
      <c r="A13" s="2">
        <v>46079</v>
      </c>
      <c r="B13" s="2" t="str">
        <f t="shared" si="0"/>
        <v>jue</v>
      </c>
      <c r="C13" s="34">
        <v>0.84513888888888888</v>
      </c>
      <c r="D13" s="3">
        <v>51000</v>
      </c>
      <c r="E13" s="3" t="s">
        <v>223</v>
      </c>
      <c r="F13" s="32" t="s">
        <v>142</v>
      </c>
      <c r="G13" s="1" t="s">
        <v>143</v>
      </c>
      <c r="H13" t="s">
        <v>216</v>
      </c>
    </row>
    <row r="14" spans="1:8" x14ac:dyDescent="0.25">
      <c r="A14" s="2">
        <v>46079</v>
      </c>
      <c r="B14" s="2" t="str">
        <f t="shared" si="0"/>
        <v>jue</v>
      </c>
      <c r="C14" s="34">
        <v>0.72777777777777775</v>
      </c>
      <c r="D14" s="59">
        <v>49000</v>
      </c>
      <c r="E14" s="3" t="s">
        <v>223</v>
      </c>
      <c r="F14" s="32" t="s">
        <v>142</v>
      </c>
      <c r="G14" t="s">
        <v>141</v>
      </c>
    </row>
    <row r="15" spans="1:8" x14ac:dyDescent="0.25">
      <c r="A15" s="2">
        <v>46080</v>
      </c>
      <c r="B15" s="2" t="str">
        <f t="shared" ref="B15:B19" si="1">+TEXT(A15,"ddd")</f>
        <v>vie</v>
      </c>
      <c r="C15" s="34">
        <v>0.82291666666666663</v>
      </c>
      <c r="D15" s="59">
        <v>11000</v>
      </c>
      <c r="E15" s="3" t="s">
        <v>223</v>
      </c>
      <c r="F15" s="33" t="s">
        <v>147</v>
      </c>
      <c r="G15" t="s">
        <v>146</v>
      </c>
      <c r="H15" t="s">
        <v>147</v>
      </c>
    </row>
    <row r="16" spans="1:8" x14ac:dyDescent="0.25">
      <c r="A16" s="2">
        <v>46080</v>
      </c>
      <c r="B16" s="2" t="str">
        <f t="shared" si="1"/>
        <v>vie</v>
      </c>
      <c r="C16" s="34">
        <v>0.84236111111111112</v>
      </c>
      <c r="D16" s="59">
        <v>10000</v>
      </c>
      <c r="E16" s="3" t="s">
        <v>223</v>
      </c>
      <c r="F16" s="32" t="s">
        <v>142</v>
      </c>
      <c r="G16" t="s">
        <v>199</v>
      </c>
    </row>
    <row r="17" spans="1:11" x14ac:dyDescent="0.25">
      <c r="A17" s="2">
        <v>46080</v>
      </c>
      <c r="B17" s="2" t="str">
        <f t="shared" si="1"/>
        <v>vie</v>
      </c>
      <c r="C17" s="34">
        <v>0.7631944444444444</v>
      </c>
      <c r="D17" s="59">
        <v>24000</v>
      </c>
      <c r="E17" s="3" t="s">
        <v>223</v>
      </c>
      <c r="F17" s="32" t="s">
        <v>142</v>
      </c>
      <c r="G17" t="s">
        <v>200</v>
      </c>
    </row>
    <row r="18" spans="1:11" x14ac:dyDescent="0.25">
      <c r="A18" s="2">
        <v>46080</v>
      </c>
      <c r="B18" s="2" t="str">
        <f t="shared" si="1"/>
        <v>vie</v>
      </c>
      <c r="C18" s="34">
        <v>0.75972222222222219</v>
      </c>
      <c r="D18" s="59">
        <v>11000</v>
      </c>
      <c r="E18" s="3" t="s">
        <v>223</v>
      </c>
      <c r="F18" s="32" t="s">
        <v>142</v>
      </c>
      <c r="G18" t="s">
        <v>201</v>
      </c>
    </row>
    <row r="19" spans="1:11" x14ac:dyDescent="0.25">
      <c r="A19" s="2">
        <v>46081</v>
      </c>
      <c r="B19" s="2" t="str">
        <f t="shared" si="1"/>
        <v>sáb</v>
      </c>
      <c r="C19" s="34"/>
      <c r="D19" s="59">
        <v>280000</v>
      </c>
      <c r="E19" s="3" t="s">
        <v>223</v>
      </c>
      <c r="F19" s="32" t="s">
        <v>142</v>
      </c>
      <c r="G19" t="s">
        <v>209</v>
      </c>
      <c r="H19" t="s">
        <v>217</v>
      </c>
    </row>
    <row r="20" spans="1:11" x14ac:dyDescent="0.25">
      <c r="A20" s="2">
        <v>46081</v>
      </c>
      <c r="B20" s="2" t="str">
        <f t="shared" ref="B20:B26" si="2">+TEXT(A20,"ddd")</f>
        <v>sáb</v>
      </c>
      <c r="C20" s="34">
        <v>0.79305555555555562</v>
      </c>
      <c r="D20" s="3">
        <v>18000</v>
      </c>
      <c r="E20" s="3" t="s">
        <v>223</v>
      </c>
      <c r="F20" s="32" t="s">
        <v>142</v>
      </c>
      <c r="G20" t="s">
        <v>210</v>
      </c>
      <c r="H20" t="s">
        <v>215</v>
      </c>
    </row>
    <row r="21" spans="1:11" x14ac:dyDescent="0.25">
      <c r="A21" s="2">
        <v>46081</v>
      </c>
      <c r="B21" s="2" t="str">
        <f t="shared" si="2"/>
        <v>sáb</v>
      </c>
      <c r="C21" s="34">
        <v>0.65208333333333335</v>
      </c>
      <c r="D21" s="3">
        <v>16000</v>
      </c>
      <c r="E21" s="3" t="s">
        <v>223</v>
      </c>
      <c r="F21" s="32" t="s">
        <v>142</v>
      </c>
      <c r="G21" t="s">
        <v>211</v>
      </c>
      <c r="H21" t="s">
        <v>213</v>
      </c>
    </row>
    <row r="22" spans="1:11" x14ac:dyDescent="0.25">
      <c r="A22" s="2">
        <v>46081</v>
      </c>
      <c r="B22" s="2" t="str">
        <f t="shared" si="2"/>
        <v>sáb</v>
      </c>
      <c r="C22" s="34">
        <v>0.65138888888888891</v>
      </c>
      <c r="D22" s="3">
        <v>13000</v>
      </c>
      <c r="E22" s="3" t="s">
        <v>223</v>
      </c>
      <c r="F22" s="32" t="s">
        <v>142</v>
      </c>
      <c r="G22" t="s">
        <v>199</v>
      </c>
      <c r="H22" t="s">
        <v>214</v>
      </c>
    </row>
    <row r="23" spans="1:11" x14ac:dyDescent="0.25">
      <c r="A23" s="2">
        <v>46084</v>
      </c>
      <c r="B23" s="2" t="str">
        <f t="shared" si="2"/>
        <v>mar</v>
      </c>
      <c r="C23" s="35"/>
      <c r="D23" s="3">
        <f>-(D15+D11)</f>
        <v>-27000</v>
      </c>
      <c r="E23" s="3" t="s">
        <v>225</v>
      </c>
      <c r="F23" s="33" t="s">
        <v>147</v>
      </c>
      <c r="G23" t="s">
        <v>226</v>
      </c>
    </row>
    <row r="24" spans="1:11" x14ac:dyDescent="0.25">
      <c r="A24" s="2">
        <v>46084</v>
      </c>
      <c r="B24" s="2" t="str">
        <f t="shared" si="2"/>
        <v>mar</v>
      </c>
      <c r="C24" s="35"/>
      <c r="D24" s="3">
        <v>27000</v>
      </c>
      <c r="E24" s="3" t="s">
        <v>225</v>
      </c>
      <c r="F24" s="32" t="s">
        <v>142</v>
      </c>
      <c r="G24" t="s">
        <v>226</v>
      </c>
    </row>
    <row r="25" spans="1:11" x14ac:dyDescent="0.25">
      <c r="A25" s="2">
        <v>46084</v>
      </c>
      <c r="B25" s="2" t="str">
        <f t="shared" si="2"/>
        <v>mar</v>
      </c>
      <c r="C25" s="1"/>
      <c r="D25" s="58">
        <v>-619850</v>
      </c>
      <c r="E25" s="3" t="s">
        <v>225</v>
      </c>
      <c r="F25" s="32" t="s">
        <v>142</v>
      </c>
      <c r="G25" t="s">
        <v>222</v>
      </c>
    </row>
    <row r="26" spans="1:11" x14ac:dyDescent="0.25">
      <c r="A26" s="2">
        <v>46084</v>
      </c>
      <c r="B26" s="2" t="str">
        <f t="shared" si="2"/>
        <v>mar</v>
      </c>
      <c r="C26" s="1"/>
      <c r="D26" s="3">
        <v>33000</v>
      </c>
      <c r="E26" s="3" t="s">
        <v>223</v>
      </c>
      <c r="F26" s="32" t="s">
        <v>142</v>
      </c>
      <c r="G26" t="s">
        <v>227</v>
      </c>
    </row>
    <row r="27" spans="1:11" x14ac:dyDescent="0.25">
      <c r="A27" s="2">
        <v>46084</v>
      </c>
      <c r="B27" s="2" t="str">
        <f t="shared" ref="B27:B38" si="3">+TEXT(A27,"ddd")</f>
        <v>mar</v>
      </c>
      <c r="C27" s="1"/>
      <c r="D27" s="3">
        <v>11000</v>
      </c>
      <c r="E27" s="3" t="s">
        <v>223</v>
      </c>
      <c r="F27" s="33" t="s">
        <v>147</v>
      </c>
      <c r="G27" t="s">
        <v>146</v>
      </c>
    </row>
    <row r="28" spans="1:11" x14ac:dyDescent="0.25">
      <c r="A28" s="2">
        <v>46085</v>
      </c>
      <c r="B28" s="2" t="str">
        <f t="shared" si="3"/>
        <v>mié</v>
      </c>
      <c r="D28" s="3">
        <v>19000</v>
      </c>
      <c r="E28" s="3" t="s">
        <v>223</v>
      </c>
      <c r="F28" s="32" t="s">
        <v>142</v>
      </c>
      <c r="G28" t="s">
        <v>269</v>
      </c>
    </row>
    <row r="29" spans="1:11" x14ac:dyDescent="0.25">
      <c r="A29" s="2">
        <v>46085</v>
      </c>
      <c r="B29" s="2" t="str">
        <f t="shared" si="3"/>
        <v>mié</v>
      </c>
      <c r="D29" s="3">
        <v>8000</v>
      </c>
      <c r="E29" s="3" t="s">
        <v>223</v>
      </c>
      <c r="F29" s="32" t="s">
        <v>142</v>
      </c>
      <c r="G29" t="s">
        <v>268</v>
      </c>
    </row>
    <row r="30" spans="1:11" x14ac:dyDescent="0.25">
      <c r="A30" s="2">
        <v>46085</v>
      </c>
      <c r="B30" s="2" t="str">
        <f t="shared" si="3"/>
        <v>mié</v>
      </c>
      <c r="D30" s="3">
        <v>18000</v>
      </c>
      <c r="E30" s="3" t="s">
        <v>223</v>
      </c>
      <c r="F30" s="32" t="s">
        <v>142</v>
      </c>
      <c r="G30" t="s">
        <v>267</v>
      </c>
    </row>
    <row r="31" spans="1:11" x14ac:dyDescent="0.25">
      <c r="A31" s="2">
        <v>46085</v>
      </c>
      <c r="B31" s="2" t="str">
        <f t="shared" si="3"/>
        <v>mié</v>
      </c>
      <c r="D31" s="3">
        <v>8000</v>
      </c>
      <c r="E31" s="3" t="s">
        <v>223</v>
      </c>
      <c r="F31" s="32" t="s">
        <v>142</v>
      </c>
      <c r="G31" t="s">
        <v>266</v>
      </c>
    </row>
    <row r="32" spans="1:11" x14ac:dyDescent="0.25">
      <c r="A32" s="2">
        <v>46085</v>
      </c>
      <c r="B32" s="2" t="str">
        <f t="shared" si="3"/>
        <v>mié</v>
      </c>
      <c r="D32" s="3">
        <v>64000</v>
      </c>
      <c r="E32" s="3" t="s">
        <v>223</v>
      </c>
      <c r="F32" s="32" t="s">
        <v>142</v>
      </c>
      <c r="G32" t="s">
        <v>265</v>
      </c>
      <c r="K32" s="3">
        <f>+SUM(D28:D32)</f>
        <v>117000</v>
      </c>
    </row>
    <row r="33" spans="1:11" x14ac:dyDescent="0.25">
      <c r="A33" s="2">
        <v>46086</v>
      </c>
      <c r="B33" s="2" t="str">
        <f t="shared" si="3"/>
        <v>jue</v>
      </c>
      <c r="D33" s="3">
        <v>30000</v>
      </c>
      <c r="E33" s="3" t="s">
        <v>223</v>
      </c>
      <c r="F33" s="32" t="s">
        <v>142</v>
      </c>
      <c r="G33" t="s">
        <v>274</v>
      </c>
      <c r="K33" s="3">
        <f>'Arqueo de Caja'!$U$18+8000</f>
        <v>260000</v>
      </c>
    </row>
    <row r="34" spans="1:11" x14ac:dyDescent="0.25">
      <c r="A34" s="2">
        <v>46086</v>
      </c>
      <c r="B34" s="2" t="str">
        <f t="shared" si="3"/>
        <v>jue</v>
      </c>
      <c r="D34" s="3">
        <v>11000</v>
      </c>
      <c r="E34" s="3" t="s">
        <v>223</v>
      </c>
      <c r="F34" s="32" t="s">
        <v>142</v>
      </c>
      <c r="G34" t="s">
        <v>273</v>
      </c>
    </row>
    <row r="35" spans="1:11" x14ac:dyDescent="0.25">
      <c r="A35" s="2">
        <v>46086</v>
      </c>
      <c r="B35" s="2" t="str">
        <f t="shared" si="3"/>
        <v>jue</v>
      </c>
      <c r="D35" s="3">
        <v>16000</v>
      </c>
      <c r="E35" s="3" t="s">
        <v>223</v>
      </c>
      <c r="F35" s="32" t="s">
        <v>142</v>
      </c>
      <c r="G35" t="s">
        <v>272</v>
      </c>
    </row>
    <row r="36" spans="1:11" x14ac:dyDescent="0.25">
      <c r="A36" s="2">
        <v>46086</v>
      </c>
      <c r="B36" s="2" t="str">
        <f t="shared" si="3"/>
        <v>jue</v>
      </c>
      <c r="D36" s="3">
        <v>39500</v>
      </c>
      <c r="E36" s="3" t="s">
        <v>223</v>
      </c>
      <c r="F36" s="32" t="s">
        <v>142</v>
      </c>
      <c r="G36" t="s">
        <v>271</v>
      </c>
      <c r="K36">
        <f>+'Arqueo de Caja'!W14</f>
        <v>175050</v>
      </c>
    </row>
    <row r="37" spans="1:11" x14ac:dyDescent="0.25">
      <c r="A37" s="2">
        <v>46086</v>
      </c>
      <c r="B37" s="2" t="str">
        <f t="shared" si="3"/>
        <v>jue</v>
      </c>
      <c r="D37" s="3">
        <v>35000</v>
      </c>
      <c r="E37" s="3" t="s">
        <v>223</v>
      </c>
      <c r="F37" s="32" t="s">
        <v>142</v>
      </c>
      <c r="G37" t="s">
        <v>270</v>
      </c>
      <c r="K37" s="13">
        <f>+SUM(D33:D37)</f>
        <v>131500</v>
      </c>
    </row>
    <row r="38" spans="1:11" x14ac:dyDescent="0.25">
      <c r="A38" s="2">
        <v>46088</v>
      </c>
      <c r="B38" s="2" t="str">
        <f t="shared" si="3"/>
        <v>sáb</v>
      </c>
      <c r="D38" s="3">
        <v>28000</v>
      </c>
      <c r="E38" s="3" t="s">
        <v>223</v>
      </c>
      <c r="F38" s="32" t="s">
        <v>142</v>
      </c>
      <c r="G38" t="s">
        <v>330</v>
      </c>
      <c r="K38" s="13"/>
    </row>
    <row r="39" spans="1:11" x14ac:dyDescent="0.25">
      <c r="A39" s="2">
        <v>46088</v>
      </c>
      <c r="B39" s="2" t="str">
        <f t="shared" ref="B39" si="4">+TEXT(A39,"ddd")</f>
        <v>sáb</v>
      </c>
      <c r="D39" s="3">
        <v>43000</v>
      </c>
      <c r="E39" s="3" t="s">
        <v>223</v>
      </c>
      <c r="F39" s="32"/>
      <c r="G39" t="s">
        <v>275</v>
      </c>
      <c r="K39" s="13"/>
    </row>
    <row r="40" spans="1:11" x14ac:dyDescent="0.25">
      <c r="A40" s="2" t="s">
        <v>0</v>
      </c>
      <c r="B40" s="2" t="str">
        <f t="shared" ref="B40:B45" si="5">+TEXT(A40,"ddd")</f>
        <v xml:space="preserve"> </v>
      </c>
      <c r="C40" t="s">
        <v>276</v>
      </c>
      <c r="D40" s="16">
        <v>16000</v>
      </c>
      <c r="E40" s="3" t="s">
        <v>223</v>
      </c>
      <c r="F40" s="32" t="s">
        <v>142</v>
      </c>
      <c r="G40" s="1" t="s">
        <v>331</v>
      </c>
    </row>
    <row r="41" spans="1:11" x14ac:dyDescent="0.25">
      <c r="A41" s="2">
        <v>46089</v>
      </c>
      <c r="B41" s="2" t="str">
        <f t="shared" si="5"/>
        <v>dom</v>
      </c>
      <c r="D41" s="3">
        <v>30000</v>
      </c>
      <c r="E41" s="3" t="s">
        <v>223</v>
      </c>
      <c r="F41" s="32" t="s">
        <v>142</v>
      </c>
    </row>
    <row r="42" spans="1:11" x14ac:dyDescent="0.25">
      <c r="A42" s="2">
        <v>46089</v>
      </c>
      <c r="B42" s="2" t="str">
        <f t="shared" si="5"/>
        <v>dom</v>
      </c>
      <c r="D42" s="3">
        <v>54000</v>
      </c>
      <c r="E42" s="3" t="s">
        <v>223</v>
      </c>
      <c r="F42" s="32" t="s">
        <v>142</v>
      </c>
    </row>
    <row r="43" spans="1:11" x14ac:dyDescent="0.25">
      <c r="A43" s="2">
        <v>46089</v>
      </c>
      <c r="B43" s="2" t="str">
        <f t="shared" si="5"/>
        <v>dom</v>
      </c>
      <c r="D43" s="3">
        <v>8000</v>
      </c>
      <c r="E43" s="3" t="s">
        <v>223</v>
      </c>
      <c r="F43" s="32" t="s">
        <v>142</v>
      </c>
    </row>
    <row r="44" spans="1:11" x14ac:dyDescent="0.25">
      <c r="A44" s="2">
        <v>46089</v>
      </c>
      <c r="B44" s="2" t="str">
        <f t="shared" si="5"/>
        <v>dom</v>
      </c>
      <c r="D44" s="3">
        <v>30000</v>
      </c>
      <c r="E44" s="3" t="s">
        <v>223</v>
      </c>
      <c r="F44" s="32" t="s">
        <v>142</v>
      </c>
    </row>
    <row r="45" spans="1:11" x14ac:dyDescent="0.25">
      <c r="A45" s="2">
        <v>46089</v>
      </c>
      <c r="B45" s="2" t="str">
        <f t="shared" si="5"/>
        <v>dom</v>
      </c>
      <c r="D45" s="3">
        <v>16000</v>
      </c>
      <c r="E45" s="3" t="s">
        <v>223</v>
      </c>
      <c r="F45" s="32" t="s">
        <v>142</v>
      </c>
    </row>
    <row r="46" spans="1:11" x14ac:dyDescent="0.25">
      <c r="A46" s="2">
        <v>46091</v>
      </c>
      <c r="B46" s="2" t="str">
        <f>+TEXT(A46,"ddd")</f>
        <v>mar</v>
      </c>
      <c r="D46" s="3">
        <v>90000</v>
      </c>
      <c r="E46" s="3" t="s">
        <v>223</v>
      </c>
      <c r="F46" s="33" t="s">
        <v>147</v>
      </c>
    </row>
    <row r="47" spans="1:11" x14ac:dyDescent="0.25">
      <c r="A47" s="2">
        <v>46091</v>
      </c>
      <c r="B47" s="2" t="str">
        <f>+TEXT(A47,"ddd")</f>
        <v>mar</v>
      </c>
      <c r="D47" s="58">
        <v>-412000</v>
      </c>
      <c r="E47" s="3" t="s">
        <v>223</v>
      </c>
      <c r="F47" s="32" t="s">
        <v>142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332</v>
      </c>
      <c r="E2" t="s">
        <v>339</v>
      </c>
    </row>
    <row r="3" spans="2:7" x14ac:dyDescent="0.25">
      <c r="B3" t="s">
        <v>333</v>
      </c>
    </row>
    <row r="4" spans="2:7" x14ac:dyDescent="0.25">
      <c r="B4" t="s">
        <v>334</v>
      </c>
    </row>
    <row r="5" spans="2:7" x14ac:dyDescent="0.25">
      <c r="B5" t="s">
        <v>335</v>
      </c>
      <c r="D5">
        <v>7</v>
      </c>
      <c r="E5" t="s">
        <v>338</v>
      </c>
    </row>
    <row r="6" spans="2:7" x14ac:dyDescent="0.25">
      <c r="B6" s="24">
        <v>0</v>
      </c>
      <c r="C6" t="s">
        <v>337</v>
      </c>
      <c r="G6" t="s">
        <v>340</v>
      </c>
    </row>
    <row r="7" spans="2:7" x14ac:dyDescent="0.25">
      <c r="G7">
        <v>26</v>
      </c>
    </row>
    <row r="8" spans="2:7" x14ac:dyDescent="0.25">
      <c r="B8" t="s">
        <v>336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289</v>
      </c>
      <c r="B2" s="73" t="s">
        <v>283</v>
      </c>
      <c r="C2" s="73" t="s">
        <v>284</v>
      </c>
      <c r="D2" s="73" t="s">
        <v>3</v>
      </c>
      <c r="E2" s="73"/>
      <c r="F2" s="74" t="s">
        <v>287</v>
      </c>
      <c r="G2" s="74" t="s">
        <v>288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277</v>
      </c>
      <c r="B4" s="75"/>
      <c r="C4" s="75"/>
      <c r="D4" s="75" t="s">
        <v>277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278</v>
      </c>
      <c r="E5" s="75" t="s">
        <v>279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278</v>
      </c>
      <c r="E6" s="75" t="s">
        <v>280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281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282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296</v>
      </c>
      <c r="E9" s="75"/>
      <c r="F9" s="78">
        <v>-22000</v>
      </c>
      <c r="G9" s="75"/>
    </row>
    <row r="10" spans="1:10" x14ac:dyDescent="0.25">
      <c r="A10" s="75" t="s">
        <v>285</v>
      </c>
      <c r="B10" s="75">
        <v>2</v>
      </c>
      <c r="C10" s="75">
        <v>8000</v>
      </c>
      <c r="D10" s="75" t="s">
        <v>192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285</v>
      </c>
      <c r="B11" s="75">
        <v>2</v>
      </c>
      <c r="C11" s="75">
        <v>8000</v>
      </c>
      <c r="D11" s="75" t="s">
        <v>192</v>
      </c>
      <c r="E11" s="75"/>
      <c r="F11" s="78">
        <f t="shared" si="0"/>
        <v>16000</v>
      </c>
      <c r="G11" s="75"/>
    </row>
    <row r="12" spans="1:10" x14ac:dyDescent="0.25">
      <c r="A12" s="75" t="s">
        <v>285</v>
      </c>
      <c r="B12" s="75">
        <v>4</v>
      </c>
      <c r="C12" s="75">
        <v>8000</v>
      </c>
      <c r="D12" s="75" t="s">
        <v>192</v>
      </c>
      <c r="E12" s="75"/>
      <c r="F12" s="78">
        <f t="shared" si="0"/>
        <v>32000</v>
      </c>
      <c r="G12" s="75"/>
    </row>
    <row r="13" spans="1:10" x14ac:dyDescent="0.25">
      <c r="A13" s="75" t="s">
        <v>285</v>
      </c>
      <c r="B13" s="75">
        <v>1</v>
      </c>
      <c r="C13" s="75">
        <v>8000</v>
      </c>
      <c r="D13" s="75" t="s">
        <v>192</v>
      </c>
      <c r="E13" s="75"/>
      <c r="F13" s="78">
        <f t="shared" si="0"/>
        <v>8000</v>
      </c>
      <c r="G13" s="75"/>
    </row>
    <row r="14" spans="1:10" x14ac:dyDescent="0.25">
      <c r="A14" s="75" t="s">
        <v>285</v>
      </c>
      <c r="B14" s="75">
        <v>2</v>
      </c>
      <c r="C14" s="75">
        <v>8000</v>
      </c>
      <c r="D14" s="75" t="s">
        <v>192</v>
      </c>
      <c r="E14" s="75"/>
      <c r="F14" s="78">
        <f t="shared" si="0"/>
        <v>16000</v>
      </c>
      <c r="G14" s="75"/>
    </row>
    <row r="15" spans="1:10" x14ac:dyDescent="0.25">
      <c r="A15" s="75" t="s">
        <v>285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286</v>
      </c>
      <c r="B16" s="75">
        <v>2</v>
      </c>
      <c r="C16" s="75">
        <v>8000</v>
      </c>
      <c r="D16" s="75" t="s">
        <v>192</v>
      </c>
      <c r="E16" s="75"/>
      <c r="F16" s="76"/>
      <c r="G16" s="78">
        <f>+B16*C16</f>
        <v>16000</v>
      </c>
    </row>
    <row r="17" spans="1:7" x14ac:dyDescent="0.25">
      <c r="A17" s="75" t="s">
        <v>286</v>
      </c>
      <c r="B17" s="75"/>
      <c r="C17" s="75"/>
      <c r="D17" s="75" t="s">
        <v>291</v>
      </c>
      <c r="E17" s="75"/>
      <c r="F17" s="76"/>
      <c r="G17" s="79">
        <v>28000</v>
      </c>
    </row>
    <row r="18" spans="1:7" x14ac:dyDescent="0.25">
      <c r="A18" s="75" t="s">
        <v>285</v>
      </c>
      <c r="B18" s="75"/>
      <c r="C18" s="75"/>
      <c r="D18" s="75" t="s">
        <v>294</v>
      </c>
      <c r="E18" s="75"/>
      <c r="F18" s="78">
        <v>15000</v>
      </c>
      <c r="G18" s="77"/>
    </row>
    <row r="19" spans="1:7" x14ac:dyDescent="0.25">
      <c r="A19" s="75" t="s">
        <v>285</v>
      </c>
      <c r="B19" s="75"/>
      <c r="C19" s="75"/>
      <c r="D19" s="75" t="s">
        <v>292</v>
      </c>
      <c r="E19" s="75"/>
      <c r="F19" s="78">
        <v>60000</v>
      </c>
      <c r="G19" s="77"/>
    </row>
    <row r="20" spans="1:7" x14ac:dyDescent="0.25">
      <c r="A20" s="75" t="s">
        <v>285</v>
      </c>
      <c r="B20" s="75"/>
      <c r="C20" s="75"/>
      <c r="D20" s="75" t="s">
        <v>293</v>
      </c>
      <c r="E20" s="75"/>
      <c r="F20" s="78">
        <v>12000</v>
      </c>
      <c r="G20" s="77"/>
    </row>
    <row r="21" spans="1:7" x14ac:dyDescent="0.25">
      <c r="A21" s="75" t="s">
        <v>286</v>
      </c>
      <c r="B21" s="75"/>
      <c r="C21" s="75"/>
      <c r="D21" s="75" t="s">
        <v>290</v>
      </c>
      <c r="E21" s="75"/>
      <c r="F21" s="76"/>
      <c r="G21" s="79">
        <v>43000</v>
      </c>
    </row>
    <row r="22" spans="1:7" x14ac:dyDescent="0.25">
      <c r="A22" s="75" t="s">
        <v>285</v>
      </c>
      <c r="D22" s="75" t="s">
        <v>295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C23"/>
  <sheetViews>
    <sheetView zoomScale="145" zoomScaleNormal="145" workbookViewId="0">
      <pane ySplit="2" topLeftCell="A18" activePane="bottomLeft" state="frozen"/>
      <selection pane="bottomLeft" activeCell="A23" sqref="A23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82000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46076</v>
      </c>
      <c r="B3" t="s">
        <v>203</v>
      </c>
      <c r="C3" s="58">
        <v>73700</v>
      </c>
    </row>
    <row r="4" spans="1:3" x14ac:dyDescent="0.25">
      <c r="A4" s="56">
        <v>46080</v>
      </c>
      <c r="B4" t="s">
        <v>197</v>
      </c>
      <c r="C4" s="58">
        <v>-300000</v>
      </c>
    </row>
    <row r="5" spans="1:3" x14ac:dyDescent="0.25">
      <c r="A5" s="56">
        <v>46081</v>
      </c>
      <c r="B5" t="s">
        <v>206</v>
      </c>
      <c r="C5" s="58">
        <v>280000</v>
      </c>
    </row>
    <row r="6" spans="1:3" x14ac:dyDescent="0.25">
      <c r="A6" s="56">
        <v>46080</v>
      </c>
      <c r="B6" s="71" t="s">
        <v>207</v>
      </c>
      <c r="C6" s="58">
        <v>-16000</v>
      </c>
    </row>
    <row r="7" spans="1:3" x14ac:dyDescent="0.25">
      <c r="A7" s="56">
        <v>46081</v>
      </c>
      <c r="B7" s="71" t="s">
        <v>212</v>
      </c>
      <c r="C7" s="58">
        <v>-350000</v>
      </c>
    </row>
    <row r="8" spans="1:3" x14ac:dyDescent="0.25">
      <c r="A8" s="56">
        <v>46081</v>
      </c>
      <c r="B8" t="s">
        <v>218</v>
      </c>
      <c r="C8" s="58">
        <v>30000</v>
      </c>
    </row>
    <row r="9" spans="1:3" x14ac:dyDescent="0.25">
      <c r="A9" s="66">
        <v>46076</v>
      </c>
      <c r="B9" t="s">
        <v>220</v>
      </c>
      <c r="C9" s="58">
        <f>195000+140000+20000</f>
        <v>355000</v>
      </c>
    </row>
    <row r="10" spans="1:3" x14ac:dyDescent="0.25">
      <c r="A10" s="2">
        <v>46084</v>
      </c>
      <c r="B10" t="s">
        <v>242</v>
      </c>
      <c r="C10" s="58">
        <v>619850</v>
      </c>
    </row>
    <row r="11" spans="1:3" x14ac:dyDescent="0.25">
      <c r="A11" s="2">
        <v>46084</v>
      </c>
      <c r="B11" t="s">
        <v>228</v>
      </c>
      <c r="C11" s="58">
        <v>-619850</v>
      </c>
    </row>
    <row r="12" spans="1:3" x14ac:dyDescent="0.25">
      <c r="A12" s="2">
        <v>46083</v>
      </c>
      <c r="B12" t="s">
        <v>231</v>
      </c>
      <c r="C12" s="58">
        <v>50000</v>
      </c>
    </row>
    <row r="13" spans="1:3" x14ac:dyDescent="0.25">
      <c r="A13" s="2">
        <v>46085</v>
      </c>
      <c r="B13" t="s">
        <v>238</v>
      </c>
      <c r="C13" s="70">
        <v>46350</v>
      </c>
    </row>
    <row r="14" spans="1:3" x14ac:dyDescent="0.25">
      <c r="A14" s="2">
        <v>46085</v>
      </c>
      <c r="B14" t="s">
        <v>236</v>
      </c>
      <c r="C14" s="70">
        <v>16500</v>
      </c>
    </row>
    <row r="15" spans="1:3" x14ac:dyDescent="0.25">
      <c r="A15" s="2">
        <v>46085</v>
      </c>
      <c r="B15" t="s">
        <v>237</v>
      </c>
      <c r="C15" s="70">
        <v>11000</v>
      </c>
    </row>
    <row r="16" spans="1:3" x14ac:dyDescent="0.25">
      <c r="A16" s="2">
        <v>46085</v>
      </c>
      <c r="B16" t="s">
        <v>241</v>
      </c>
      <c r="C16" s="70">
        <v>3500</v>
      </c>
    </row>
    <row r="17" spans="1:3" x14ac:dyDescent="0.25">
      <c r="A17" s="2">
        <v>46085</v>
      </c>
      <c r="B17" t="s">
        <v>239</v>
      </c>
      <c r="C17" s="70">
        <v>124400</v>
      </c>
    </row>
    <row r="18" spans="1:3" x14ac:dyDescent="0.25">
      <c r="A18" s="2">
        <v>46085</v>
      </c>
      <c r="B18" s="71" t="s">
        <v>240</v>
      </c>
      <c r="C18" s="58">
        <v>-201750</v>
      </c>
    </row>
    <row r="19" spans="1:3" x14ac:dyDescent="0.25">
      <c r="A19" s="2">
        <v>46085</v>
      </c>
      <c r="B19" s="71" t="s">
        <v>240</v>
      </c>
      <c r="C19" s="58">
        <v>-122700</v>
      </c>
    </row>
    <row r="20" spans="1:3" x14ac:dyDescent="0.25">
      <c r="A20" s="2">
        <v>46086</v>
      </c>
      <c r="B20" t="s">
        <v>243</v>
      </c>
      <c r="C20" s="58">
        <v>5000</v>
      </c>
    </row>
    <row r="21" spans="1:3" x14ac:dyDescent="0.25">
      <c r="A21" s="2">
        <v>46120</v>
      </c>
      <c r="B21" t="s">
        <v>298</v>
      </c>
      <c r="C21" s="58">
        <v>129000</v>
      </c>
    </row>
    <row r="22" spans="1:3" x14ac:dyDescent="0.25">
      <c r="A22" s="2">
        <v>46120</v>
      </c>
      <c r="B22" t="s">
        <v>297</v>
      </c>
      <c r="C22" s="58">
        <f>6*8000</f>
        <v>48000</v>
      </c>
    </row>
    <row r="23" spans="1:3" x14ac:dyDescent="0.25">
      <c r="A23" s="2">
        <v>46120</v>
      </c>
      <c r="B23" s="71" t="s">
        <v>240</v>
      </c>
      <c r="C23" s="58">
        <v>-100000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13"/>
  <sheetViews>
    <sheetView workbookViewId="0">
      <selection activeCell="E10" sqref="E10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70">
        <f>+SUM(B2:B1048576)</f>
        <v>-581250</v>
      </c>
      <c r="C1" t="s">
        <v>307</v>
      </c>
    </row>
    <row r="2" spans="1:7" x14ac:dyDescent="0.25">
      <c r="A2" t="s">
        <v>109</v>
      </c>
      <c r="B2" s="58">
        <v>1300000</v>
      </c>
      <c r="C2" t="s">
        <v>306</v>
      </c>
      <c r="F2">
        <v>1600</v>
      </c>
      <c r="G2" t="s">
        <v>329</v>
      </c>
    </row>
    <row r="3" spans="1:7" x14ac:dyDescent="0.25">
      <c r="A3" t="s">
        <v>299</v>
      </c>
      <c r="B3" s="58">
        <v>-1350000</v>
      </c>
      <c r="C3" t="s">
        <v>305</v>
      </c>
      <c r="F3" s="81">
        <v>3700000</v>
      </c>
    </row>
    <row r="4" spans="1:7" x14ac:dyDescent="0.25">
      <c r="A4" s="1" t="s">
        <v>300</v>
      </c>
      <c r="B4" s="58">
        <v>-400000</v>
      </c>
      <c r="C4" t="s">
        <v>305</v>
      </c>
      <c r="F4" s="81">
        <f>+F3/F2</f>
        <v>2312.5</v>
      </c>
    </row>
    <row r="5" spans="1:7" x14ac:dyDescent="0.25">
      <c r="A5" t="s">
        <v>301</v>
      </c>
      <c r="B5" s="58">
        <f>-500000/2</f>
        <v>-250000</v>
      </c>
      <c r="C5" t="s">
        <v>305</v>
      </c>
    </row>
    <row r="6" spans="1:7" x14ac:dyDescent="0.25">
      <c r="A6" t="s">
        <v>302</v>
      </c>
      <c r="B6" s="58">
        <f>-180000/2</f>
        <v>-90000</v>
      </c>
      <c r="C6" t="s">
        <v>305</v>
      </c>
      <c r="F6">
        <v>3500</v>
      </c>
    </row>
    <row r="7" spans="1:7" x14ac:dyDescent="0.25">
      <c r="A7" t="s">
        <v>303</v>
      </c>
      <c r="B7" s="58">
        <v>-30000</v>
      </c>
      <c r="C7" t="s">
        <v>305</v>
      </c>
      <c r="F7">
        <f>+F6*F2</f>
        <v>5600000</v>
      </c>
    </row>
    <row r="8" spans="1:7" x14ac:dyDescent="0.25">
      <c r="A8" t="s">
        <v>304</v>
      </c>
      <c r="B8" s="58">
        <f>((550-185)*3500)/2</f>
        <v>638750</v>
      </c>
      <c r="C8" t="s">
        <v>305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305</v>
      </c>
    </row>
    <row r="10" spans="1:7" x14ac:dyDescent="0.25">
      <c r="A10" t="s">
        <v>304</v>
      </c>
      <c r="D10" t="s">
        <v>308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3" spans="1:7" x14ac:dyDescent="0.25">
      <c r="C13" s="81">
        <f>715*3500</f>
        <v>2502500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B2"/>
  <sheetViews>
    <sheetView workbookViewId="0">
      <selection sqref="A1:B2"/>
    </sheetView>
  </sheetViews>
  <sheetFormatPr baseColWidth="10" defaultRowHeight="15" x14ac:dyDescent="0.25"/>
  <sheetData>
    <row r="1" spans="1:2" x14ac:dyDescent="0.25">
      <c r="A1">
        <v>5927016</v>
      </c>
      <c r="B1" t="s">
        <v>244</v>
      </c>
    </row>
    <row r="2" spans="1:2" x14ac:dyDescent="0.25">
      <c r="A2" t="s">
        <v>245</v>
      </c>
      <c r="B2">
        <v>6016050600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C2"/>
  <sheetViews>
    <sheetView workbookViewId="0">
      <selection activeCell="C3" sqref="C3"/>
    </sheetView>
  </sheetViews>
  <sheetFormatPr baseColWidth="10" defaultRowHeight="15" x14ac:dyDescent="0.25"/>
  <cols>
    <col min="3" max="3" width="12.85546875" bestFit="1" customWidth="1"/>
  </cols>
  <sheetData>
    <row r="2" spans="3:3" x14ac:dyDescent="0.25">
      <c r="C2" s="22" t="s">
        <v>246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7"/>
  <sheetViews>
    <sheetView zoomScale="130" zoomScaleNormal="130" workbookViewId="0">
      <pane ySplit="2" topLeftCell="A3" activePane="bottomLeft" state="frozen"/>
      <selection pane="bottomLeft" activeCell="B7" sqref="B7"/>
    </sheetView>
  </sheetViews>
  <sheetFormatPr baseColWidth="10" defaultRowHeight="15" x14ac:dyDescent="0.25"/>
  <cols>
    <col min="1" max="1" width="6.140625" bestFit="1" customWidth="1"/>
    <col min="2" max="2" width="43.140625" customWidth="1"/>
    <col min="3" max="3" width="7.7109375" bestFit="1" customWidth="1"/>
    <col min="4" max="4" width="7.42578125" bestFit="1" customWidth="1"/>
    <col min="5" max="5" width="103.140625" bestFit="1" customWidth="1"/>
  </cols>
  <sheetData>
    <row r="1" spans="1:5" ht="21" x14ac:dyDescent="0.35">
      <c r="B1" s="84" t="s">
        <v>315</v>
      </c>
      <c r="C1" s="22"/>
    </row>
    <row r="2" spans="1:5" x14ac:dyDescent="0.25">
      <c r="A2" s="82" t="s">
        <v>5</v>
      </c>
      <c r="B2" s="82" t="s">
        <v>309</v>
      </c>
      <c r="C2" s="82" t="s">
        <v>314</v>
      </c>
      <c r="D2" s="82" t="s">
        <v>310</v>
      </c>
      <c r="E2" s="82" t="s">
        <v>310</v>
      </c>
    </row>
    <row r="3" spans="1:5" x14ac:dyDescent="0.25">
      <c r="A3" s="85">
        <v>46090</v>
      </c>
      <c r="B3" s="83" t="s">
        <v>311</v>
      </c>
      <c r="C3" s="86" t="s">
        <v>316</v>
      </c>
      <c r="D3" s="83" t="s">
        <v>312</v>
      </c>
      <c r="E3" s="83" t="s">
        <v>313</v>
      </c>
    </row>
    <row r="4" spans="1:5" x14ac:dyDescent="0.25">
      <c r="A4" s="85">
        <v>46090</v>
      </c>
      <c r="B4" s="83" t="s">
        <v>318</v>
      </c>
      <c r="C4" s="86" t="s">
        <v>316</v>
      </c>
      <c r="D4" s="83" t="s">
        <v>317</v>
      </c>
      <c r="E4" s="83" t="s">
        <v>319</v>
      </c>
    </row>
    <row r="5" spans="1:5" x14ac:dyDescent="0.25">
      <c r="A5" s="85"/>
      <c r="B5" s="83" t="s">
        <v>341</v>
      </c>
      <c r="C5" s="86"/>
      <c r="D5" s="83"/>
      <c r="E5" s="83"/>
    </row>
    <row r="6" spans="1:5" x14ac:dyDescent="0.25">
      <c r="A6" s="85"/>
      <c r="B6" s="83" t="s">
        <v>342</v>
      </c>
      <c r="C6" s="86"/>
      <c r="D6" s="83"/>
      <c r="E6" s="83"/>
    </row>
    <row r="7" spans="1:5" x14ac:dyDescent="0.25">
      <c r="A7" s="83"/>
      <c r="B7" s="83" t="s">
        <v>249</v>
      </c>
      <c r="C7" s="83"/>
      <c r="D7" s="83"/>
      <c r="E7" s="83"/>
    </row>
    <row r="8" spans="1:5" x14ac:dyDescent="0.25">
      <c r="A8" s="83"/>
      <c r="B8" s="83" t="s">
        <v>247</v>
      </c>
      <c r="C8" s="83"/>
      <c r="D8" s="83"/>
      <c r="E8" s="83"/>
    </row>
    <row r="9" spans="1:5" x14ac:dyDescent="0.25">
      <c r="A9" s="83"/>
      <c r="B9" s="83" t="s">
        <v>248</v>
      </c>
      <c r="C9" s="83"/>
      <c r="D9" s="83"/>
      <c r="E9" s="83"/>
    </row>
    <row r="10" spans="1:5" x14ac:dyDescent="0.25">
      <c r="A10" s="83"/>
      <c r="B10" s="83" t="s">
        <v>250</v>
      </c>
      <c r="C10" s="83"/>
      <c r="D10" s="83"/>
      <c r="E10" s="83"/>
    </row>
    <row r="11" spans="1:5" x14ac:dyDescent="0.25">
      <c r="A11" s="83"/>
      <c r="B11" s="83" t="s">
        <v>251</v>
      </c>
      <c r="C11" s="83"/>
      <c r="D11" s="83"/>
      <c r="E11" s="83"/>
    </row>
    <row r="12" spans="1:5" x14ac:dyDescent="0.25">
      <c r="A12" s="83"/>
      <c r="B12" s="83" t="s">
        <v>252</v>
      </c>
      <c r="C12" s="83"/>
      <c r="D12" s="83"/>
      <c r="E12" s="83"/>
    </row>
    <row r="13" spans="1:5" x14ac:dyDescent="0.25">
      <c r="A13" s="83"/>
      <c r="B13" s="83" t="s">
        <v>253</v>
      </c>
      <c r="C13" s="83"/>
      <c r="D13" s="83"/>
      <c r="E13" s="83"/>
    </row>
    <row r="14" spans="1:5" x14ac:dyDescent="0.25">
      <c r="A14" s="83"/>
      <c r="B14" s="83" t="s">
        <v>259</v>
      </c>
      <c r="C14" s="83"/>
      <c r="D14" s="83"/>
      <c r="E14" s="83"/>
    </row>
    <row r="15" spans="1:5" x14ac:dyDescent="0.25">
      <c r="A15" s="83"/>
      <c r="B15" s="83" t="s">
        <v>260</v>
      </c>
      <c r="C15" s="83"/>
      <c r="D15" s="83"/>
      <c r="E15" s="83"/>
    </row>
    <row r="16" spans="1:5" x14ac:dyDescent="0.25">
      <c r="A16" s="83"/>
      <c r="B16" s="83" t="s">
        <v>261</v>
      </c>
      <c r="C16" s="83"/>
      <c r="D16" s="83"/>
      <c r="E16" s="83"/>
    </row>
    <row r="17" spans="1:5" x14ac:dyDescent="0.25">
      <c r="A17" s="83"/>
      <c r="B17" s="83" t="s">
        <v>262</v>
      </c>
      <c r="C17" s="83"/>
      <c r="D17" s="83"/>
      <c r="E17" s="8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C3"/>
  <sheetViews>
    <sheetView zoomScale="145" zoomScaleNormal="145" workbookViewId="0">
      <pane ySplit="2" topLeftCell="A3" activePane="bottomLeft" state="frozen"/>
      <selection pane="bottomLeft" activeCell="B10" sqref="B10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5000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46086</v>
      </c>
      <c r="B3" t="s">
        <v>243</v>
      </c>
      <c r="C3" s="58">
        <v>5000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selection activeCell="D13" sqref="D13"/>
    </sheetView>
  </sheetViews>
  <sheetFormatPr baseColWidth="10" defaultRowHeight="15" x14ac:dyDescent="0.25"/>
  <cols>
    <col min="1" max="1" width="14" bestFit="1" customWidth="1"/>
  </cols>
  <sheetData>
    <row r="1" spans="1:5" x14ac:dyDescent="0.25">
      <c r="A1" t="s">
        <v>322</v>
      </c>
      <c r="B1" t="s">
        <v>321</v>
      </c>
    </row>
    <row r="4" spans="1:5" x14ac:dyDescent="0.25">
      <c r="D4">
        <v>40</v>
      </c>
      <c r="E4">
        <v>60</v>
      </c>
    </row>
    <row r="5" spans="1:5" x14ac:dyDescent="0.25">
      <c r="D5">
        <v>40</v>
      </c>
      <c r="E5">
        <v>80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G10"/>
  <sheetViews>
    <sheetView zoomScale="115" zoomScaleNormal="115" workbookViewId="0">
      <selection activeCell="D9" sqref="D9"/>
    </sheetView>
  </sheetViews>
  <sheetFormatPr baseColWidth="10" defaultRowHeight="15" x14ac:dyDescent="0.25"/>
  <cols>
    <col min="3" max="3" width="21" bestFit="1" customWidth="1"/>
    <col min="4" max="5" width="6.7109375" bestFit="1" customWidth="1"/>
  </cols>
  <sheetData>
    <row r="5" spans="3:7" x14ac:dyDescent="0.25">
      <c r="C5" s="26" t="s">
        <v>327</v>
      </c>
    </row>
    <row r="6" spans="3:7" x14ac:dyDescent="0.25">
      <c r="C6" t="s">
        <v>323</v>
      </c>
      <c r="D6">
        <v>10000</v>
      </c>
      <c r="E6">
        <f>+D6*4</f>
        <v>40000</v>
      </c>
    </row>
    <row r="7" spans="3:7" x14ac:dyDescent="0.25">
      <c r="C7" t="s">
        <v>324</v>
      </c>
    </row>
    <row r="8" spans="3:7" x14ac:dyDescent="0.25">
      <c r="C8" t="s">
        <v>325</v>
      </c>
    </row>
    <row r="9" spans="3:7" x14ac:dyDescent="0.25">
      <c r="C9" s="88" t="s">
        <v>326</v>
      </c>
      <c r="D9" s="88"/>
      <c r="E9" s="88"/>
    </row>
    <row r="10" spans="3:7" x14ac:dyDescent="0.25">
      <c r="G10">
        <f>100000-16000</f>
        <v>84000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170</v>
      </c>
      <c r="B3" s="11" t="s">
        <v>171</v>
      </c>
      <c r="F3" s="11" t="s">
        <v>172</v>
      </c>
      <c r="G3" s="11" t="s">
        <v>171</v>
      </c>
    </row>
    <row r="4" spans="1:14" x14ac:dyDescent="0.25">
      <c r="B4" t="s">
        <v>173</v>
      </c>
      <c r="D4" t="s">
        <v>35</v>
      </c>
      <c r="G4" t="s">
        <v>173</v>
      </c>
      <c r="K4" t="s">
        <v>174</v>
      </c>
      <c r="L4" t="s">
        <v>35</v>
      </c>
    </row>
    <row r="5" spans="1:14" x14ac:dyDescent="0.25">
      <c r="A5" s="11" t="s">
        <v>34</v>
      </c>
      <c r="B5" t="s">
        <v>175</v>
      </c>
      <c r="C5" t="s">
        <v>176</v>
      </c>
      <c r="F5" s="11" t="s">
        <v>34</v>
      </c>
      <c r="G5" t="s">
        <v>175</v>
      </c>
      <c r="H5" t="s">
        <v>177</v>
      </c>
      <c r="I5" t="s">
        <v>178</v>
      </c>
      <c r="J5" t="s">
        <v>176</v>
      </c>
      <c r="K5" t="s">
        <v>176</v>
      </c>
      <c r="N5" s="1" t="s">
        <v>173</v>
      </c>
    </row>
    <row r="6" spans="1:14" x14ac:dyDescent="0.25">
      <c r="A6" s="8" t="s">
        <v>179</v>
      </c>
      <c r="B6" s="13">
        <v>73700</v>
      </c>
      <c r="C6" s="13">
        <v>192000</v>
      </c>
      <c r="D6" s="13">
        <v>265700</v>
      </c>
      <c r="F6" s="8" t="s">
        <v>179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180</v>
      </c>
      <c r="B7" s="13">
        <v>205600</v>
      </c>
      <c r="C7" s="13">
        <v>213000</v>
      </c>
      <c r="D7" s="13">
        <v>418600</v>
      </c>
      <c r="F7" s="8" t="s">
        <v>180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181</v>
      </c>
      <c r="B8" s="13"/>
      <c r="C8" s="13">
        <v>344000</v>
      </c>
      <c r="D8" s="13">
        <v>344000</v>
      </c>
      <c r="F8" s="8" t="s">
        <v>181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182</v>
      </c>
      <c r="B9" s="13"/>
      <c r="C9" s="13">
        <v>84000</v>
      </c>
      <c r="D9" s="13">
        <v>84000</v>
      </c>
      <c r="F9" s="8" t="s">
        <v>182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183</v>
      </c>
      <c r="B14" t="s" vm="1">
        <v>176</v>
      </c>
    </row>
    <row r="16" spans="1:14" x14ac:dyDescent="0.25">
      <c r="A16" s="11" t="s">
        <v>170</v>
      </c>
      <c r="B16" s="11" t="s">
        <v>171</v>
      </c>
    </row>
    <row r="17" spans="1:4" x14ac:dyDescent="0.25">
      <c r="A17" s="11" t="s">
        <v>34</v>
      </c>
      <c r="B17" t="s">
        <v>173</v>
      </c>
      <c r="C17" t="s">
        <v>174</v>
      </c>
      <c r="D17" t="s">
        <v>35</v>
      </c>
    </row>
    <row r="18" spans="1:4" x14ac:dyDescent="0.25">
      <c r="A18" s="8" t="s">
        <v>179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180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181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182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183</v>
      </c>
      <c r="B1" t="s" vm="1">
        <v>176</v>
      </c>
    </row>
    <row r="2" spans="1:11" x14ac:dyDescent="0.25">
      <c r="A2" s="11" t="s">
        <v>184</v>
      </c>
      <c r="B2" t="s" vm="2">
        <v>173</v>
      </c>
      <c r="H2" s="13"/>
    </row>
    <row r="4" spans="1:11" x14ac:dyDescent="0.25">
      <c r="A4" s="11" t="s">
        <v>185</v>
      </c>
      <c r="B4" s="11" t="s">
        <v>5</v>
      </c>
      <c r="C4" s="11" t="s">
        <v>186</v>
      </c>
      <c r="D4" s="11" t="s">
        <v>187</v>
      </c>
      <c r="E4" s="11" t="s">
        <v>188</v>
      </c>
      <c r="F4" t="s">
        <v>189</v>
      </c>
      <c r="G4" s="23" t="s">
        <v>190</v>
      </c>
      <c r="J4" s="52" t="s">
        <v>185</v>
      </c>
      <c r="K4" s="52" t="s">
        <v>191</v>
      </c>
    </row>
    <row r="5" spans="1:11" x14ac:dyDescent="0.25">
      <c r="A5" t="s">
        <v>179</v>
      </c>
      <c r="B5" s="53">
        <v>46076.692083333335</v>
      </c>
      <c r="C5" t="s">
        <v>192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179</v>
      </c>
      <c r="B6" s="53">
        <v>46076.717372685183</v>
      </c>
      <c r="C6" t="s">
        <v>192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179</v>
      </c>
      <c r="C7" t="s">
        <v>193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179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179</v>
      </c>
      <c r="C9" t="s">
        <v>192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179</v>
      </c>
      <c r="B10" s="53">
        <v>46076.751967592594</v>
      </c>
      <c r="C10" t="s">
        <v>192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179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179</v>
      </c>
      <c r="B12" s="53">
        <v>46076.787222222221</v>
      </c>
      <c r="C12" t="s">
        <v>192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179</v>
      </c>
      <c r="B13" s="53">
        <v>46076.795474537037</v>
      </c>
      <c r="C13" t="s">
        <v>192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179</v>
      </c>
      <c r="C14" t="s">
        <v>193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179</v>
      </c>
      <c r="B15" s="53">
        <v>46076.818287037036</v>
      </c>
      <c r="C15" t="s">
        <v>192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179</v>
      </c>
      <c r="B16" s="53">
        <v>46076.841643518521</v>
      </c>
      <c r="C16" t="s">
        <v>192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179</v>
      </c>
      <c r="B17" s="53">
        <v>46076.843854166669</v>
      </c>
      <c r="C17" t="s">
        <v>192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179</v>
      </c>
      <c r="B18" s="53">
        <v>46076.845659722225</v>
      </c>
      <c r="C18" t="s">
        <v>192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179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179</v>
      </c>
      <c r="B20" s="53">
        <v>46076.850243055553</v>
      </c>
      <c r="C20" t="s">
        <v>192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179</v>
      </c>
      <c r="B21" s="53">
        <v>46076.852650462963</v>
      </c>
      <c r="C21" t="s">
        <v>192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180</v>
      </c>
      <c r="B22" s="53">
        <v>46077.648680555554</v>
      </c>
      <c r="C22" t="s">
        <v>192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180</v>
      </c>
      <c r="B23" s="53">
        <v>46077.649351851855</v>
      </c>
      <c r="C23" t="s">
        <v>192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180</v>
      </c>
      <c r="B24" s="53">
        <v>46077.740034722221</v>
      </c>
      <c r="C24" t="s">
        <v>192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180</v>
      </c>
      <c r="B25" s="53">
        <v>46077.759606481479</v>
      </c>
      <c r="C25" t="s">
        <v>192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180</v>
      </c>
      <c r="B26" s="53">
        <v>46077.774178240739</v>
      </c>
      <c r="C26" t="s">
        <v>192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180</v>
      </c>
      <c r="B27" s="53">
        <v>46077.775185185186</v>
      </c>
      <c r="C27" t="s">
        <v>192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180</v>
      </c>
      <c r="B28" s="53">
        <v>46077.77952546296</v>
      </c>
      <c r="C28" t="s">
        <v>194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180</v>
      </c>
      <c r="C29" t="s">
        <v>192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180</v>
      </c>
      <c r="B30" s="53">
        <v>46077.797152777777</v>
      </c>
      <c r="C30" t="s">
        <v>192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180</v>
      </c>
      <c r="B31" s="53">
        <v>46077.836875000001</v>
      </c>
      <c r="C31" t="s">
        <v>192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180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180</v>
      </c>
      <c r="C33" t="s">
        <v>192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180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180</v>
      </c>
      <c r="B35" s="53">
        <v>46077.849872685183</v>
      </c>
      <c r="C35" t="s">
        <v>192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180</v>
      </c>
      <c r="C36" t="s">
        <v>193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180</v>
      </c>
      <c r="B37" s="53">
        <v>46077.867604166669</v>
      </c>
      <c r="C37" t="s">
        <v>192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181</v>
      </c>
      <c r="B38" s="53">
        <v>46078.578043981484</v>
      </c>
      <c r="C38" t="s">
        <v>192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181</v>
      </c>
      <c r="B39" s="53">
        <v>46078.579907407409</v>
      </c>
      <c r="C39" t="s">
        <v>192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181</v>
      </c>
      <c r="B40" s="53">
        <v>46078.58693287037</v>
      </c>
      <c r="C40" t="s">
        <v>192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181</v>
      </c>
      <c r="B41" s="53">
        <v>46078.59138888889</v>
      </c>
      <c r="C41" t="s">
        <v>195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181</v>
      </c>
      <c r="B42" s="53">
        <v>46078.600636574076</v>
      </c>
      <c r="C42" t="s">
        <v>195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181</v>
      </c>
      <c r="B43" s="53">
        <v>46078.601261574076</v>
      </c>
      <c r="C43" t="s">
        <v>192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181</v>
      </c>
      <c r="B44" s="53">
        <v>46078.694513888891</v>
      </c>
      <c r="C44" t="s">
        <v>192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181</v>
      </c>
      <c r="B45" s="53">
        <v>46078.762141203704</v>
      </c>
      <c r="C45" t="s">
        <v>192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181</v>
      </c>
      <c r="B46" s="53">
        <v>46078.764027777775</v>
      </c>
      <c r="C46" t="s">
        <v>192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181</v>
      </c>
      <c r="B47" s="53">
        <v>46078.768379629626</v>
      </c>
      <c r="C47" t="s">
        <v>192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181</v>
      </c>
      <c r="B48" s="53">
        <v>46078.77375</v>
      </c>
      <c r="C48" t="s">
        <v>192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181</v>
      </c>
      <c r="B49" s="53">
        <v>46078.774247685185</v>
      </c>
      <c r="C49" t="s">
        <v>193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181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181</v>
      </c>
      <c r="B51" s="53">
        <v>46078.777766203704</v>
      </c>
      <c r="C51" t="s">
        <v>192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181</v>
      </c>
      <c r="B52" s="53">
        <v>46078.800497685188</v>
      </c>
      <c r="C52" t="s">
        <v>192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181</v>
      </c>
      <c r="C53" t="s">
        <v>193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181</v>
      </c>
      <c r="B54" s="53">
        <v>46078.81894675926</v>
      </c>
      <c r="C54" t="s">
        <v>195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181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181</v>
      </c>
      <c r="B56" s="53">
        <v>46078.819791666669</v>
      </c>
      <c r="C56" t="s">
        <v>192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181</v>
      </c>
      <c r="B57" s="53">
        <v>46078.83253472222</v>
      </c>
      <c r="C57" t="s">
        <v>192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181</v>
      </c>
      <c r="B58" s="53">
        <v>46078.838090277779</v>
      </c>
      <c r="C58" t="s">
        <v>192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181</v>
      </c>
      <c r="B59" s="53">
        <v>46078.848043981481</v>
      </c>
      <c r="C59" t="s">
        <v>192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182</v>
      </c>
      <c r="B60" s="53">
        <v>46079.557025462964</v>
      </c>
      <c r="C60" t="s">
        <v>194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182</v>
      </c>
      <c r="B61" s="53">
        <v>46079.560671296298</v>
      </c>
      <c r="C61" t="s">
        <v>192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182</v>
      </c>
      <c r="B62" s="53">
        <v>46079.752893518518</v>
      </c>
      <c r="C62" t="s">
        <v>192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182</v>
      </c>
      <c r="B63" s="53">
        <v>46079.764050925929</v>
      </c>
      <c r="C63" t="s">
        <v>192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182</v>
      </c>
      <c r="B64" s="53">
        <v>46079.794652777775</v>
      </c>
      <c r="C64" t="s">
        <v>192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182</v>
      </c>
      <c r="B65" s="53">
        <v>46079.81355324074</v>
      </c>
      <c r="C65" t="s">
        <v>192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182</v>
      </c>
      <c r="B66" s="53">
        <v>46079.814722222225</v>
      </c>
      <c r="C66" t="s">
        <v>192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182</v>
      </c>
      <c r="B67" s="53">
        <v>46079.84375</v>
      </c>
      <c r="C67" t="s">
        <v>192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182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C6966FDC-54C0-4686-84FA-DB32BA161069}">
  <ds:schemaRefs/>
</ds:datastoreItem>
</file>

<file path=customXml/itemProps2.xml><?xml version="1.0" encoding="utf-8"?>
<ds:datastoreItem xmlns:ds="http://schemas.openxmlformats.org/officeDocument/2006/customXml" ds:itemID="{3BFDF280-F210-4B3E-AFDE-1E932821F2B6}">
  <ds:schemaRefs/>
</ds:datastoreItem>
</file>

<file path=customXml/itemProps3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88789B1-0D01-44D2-92B3-AE3C27D29AF4}">
  <ds:schemaRefs/>
</ds:datastoreItem>
</file>

<file path=customXml/itemProps5.xml><?xml version="1.0" encoding="utf-8"?>
<ds:datastoreItem xmlns:ds="http://schemas.openxmlformats.org/officeDocument/2006/customXml" ds:itemID="{651B3BFD-4BC7-48D9-94DF-A7E0AC3AE585}">
  <ds:schemaRefs/>
</ds:datastoreItem>
</file>

<file path=customXml/itemProps6.xml><?xml version="1.0" encoding="utf-8"?>
<ds:datastoreItem xmlns:ds="http://schemas.openxmlformats.org/officeDocument/2006/customXml" ds:itemID="{26BBDD3B-5549-4B7F-A242-39E079346B5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chorizo</vt:lpstr>
      <vt:lpstr>choriboni</vt:lpstr>
      <vt:lpstr>Arqueo de Caja</vt:lpstr>
      <vt:lpstr>Clientes frecuentas</vt:lpstr>
      <vt:lpstr>empaque</vt:lpstr>
      <vt:lpstr>proveedores</vt:lpstr>
      <vt:lpstr>informe</vt:lpstr>
      <vt:lpstr>Costos</vt:lpstr>
      <vt:lpstr>Reporte</vt:lpstr>
      <vt:lpstr>Extracto_bancario</vt:lpstr>
      <vt:lpstr>Rappi</vt:lpstr>
      <vt:lpstr>7-MARZO</vt:lpstr>
      <vt:lpstr>Prestamos</vt:lpstr>
      <vt:lpstr>maquina</vt:lpstr>
      <vt:lpstr>Hoja4</vt:lpstr>
      <vt:lpstr>Inventario</vt:lpstr>
      <vt:lpstr>Bugs</vt:lpstr>
      <vt:lpstr>Gastos del dìa</vt:lpstr>
      <vt:lpstr>H</vt:lpstr>
      <vt:lpstr>Empaques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2026-03-12T01:27:08Z</dcterms:modified>
</cp:coreProperties>
</file>