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C\Documents\Fabrica\"/>
    </mc:Choice>
  </mc:AlternateContent>
  <bookViews>
    <workbookView xWindow="20370" yWindow="-2070" windowWidth="21840" windowHeight="13140" tabRatio="612" firstSheet="2" activeTab="3"/>
  </bookViews>
  <sheets>
    <sheet name="chorizo" sheetId="3" state="hidden" r:id="rId1"/>
    <sheet name="choriboni" sheetId="4" state="hidden" r:id="rId2"/>
    <sheet name="Arqueo de Caja" sheetId="9" r:id="rId3"/>
    <sheet name="Cuentas" sheetId="33" r:id="rId4"/>
    <sheet name="Gas" sheetId="32" r:id="rId5"/>
    <sheet name="Registros" sheetId="31" r:id="rId6"/>
    <sheet name="DevOps" sheetId="21" r:id="rId7"/>
    <sheet name="Extracto" sheetId="10" r:id="rId8"/>
    <sheet name="Clientes" sheetId="24" r:id="rId9"/>
    <sheet name="Empaques" sheetId="25" r:id="rId10"/>
    <sheet name="proveedores" sheetId="7" state="hidden" r:id="rId11"/>
    <sheet name="informe" sheetId="6" state="hidden" r:id="rId12"/>
    <sheet name="Costos" sheetId="8" state="hidden" r:id="rId13"/>
    <sheet name="Inventario" sheetId="27" r:id="rId14"/>
    <sheet name="Reporte" sheetId="11" r:id="rId15"/>
    <sheet name="Rappi" sheetId="26" r:id="rId16"/>
    <sheet name="7-MARZO" sheetId="22" state="hidden" r:id="rId17"/>
    <sheet name="Prestamos" sheetId="12" r:id="rId18"/>
    <sheet name="maquina" sheetId="23" r:id="rId19"/>
    <sheet name="Informe ventas" sheetId="13" state="hidden" r:id="rId20"/>
    <sheet name="historial de venta" sheetId="14" state="hidden" r:id="rId21"/>
  </sheets>
  <definedNames>
    <definedName name="_xlnm._FilterDatabase" localSheetId="1" hidden="1">choriboni!$B$17:$I$69</definedName>
    <definedName name="_xlnm._FilterDatabase" localSheetId="7" hidden="1">Extracto!$A$5:$M$71</definedName>
  </definedNames>
  <calcPr calcId="162913"/>
  <pivotCaches>
    <pivotCache cacheId="0" r:id="rId22"/>
    <pivotCache cacheId="1" r:id="rId23"/>
    <pivotCache cacheId="2" r:id="rId24"/>
    <pivotCache cacheId="3" r:id="rId25"/>
    <pivotCache cacheId="4" r:id="rId26"/>
    <pivotCache cacheId="5" r:id="rId27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-51ba295a-2a34-423f-a719-88618405a15d" name="transacciones" connection="Consulta - transacciones"/>
          <x15:modelTable id="usuarios-cdcdca8c-0a33-49a8-9fb6-be79aade23c0" name="usuarios" connection="Consulta - usuarios"/>
          <x15:modelTable id="transacciones-0d07c9fd-0f01-4c04-a5a6-a715e704423c" name="transacciones1" connection="Consulta - transacciones (2)"/>
          <x15:modelTable id="usuarios-53504229-3d42-4526-a0a8-b6e8dc3eed77" name="usuarios1" connection="Consulta - usuarios (2)"/>
          <x15:modelTable id="productos-b161ad7e-a7e4-4b26-9906-27c139127262" name="productos" connection="Consulta - productos"/>
          <x15:modelTable id="items-f9111c43-692e-47dd-a790-aac799dcd048" name="items" connection="Consulta - items"/>
        </x15:modelTables>
        <x15:modelRelationships>
          <x15:modelRelationship fromTable="transacciones" fromColumn="id_usuario" toTable="usuarios" toColumn="id_usuario"/>
          <x15:modelRelationship fromTable="transacciones1" fromColumn="id_usuario" toTable="usuarios1" toColumn="id_usuario"/>
          <x15:modelRelationship fromTable="items" fromColumn="id_transaccion" toTable="transacciones1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  <x16:modelTimeGrouping tableName="transacciones1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33" l="1"/>
  <c r="AO21" i="9"/>
  <c r="C15" i="32"/>
  <c r="AO27" i="9"/>
  <c r="D13" i="32"/>
  <c r="AM21" i="9"/>
  <c r="AM18" i="9"/>
  <c r="AM23" i="9"/>
  <c r="D18" i="25"/>
  <c r="D17" i="25"/>
  <c r="E6" i="32"/>
  <c r="E7" i="32" s="1"/>
  <c r="AK18" i="9"/>
  <c r="B4" i="32"/>
  <c r="B5" i="32" s="1"/>
  <c r="A3" i="32"/>
  <c r="AM35" i="9" l="1"/>
  <c r="AM32" i="9"/>
  <c r="AE30" i="9"/>
  <c r="AE31" i="9" s="1"/>
  <c r="AG31" i="9" s="1"/>
  <c r="AI31" i="9" s="1"/>
  <c r="AK31" i="9" s="1"/>
  <c r="AM31" i="9" s="1"/>
  <c r="AK35" i="9"/>
  <c r="AM30" i="9"/>
  <c r="B71" i="10"/>
  <c r="B70" i="10"/>
  <c r="B69" i="10"/>
  <c r="B68" i="10"/>
  <c r="AG32" i="9"/>
  <c r="AG33" i="9" s="1"/>
  <c r="AI33" i="9" s="1"/>
  <c r="AK33" i="9" s="1"/>
  <c r="B67" i="10"/>
  <c r="AM33" i="9" l="1"/>
  <c r="AO13" i="9" l="1"/>
  <c r="AO12" i="9"/>
  <c r="AO11" i="9"/>
  <c r="AO10" i="9"/>
  <c r="AO9" i="9"/>
  <c r="AO8" i="9"/>
  <c r="AO7" i="9"/>
  <c r="AO6" i="9"/>
  <c r="AO5" i="9"/>
  <c r="AO4" i="9"/>
  <c r="AO3" i="9"/>
  <c r="AO1" i="9"/>
  <c r="AO17" i="9" s="1"/>
  <c r="AM13" i="9"/>
  <c r="AM12" i="9"/>
  <c r="AM11" i="9"/>
  <c r="AM10" i="9"/>
  <c r="AM9" i="9"/>
  <c r="AM8" i="9"/>
  <c r="AM7" i="9"/>
  <c r="AM6" i="9"/>
  <c r="AM5" i="9"/>
  <c r="AM4" i="9"/>
  <c r="AM3" i="9"/>
  <c r="AM1" i="9"/>
  <c r="AM17" i="9" s="1"/>
  <c r="AK14" i="9"/>
  <c r="AK1" i="9"/>
  <c r="AK17" i="9" s="1"/>
  <c r="E2" i="31"/>
  <c r="C9" i="31"/>
  <c r="C10" i="31"/>
  <c r="C7" i="31"/>
  <c r="C13" i="31" s="1"/>
  <c r="AK20" i="9" s="1"/>
  <c r="E27" i="31"/>
  <c r="AO14" i="9" l="1"/>
  <c r="AM14" i="9"/>
  <c r="B66" i="10"/>
  <c r="B65" i="10"/>
  <c r="B64" i="10"/>
  <c r="B63" i="10"/>
  <c r="B62" i="10"/>
  <c r="B61" i="10"/>
  <c r="AI21" i="9"/>
  <c r="AI22" i="9"/>
  <c r="C1" i="27"/>
  <c r="AO18" i="9" l="1"/>
  <c r="G6" i="32"/>
  <c r="H6" i="32" s="1"/>
  <c r="AM25" i="9"/>
  <c r="B60" i="10"/>
  <c r="D1" i="10"/>
  <c r="A1" i="10" s="1"/>
  <c r="B59" i="10"/>
  <c r="B58" i="10"/>
  <c r="B57" i="10"/>
  <c r="B56" i="10"/>
  <c r="B55" i="10"/>
  <c r="B54" i="10"/>
  <c r="B53" i="10"/>
  <c r="B52" i="10"/>
  <c r="B51" i="10"/>
  <c r="B50" i="10"/>
  <c r="B49" i="10"/>
  <c r="AG21" i="9" l="1"/>
  <c r="AI13" i="9"/>
  <c r="AI12" i="9"/>
  <c r="AI11" i="9"/>
  <c r="AI10" i="9"/>
  <c r="AI9" i="9"/>
  <c r="AI8" i="9"/>
  <c r="AI7" i="9"/>
  <c r="AI6" i="9"/>
  <c r="AI5" i="9"/>
  <c r="AI4" i="9"/>
  <c r="AI3" i="9"/>
  <c r="AI1" i="9"/>
  <c r="AI17" i="9" s="1"/>
  <c r="AG27" i="9"/>
  <c r="AI27" i="9" s="1"/>
  <c r="AK27" i="9" s="1"/>
  <c r="G11" i="26"/>
  <c r="D9" i="26"/>
  <c r="AE13" i="9"/>
  <c r="AE12" i="9"/>
  <c r="AE11" i="9"/>
  <c r="AE10" i="9"/>
  <c r="AE9" i="9"/>
  <c r="AE8" i="9"/>
  <c r="AE7" i="9"/>
  <c r="AE6" i="9"/>
  <c r="AE5" i="9"/>
  <c r="AE4" i="9"/>
  <c r="AE3" i="9"/>
  <c r="AG13" i="9"/>
  <c r="AG12" i="9"/>
  <c r="AG11" i="9"/>
  <c r="AG10" i="9"/>
  <c r="AG9" i="9"/>
  <c r="AG8" i="9"/>
  <c r="AG7" i="9"/>
  <c r="AG6" i="9"/>
  <c r="AG5" i="9"/>
  <c r="AG4" i="9"/>
  <c r="AG3" i="9"/>
  <c r="AE27" i="9"/>
  <c r="AG1" i="9"/>
  <c r="AG17" i="9" s="1"/>
  <c r="AM27" i="9" l="1"/>
  <c r="AI14" i="9"/>
  <c r="AG14" i="9"/>
  <c r="AI18" i="9" s="1"/>
  <c r="AE14" i="9"/>
  <c r="AK23" i="9" l="1"/>
  <c r="AI23" i="9"/>
  <c r="AI25" i="9" s="1"/>
  <c r="AE23" i="9"/>
  <c r="AK25" i="9" l="1"/>
  <c r="AG18" i="9"/>
  <c r="AG23" i="9" s="1"/>
  <c r="AG25" i="9" s="1"/>
  <c r="B48" i="10"/>
  <c r="B45" i="10"/>
  <c r="B44" i="10"/>
  <c r="B43" i="10"/>
  <c r="B42" i="10"/>
  <c r="B47" i="10"/>
  <c r="B46" i="10"/>
  <c r="B41" i="10"/>
  <c r="B40" i="10"/>
  <c r="AM38" i="9" l="1"/>
  <c r="AO23" i="9"/>
  <c r="AO25" i="9" s="1"/>
  <c r="AE1" i="9"/>
  <c r="AE17" i="9" s="1"/>
  <c r="AC4" i="9" l="1"/>
  <c r="AC3" i="9"/>
  <c r="AC13" i="9"/>
  <c r="AC12" i="9"/>
  <c r="AC11" i="9"/>
  <c r="AC10" i="9"/>
  <c r="AC9" i="9"/>
  <c r="AC8" i="9"/>
  <c r="AC7" i="9"/>
  <c r="AC6" i="9"/>
  <c r="AC5" i="9"/>
  <c r="F11" i="23"/>
  <c r="F10" i="23"/>
  <c r="F7" i="23"/>
  <c r="F8" i="23" s="1"/>
  <c r="F4" i="23"/>
  <c r="E6" i="25"/>
  <c r="C2" i="25"/>
  <c r="AE25" i="9" l="1"/>
  <c r="AA21" i="9"/>
  <c r="AC1" i="9"/>
  <c r="AC17" i="9" s="1"/>
  <c r="AA13" i="9"/>
  <c r="AA12" i="9"/>
  <c r="AA11" i="9"/>
  <c r="AA10" i="9"/>
  <c r="AA9" i="9"/>
  <c r="AA8" i="9"/>
  <c r="AA7" i="9"/>
  <c r="AA6" i="9"/>
  <c r="AA5" i="9"/>
  <c r="AA4" i="9"/>
  <c r="AA1" i="9"/>
  <c r="AA17" i="9" s="1"/>
  <c r="C16" i="23"/>
  <c r="B8" i="23"/>
  <c r="B9" i="23"/>
  <c r="B5" i="23"/>
  <c r="B6" i="23"/>
  <c r="C22" i="12"/>
  <c r="F22" i="22"/>
  <c r="F12" i="22"/>
  <c r="G16" i="22"/>
  <c r="F15" i="22"/>
  <c r="F14" i="22"/>
  <c r="F13" i="22"/>
  <c r="F11" i="22"/>
  <c r="F10" i="22"/>
  <c r="F5" i="22"/>
  <c r="Y13" i="9"/>
  <c r="Y12" i="9"/>
  <c r="Y11" i="9"/>
  <c r="Y10" i="9"/>
  <c r="Y9" i="9"/>
  <c r="Y8" i="9"/>
  <c r="Y7" i="9"/>
  <c r="Y6" i="9"/>
  <c r="Y5" i="9"/>
  <c r="Y4" i="9"/>
  <c r="Y1" i="9"/>
  <c r="Y17" i="9" s="1"/>
  <c r="F1" i="22" l="1"/>
  <c r="AA14" i="9"/>
  <c r="AC14" i="9"/>
  <c r="Y14" i="9"/>
  <c r="AA18" i="9" s="1"/>
  <c r="AA23" i="9" s="1"/>
  <c r="B1" i="23"/>
  <c r="M39" i="10"/>
  <c r="B39" i="10"/>
  <c r="B38" i="10"/>
  <c r="B37" i="10"/>
  <c r="B36" i="10"/>
  <c r="B35" i="10"/>
  <c r="B34" i="10"/>
  <c r="B33" i="10"/>
  <c r="B32" i="10"/>
  <c r="B31" i="10"/>
  <c r="B30" i="10"/>
  <c r="M34" i="10"/>
  <c r="W21" i="9"/>
  <c r="AC18" i="9" l="1"/>
  <c r="AC23" i="9" s="1"/>
  <c r="AC25" i="9" s="1"/>
  <c r="AA25" i="9"/>
  <c r="H1" i="22"/>
  <c r="I1" i="22" s="1"/>
  <c r="W13" i="9"/>
  <c r="W12" i="9"/>
  <c r="W11" i="9"/>
  <c r="W10" i="9"/>
  <c r="W9" i="9"/>
  <c r="W8" i="9"/>
  <c r="W7" i="9"/>
  <c r="W6" i="9"/>
  <c r="W5" i="9"/>
  <c r="W4" i="9"/>
  <c r="W1" i="9"/>
  <c r="W17" i="9" s="1"/>
  <c r="W14" i="9" l="1"/>
  <c r="M38" i="10" s="1"/>
  <c r="U21" i="9"/>
  <c r="U5" i="9"/>
  <c r="U4" i="9"/>
  <c r="S21" i="9"/>
  <c r="U1" i="9"/>
  <c r="U17" i="9" s="1"/>
  <c r="S1" i="9"/>
  <c r="S17" i="9" s="1"/>
  <c r="Q1" i="9"/>
  <c r="Q17" i="9" s="1"/>
  <c r="O1" i="9"/>
  <c r="O17" i="9" s="1"/>
  <c r="U13" i="9" l="1"/>
  <c r="U12" i="9"/>
  <c r="U11" i="9"/>
  <c r="U10" i="9"/>
  <c r="U9" i="9"/>
  <c r="U8" i="9"/>
  <c r="U7" i="9"/>
  <c r="U6" i="9"/>
  <c r="U14" i="9" l="1"/>
  <c r="B29" i="10"/>
  <c r="B28" i="10"/>
  <c r="B27" i="10"/>
  <c r="B26" i="10"/>
  <c r="D26" i="10"/>
  <c r="D2" i="10" s="1"/>
  <c r="C9" i="12"/>
  <c r="C1" i="12" s="1"/>
  <c r="D3" i="10" l="1"/>
  <c r="Q13" i="9"/>
  <c r="Q12" i="9"/>
  <c r="Q11" i="9"/>
  <c r="Q10" i="9"/>
  <c r="Q9" i="9"/>
  <c r="Q8" i="9"/>
  <c r="Q7" i="9"/>
  <c r="Q6" i="9"/>
  <c r="Q5" i="9"/>
  <c r="Q4" i="9"/>
  <c r="Q3" i="9"/>
  <c r="O13" i="9"/>
  <c r="O12" i="9"/>
  <c r="O11" i="9"/>
  <c r="O10" i="9"/>
  <c r="O9" i="9"/>
  <c r="O8" i="9"/>
  <c r="O7" i="9"/>
  <c r="O6" i="9"/>
  <c r="O5" i="9"/>
  <c r="O4" i="9"/>
  <c r="O3" i="9"/>
  <c r="Q14" i="9" l="1"/>
  <c r="O14" i="9"/>
  <c r="D8" i="11"/>
  <c r="E8" i="11" s="1"/>
  <c r="D9" i="11"/>
  <c r="E9" i="11" s="1"/>
  <c r="B23" i="10"/>
  <c r="B24" i="10"/>
  <c r="B25" i="10"/>
  <c r="M21" i="9" l="1"/>
  <c r="M23" i="9" s="1"/>
  <c r="B22" i="10" l="1"/>
  <c r="K14" i="9"/>
  <c r="M16" i="9" s="1"/>
  <c r="M13" i="9" l="1"/>
  <c r="M12" i="9"/>
  <c r="M11" i="9"/>
  <c r="M10" i="9"/>
  <c r="M9" i="9"/>
  <c r="M8" i="9"/>
  <c r="M7" i="9"/>
  <c r="M6" i="9"/>
  <c r="M5" i="9"/>
  <c r="M4" i="9"/>
  <c r="M3" i="9"/>
  <c r="I14" i="9"/>
  <c r="M14" i="9" l="1"/>
  <c r="O18" i="9" s="1"/>
  <c r="E7" i="11"/>
  <c r="E6" i="11"/>
  <c r="B21" i="10"/>
  <c r="B20" i="10"/>
  <c r="B19" i="10"/>
  <c r="B18" i="10"/>
  <c r="K18" i="9"/>
  <c r="K21" i="9"/>
  <c r="I21" i="9"/>
  <c r="Q18" i="9" l="1"/>
  <c r="O23" i="9"/>
  <c r="O25" i="9" s="1"/>
  <c r="M25" i="9"/>
  <c r="K23" i="9"/>
  <c r="K25" i="9" s="1"/>
  <c r="G21" i="9"/>
  <c r="Q23" i="9" l="1"/>
  <c r="Q25" i="9" s="1"/>
  <c r="N6" i="13"/>
  <c r="S18" i="9" l="1"/>
  <c r="S23" i="9" s="1"/>
  <c r="K13" i="9"/>
  <c r="K12" i="9"/>
  <c r="K11" i="9"/>
  <c r="K10" i="9"/>
  <c r="K9" i="9"/>
  <c r="K8" i="9"/>
  <c r="K7" i="9"/>
  <c r="K6" i="9"/>
  <c r="K5" i="9"/>
  <c r="K4" i="9"/>
  <c r="K3" i="9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K8" i="14"/>
  <c r="G8" i="14"/>
  <c r="K7" i="14"/>
  <c r="G7" i="14"/>
  <c r="K6" i="14"/>
  <c r="G6" i="14"/>
  <c r="G5" i="14"/>
  <c r="K5" i="14" s="1"/>
  <c r="N9" i="13"/>
  <c r="N8" i="13"/>
  <c r="N7" i="13"/>
  <c r="E15" i="9" l="1"/>
  <c r="S25" i="9"/>
  <c r="U18" i="9"/>
  <c r="M35" i="10" s="1"/>
  <c r="H37" i="14"/>
  <c r="H31" i="14"/>
  <c r="E4" i="11"/>
  <c r="E5" i="11"/>
  <c r="B6" i="10"/>
  <c r="B7" i="10"/>
  <c r="B8" i="10"/>
  <c r="B9" i="10"/>
  <c r="B10" i="10"/>
  <c r="B11" i="10"/>
  <c r="B12" i="10"/>
  <c r="B13" i="10"/>
  <c r="B14" i="10"/>
  <c r="B15" i="10"/>
  <c r="B16" i="10"/>
  <c r="B17" i="10"/>
  <c r="C21" i="9"/>
  <c r="C23" i="9" s="1"/>
  <c r="E18" i="9" s="1"/>
  <c r="I13" i="9"/>
  <c r="I12" i="9"/>
  <c r="I11" i="9"/>
  <c r="I10" i="9"/>
  <c r="I9" i="9"/>
  <c r="I8" i="9"/>
  <c r="I7" i="9"/>
  <c r="I6" i="9"/>
  <c r="I5" i="9"/>
  <c r="I4" i="9"/>
  <c r="I3" i="9"/>
  <c r="U23" i="9" l="1"/>
  <c r="E2" i="11"/>
  <c r="E23" i="9"/>
  <c r="G18" i="9" s="1"/>
  <c r="E6" i="9"/>
  <c r="E5" i="9"/>
  <c r="E7" i="9"/>
  <c r="E8" i="9"/>
  <c r="E9" i="9"/>
  <c r="E10" i="9"/>
  <c r="E11" i="9"/>
  <c r="E12" i="9"/>
  <c r="E13" i="9"/>
  <c r="E4" i="9"/>
  <c r="E3" i="9"/>
  <c r="C3" i="9"/>
  <c r="W18" i="9" l="1"/>
  <c r="U25" i="9"/>
  <c r="W19" i="9" s="1"/>
  <c r="E14" i="9"/>
  <c r="E25" i="9" s="1"/>
  <c r="G23" i="9"/>
  <c r="I18" i="9" s="1"/>
  <c r="C11" i="9"/>
  <c r="C4" i="9"/>
  <c r="C5" i="9"/>
  <c r="C6" i="9"/>
  <c r="C7" i="9"/>
  <c r="C8" i="9"/>
  <c r="C9" i="9"/>
  <c r="C10" i="9"/>
  <c r="C12" i="9"/>
  <c r="C13" i="9"/>
  <c r="F7" i="8"/>
  <c r="F6" i="8"/>
  <c r="F5" i="8"/>
  <c r="F4" i="8"/>
  <c r="D5" i="8"/>
  <c r="D6" i="8"/>
  <c r="D7" i="8"/>
  <c r="D4" i="8"/>
  <c r="C74" i="4"/>
  <c r="W23" i="9" l="1"/>
  <c r="G25" i="9"/>
  <c r="I23" i="9"/>
  <c r="I25" i="9" s="1"/>
  <c r="D9" i="8"/>
  <c r="C14" i="9"/>
  <c r="C25" i="9" s="1"/>
  <c r="C41" i="4"/>
  <c r="C40" i="4"/>
  <c r="C31" i="4"/>
  <c r="C39" i="4"/>
  <c r="C19" i="4"/>
  <c r="C58" i="4"/>
  <c r="C20" i="4"/>
  <c r="C54" i="4"/>
  <c r="C55" i="4"/>
  <c r="C43" i="4"/>
  <c r="C18" i="4"/>
  <c r="W25" i="9" l="1"/>
  <c r="Y18" i="9"/>
  <c r="Y23" i="9" s="1"/>
  <c r="Y25" i="9" s="1"/>
  <c r="C1" i="9"/>
  <c r="C26" i="4"/>
  <c r="C3" i="4" s="1"/>
  <c r="C4" i="4"/>
  <c r="C5" i="4" l="1"/>
  <c r="C7" i="4" s="1"/>
  <c r="C16" i="4"/>
  <c r="C14" i="4" l="1"/>
  <c r="I11" i="4" s="1"/>
</calcChain>
</file>

<file path=xl/comments1.xml><?xml version="1.0" encoding="utf-8"?>
<comments xmlns="http://schemas.openxmlformats.org/spreadsheetml/2006/main">
  <authors>
    <author>PC</author>
    <author>ADMIN</author>
  </authors>
  <commentList>
    <comment ref="C18" authorId="0" shapeId="0">
      <text>
        <r>
          <rPr>
            <b/>
            <sz val="9"/>
            <color indexed="81"/>
            <rFont val="Tahoma"/>
            <family val="2"/>
          </rPr>
          <t>150,000 motor de extractor y olla</t>
        </r>
      </text>
    </comment>
    <comment ref="C19" authorId="1" shapeId="0">
      <text>
        <r>
          <rPr>
            <sz val="9"/>
            <color indexed="81"/>
            <rFont val="Tahoma"/>
            <family val="2"/>
          </rPr>
          <t>Se encimo dinero porque se encontro una nevera más moderna</t>
        </r>
      </text>
    </comment>
    <comment ref="C20" authorId="0" shapeId="0">
      <text>
        <r>
          <rPr>
            <b/>
            <sz val="9"/>
            <color indexed="81"/>
            <rFont val="Tahoma"/>
            <family val="2"/>
          </rPr>
          <t>2 facturas y sillas</t>
        </r>
      </text>
    </comment>
    <comment ref="G20" authorId="1" shapeId="0">
      <text>
        <r>
          <rPr>
            <sz val="9"/>
            <color indexed="81"/>
            <rFont val="Tahoma"/>
            <family val="2"/>
          </rPr>
          <t>Barbacoa marca Kodell (parrilla) con campana, barra de metal, lavaplatos, olla, campana para otra parrilla</t>
        </r>
      </text>
    </comment>
    <comment ref="G34" authorId="1" shapeId="0">
      <text>
        <r>
          <rPr>
            <b/>
            <sz val="9"/>
            <color indexed="81"/>
            <rFont val="Tahoma"/>
            <family val="2"/>
          </rPr>
          <t>EFECTIVO</t>
        </r>
      </text>
    </comment>
    <comment ref="G35" authorId="1" shapeId="0">
      <text>
        <r>
          <rPr>
            <b/>
            <sz val="9"/>
            <color indexed="81"/>
            <rFont val="Tahoma"/>
            <family val="2"/>
          </rPr>
          <t>PARRILLA 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6" authorId="1" shapeId="0">
      <text>
        <r>
          <rPr>
            <b/>
            <sz val="9"/>
            <color indexed="81"/>
            <rFont val="Tahoma"/>
            <family val="2"/>
          </rPr>
          <t>NEQUI</t>
        </r>
      </text>
    </comment>
    <comment ref="G37" authorId="1" shapeId="0">
      <text>
        <r>
          <rPr>
            <sz val="9"/>
            <color indexed="81"/>
            <rFont val="Tahoma"/>
            <family val="2"/>
          </rPr>
          <t>Llevar parrilla 2 donde a la casa donde vive papá</t>
        </r>
      </text>
    </comment>
    <comment ref="C39" authorId="0" shapeId="0">
      <text>
        <r>
          <rPr>
            <b/>
            <sz val="9"/>
            <color indexed="81"/>
            <rFont val="Tahoma"/>
            <family val="2"/>
          </rPr>
          <t>robo del muchacho la mitad  50,000</t>
        </r>
      </text>
    </comment>
  </commentList>
</comments>
</file>

<file path=xl/comments2.xml><?xml version="1.0" encoding="utf-8"?>
<comments xmlns="http://schemas.openxmlformats.org/spreadsheetml/2006/main">
  <authors>
    <author>ADMIN</author>
    <author>PC</author>
  </authors>
  <commentList>
    <comment ref="E14" authorId="0" shapeId="0">
      <text>
        <r>
          <rPr>
            <sz val="9"/>
            <color indexed="81"/>
            <rFont val="Tahoma"/>
            <family val="2"/>
          </rPr>
          <t>Arqueo: 8:05 pm</t>
        </r>
      </text>
    </comment>
    <comment ref="E15" authorId="0" shapeId="0">
      <text>
        <r>
          <rPr>
            <sz val="9"/>
            <color indexed="81"/>
            <rFont val="Tahoma"/>
            <family val="2"/>
          </rPr>
          <t>8:49 pm última transacción del día</t>
        </r>
      </text>
    </comment>
    <comment ref="S19" authorId="1" shapeId="0">
      <text>
        <r>
          <rPr>
            <b/>
            <sz val="9"/>
            <color indexed="81"/>
            <rFont val="Tahoma"/>
            <family val="2"/>
          </rPr>
          <t>Estaban debajo de las  monedas</t>
        </r>
      </text>
    </comment>
    <comment ref="C21" authorId="0" shapeId="0">
      <text>
        <r>
          <rPr>
            <b/>
            <sz val="9"/>
            <color indexed="81"/>
            <rFont val="Tahoma"/>
            <family val="2"/>
          </rPr>
          <t>nomina mayerli</t>
        </r>
      </text>
    </comment>
    <comment ref="E21" authorId="0" shapeId="0">
      <text>
        <r>
          <rPr>
            <sz val="9"/>
            <color indexed="81"/>
            <rFont val="Tahoma"/>
            <family val="2"/>
          </rPr>
          <t>Vidrio para caja
saldo pequeño de 3000</t>
        </r>
      </text>
    </comment>
    <comment ref="G21" authorId="0" shapeId="0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nomina,
- mercado
- Uniforme
</t>
        </r>
      </text>
    </comment>
    <comment ref="I21" authorId="0" shapeId="0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nomina
- transporte
</t>
        </r>
      </text>
    </comment>
    <comment ref="K21" authorId="0" shapeId="0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- 10.000 gastos varios
- nomina 
- transporte
-  Vidrio 120
- Prestamo
- transporte - 24 de febrero
- descuadre autorizado por administrador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0" shapeId="0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mercado
-  bolsas, cafè, panela</t>
        </r>
      </text>
    </comment>
    <comment ref="AA21" authorId="0" shapeId="0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papel higienico + limones + papel toalla
- Transporte Edwin
- Transporte José Gustavo</t>
        </r>
      </text>
    </comment>
    <comment ref="AG21" authorId="1" shapeId="0">
      <text>
        <r>
          <rPr>
            <b/>
            <sz val="9"/>
            <color indexed="81"/>
            <rFont val="Tahoma"/>
            <charset val="1"/>
          </rPr>
          <t>Gastos:</t>
        </r>
        <r>
          <rPr>
            <sz val="9"/>
            <color indexed="81"/>
            <rFont val="Tahoma"/>
            <charset val="1"/>
          </rPr>
          <t xml:space="preserve">
- papa
-faltante daviplata</t>
        </r>
      </text>
    </comment>
    <comment ref="AM21" authorId="1" shapeId="0">
      <text>
        <r>
          <rPr>
            <b/>
            <sz val="9"/>
            <color indexed="81"/>
            <rFont val="Tahoma"/>
            <charset val="1"/>
          </rPr>
          <t xml:space="preserve">Gastos_
- </t>
        </r>
        <r>
          <rPr>
            <sz val="9"/>
            <color indexed="81"/>
            <rFont val="Tahoma"/>
            <family val="2"/>
          </rPr>
          <t>aguacate
- cubirtos 120 o 130
-  Transportes
- Aparato para TV</t>
        </r>
      </text>
    </comment>
    <comment ref="AA22" authorId="0" shapeId="0">
      <text>
        <r>
          <rPr>
            <b/>
            <sz val="9"/>
            <color indexed="81"/>
            <rFont val="Tahoma"/>
            <family val="2"/>
          </rPr>
          <t xml:space="preserve">Retiros:
 </t>
        </r>
        <r>
          <rPr>
            <sz val="9"/>
            <color indexed="81"/>
            <rFont val="Tahoma"/>
            <family val="2"/>
          </rPr>
          <t>- Pago Prestamo JG</t>
        </r>
      </text>
    </comment>
    <comment ref="I25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20,000 no se desconto el martes
7,900 se autoriza descontar</t>
        </r>
      </text>
    </comment>
    <comment ref="AO27" authorId="1" shapeId="0">
      <text>
        <r>
          <rPr>
            <b/>
            <sz val="9"/>
            <color indexed="81"/>
            <rFont val="Tahoma"/>
            <charset val="1"/>
          </rPr>
          <t>Saldo:</t>
        </r>
        <r>
          <rPr>
            <sz val="9"/>
            <color indexed="81"/>
            <rFont val="Tahoma"/>
            <charset val="1"/>
          </rPr>
          <t xml:space="preserve">
Transportes</t>
        </r>
      </text>
    </comment>
    <comment ref="AE30" authorId="0" shapeId="0">
      <text>
        <r>
          <rPr>
            <b/>
            <sz val="9"/>
            <color indexed="81"/>
            <rFont val="Tahoma"/>
            <family val="2"/>
          </rPr>
          <t>Consignación Daviplata
de 90,000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0" authorId="0" shapeId="0">
      <text>
        <r>
          <rPr>
            <b/>
            <sz val="9"/>
            <color indexed="81"/>
            <rFont val="Tahoma"/>
            <family val="2"/>
          </rPr>
          <t>Menos descuento de hamburguesa</t>
        </r>
      </text>
    </comment>
    <comment ref="AE31" authorId="0" shapeId="0">
      <text>
        <r>
          <rPr>
            <b/>
            <sz val="9"/>
            <color indexed="81"/>
            <rFont val="Tahoma"/>
            <family val="2"/>
          </rPr>
          <t>Consignación Daviplata
de 90,000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6" authorId="0" shapeId="0">
      <text>
        <r>
          <rPr>
            <b/>
            <sz val="9"/>
            <color indexed="81"/>
            <rFont val="Tahoma"/>
            <family val="2"/>
          </rPr>
          <t>Gas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>
  <authors>
    <author>PC</author>
  </authors>
  <commentList>
    <comment ref="E6" authorId="0" shapeId="0">
      <text>
        <r>
          <rPr>
            <b/>
            <sz val="9"/>
            <color indexed="81"/>
            <rFont val="Tahoma"/>
            <charset val="1"/>
          </rPr>
          <t xml:space="preserve">Gastos_
- </t>
        </r>
        <r>
          <rPr>
            <sz val="9"/>
            <color indexed="81"/>
            <rFont val="Tahoma"/>
            <family val="2"/>
          </rPr>
          <t>aguacate
- cubirtos 120 o 130
-  Transportes
- Aparato para TV</t>
        </r>
      </text>
    </comment>
  </commentList>
</comments>
</file>

<file path=xl/comments4.xml><?xml version="1.0" encoding="utf-8"?>
<comments xmlns="http://schemas.openxmlformats.org/spreadsheetml/2006/main">
  <authors>
    <author>PC</author>
  </authors>
  <commentList>
    <comment ref="H61" authorId="0" shapeId="0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  <comment ref="H66" authorId="0" shapeId="0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</commentList>
</comments>
</file>

<file path=xl/comments5.xml><?xml version="1.0" encoding="utf-8"?>
<comments xmlns="http://schemas.openxmlformats.org/spreadsheetml/2006/main">
  <authors>
    <author>PC</author>
  </authors>
  <commentList>
    <comment ref="B13" authorId="0" shapeId="0">
      <text>
        <r>
          <rPr>
            <b/>
            <sz val="9"/>
            <color indexed="81"/>
            <rFont val="Tahoma"/>
            <charset val="1"/>
          </rPr>
          <t>Rad:</t>
        </r>
        <r>
          <rPr>
            <sz val="9"/>
            <color indexed="81"/>
            <rFont val="Tahoma"/>
            <charset val="1"/>
          </rPr>
          <t xml:space="preserve">
5927016</t>
        </r>
      </text>
    </comment>
  </commentList>
</comments>
</file>

<file path=xl/comments6.xml><?xml version="1.0" encoding="utf-8"?>
<comments xmlns="http://schemas.openxmlformats.org/spreadsheetml/2006/main">
  <authors>
    <author>PC</author>
  </authors>
  <commentList>
    <comment ref="D9" authorId="0" shapeId="0">
      <text>
        <r>
          <rPr>
            <b/>
            <sz val="9"/>
            <color indexed="81"/>
            <rFont val="Tahoma"/>
            <family val="2"/>
          </rPr>
          <t>Bug:</t>
        </r>
        <r>
          <rPr>
            <sz val="9"/>
            <color indexed="81"/>
            <rFont val="Tahoma"/>
            <family val="2"/>
          </rPr>
          <t xml:space="preserve">
- El Software no identifica la entrada de nequ i(consignaciones)</t>
        </r>
      </text>
    </comment>
  </commentList>
</comments>
</file>

<file path=xl/comments7.xml><?xml version="1.0" encoding="utf-8"?>
<comments xmlns="http://schemas.openxmlformats.org/spreadsheetml/2006/main">
  <authors>
    <author>PC</author>
  </authors>
  <commentList>
    <comment ref="J1" authorId="0" shapeId="0">
      <text>
        <r>
          <rPr>
            <b/>
            <sz val="9"/>
            <color indexed="81"/>
            <rFont val="Tahoma"/>
            <family val="2"/>
          </rPr>
          <t xml:space="preserve">base 7 de marzo
</t>
        </r>
      </text>
    </comment>
  </commentList>
</comments>
</file>

<file path=xl/connections.xml><?xml version="1.0" encoding="utf-8"?>
<connections xmlns="http://schemas.openxmlformats.org/spreadsheetml/2006/main">
  <connection id="1" keepAlive="1" name="Consulta - AuthToken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keepAlive="1" name="Consulta - AuthToken (2)" description="Conexión a la consulta 'AuthToken (2)' en el libro." type="5" refreshedVersion="0" background="1">
    <dbPr connection="Provider=Microsoft.Mashup.OleDb.1;Data Source=$Workbook$;Location=&quot;AuthToken (2)&quot;;Extended Properties=&quot;&quot;" command="SELECT * FROM [AuthToken (2)]"/>
  </connection>
  <connection id="3" keepAlive="1" name="Consulta - AuthToken (3)" description="Conexión a la consulta 'AuthToken (3)' en el libro." type="5" refreshedVersion="0" background="1">
    <dbPr connection="Provider=Microsoft.Mashup.OleDb.1;Data Source=$Workbook$;Location=&quot;AuthToken (3)&quot;;Extended Properties=&quot;&quot;" command="SELECT * FROM [AuthToken (3)]"/>
  </connection>
  <connection id="4" keepAlive="1" name="Consulta - AuthToken (4)" description="Conexión a la consulta 'AuthToken (4)' en el libro." type="5" refreshedVersion="0" background="1">
    <dbPr connection="Provider=Microsoft.Mashup.OleDb.1;Data Source=$Workbook$;Location=&quot;AuthToken (4)&quot;;Extended Properties=&quot;&quot;" command="SELECT * FROM [AuthToken (4)]"/>
  </connection>
  <connection id="5" keepAlive="1" name="Consulta - AuthToken (5)" description="Conexión a la consulta 'AuthToken (5)' en el libro." type="5" refreshedVersion="0" background="1">
    <dbPr connection="Provider=Microsoft.Mashup.OleDb.1;Data Source=$Workbook$;Location=&quot;AuthToken (5)&quot;;Extended Properties=&quot;&quot;" command="SELECT * FROM [AuthToken (5)]"/>
  </connection>
  <connection id="6" keepAlive="1" name="Consulta - AuthToken (6)" description="Conexión a la consulta 'AuthToken (6)' en el libro." type="5" refreshedVersion="0" background="1">
    <dbPr connection="Provider=Microsoft.Mashup.OleDb.1;Data Source=$Workbook$;Location=&quot;AuthToken (6)&quot;;Extended Properties=&quot;&quot;" command="SELECT * FROM [AuthToken (6)]"/>
  </connection>
  <connection id="7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45f8b6f9-5c99-4568-ba9d-775c1e062c0d">
          <x15:oledbPr connection="Provider=Microsoft.Mashup.OleDb.1;Data Source=$Workbook$;Location=items;Extended Properties=&quot;&quot;">
            <x15:dbTables>
              <x15:dbTable name="items"/>
            </x15:dbTables>
          </x15:oledbPr>
        </x15:connection>
      </ext>
    </extLst>
  </connection>
  <connection id="8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de6d9d51-cdc0-4e78-ba50-7df5e72f7e74">
          <x15:oledbPr connection="Provider=Microsoft.Mashup.OleDb.1;Data Source=$Workbook$;Location=productos;Extended Properties=&quot;&quot;">
            <x15:dbTables>
              <x15:dbTable name="productos"/>
            </x15:dbTables>
          </x15:oledbPr>
        </x15:connection>
      </ext>
    </extLst>
  </connection>
  <connection id="9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ef4be532-f063-494d-9d6e-1dfc7bbfc3ed">
          <x15:oledbPr connection="Provider=Microsoft.Mashup.OleDb.1;Data Source=$Workbook$;Location=transacciones;Extended Properties=&quot;&quot;">
            <x15:dbTables>
              <x15:dbTable name="transacciones"/>
            </x15:dbTables>
          </x15:oledbPr>
        </x15:connection>
      </ext>
    </extLst>
  </connection>
  <connection id="10" name="Consulta - transacciones (2)" description="Conexión a la consulta 'transacciones (2)' en el libro." type="100" refreshedVersion="8" minRefreshableVersion="5">
    <extLst>
      <ext xmlns:x15="http://schemas.microsoft.com/office/spreadsheetml/2010/11/main" uri="{DE250136-89BD-433C-8126-D09CA5730AF9}">
        <x15:connection id="794e7a30-9525-4efd-987c-25288dbd7a7f">
          <x15:oledbPr connection="Provider=Microsoft.Mashup.OleDb.1;Data Source=$Workbook$;Location=&quot;transacciones (2)&quot;;Extended Properties=&quot;&quot;">
            <x15:dbTables>
              <x15:dbTable name="transacciones (2)"/>
            </x15:dbTables>
          </x15:oledbPr>
        </x15:connection>
      </ext>
    </extLst>
  </connection>
  <connection id="11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12" keepAlive="1" name="Consulta - url (2)" description="Conexión a la consulta 'url (2)' en el libro." type="5" refreshedVersion="0" background="1">
    <dbPr connection="Provider=Microsoft.Mashup.OleDb.1;Data Source=$Workbook$;Location=&quot;url (2)&quot;;Extended Properties=&quot;&quot;" command="SELECT * FROM [url (2)]"/>
  </connection>
  <connection id="13" keepAlive="1" name="Consulta - url (3)" description="Conexión a la consulta 'url (3)' en el libro." type="5" refreshedVersion="0" background="1">
    <dbPr connection="Provider=Microsoft.Mashup.OleDb.1;Data Source=$Workbook$;Location=&quot;url (3)&quot;;Extended Properties=&quot;&quot;" command="SELECT * FROM [url (3)]"/>
  </connection>
  <connection id="14" keepAlive="1" name="Consulta - url (4)" description="Conexión a la consulta 'url (4)' en el libro." type="5" refreshedVersion="0" background="1">
    <dbPr connection="Provider=Microsoft.Mashup.OleDb.1;Data Source=$Workbook$;Location=&quot;url (4)&quot;;Extended Properties=&quot;&quot;" command="SELECT * FROM [url (4)]"/>
  </connection>
  <connection id="15" keepAlive="1" name="Consulta - url (5)" description="Conexión a la consulta 'url (5)' en el libro." type="5" refreshedVersion="0" background="1">
    <dbPr connection="Provider=Microsoft.Mashup.OleDb.1;Data Source=$Workbook$;Location=&quot;url (5)&quot;;Extended Properties=&quot;&quot;" command="SELECT * FROM [url (5)]"/>
  </connection>
  <connection id="16" keepAlive="1" name="Consulta - url (6)" description="Conexión a la consulta 'url (6)' en el libro." type="5" refreshedVersion="0" background="1">
    <dbPr connection="Provider=Microsoft.Mashup.OleDb.1;Data Source=$Workbook$;Location=&quot;url (6)&quot;;Extended Properties=&quot;&quot;" command="SELECT * FROM [url (6)]"/>
  </connection>
  <connection id="17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4d8f795f-e836-467c-bbf6-a3e3a99503f9">
          <x15:oledbPr connection="Provider=Microsoft.Mashup.OleDb.1;Data Source=$Workbook$;Location=usuarios;Extended Properties=&quot;&quot;">
            <x15:dbTables>
              <x15:dbTable name="usuarios"/>
            </x15:dbTables>
          </x15:oledbPr>
        </x15:connection>
      </ext>
    </extLst>
  </connection>
  <connection id="18" name="Consulta - usuarios (2)" description="Conexión a la consulta 'usuarios (2)' en el libro." type="100" refreshedVersion="8" minRefreshableVersion="5">
    <extLst>
      <ext xmlns:x15="http://schemas.microsoft.com/office/spreadsheetml/2010/11/main" uri="{DE250136-89BD-433C-8126-D09CA5730AF9}">
        <x15:connection id="d696fd47-af21-48f0-9169-a9a8711c9f2a">
          <x15:oledbPr connection="Provider=Microsoft.Mashup.OleDb.1;Data Source=$Workbook$;Location=&quot;usuarios (2)&quot;;Extended Properties=&quot;&quot;">
            <x15:dbTables>
              <x15:dbTable name="usuarios (2)"/>
            </x15:dbTables>
          </x15:oledbPr>
        </x15:connection>
      </ext>
    </extLst>
  </connection>
  <connection id="19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transacciones].[nombre_transaccion].&amp;[VENTA]}"/>
    <s v="{[transacciones].[tipo_cuenta].&amp;[EFECTIVO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<sst xmlns="http://schemas.openxmlformats.org/spreadsheetml/2006/main" count="1035" uniqueCount="424">
  <si>
    <t xml:space="preserve"> </t>
  </si>
  <si>
    <t>Responsable</t>
  </si>
  <si>
    <t>Edwin</t>
  </si>
  <si>
    <t>Consepto</t>
  </si>
  <si>
    <t>Certi. Tradición y libertad</t>
  </si>
  <si>
    <t>fecha</t>
  </si>
  <si>
    <t>valor</t>
  </si>
  <si>
    <t>tipo</t>
  </si>
  <si>
    <t>Gasto</t>
  </si>
  <si>
    <t>Patrimonio</t>
  </si>
  <si>
    <t>José Gustavo</t>
  </si>
  <si>
    <t>Arriendo - 16feb-15mar</t>
  </si>
  <si>
    <t>Varios</t>
  </si>
  <si>
    <t>Curso Invima - INVIMA</t>
  </si>
  <si>
    <t>Mesas y sillas</t>
  </si>
  <si>
    <t>Proveedor</t>
  </si>
  <si>
    <t>Candados</t>
  </si>
  <si>
    <t>Giro a nequi</t>
  </si>
  <si>
    <t>Acarreo "Chorizos"</t>
  </si>
  <si>
    <t xml:space="preserve">Fabiola Parra </t>
  </si>
  <si>
    <t>nit 39,804,494-8</t>
  </si>
  <si>
    <t>Parrilla para segundo Negocio</t>
  </si>
  <si>
    <t>Comercializadora Las Brumas</t>
  </si>
  <si>
    <t>Libardo Ospina</t>
  </si>
  <si>
    <t>Costo</t>
  </si>
  <si>
    <t>Extractores de la 19</t>
  </si>
  <si>
    <t>La av 19</t>
  </si>
  <si>
    <t>Fontanar</t>
  </si>
  <si>
    <t>Ktronix</t>
  </si>
  <si>
    <t>TV y Parlantes</t>
  </si>
  <si>
    <t>Sistma POS</t>
  </si>
  <si>
    <t>Aviso -choriboni</t>
  </si>
  <si>
    <t>2 canecas + charon</t>
  </si>
  <si>
    <t>Licuadora + colador n acero</t>
  </si>
  <si>
    <t>Etiquetas de fila</t>
  </si>
  <si>
    <t>Total general</t>
  </si>
  <si>
    <t>Suma de valor</t>
  </si>
  <si>
    <t>Equipo</t>
  </si>
  <si>
    <t>Nevera y Vitrina</t>
  </si>
  <si>
    <t>(Todas)</t>
  </si>
  <si>
    <t>Muebles y montajes</t>
  </si>
  <si>
    <t>Parrilla - Chepes</t>
  </si>
  <si>
    <t>Dussan</t>
  </si>
  <si>
    <t>Tabla de Picar</t>
  </si>
  <si>
    <t>Canastas de aseo º Redeban</t>
  </si>
  <si>
    <t>José Gustavo -</t>
  </si>
  <si>
    <t>Utencilios</t>
  </si>
  <si>
    <t>Bascula electrónica verde</t>
  </si>
  <si>
    <t>Despostador</t>
  </si>
  <si>
    <t>Dirección</t>
  </si>
  <si>
    <t>Teléfono</t>
  </si>
  <si>
    <t>Cra 10#22 -10 sur - local 3</t>
  </si>
  <si>
    <t>Descripción</t>
  </si>
  <si>
    <t>Sierras de corte, empacadoras al vació-embutidoras, tajadoras, cutters</t>
  </si>
  <si>
    <t>Muebles y Enseres CHEPE</t>
  </si>
  <si>
    <t>Cr10 # 17 -69 sur</t>
  </si>
  <si>
    <t>2398504 -311 212 4856</t>
  </si>
  <si>
    <t>Campana con extractor a mujer bonita</t>
  </si>
  <si>
    <t>Compra y Venta D.C.</t>
  </si>
  <si>
    <t xml:space="preserve">Cr10#18 -41 sur </t>
  </si>
  <si>
    <t>3204482491 -3124504414</t>
  </si>
  <si>
    <t>Compra y Venta El Dorado</t>
  </si>
  <si>
    <t>Cr10 # 22A -52 sur</t>
  </si>
  <si>
    <t>Neveras y vitrinas</t>
  </si>
  <si>
    <t>Canastas , cuchillos , piedra y pinzas</t>
  </si>
  <si>
    <t>Instalación de gas - contador</t>
  </si>
  <si>
    <t>LICICOL</t>
  </si>
  <si>
    <t>CR 27 10 -98</t>
  </si>
  <si>
    <t>id</t>
  </si>
  <si>
    <t>Maquina</t>
  </si>
  <si>
    <t>Cr 10#23-43 sur</t>
  </si>
  <si>
    <t>2 Grameras</t>
  </si>
  <si>
    <t>El Cubo</t>
  </si>
  <si>
    <t>Cr 10 Sur # 18 -90</t>
  </si>
  <si>
    <t>302 722 2323</t>
  </si>
  <si>
    <t>Maquinaria cárnica NUEVA</t>
  </si>
  <si>
    <t>Tablas, licuaduras, menaje para restaurante</t>
  </si>
  <si>
    <t>Maquinaria principal complementarea</t>
  </si>
  <si>
    <t>Maquinaria pesada</t>
  </si>
  <si>
    <t>Maquinaria pesada y complementaria</t>
  </si>
  <si>
    <t>RICAURTE</t>
  </si>
  <si>
    <t>Canastas, cuchillo, pinza, colador y otros</t>
  </si>
  <si>
    <t>Inversión - Local</t>
  </si>
  <si>
    <t>Acarreos</t>
  </si>
  <si>
    <t>FERRETERIA</t>
  </si>
  <si>
    <t>ENTRADA DE INVENTARIO</t>
  </si>
  <si>
    <t>Estudio del contrato del arriendo</t>
  </si>
  <si>
    <t>ASEO</t>
  </si>
  <si>
    <t>Pintura + otros</t>
  </si>
  <si>
    <t>MO</t>
  </si>
  <si>
    <t>Ducto, adecuaciòn campana y otros</t>
  </si>
  <si>
    <t>Don Oscar</t>
  </si>
  <si>
    <t>Espejo e instalación</t>
  </si>
  <si>
    <t>Mantenimiento Pistones</t>
  </si>
  <si>
    <t>Caldero, colador y Bolsas</t>
  </si>
  <si>
    <t>Gasto - Local</t>
  </si>
  <si>
    <t>Inversión - Invima</t>
  </si>
  <si>
    <t>Cámara de Comercio 2026</t>
  </si>
  <si>
    <t>Pintura de reja y plomeria</t>
  </si>
  <si>
    <t>2 dias</t>
  </si>
  <si>
    <t>Suma de valor2</t>
  </si>
  <si>
    <t>Maquinaria y Equipo</t>
  </si>
  <si>
    <t>Simcard</t>
  </si>
  <si>
    <t>Cerdo, costilla</t>
  </si>
  <si>
    <t>Surticentro, aceites, ingredientes.</t>
  </si>
  <si>
    <t>Distrielectrics - Enchufe</t>
  </si>
  <si>
    <t>Platicos, cubiertos, tenedores, plasticos</t>
  </si>
  <si>
    <t>Distrogaseora</t>
  </si>
  <si>
    <t>papa 2 bultos de papa</t>
  </si>
  <si>
    <t>estufa</t>
  </si>
  <si>
    <t>mes: 1600</t>
  </si>
  <si>
    <t>meson cuadrado</t>
  </si>
  <si>
    <t>Software</t>
  </si>
  <si>
    <t>Cáma de Vigilencia interna</t>
  </si>
  <si>
    <t>15 paquetes de arepa (10 arepas)</t>
  </si>
  <si>
    <t>Pila del control</t>
  </si>
  <si>
    <t>Trapero</t>
  </si>
  <si>
    <t>Carne de Cerdo para hamburguesa (</t>
  </si>
  <si>
    <t>Carne de Res para hamburguesa</t>
  </si>
  <si>
    <t>Aluminio, portacomida, palillos</t>
  </si>
  <si>
    <t>Pan de hamburguesa (12 panes)</t>
  </si>
  <si>
    <t>Coca Cola</t>
  </si>
  <si>
    <t>Agua</t>
  </si>
  <si>
    <t>Postobon</t>
  </si>
  <si>
    <t>Embalajes</t>
  </si>
  <si>
    <t>Precio embalaje</t>
  </si>
  <si>
    <t>Hit</t>
  </si>
  <si>
    <t>Total</t>
  </si>
  <si>
    <t>Subtotal</t>
  </si>
  <si>
    <t>Und</t>
  </si>
  <si>
    <t>Cubiertos, jarra, vjilla, jarra</t>
  </si>
  <si>
    <t>Porcinos Chìa DC SAS</t>
  </si>
  <si>
    <t>Cll 15  No. 9 -22 centro</t>
  </si>
  <si>
    <t>Dispositivo Internet</t>
  </si>
  <si>
    <t>Homecenter</t>
  </si>
  <si>
    <t>SalsamentareA</t>
  </si>
  <si>
    <t>valor billete</t>
  </si>
  <si>
    <t>Q</t>
  </si>
  <si>
    <t>Venta</t>
  </si>
  <si>
    <t>Base</t>
  </si>
  <si>
    <t>Gastos</t>
  </si>
  <si>
    <t>Darwin Casallas</t>
  </si>
  <si>
    <t>Nequi</t>
  </si>
  <si>
    <t>Papá</t>
  </si>
  <si>
    <t>322 381 0697</t>
  </si>
  <si>
    <t>Claudia Arevalo</t>
  </si>
  <si>
    <t>ND</t>
  </si>
  <si>
    <t>DaviPlata</t>
  </si>
  <si>
    <t>Juan Heredia</t>
  </si>
  <si>
    <t>Ori****Rod*****Ma</t>
  </si>
  <si>
    <t>María Torres</t>
  </si>
  <si>
    <t>Jeisson Gutierrez</t>
  </si>
  <si>
    <t>Lucelyz Pelaez</t>
  </si>
  <si>
    <t>Diana Carolina Colorado Penagos</t>
  </si>
  <si>
    <t>telefono</t>
  </si>
  <si>
    <t>nombre_cliente</t>
  </si>
  <si>
    <t>cuenta</t>
  </si>
  <si>
    <t>hora</t>
  </si>
  <si>
    <t>Ok</t>
  </si>
  <si>
    <t>Un cliente pago 3,000 en nequi y 5000 en efectivo</t>
  </si>
  <si>
    <t>Nota crédito</t>
  </si>
  <si>
    <t>Un cliente pago 6,500 en nequi y 1500 en efectivo</t>
  </si>
  <si>
    <t>Nota debito</t>
  </si>
  <si>
    <t>saldo</t>
  </si>
  <si>
    <t>lunes</t>
  </si>
  <si>
    <t>martes</t>
  </si>
  <si>
    <t>miercoles</t>
  </si>
  <si>
    <t>jueves</t>
  </si>
  <si>
    <t>Extracto</t>
  </si>
  <si>
    <t>Suma de entrada</t>
  </si>
  <si>
    <t>Etiquetas de columna</t>
  </si>
  <si>
    <t>Suma de egreso</t>
  </si>
  <si>
    <t>EFECTIVO</t>
  </si>
  <si>
    <t>NEQUI</t>
  </si>
  <si>
    <t>BASE</t>
  </si>
  <si>
    <t>VENTA</t>
  </si>
  <si>
    <t>GASTO</t>
  </si>
  <si>
    <t>RETIRO</t>
  </si>
  <si>
    <t>23-feb</t>
  </si>
  <si>
    <t>24-feb</t>
  </si>
  <si>
    <t>25-feb</t>
  </si>
  <si>
    <t>26-feb</t>
  </si>
  <si>
    <t>nombre_transaccion</t>
  </si>
  <si>
    <t>tipo_cuenta</t>
  </si>
  <si>
    <t>fecha (día)</t>
  </si>
  <si>
    <t>nombre_producto</t>
  </si>
  <si>
    <t>precio_producto</t>
  </si>
  <si>
    <t>cantidad</t>
  </si>
  <si>
    <t>Recuento de id_item</t>
  </si>
  <si>
    <t>Valor factura</t>
  </si>
  <si>
    <t>Valor venta en efectivo</t>
  </si>
  <si>
    <t>Chorizo</t>
  </si>
  <si>
    <t>Coca cola</t>
  </si>
  <si>
    <t>Chori- CRUDO</t>
  </si>
  <si>
    <t>parri tres carnes</t>
  </si>
  <si>
    <t>viernes</t>
  </si>
  <si>
    <t xml:space="preserve">prestamo a jose </t>
  </si>
  <si>
    <t>Diferencia</t>
  </si>
  <si>
    <t>David Aparicio</t>
  </si>
  <si>
    <t>Natalia Bolivar</t>
  </si>
  <si>
    <t>Carlos Gonzalez</t>
  </si>
  <si>
    <t xml:space="preserve">Software </t>
  </si>
  <si>
    <t>Base prestamo José</t>
  </si>
  <si>
    <t>sábado</t>
  </si>
  <si>
    <t>Caja Menor</t>
  </si>
  <si>
    <t>devolución a Nequi</t>
  </si>
  <si>
    <t>Pago de nequi pendiente</t>
  </si>
  <si>
    <t>Valor a favor de Gustavo</t>
  </si>
  <si>
    <t>Consignación a Edwin</t>
  </si>
  <si>
    <t>Mel**** ***Alb Vil***</t>
  </si>
  <si>
    <t>María Barrios</t>
  </si>
  <si>
    <t>Retiro efectivo de la semana</t>
  </si>
  <si>
    <t>315 826 7681</t>
  </si>
  <si>
    <t>321 923 1130</t>
  </si>
  <si>
    <t>Breb-B</t>
  </si>
  <si>
    <t>Error</t>
  </si>
  <si>
    <t>Consignación</t>
  </si>
  <si>
    <t>Prestamo consepto aguacate</t>
  </si>
  <si>
    <t>Valor</t>
  </si>
  <si>
    <t>Hamburguesa: Carne de res, cerdo, ingredientes</t>
  </si>
  <si>
    <t>Publicidad</t>
  </si>
  <si>
    <t>Pago factura del cerdo</t>
  </si>
  <si>
    <t>fact</t>
  </si>
  <si>
    <t>Sopor.</t>
  </si>
  <si>
    <t>Nd-Nc</t>
  </si>
  <si>
    <t>Transferencia interbancos</t>
  </si>
  <si>
    <t>José Isidro Pinzòn Corredor</t>
  </si>
  <si>
    <t>Pago Cerdo para cervicios</t>
  </si>
  <si>
    <t>utencilios, platos, delalntal chia</t>
  </si>
  <si>
    <t xml:space="preserve"> - VARIOS - D1 CHÍA</t>
  </si>
  <si>
    <t>nomina mayerli</t>
  </si>
  <si>
    <t>8*12</t>
  </si>
  <si>
    <t>L21</t>
  </si>
  <si>
    <t>emp. Metalico</t>
  </si>
  <si>
    <t>emp. Bolsa plastica</t>
  </si>
  <si>
    <t>huevos</t>
  </si>
  <si>
    <t>regillas para la losa</t>
  </si>
  <si>
    <t>Filete y pierna de pechuga</t>
  </si>
  <si>
    <t>Districarnes</t>
  </si>
  <si>
    <t>Pago prestamo</t>
  </si>
  <si>
    <t>jabón liquido</t>
  </si>
  <si>
    <t>Cerdo para servicios</t>
  </si>
  <si>
    <t>Propina a Gustavo</t>
  </si>
  <si>
    <t>Coca- Cola</t>
  </si>
  <si>
    <t>imprimir informe</t>
  </si>
  <si>
    <t>se abre multiples ventanas</t>
  </si>
  <si>
    <t>pago parcial no se permite entre nequi y efectivo</t>
  </si>
  <si>
    <t>picadas, no hay manera de digitar picadas</t>
  </si>
  <si>
    <t>el visor no es muy pràctico</t>
  </si>
  <si>
    <t>Transferencia</t>
  </si>
  <si>
    <t>Arepas Guerrero</t>
  </si>
  <si>
    <t>311 206 1929
6800858-6850461</t>
  </si>
  <si>
    <t>Cerdo</t>
  </si>
  <si>
    <t>Cll 135 No 94C 15, Suba - Bogotá</t>
  </si>
  <si>
    <t>no hay ruta rapida de chorizo</t>
  </si>
  <si>
    <t>correir informaciòn del inventario</t>
  </si>
  <si>
    <t>320 595 6611</t>
  </si>
  <si>
    <t>Productos de aseo y desengrasante</t>
  </si>
  <si>
    <t>Sergio Alarcón</t>
  </si>
  <si>
    <t>Willian Gutierrez</t>
  </si>
  <si>
    <t>Recarga desde Bancolomba</t>
  </si>
  <si>
    <t>Gre***Leo***Cor**</t>
  </si>
  <si>
    <t>Edu***loz***Boh**</t>
  </si>
  <si>
    <t>Manuel Fernando Ramirez</t>
  </si>
  <si>
    <t>Leidy Camacho</t>
  </si>
  <si>
    <t>Diego Tijaro</t>
  </si>
  <si>
    <t>Miguel Rodriguez</t>
  </si>
  <si>
    <t>Henry Aguirre</t>
  </si>
  <si>
    <t>Adriana Pinto</t>
  </si>
  <si>
    <t>PENDIENTE</t>
  </si>
  <si>
    <t>Nomina</t>
  </si>
  <si>
    <t>Inventario</t>
  </si>
  <si>
    <t>10 un/paquete de arepa</t>
  </si>
  <si>
    <t>papa</t>
  </si>
  <si>
    <t>Platano, cebolla, cilantro</t>
  </si>
  <si>
    <t>Café</t>
  </si>
  <si>
    <t>un</t>
  </si>
  <si>
    <t>Precio</t>
  </si>
  <si>
    <t>efectivo</t>
  </si>
  <si>
    <t>nequi</t>
  </si>
  <si>
    <t>Efectivo</t>
  </si>
  <si>
    <t>Bancos</t>
  </si>
  <si>
    <t>Cuenta</t>
  </si>
  <si>
    <t>40 carne +gaseosa</t>
  </si>
  <si>
    <t xml:space="preserve"> +3 chorixp y jugo</t>
  </si>
  <si>
    <t>Parrillada</t>
  </si>
  <si>
    <t>chorizo y jugo</t>
  </si>
  <si>
    <t>carne jenesano</t>
  </si>
  <si>
    <t>2 chorizps y hit</t>
  </si>
  <si>
    <t xml:space="preserve">taxi </t>
  </si>
  <si>
    <t>Carne de cerdo -6 libras</t>
  </si>
  <si>
    <t>Carne de res - porciones</t>
  </si>
  <si>
    <t>parrilla</t>
  </si>
  <si>
    <t>mesas</t>
  </si>
  <si>
    <t>Campana</t>
  </si>
  <si>
    <t>motor</t>
  </si>
  <si>
    <t>dispositivo wifi</t>
  </si>
  <si>
    <t>chorizo</t>
  </si>
  <si>
    <t>favor</t>
  </si>
  <si>
    <t>pago</t>
  </si>
  <si>
    <t>saldo a favor</t>
  </si>
  <si>
    <t>8 de marzo</t>
  </si>
  <si>
    <t>Detalle</t>
  </si>
  <si>
    <t>Botón de emergencia</t>
  </si>
  <si>
    <t>HU38</t>
  </si>
  <si>
    <t>Como usuario general requiero abrir la caja para ágilizar el proceso de devolución de vueltas</t>
  </si>
  <si>
    <t>Backlog</t>
  </si>
  <si>
    <t>Done</t>
  </si>
  <si>
    <t>BU001</t>
  </si>
  <si>
    <t>El título de la sección de efectivo no corresponde: "Registro Base" ---&gt; "Registro de entradas y retiros de efectivo"</t>
  </si>
  <si>
    <t>Retiros</t>
  </si>
  <si>
    <t>Chorizo y papa o arepa</t>
  </si>
  <si>
    <t>papa francesa</t>
  </si>
  <si>
    <t>hamburguesa</t>
  </si>
  <si>
    <t>Carnes</t>
  </si>
  <si>
    <t>Empaques</t>
  </si>
  <si>
    <t>322 460 2946</t>
  </si>
  <si>
    <t>3 dias</t>
  </si>
  <si>
    <t>Yeimmerson Velandia</t>
  </si>
  <si>
    <t>Papá del 7 de marzo</t>
  </si>
  <si>
    <t>7 kilometros</t>
  </si>
  <si>
    <t>sin membresia</t>
  </si>
  <si>
    <t>Laura Manzera</t>
  </si>
  <si>
    <t>hay un descuento</t>
  </si>
  <si>
    <t>23% comisiòn</t>
  </si>
  <si>
    <t>primer mes</t>
  </si>
  <si>
    <t>pm</t>
  </si>
  <si>
    <t>dar de baja con 90 dias</t>
  </si>
  <si>
    <t>16 al 22</t>
  </si>
  <si>
    <t>Edison Valbuena - Gaseosa</t>
  </si>
  <si>
    <t>Caja Menor JG</t>
  </si>
  <si>
    <t>Caja Menor EA</t>
  </si>
  <si>
    <t>Sandra Patricia</t>
  </si>
  <si>
    <t>314 433 7558</t>
  </si>
  <si>
    <t>El título de la sección no corresponde</t>
  </si>
  <si>
    <t>Nombre commit</t>
  </si>
  <si>
    <t>BU002</t>
  </si>
  <si>
    <t>Se agrega botón "Abrir Caja", se mejora el dashboard de "Transacciones" para facilitar la consistencia de los datos"</t>
  </si>
  <si>
    <t>BU002: "Usabilidad y consistecia de la información"</t>
  </si>
  <si>
    <t>BU003</t>
  </si>
  <si>
    <t>Se mejora la ordenación del orden de las facturar para validarlas mejor, se agrega el botón "Abrir Caja" en la sección de factura, y se omite desde dashboard para facilitar la seguridad del sistema.</t>
  </si>
  <si>
    <t>BU003: "Usabilidad para el cajero y seguridad"</t>
  </si>
  <si>
    <t>BU004: "Usabilidad el admon y cajero"</t>
  </si>
  <si>
    <t>Cambiar a item por producto y materia prima.
Cambiar el título de "Entradas" por "MP"  de materias primas</t>
  </si>
  <si>
    <t>BU004</t>
  </si>
  <si>
    <t>BU005</t>
  </si>
  <si>
    <t>Crea un warning que diga "No ha guardado los registros, ¿estas seguro que quiere salir?</t>
  </si>
  <si>
    <t>BU006</t>
  </si>
  <si>
    <t>BU005: "Usabilidad cajero - warning"</t>
  </si>
  <si>
    <t>BU006: "Usabilidad y consistencia de la información"</t>
  </si>
  <si>
    <t>No hay diferencia entre las entradas y salidas el efectivo con los egresos en el dashboard
"ADMON: "Consignación"</t>
  </si>
  <si>
    <t>Código</t>
  </si>
  <si>
    <t>DevOps</t>
  </si>
  <si>
    <t>BRIAN SANTANA</t>
  </si>
  <si>
    <t>Consignaciòn DaviPlata</t>
  </si>
  <si>
    <t>Pago de la gaseosa</t>
  </si>
  <si>
    <t>NEL***HER***LOP</t>
  </si>
  <si>
    <t>ALEX SOCARRAS</t>
  </si>
  <si>
    <t>EDISON PENAGOS</t>
  </si>
  <si>
    <t>KATERINE SIERRA</t>
  </si>
  <si>
    <t>JUAN BERMUDEZ</t>
  </si>
  <si>
    <t>SAN***BEN**ROD</t>
  </si>
  <si>
    <t>MAI***JOS**MAI</t>
  </si>
  <si>
    <t>Gloria Rodriguez</t>
  </si>
  <si>
    <t>Marcelo Cespedes</t>
  </si>
  <si>
    <t>ALI***PAT***GUT</t>
  </si>
  <si>
    <t>FLO***ANG***ITA***OR</t>
  </si>
  <si>
    <t>Nequi y DaviPlata deben estar en filas diferentes</t>
  </si>
  <si>
    <t>00095</t>
  </si>
  <si>
    <t>al finalizar el dia la venta del dia suma el acumulado del dia siguiente para Nequi y Daviplata</t>
  </si>
  <si>
    <t>Contar chorizos para la venta</t>
  </si>
  <si>
    <t>Quitar la opciòn de abrir caja "analizar</t>
  </si>
  <si>
    <t>Backend: opcion activar factura</t>
  </si>
  <si>
    <t>mP</t>
  </si>
  <si>
    <t>Aceite  premium</t>
  </si>
  <si>
    <t>Producido del dia</t>
  </si>
  <si>
    <t>mercado, lechuga, mango…</t>
  </si>
  <si>
    <t>BU007: "Usabilidad y consistencia de la información"</t>
  </si>
  <si>
    <t>BU007</t>
  </si>
  <si>
    <t>JOHN CRISOSTOMO</t>
  </si>
  <si>
    <t>WEN***ALE***PUL</t>
  </si>
  <si>
    <t>JEI***PEN***BEN***</t>
  </si>
  <si>
    <t>Backend: agregar comentarios a factura</t>
  </si>
  <si>
    <t>Pendiente</t>
  </si>
  <si>
    <t>dia_sem</t>
  </si>
  <si>
    <t>000198</t>
  </si>
  <si>
    <t>000202</t>
  </si>
  <si>
    <t>HU39</t>
  </si>
  <si>
    <t>Como cajerio, quiero filtrar el medio de pago de las facturas y egresos para facilizar la conciliación bancaria</t>
  </si>
  <si>
    <t>HU39: Filtrar Medio de pago</t>
  </si>
  <si>
    <t>Nequi_</t>
  </si>
  <si>
    <t>Agregar la categoria "Cuenta por pagar"</t>
  </si>
  <si>
    <t>media carne</t>
  </si>
  <si>
    <t>chorizos</t>
  </si>
  <si>
    <t>carne</t>
  </si>
  <si>
    <t>gaseosa</t>
  </si>
  <si>
    <t>gaseosas</t>
  </si>
  <si>
    <t>chorizo crudos</t>
  </si>
  <si>
    <t>domicilio</t>
  </si>
  <si>
    <t>daviplata</t>
  </si>
  <si>
    <t>chorizos crudos</t>
  </si>
  <si>
    <t>3 chorizos</t>
  </si>
  <si>
    <t>2 para llevar</t>
  </si>
  <si>
    <t>x</t>
  </si>
  <si>
    <t>DaviPLATA</t>
  </si>
  <si>
    <t>JEISON URIBE</t>
  </si>
  <si>
    <t>ANGIE ZUNIGA</t>
  </si>
  <si>
    <t>JUA***PAB***GAL***G</t>
  </si>
  <si>
    <t>LUIS ALBERTO ROMERO CALDERON</t>
  </si>
  <si>
    <t>00217</t>
  </si>
  <si>
    <t>00216</t>
  </si>
  <si>
    <t>00212</t>
  </si>
  <si>
    <t>CXP</t>
  </si>
  <si>
    <t>000196</t>
  </si>
  <si>
    <t>DaviPLATA Acum.</t>
  </si>
  <si>
    <t>NEQUI Acum.</t>
  </si>
  <si>
    <t>CXC</t>
  </si>
  <si>
    <t>Portacomida</t>
  </si>
  <si>
    <t>unidad para domicilio</t>
  </si>
  <si>
    <t>Portacomidas</t>
  </si>
  <si>
    <t>Ferreteria</t>
  </si>
  <si>
    <t>Cubiertos</t>
  </si>
  <si>
    <t>pérdida</t>
  </si>
  <si>
    <t>mercado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</si>
</sst>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_-;\-* #,##0_-;_-* &quot;-&quot;??_-;_-@_-"/>
    <numFmt numFmtId="166" formatCode="#,##0_ ;[Red]\-#,##0\ 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9"/>
      <color indexed="81"/>
      <name val="Tahoma"/>
      <family val="2"/>
    </font>
    <font>
      <sz val="11"/>
      <color rgb="FF006100"/>
      <name val="Calibri"/>
      <family val="2"/>
      <scheme val="minor"/>
    </font>
    <font>
      <sz val="9"/>
      <color indexed="81"/>
      <name val="Tahoma"/>
      <family val="2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CC99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6" fillId="5" borderId="0" applyNumberFormat="0" applyBorder="0" applyAlignment="0" applyProtection="0"/>
    <xf numFmtId="0" fontId="8" fillId="8" borderId="0" applyNumberFormat="0" applyBorder="0" applyAlignment="0" applyProtection="0"/>
    <xf numFmtId="43" fontId="1" fillId="0" borderId="0" applyFont="0" applyFill="0" applyBorder="0" applyAlignment="0" applyProtection="0"/>
  </cellStyleXfs>
  <cellXfs count="105">
    <xf numFmtId="0" fontId="0" fillId="0" borderId="0" xfId="0"/>
    <xf numFmtId="0" fontId="0" fillId="2" borderId="0" xfId="0" applyFill="1"/>
    <xf numFmtId="16" fontId="0" fillId="0" borderId="0" xfId="0" applyNumberFormat="1"/>
    <xf numFmtId="164" fontId="0" fillId="0" borderId="0" xfId="1" applyNumberFormat="1" applyFont="1"/>
    <xf numFmtId="0" fontId="2" fillId="2" borderId="0" xfId="0" applyFont="1" applyFill="1" applyAlignment="1">
      <alignment horizontal="center"/>
    </xf>
    <xf numFmtId="164" fontId="2" fillId="2" borderId="0" xfId="1" applyNumberFormat="1" applyFont="1" applyFill="1" applyAlignment="1">
      <alignment horizontal="center"/>
    </xf>
    <xf numFmtId="164" fontId="1" fillId="0" borderId="0" xfId="1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164" fontId="4" fillId="3" borderId="0" xfId="2" applyNumberFormat="1"/>
    <xf numFmtId="0" fontId="0" fillId="0" borderId="0" xfId="0" pivotButton="1"/>
    <xf numFmtId="0" fontId="0" fillId="0" borderId="0" xfId="0" applyAlignment="1">
      <alignment horizontal="left" indent="1"/>
    </xf>
    <xf numFmtId="164" fontId="0" fillId="0" borderId="0" xfId="0" applyNumberFormat="1"/>
    <xf numFmtId="164" fontId="3" fillId="4" borderId="0" xfId="1" applyNumberFormat="1" applyFont="1" applyFill="1"/>
    <xf numFmtId="16" fontId="0" fillId="2" borderId="0" xfId="0" applyNumberFormat="1" applyFill="1"/>
    <xf numFmtId="164" fontId="0" fillId="2" borderId="0" xfId="1" applyNumberFormat="1" applyFont="1" applyFill="1"/>
    <xf numFmtId="164" fontId="0" fillId="0" borderId="0" xfId="1" applyNumberFormat="1" applyFont="1" applyFill="1"/>
    <xf numFmtId="164" fontId="6" fillId="5" borderId="0" xfId="3" applyNumberFormat="1"/>
    <xf numFmtId="164" fontId="0" fillId="6" borderId="0" xfId="1" applyNumberFormat="1" applyFont="1" applyFill="1"/>
    <xf numFmtId="0" fontId="0" fillId="6" borderId="0" xfId="0" applyFill="1"/>
    <xf numFmtId="16" fontId="0" fillId="6" borderId="0" xfId="0" applyNumberFormat="1" applyFill="1"/>
    <xf numFmtId="0" fontId="2" fillId="0" borderId="0" xfId="0" applyFont="1"/>
    <xf numFmtId="164" fontId="2" fillId="0" borderId="0" xfId="1" applyNumberFormat="1" applyFont="1"/>
    <xf numFmtId="9" fontId="0" fillId="0" borderId="0" xfId="0" applyNumberFormat="1"/>
    <xf numFmtId="0" fontId="0" fillId="0" borderId="0" xfId="1" applyNumberFormat="1" applyFont="1"/>
    <xf numFmtId="0" fontId="0" fillId="4" borderId="0" xfId="0" applyFill="1"/>
    <xf numFmtId="164" fontId="0" fillId="7" borderId="0" xfId="1" applyNumberFormat="1" applyFont="1" applyFill="1"/>
    <xf numFmtId="164" fontId="0" fillId="0" borderId="1" xfId="1" applyNumberFormat="1" applyFont="1" applyBorder="1"/>
    <xf numFmtId="165" fontId="0" fillId="0" borderId="0" xfId="0" applyNumberFormat="1"/>
    <xf numFmtId="164" fontId="8" fillId="8" borderId="0" xfId="4" applyNumberFormat="1"/>
    <xf numFmtId="164" fontId="0" fillId="2" borderId="0" xfId="0" applyNumberFormat="1" applyFill="1"/>
    <xf numFmtId="0" fontId="0" fillId="9" borderId="0" xfId="0" applyFill="1"/>
    <xf numFmtId="0" fontId="0" fillId="10" borderId="0" xfId="0" applyFill="1"/>
    <xf numFmtId="18" fontId="0" fillId="0" borderId="0" xfId="0" applyNumberFormat="1"/>
    <xf numFmtId="18" fontId="0" fillId="2" borderId="0" xfId="0" applyNumberFormat="1" applyFill="1"/>
    <xf numFmtId="0" fontId="9" fillId="11" borderId="0" xfId="0" applyFont="1" applyFill="1"/>
    <xf numFmtId="164" fontId="9" fillId="11" borderId="0" xfId="1" applyNumberFormat="1" applyFont="1" applyFill="1"/>
    <xf numFmtId="14" fontId="0" fillId="0" borderId="0" xfId="0" applyNumberFormat="1" applyAlignment="1">
      <alignment horizontal="left"/>
    </xf>
    <xf numFmtId="166" fontId="0" fillId="0" borderId="0" xfId="0" applyNumberFormat="1"/>
    <xf numFmtId="164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10" fillId="11" borderId="0" xfId="1" applyNumberFormat="1" applyFont="1" applyFill="1" applyAlignment="1">
      <alignment horizontal="center"/>
    </xf>
    <xf numFmtId="0" fontId="10" fillId="11" borderId="0" xfId="0" applyFont="1" applyFill="1" applyAlignment="1">
      <alignment horizontal="center"/>
    </xf>
    <xf numFmtId="16" fontId="11" fillId="6" borderId="0" xfId="0" applyNumberFormat="1" applyFont="1" applyFill="1" applyAlignment="1">
      <alignment horizontal="center"/>
    </xf>
    <xf numFmtId="164" fontId="2" fillId="0" borderId="0" xfId="1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9" fillId="11" borderId="0" xfId="0" applyFont="1" applyFill="1" applyAlignment="1">
      <alignment horizontal="center"/>
    </xf>
    <xf numFmtId="164" fontId="0" fillId="6" borderId="0" xfId="0" applyNumberFormat="1" applyFill="1"/>
    <xf numFmtId="164" fontId="0" fillId="6" borderId="1" xfId="0" applyNumberFormat="1" applyFill="1" applyBorder="1"/>
    <xf numFmtId="164" fontId="0" fillId="6" borderId="1" xfId="1" applyNumberFormat="1" applyFont="1" applyFill="1" applyBorder="1"/>
    <xf numFmtId="0" fontId="2" fillId="12" borderId="2" xfId="0" applyFont="1" applyFill="1" applyBorder="1"/>
    <xf numFmtId="22" fontId="0" fillId="0" borderId="0" xfId="0" applyNumberFormat="1"/>
    <xf numFmtId="16" fontId="2" fillId="0" borderId="0" xfId="0" applyNumberFormat="1" applyFont="1"/>
    <xf numFmtId="164" fontId="0" fillId="13" borderId="0" xfId="1" applyNumberFormat="1" applyFont="1" applyFill="1"/>
    <xf numFmtId="14" fontId="0" fillId="0" borderId="0" xfId="0" applyNumberFormat="1"/>
    <xf numFmtId="164" fontId="2" fillId="6" borderId="0" xfId="1" applyNumberFormat="1" applyFont="1" applyFill="1"/>
    <xf numFmtId="166" fontId="0" fillId="0" borderId="0" xfId="1" applyNumberFormat="1" applyFont="1"/>
    <xf numFmtId="164" fontId="0" fillId="0" borderId="0" xfId="1" applyNumberFormat="1" applyFont="1" applyBorder="1"/>
    <xf numFmtId="166" fontId="9" fillId="11" borderId="0" xfId="1" applyNumberFormat="1" applyFont="1" applyFill="1"/>
    <xf numFmtId="166" fontId="0" fillId="6" borderId="0" xfId="1" applyNumberFormat="1" applyFont="1" applyFill="1"/>
    <xf numFmtId="0" fontId="2" fillId="0" borderId="0" xfId="0" applyFont="1" applyAlignment="1">
      <alignment horizontal="right"/>
    </xf>
    <xf numFmtId="164" fontId="0" fillId="0" borderId="2" xfId="0" applyNumberFormat="1" applyBorder="1"/>
    <xf numFmtId="164" fontId="8" fillId="8" borderId="2" xfId="4" applyNumberFormat="1" applyBorder="1"/>
    <xf numFmtId="164" fontId="12" fillId="6" borderId="0" xfId="0" applyNumberFormat="1" applyFont="1" applyFill="1"/>
    <xf numFmtId="14" fontId="0" fillId="2" borderId="0" xfId="0" applyNumberFormat="1" applyFill="1"/>
    <xf numFmtId="164" fontId="13" fillId="6" borderId="0" xfId="0" applyNumberFormat="1" applyFont="1" applyFill="1"/>
    <xf numFmtId="164" fontId="0" fillId="14" borderId="0" xfId="0" applyNumberFormat="1" applyFill="1"/>
    <xf numFmtId="164" fontId="0" fillId="15" borderId="0" xfId="1" applyNumberFormat="1" applyFont="1" applyFill="1"/>
    <xf numFmtId="166" fontId="0" fillId="2" borderId="0" xfId="1" applyNumberFormat="1" applyFont="1" applyFill="1"/>
    <xf numFmtId="0" fontId="12" fillId="0" borderId="0" xfId="0" applyFont="1"/>
    <xf numFmtId="0" fontId="0" fillId="0" borderId="0" xfId="0" applyAlignment="1">
      <alignment wrapText="1"/>
    </xf>
    <xf numFmtId="0" fontId="9" fillId="16" borderId="0" xfId="0" applyFont="1" applyFill="1"/>
    <xf numFmtId="166" fontId="9" fillId="16" borderId="0" xfId="1" applyNumberFormat="1" applyFont="1" applyFill="1"/>
    <xf numFmtId="0" fontId="0" fillId="17" borderId="0" xfId="0" applyFill="1"/>
    <xf numFmtId="166" fontId="0" fillId="17" borderId="0" xfId="1" applyNumberFormat="1" applyFont="1" applyFill="1"/>
    <xf numFmtId="164" fontId="0" fillId="17" borderId="0" xfId="1" applyNumberFormat="1" applyFont="1" applyFill="1"/>
    <xf numFmtId="166" fontId="0" fillId="18" borderId="0" xfId="1" applyNumberFormat="1" applyFont="1" applyFill="1"/>
    <xf numFmtId="164" fontId="0" fillId="18" borderId="0" xfId="1" applyNumberFormat="1" applyFont="1" applyFill="1"/>
    <xf numFmtId="0" fontId="0" fillId="18" borderId="0" xfId="0" applyFill="1"/>
    <xf numFmtId="165" fontId="0" fillId="0" borderId="0" xfId="5" applyNumberFormat="1" applyFont="1"/>
    <xf numFmtId="0" fontId="10" fillId="19" borderId="3" xfId="0" applyFont="1" applyFill="1" applyBorder="1"/>
    <xf numFmtId="0" fontId="0" fillId="0" borderId="3" xfId="0" applyBorder="1"/>
    <xf numFmtId="0" fontId="14" fillId="0" borderId="0" xfId="0" applyFont="1"/>
    <xf numFmtId="16" fontId="0" fillId="0" borderId="3" xfId="0" applyNumberFormat="1" applyBorder="1"/>
    <xf numFmtId="0" fontId="6" fillId="5" borderId="3" xfId="3" applyBorder="1"/>
    <xf numFmtId="164" fontId="0" fillId="6" borderId="0" xfId="1" applyNumberFormat="1" applyFont="1" applyFill="1" applyBorder="1"/>
    <xf numFmtId="0" fontId="0" fillId="0" borderId="4" xfId="0" applyBorder="1"/>
    <xf numFmtId="166" fontId="6" fillId="5" borderId="0" xfId="3" applyNumberFormat="1"/>
    <xf numFmtId="165" fontId="0" fillId="0" borderId="1" xfId="5" applyNumberFormat="1" applyFont="1" applyBorder="1"/>
    <xf numFmtId="165" fontId="0" fillId="2" borderId="0" xfId="5" applyNumberFormat="1" applyFont="1" applyFill="1"/>
    <xf numFmtId="0" fontId="10" fillId="19" borderId="3" xfId="0" applyFont="1" applyFill="1" applyBorder="1" applyAlignment="1">
      <alignment wrapText="1"/>
    </xf>
    <xf numFmtId="0" fontId="0" fillId="0" borderId="3" xfId="0" applyBorder="1" applyAlignment="1">
      <alignment wrapText="1"/>
    </xf>
    <xf numFmtId="0" fontId="0" fillId="9" borderId="3" xfId="0" applyFill="1" applyBorder="1"/>
    <xf numFmtId="164" fontId="12" fillId="0" borderId="0" xfId="1" applyNumberFormat="1" applyFont="1"/>
    <xf numFmtId="164" fontId="0" fillId="0" borderId="0" xfId="1" quotePrefix="1" applyNumberFormat="1" applyFont="1"/>
    <xf numFmtId="0" fontId="0" fillId="2" borderId="3" xfId="0" applyFill="1" applyBorder="1" applyAlignment="1">
      <alignment wrapText="1"/>
    </xf>
    <xf numFmtId="0" fontId="0" fillId="2" borderId="3" xfId="0" applyFill="1" applyBorder="1"/>
    <xf numFmtId="17" fontId="0" fillId="0" borderId="0" xfId="0" applyNumberFormat="1"/>
    <xf numFmtId="164" fontId="0" fillId="9" borderId="0" xfId="1" applyNumberFormat="1" applyFont="1" applyFill="1"/>
    <xf numFmtId="164" fontId="0" fillId="20" borderId="0" xfId="1" applyNumberFormat="1" applyFont="1" applyFill="1"/>
    <xf numFmtId="164" fontId="0" fillId="14" borderId="0" xfId="1" applyNumberFormat="1" applyFont="1" applyFill="1"/>
    <xf numFmtId="164" fontId="13" fillId="2" borderId="0" xfId="0" applyNumberFormat="1" applyFont="1" applyFill="1"/>
    <xf numFmtId="164" fontId="13" fillId="6" borderId="1" xfId="0" applyNumberFormat="1" applyFont="1" applyFill="1" applyBorder="1"/>
  </cellXfs>
  <cellStyles count="6">
    <cellStyle name="Bueno" xfId="3" builtinId="26"/>
    <cellStyle name="Incorrecto" xfId="4" builtinId="27"/>
    <cellStyle name="Millares" xfId="5" builtinId="3"/>
    <cellStyle name="Moneda" xfId="1" builtinId="4"/>
    <cellStyle name="Neutral" xfId="2" builtinId="28"/>
    <cellStyle name="Normal" xfId="0" builtinId="0"/>
  </cellStyles>
  <dxfs count="2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3" formatCode="0%"/>
    </dxf>
    <dxf>
      <numFmt numFmtId="14" formatCode="0.00%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</dxfs>
  <tableStyles count="0" defaultTableStyle="TableStyleMedium2" defaultPivotStyle="PivotStyleLight16"/>
  <colors>
    <mruColors>
      <color rgb="FFCC99FF"/>
      <color rgb="FFFF9933"/>
      <color rgb="FF99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5.xml"/><Relationship Id="rId39" Type="http://schemas.openxmlformats.org/officeDocument/2006/relationships/customXml" Target="../customXml/item5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4.xml"/><Relationship Id="rId33" Type="http://schemas.openxmlformats.org/officeDocument/2006/relationships/powerPivotData" Target="model/item.data"/><Relationship Id="rId38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3.xml"/><Relationship Id="rId32" Type="http://schemas.openxmlformats.org/officeDocument/2006/relationships/sheetMetadata" Target="metadata.xml"/><Relationship Id="rId37" Type="http://schemas.openxmlformats.org/officeDocument/2006/relationships/customXml" Target="../customXml/item3.xml"/><Relationship Id="rId40" Type="http://schemas.openxmlformats.org/officeDocument/2006/relationships/customXml" Target="../customXml/item6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2.xml"/><Relationship Id="rId28" Type="http://schemas.openxmlformats.org/officeDocument/2006/relationships/theme" Target="theme/theme1.xml"/><Relationship Id="rId36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1.xml"/><Relationship Id="rId27" Type="http://schemas.openxmlformats.org/officeDocument/2006/relationships/pivotCacheDefinition" Target="pivotCache/pivotCacheDefinition6.xml"/><Relationship Id="rId30" Type="http://schemas.openxmlformats.org/officeDocument/2006/relationships/styles" Target="styles.xml"/><Relationship Id="rId35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6073.923448263886" createdVersion="6" refreshedVersion="8" minRefreshableVersion="3" recordCount="50">
  <cacheSource type="worksheet">
    <worksheetSource ref="B17:H1048576" sheet="choriboni"/>
  </cacheSource>
  <cacheFields count="7">
    <cacheField name="fecha" numFmtId="0">
      <sharedItems containsNonDate="0" containsDate="1" containsString="0" containsBlank="1" minDate="2026-01-26T00:00:00" maxDate="2026-02-21T00:00:00"/>
    </cacheField>
    <cacheField name="valor" numFmtId="164">
      <sharedItems containsString="0" containsBlank="1" containsNumber="1" containsInteger="1" minValue="15000" maxValue="5950000"/>
    </cacheField>
    <cacheField name="tipo" numFmtId="164">
      <sharedItems containsBlank="1" count="10">
        <s v="Patrimonio"/>
        <s v="Inversión - Local"/>
        <s v="Inversión - Invima"/>
        <s v="Gasto"/>
        <s v="Costo"/>
        <m/>
        <s v="Gasto - Local" u="1"/>
        <s v="Gasto - mant" u="1"/>
        <s v="Patrimonio - local" u="1"/>
        <s v="Por pagar" u="1"/>
      </sharedItems>
    </cacheField>
    <cacheField name="Equipo" numFmtId="164">
      <sharedItems containsBlank="1" count="8">
        <s v="Maquina"/>
        <s v="Maquinaria y Equipo"/>
        <s v="Utencilios"/>
        <m/>
        <s v="Gasto - Local"/>
        <s v="MO"/>
        <s v="Maquinanaria y Equipo" u="1"/>
        <s v="x" u="1"/>
      </sharedItems>
    </cacheField>
    <cacheField name="Responsable" numFmtId="0">
      <sharedItems containsBlank="1"/>
    </cacheField>
    <cacheField name="Consepto" numFmtId="0">
      <sharedItems containsBlank="1" count="78">
        <s v="Parrilla para segundo Negocio"/>
        <s v="Nevera y Vitrina"/>
        <s v="Parrilla - Chepes"/>
        <s v="2 Grameras"/>
        <s v="Bascula electrónica verde"/>
        <s v="Despostador"/>
        <s v="Campana con extractor a mujer bonita"/>
        <s v="Tabla de Picar"/>
        <s v="Candados"/>
        <s v="Mesas y sillas"/>
        <s v="Canastas de aseo º Redeban"/>
        <s v="Extractores de la 19"/>
        <s v="Canastas, cuchillo, pinza, colador y otros"/>
        <s v="Canastas , cuchillos , piedra y pinzas"/>
        <s v="Certi. Tradición y libertad"/>
        <s v="Acarreos"/>
        <s v="Curso Invima - INVIMA"/>
        <s v="Instalación de gas - contador"/>
        <s v="FERRETERIA"/>
        <s v="ASEO"/>
        <s v="Cámara de Comercio 2026"/>
        <s v="TV y Parlantes"/>
        <s v="Caldero, colador y Bolsas"/>
        <s v="Sistma POS"/>
        <s v="Estudio del contrato del arriendo"/>
        <s v="Arriendo - 16feb-15mar"/>
        <s v="Ducto, adecuaciòn campana y otros"/>
        <s v="Pintura de reja y plomeria"/>
        <s v="Pintura + otros"/>
        <s v="Espejo e instalación"/>
        <s v="Aviso -choriboni"/>
        <s v="Licuadora + colador n acero"/>
        <s v="2 canecas + charon"/>
        <s v="Mantenimiento Pistones"/>
        <s v="papa 2 bultos de papa"/>
        <s v="ENTRADA DE INVENTARIO"/>
        <s v="Acarreo &quot;Chorizos&quot;"/>
        <s v="Simcard"/>
        <s v="Cerdo, costilla"/>
        <s v="Surticentro, aceites, ingredientes."/>
        <s v="Distrielectrics - Enchufe"/>
        <s v="Platicos, cubiertos, tenedores, plasticos"/>
        <s v="Distrogaseora"/>
        <s v="Cáma de Vigilencia interna"/>
        <m/>
        <s v="papa" u="1"/>
        <s v="Pintura de reja y plomria" u="1"/>
        <s v="Varios" u="1"/>
        <s v="Cámara de Comercio" u="1"/>
        <s v="Intalación de gas - contador" u="1"/>
        <s v="Ducto, adcuaciòn campana y otros" u="1"/>
        <s v="Pimtura de reja y plomria" u="1"/>
        <s v="Ferretria - 3 facturas" u="1"/>
        <s v="Campana a mujer bonita" u="1"/>
        <s v="Sonten TV y parlants" u="1"/>
        <s v="Estudio del contrato del arrindo" u="1"/>
        <s v="acarreo" u="1"/>
        <s v="Instalaciòn espejo e instalaciòn" u="1"/>
        <s v="Patrimonio" u="1"/>
        <s v="Basscula electrónica y despostador" u="1"/>
        <s v="Canastas , cuchillos , pidra y pinzas" u="1"/>
        <s v="prestamo acarreo" u="1"/>
        <s v=" grameras" u="1"/>
        <s v="Renovación camara de comercio" u="1"/>
        <s v="Nequi acarreo" u="1"/>
        <s v="Mantenimiento" u="1"/>
        <s v="acarreo  - parrillla" u="1"/>
        <s v="Pintura +otros" u="1"/>
        <s v="acarreo parrilla donde papá" u="1"/>
        <s v="Instalación de gas" u="1"/>
        <s v="Giro a nequi" u="1"/>
        <s v="Barra y 3 sillas" u="1"/>
        <s v="Campana a mujr bonita" u="1"/>
        <s v="Parrilla" u="1"/>
        <s v="Estudios Salud" u="1"/>
        <s v="Arriendo 15feb 14-mar" u="1"/>
        <s v="Nequi accarreo" u="1"/>
        <s v="Nevera y varios de cocina" u="1"/>
      </sharedItems>
    </cacheField>
    <cacheField name="Proveed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saveData="0" refreshedBy="ADMIN" refreshedDate="46080.494079050928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transacciones].[nombre_transaccion].[nombre_transaccion]" caption="nombre_transaccion" numFmtId="0" hierarchy="12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  <cacheField name="[Measures].[Suma de egreso]" caption="Suma de egreso" numFmtId="0" hierarchy="56" level="32767"/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saveData="0" refreshedBy="ADMIN" refreshedDate="46080.489722916667" backgroundQuery="1" createdVersion="8" refreshedVersion="8" minRefreshableVersion="3" recordCount="0" supportSubquery="1" supportAdvancedDrill="1">
  <cacheSource type="external" connectionId="19"/>
  <cacheFields count="8">
    <cacheField name="[transacciones1].[nombre_transaccion].[nombre_transaccion]" caption="nombre_transaccion" numFmtId="0" hierarchy="26" level="1">
      <sharedItems count="1">
        <s v="VENTA"/>
      </sharedItems>
    </cacheField>
    <cacheField name="[transacciones1].[tipo_cuenta].[tipo_cuenta]" caption="tipo_cuenta" numFmtId="0" hierarchy="27" level="1">
      <sharedItems containsSemiMixedTypes="0" containsNonDate="0" containsString="0"/>
    </cacheField>
    <cacheField name="[Measures].[Recuento de id_item]" caption="Recuento de id_item" numFmtId="0" hierarchy="69" level="32767"/>
    <cacheField name="[transacciones1].[fecha].[fecha]" caption="fecha" numFmtId="0" hierarchy="30" level="1">
      <sharedItems containsSemiMixedTypes="0" containsNonDate="0" containsDate="1" containsString="0" minDate="2026-02-23T16:36:36" maxDate="2026-02-26T20:15:00" count="51">
        <d v="2026-02-23T16:36:36"/>
        <d v="2026-02-23T17:13:01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  <d v="2026-02-24T15:34:06"/>
        <d v="2026-02-24T15:35:04"/>
        <d v="2026-02-24T17:45:39"/>
        <d v="2026-02-24T18:13:50"/>
        <d v="2026-02-24T18:34:49"/>
        <d v="2026-02-24T18:36:16"/>
        <d v="2026-02-24T18:42:31"/>
        <d v="2026-02-24T19:07:54"/>
        <d v="2026-02-24T20:05:06"/>
        <d v="2026-02-24T20:19:42"/>
        <d v="2026-02-24T20:23:49"/>
        <d v="2026-02-24T20:49:21"/>
        <d v="2026-02-25T13:52:23"/>
        <d v="2026-02-25T13:55:04"/>
        <d v="2026-02-25T14:05:11"/>
        <d v="2026-02-25T14:11:36"/>
        <d v="2026-02-25T14:24:55"/>
        <d v="2026-02-25T14:25:49"/>
        <d v="2026-02-25T16:40:06"/>
        <d v="2026-02-25T18:17:29"/>
        <d v="2026-02-25T18:20:12"/>
        <d v="2026-02-25T18:26:28"/>
        <d v="2026-02-25T18:34:12"/>
        <d v="2026-02-25T18:34:55"/>
        <d v="2026-02-25T18:39:59"/>
        <d v="2026-02-25T19:12:43"/>
        <d v="2026-02-25T19:39:17"/>
        <d v="2026-02-25T19:40:30"/>
        <d v="2026-02-25T19:58:51"/>
        <d v="2026-02-25T20:06:51"/>
        <d v="2026-02-25T20:21:11"/>
        <d v="2026-02-26T13:22:07"/>
        <d v="2026-02-26T13:27:22"/>
        <d v="2026-02-26T18:04:10"/>
        <d v="2026-02-26T18:20:14"/>
        <d v="2026-02-26T19:04:18"/>
        <d v="2026-02-26T19:31:31"/>
        <d v="2026-02-26T19:33:12"/>
        <d v="2026-02-26T20:15:00"/>
      </sharedItems>
      <extLst>
        <ext xmlns:x15="http://schemas.microsoft.com/office/spreadsheetml/2010/11/main" uri="{4F2E5C28-24EA-4eb8-9CBF-B6C8F9C3D259}">
          <x15:cachedUniqueNames>
            <x15:cachedUniqueName index="0" name="[transacciones1].[fecha].&amp;[2026-02-23T16:36:35.866667]"/>
            <x15:cachedUniqueName index="1" name="[transacciones1].[fecha].&amp;[2026-02-23T17:13:00.56]"/>
            <x15:cachedUniqueName index="2" name="[transacciones1].[fecha].&amp;[2026-02-23T18:00:25.296667]"/>
            <x15:cachedUniqueName index="3" name="[transacciones1].[fecha].&amp;[2026-02-23T18:02:50.156667]"/>
            <x15:cachedUniqueName index="4" name="[transacciones1].[fecha].&amp;[2026-02-23T18:53:36.25]"/>
            <x15:cachedUniqueName index="5" name="[transacciones1].[fecha].&amp;[2026-02-23T19:05:29.056667]"/>
            <x15:cachedUniqueName index="6" name="[transacciones1].[fecha].&amp;[2026-02-23T19:38:19.86]"/>
            <x15:cachedUniqueName index="7" name="[transacciones1].[fecha].&amp;[2026-02-23T20:11:57.673333]"/>
            <x15:cachedUniqueName index="8" name="[transacciones1].[fecha].&amp;[2026-02-23T20:15:09.25]"/>
            <x15:cachedUniqueName index="9" name="[transacciones1].[fecha].&amp;[2026-02-23T20:17:44.503333]"/>
            <x15:cachedUniqueName index="10" name="[transacciones1].[fecha].&amp;[2026-02-23T20:24:20.71]"/>
            <x15:cachedUniqueName index="11" name="[transacciones1].[fecha].&amp;[2026-02-23T20:27:48.96]"/>
            <x15:cachedUniqueName index="12" name="[transacciones1].[fecha].&amp;[2026-02-24T15:34:06.146667]"/>
            <x15:cachedUniqueName index="13" name="[transacciones1].[fecha].&amp;[2026-02-24T15:35:03.62]"/>
            <x15:cachedUniqueName index="14" name="[transacciones1].[fecha].&amp;[2026-02-24T17:45:39.456667]"/>
            <x15:cachedUniqueName index="15" name="[transacciones1].[fecha].&amp;[2026-02-24T18:13:50.206667]"/>
            <x15:cachedUniqueName index="16" name="[transacciones1].[fecha].&amp;[2026-02-24T18:34:48.72]"/>
            <x15:cachedUniqueName index="17" name="[transacciones1].[fecha].&amp;[2026-02-24T18:36:15.69]"/>
            <x15:cachedUniqueName index="18" name="[transacciones1].[fecha].&amp;[2026-02-24T18:42:30.956667]"/>
            <x15:cachedUniqueName index="19" name="[transacciones1].[fecha].&amp;[2026-02-24T19:07:53.706667]"/>
            <x15:cachedUniqueName index="20" name="[transacciones1].[fecha].&amp;[2026-02-24T20:05:05.64]"/>
            <x15:cachedUniqueName index="21" name="[transacciones1].[fecha].&amp;[2026-02-24T20:19:41.79]"/>
            <x15:cachedUniqueName index="22" name="[transacciones1].[fecha].&amp;[2026-02-24T20:23:48.64]"/>
            <x15:cachedUniqueName index="23" name="[transacciones1].[fecha].&amp;[2026-02-24T20:49:21.27]"/>
            <x15:cachedUniqueName index="24" name="[transacciones1].[fecha].&amp;[2026-02-25T13:52:22.706667]"/>
            <x15:cachedUniqueName index="25" name="[transacciones1].[fecha].&amp;[2026-02-25T13:55:03.656667]"/>
            <x15:cachedUniqueName index="26" name="[transacciones1].[fecha].&amp;[2026-02-25T14:05:11.346667]"/>
            <x15:cachedUniqueName index="27" name="[transacciones1].[fecha].&amp;[2026-02-25T14:11:36.29]"/>
            <x15:cachedUniqueName index="28" name="[transacciones1].[fecha].&amp;[2026-02-25T14:24:54.56]"/>
            <x15:cachedUniqueName index="29" name="[transacciones1].[fecha].&amp;[2026-02-25T14:25:49.376667]"/>
            <x15:cachedUniqueName index="30" name="[transacciones1].[fecha].&amp;[2026-02-25T16:40:06.296667]"/>
            <x15:cachedUniqueName index="31" name="[transacciones1].[fecha].&amp;[2026-02-25T18:17:29.126667]"/>
            <x15:cachedUniqueName index="32" name="[transacciones1].[fecha].&amp;[2026-02-25T18:20:11.623333]"/>
            <x15:cachedUniqueName index="33" name="[transacciones1].[fecha].&amp;[2026-02-25T18:26:27.92]"/>
            <x15:cachedUniqueName index="34" name="[transacciones1].[fecha].&amp;[2026-02-25T18:34:11.783333]"/>
            <x15:cachedUniqueName index="35" name="[transacciones1].[fecha].&amp;[2026-02-25T18:34:55.243333]"/>
            <x15:cachedUniqueName index="36" name="[transacciones1].[fecha].&amp;[2026-02-25T18:39:59.116667]"/>
            <x15:cachedUniqueName index="37" name="[transacciones1].[fecha].&amp;[2026-02-25T19:12:42.98]"/>
            <x15:cachedUniqueName index="38" name="[transacciones1].[fecha].&amp;[2026-02-25T19:39:17.01]"/>
            <x15:cachedUniqueName index="39" name="[transacciones1].[fecha].&amp;[2026-02-25T19:40:29.633333]"/>
            <x15:cachedUniqueName index="40" name="[transacciones1].[fecha].&amp;[2026-02-25T19:58:50.843333]"/>
            <x15:cachedUniqueName index="41" name="[transacciones1].[fecha].&amp;[2026-02-25T20:06:51.046667]"/>
            <x15:cachedUniqueName index="42" name="[transacciones1].[fecha].&amp;[2026-02-25T20:21:11.203333]"/>
            <x15:cachedUniqueName index="43" name="[transacciones1].[fecha].&amp;[2026-02-26T13:22:07.446667]"/>
            <x15:cachedUniqueName index="44" name="[transacciones1].[fecha].&amp;[2026-02-26T13:27:21.903333]"/>
            <x15:cachedUniqueName index="45" name="[transacciones1].[fecha].&amp;[2026-02-26T18:04:10.47]"/>
            <x15:cachedUniqueName index="46" name="[transacciones1].[fecha].&amp;[2026-02-26T18:20:13.746667]"/>
            <x15:cachedUniqueName index="47" name="[transacciones1].[fecha].&amp;[2026-02-26T19:04:18.39]"/>
            <x15:cachedUniqueName index="48" name="[transacciones1].[fecha].&amp;[2026-02-26T19:31:30.646667]"/>
            <x15:cachedUniqueName index="49" name="[transacciones1].[fecha].&amp;[2026-02-26T19:33:11.836667]"/>
            <x15:cachedUniqueName index="50" name="[transacciones1].[fecha].&amp;[2026-02-26T20:14:59.84]"/>
          </x15:cachedUniqueNames>
        </ext>
      </extLst>
    </cacheField>
    <cacheField name="[productos].[nombre_producto].[nombre_producto]" caption="nombre_producto" numFmtId="0" hierarchy="8" level="1">
      <sharedItems count="6">
        <s v="Chorizo"/>
        <s v="Coca cola"/>
        <s v="Agua"/>
        <s v="Postobon"/>
        <s v="Chori- CRUDO"/>
        <s v="parri tres carnes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5" count="5">
        <n v="2"/>
        <n v="1"/>
        <n v="3"/>
        <n v="5"/>
        <n v="4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3000" maxValue="35000" count="4">
        <n v="8000"/>
        <n v="3000"/>
        <n v="4500"/>
        <n v="35000"/>
      </sharedItems>
    </cacheField>
    <cacheField name="[transacciones1].[fecha (día)].[fecha (día)]" caption="fecha (día)" numFmtId="0" hierarchy="34" level="1">
      <sharedItems count="4">
        <s v="23-feb"/>
        <s v="24-feb"/>
        <s v="25-feb"/>
        <s v="26-feb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0" memberValueDatatype="130" unbalanced="0"/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2" memberValueDatatype="130" unbalanced="0">
      <fieldsUsage count="2">
        <fieldUsage x="-1"/>
        <fieldUsage x="0"/>
      </fieldsUsage>
    </cacheHierarchy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2" memberValueDatatype="130" unbalanced="0">
      <fieldsUsage count="2">
        <fieldUsage x="-1"/>
        <fieldUsage x="1"/>
      </fieldsUsage>
    </cacheHierarchy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2" memberValueDatatype="7" unbalanced="0">
      <fieldsUsage count="2">
        <fieldUsage x="-1"/>
        <fieldUsage x="3"/>
      </fieldsUsage>
    </cacheHierarchy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2" memberValueDatatype="130" unbalanced="0">
      <fieldsUsage count="2">
        <fieldUsage x="-1"/>
        <fieldUsage x="7"/>
      </fieldsUsage>
    </cacheHierarchy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saveData="0" refreshedBy="ADMIN" refreshedDate="46080.501817245371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2">
        <s v="BASE"/>
        <s v="VENTA"/>
      </sharedItems>
    </cacheField>
    <cacheField name="[transacciones].[tipo_cuenta].[tipo_cuenta]" caption="tipo_cuenta" numFmtId="0" hierarchy="13" level="1">
      <sharedItems count="1">
        <s v="EFECTIVO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ADMIN" refreshedDate="46080.508252430554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1"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r:id="rId1" refreshedBy="PC" refreshedDate="46081.862336342594" createdVersion="8" refreshedVersion="6" minRefreshableVersion="3" recordCount="21">
  <cacheSource type="worksheet">
    <worksheetSource ref="R24" sheet="Extracto"/>
  </cacheSource>
  <cacheFields count="5">
    <cacheField name="fecha" numFmtId="0">
      <sharedItems containsNonDate="0" containsDate="1" containsString="0" containsBlank="1" minDate="2026-02-23T00:00:00" maxDate="2026-03-01T00:00:00" count="7">
        <d v="2026-02-23T00:00:00"/>
        <d v="2026-02-24T00:00:00"/>
        <d v="2026-02-25T00:00:00"/>
        <d v="2026-02-26T00:00:00"/>
        <d v="2026-02-27T00:00:00"/>
        <d v="2026-02-28T00:00:00"/>
        <m/>
      </sharedItems>
    </cacheField>
    <cacheField name="dia_semana" numFmtId="0">
      <sharedItems containsBlank="1"/>
    </cacheField>
    <cacheField name="hora" numFmtId="0">
      <sharedItems containsNonDate="0" containsDate="1" containsString="0" containsBlank="1" minDate="1899-12-30T13:33:00" maxDate="1899-12-30T20:17:00"/>
    </cacheField>
    <cacheField name="valor" numFmtId="164">
      <sharedItems containsString="0" containsBlank="1" containsNumber="1" containsInteger="1" minValue="3000" maxValue="280000"/>
    </cacheField>
    <cacheField name="cuenta" numFmtId="0">
      <sharedItems containsBlank="1" count="3">
        <s v="Nequi"/>
        <s v="DaviPlat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d v="2026-01-27T00:00:00"/>
    <n v="1500000"/>
    <x v="0"/>
    <x v="0"/>
    <s v="José Gustavo"/>
    <x v="0"/>
    <s v="Comercializadora Las Brumas"/>
  </r>
  <r>
    <d v="2026-01-27T00:00:00"/>
    <n v="4300000"/>
    <x v="0"/>
    <x v="0"/>
    <s v="José Gustavo"/>
    <x v="1"/>
    <s v="Compra y Venta El Dorado"/>
  </r>
  <r>
    <d v="2026-02-03T00:00:00"/>
    <n v="5950000"/>
    <x v="0"/>
    <x v="0"/>
    <s v="José Gustavo"/>
    <x v="2"/>
    <s v="Muebles y Enseres CHEPE"/>
  </r>
  <r>
    <d v="2026-02-03T00:00:00"/>
    <n v="80000"/>
    <x v="0"/>
    <x v="1"/>
    <s v="José Gustavo"/>
    <x v="3"/>
    <s v="El Cubo"/>
  </r>
  <r>
    <d v="2026-02-03T00:00:00"/>
    <n v="100000"/>
    <x v="0"/>
    <x v="1"/>
    <s v="José Gustavo"/>
    <x v="4"/>
    <s v="Dussan"/>
  </r>
  <r>
    <d v="2026-02-03T00:00:00"/>
    <n v="30000"/>
    <x v="0"/>
    <x v="2"/>
    <s v="José Gustavo"/>
    <x v="5"/>
    <s v="Dussan"/>
  </r>
  <r>
    <d v="2026-02-07T00:00:00"/>
    <n v="200000"/>
    <x v="0"/>
    <x v="1"/>
    <s v="José Gustavo"/>
    <x v="6"/>
    <s v="Compra y Venta D.C."/>
  </r>
  <r>
    <d v="2026-02-07T00:00:00"/>
    <n v="110000"/>
    <x v="0"/>
    <x v="1"/>
    <s v="José Gustavo"/>
    <x v="7"/>
    <s v="LICICOL"/>
  </r>
  <r>
    <d v="2026-02-07T00:00:00"/>
    <n v="62000"/>
    <x v="0"/>
    <x v="0"/>
    <s v="José Gustavo"/>
    <x v="8"/>
    <s v="RICAURTE"/>
  </r>
  <r>
    <d v="2026-02-03T00:00:00"/>
    <n v="2400000"/>
    <x v="0"/>
    <x v="1"/>
    <s v="José Gustavo"/>
    <x v="9"/>
    <s v="Muebles y montajes"/>
  </r>
  <r>
    <d v="2026-02-03T00:00:00"/>
    <n v="108150"/>
    <x v="0"/>
    <x v="1"/>
    <s v="José Gustavo"/>
    <x v="10"/>
    <s v="RICAURTE"/>
  </r>
  <r>
    <d v="2026-02-03T00:00:00"/>
    <n v="180000"/>
    <x v="0"/>
    <x v="3"/>
    <s v="José Gustavo"/>
    <x v="11"/>
    <s v="La av 19"/>
  </r>
  <r>
    <d v="2026-01-28T00:00:00"/>
    <n v="135400"/>
    <x v="0"/>
    <x v="2"/>
    <s v="José Gustavo"/>
    <x v="12"/>
    <m/>
  </r>
  <r>
    <d v="2026-01-29T00:00:00"/>
    <n v="122000"/>
    <x v="0"/>
    <x v="2"/>
    <s v="José Gustavo"/>
    <x v="13"/>
    <m/>
  </r>
  <r>
    <d v="2026-01-29T00:00:00"/>
    <n v="21900"/>
    <x v="1"/>
    <x v="4"/>
    <s v="Edwin"/>
    <x v="14"/>
    <m/>
  </r>
  <r>
    <d v="2026-01-29T00:00:00"/>
    <n v="380000"/>
    <x v="1"/>
    <x v="4"/>
    <s v="José Gustavo"/>
    <x v="15"/>
    <m/>
  </r>
  <r>
    <d v="2026-01-29T00:00:00"/>
    <n v="100000"/>
    <x v="1"/>
    <x v="4"/>
    <s v="Edwin"/>
    <x v="15"/>
    <m/>
  </r>
  <r>
    <d v="2026-01-29T00:00:00"/>
    <n v="30000"/>
    <x v="1"/>
    <x v="4"/>
    <s v="Edwin"/>
    <x v="15"/>
    <m/>
  </r>
  <r>
    <d v="2026-02-07T00:00:00"/>
    <n v="50000"/>
    <x v="1"/>
    <x v="4"/>
    <s v="Edwin"/>
    <x v="15"/>
    <m/>
  </r>
  <r>
    <d v="2026-02-13T00:00:00"/>
    <n v="70000"/>
    <x v="1"/>
    <x v="4"/>
    <s v="José Gustavo"/>
    <x v="15"/>
    <m/>
  </r>
  <r>
    <d v="2026-02-04T00:00:00"/>
    <n v="490000"/>
    <x v="2"/>
    <x v="3"/>
    <s v="Edwin"/>
    <x v="16"/>
    <m/>
  </r>
  <r>
    <d v="2026-02-09T00:00:00"/>
    <n v="1700000"/>
    <x v="1"/>
    <x v="3"/>
    <s v="José Gustavo"/>
    <x v="17"/>
    <s v="Fabiola Parra "/>
  </r>
  <r>
    <d v="2026-02-12T00:00:00"/>
    <n v="258615"/>
    <x v="1"/>
    <x v="3"/>
    <s v="José Gustavo"/>
    <x v="18"/>
    <m/>
  </r>
  <r>
    <d v="2026-02-12T00:00:00"/>
    <n v="115450"/>
    <x v="1"/>
    <x v="3"/>
    <s v="José Gustavo"/>
    <x v="19"/>
    <m/>
  </r>
  <r>
    <d v="2026-02-17T00:00:00"/>
    <n v="60000"/>
    <x v="3"/>
    <x v="3"/>
    <s v="Edwin"/>
    <x v="20"/>
    <m/>
  </r>
  <r>
    <d v="2026-02-18T00:00:00"/>
    <n v="1545000"/>
    <x v="0"/>
    <x v="1"/>
    <s v="José Gustavo"/>
    <x v="21"/>
    <s v="Ktronix"/>
  </r>
  <r>
    <d v="2026-02-18T00:00:00"/>
    <n v="151300"/>
    <x v="1"/>
    <x v="2"/>
    <s v="José Gustavo"/>
    <x v="22"/>
    <s v="Fontanar"/>
  </r>
  <r>
    <d v="2026-02-19T00:00:00"/>
    <n v="300000"/>
    <x v="0"/>
    <x v="1"/>
    <s v="José Gustavo"/>
    <x v="23"/>
    <m/>
  </r>
  <r>
    <d v="2026-01-26T00:00:00"/>
    <n v="150000"/>
    <x v="1"/>
    <x v="3"/>
    <s v="José Gustavo"/>
    <x v="24"/>
    <m/>
  </r>
  <r>
    <d v="2026-01-26T00:00:00"/>
    <n v="750000"/>
    <x v="3"/>
    <x v="3"/>
    <s v="José Gustavo"/>
    <x v="25"/>
    <m/>
  </r>
  <r>
    <d v="2026-02-16T00:00:00"/>
    <n v="900000"/>
    <x v="3"/>
    <x v="3"/>
    <s v="Edwin"/>
    <x v="25"/>
    <m/>
  </r>
  <r>
    <d v="2026-02-17T00:00:00"/>
    <n v="730000"/>
    <x v="1"/>
    <x v="5"/>
    <s v="José Gustavo"/>
    <x v="26"/>
    <s v="Don Oscar"/>
  </r>
  <r>
    <d v="2026-02-17T00:00:00"/>
    <n v="420000"/>
    <x v="1"/>
    <x v="5"/>
    <s v="José Gustavo"/>
    <x v="27"/>
    <s v="Libardo Ospina"/>
  </r>
  <r>
    <d v="2026-02-17T00:00:00"/>
    <n v="300000"/>
    <x v="1"/>
    <x v="3"/>
    <s v="José Gustavo"/>
    <x v="28"/>
    <m/>
  </r>
  <r>
    <d v="2026-02-17T00:00:00"/>
    <n v="140000"/>
    <x v="1"/>
    <x v="3"/>
    <s v="José Gustavo"/>
    <x v="29"/>
    <m/>
  </r>
  <r>
    <d v="2026-02-17T00:00:00"/>
    <n v="550000"/>
    <x v="0"/>
    <x v="1"/>
    <s v="José Gustavo"/>
    <x v="30"/>
    <m/>
  </r>
  <r>
    <d v="2026-02-17T00:00:00"/>
    <n v="464000"/>
    <x v="0"/>
    <x v="1"/>
    <s v="José Gustavo"/>
    <x v="31"/>
    <m/>
  </r>
  <r>
    <d v="2026-02-17T00:00:00"/>
    <n v="131000"/>
    <x v="0"/>
    <x v="1"/>
    <s v="José Gustavo"/>
    <x v="32"/>
    <m/>
  </r>
  <r>
    <d v="2026-02-19T00:00:00"/>
    <n v="40000"/>
    <x v="4"/>
    <x v="3"/>
    <s v="José Gustavo"/>
    <x v="33"/>
    <m/>
  </r>
  <r>
    <d v="2026-02-19T00:00:00"/>
    <n v="140000"/>
    <x v="4"/>
    <x v="3"/>
    <s v="José Gustavo"/>
    <x v="34"/>
    <m/>
  </r>
  <r>
    <d v="2026-02-19T00:00:00"/>
    <n v="2030000"/>
    <x v="4"/>
    <x v="3"/>
    <s v="José Gustavo"/>
    <x v="35"/>
    <m/>
  </r>
  <r>
    <d v="2026-02-17T00:00:00"/>
    <n v="40000"/>
    <x v="4"/>
    <x v="3"/>
    <s v="José Gustavo"/>
    <x v="36"/>
    <m/>
  </r>
  <r>
    <d v="2026-02-20T00:00:00"/>
    <n v="15000"/>
    <x v="0"/>
    <x v="1"/>
    <s v="Edwin"/>
    <x v="37"/>
    <m/>
  </r>
  <r>
    <d v="2026-02-20T00:00:00"/>
    <n v="619850"/>
    <x v="4"/>
    <x v="3"/>
    <s v="José Gustavo"/>
    <x v="38"/>
    <m/>
  </r>
  <r>
    <d v="2026-02-20T00:00:00"/>
    <n v="90000"/>
    <x v="4"/>
    <x v="3"/>
    <s v="José Gustavo"/>
    <x v="39"/>
    <m/>
  </r>
  <r>
    <d v="2026-02-20T00:00:00"/>
    <n v="20000"/>
    <x v="1"/>
    <x v="3"/>
    <s v="José Gustavo"/>
    <x v="40"/>
    <m/>
  </r>
  <r>
    <d v="2026-02-20T00:00:00"/>
    <n v="260100"/>
    <x v="0"/>
    <x v="2"/>
    <s v="José Gustavo"/>
    <x v="41"/>
    <m/>
  </r>
  <r>
    <d v="2026-02-20T00:00:00"/>
    <n v="412000"/>
    <x v="4"/>
    <x v="3"/>
    <s v="José Gustavo"/>
    <x v="42"/>
    <m/>
  </r>
  <r>
    <d v="2026-02-20T00:00:00"/>
    <n v="80000"/>
    <x v="0"/>
    <x v="3"/>
    <s v="Edwin"/>
    <x v="43"/>
    <m/>
  </r>
  <r>
    <m/>
    <m/>
    <x v="5"/>
    <x v="3"/>
    <m/>
    <x v="44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1">
  <r>
    <x v="0"/>
    <s v="lun"/>
    <d v="1899-12-30T17:31:00"/>
    <n v="6500"/>
    <x v="0"/>
  </r>
  <r>
    <x v="0"/>
    <s v="lun"/>
    <m/>
    <n v="24000"/>
    <x v="0"/>
  </r>
  <r>
    <x v="1"/>
    <s v="mar"/>
    <d v="1899-12-30T19:03:00"/>
    <n v="3000"/>
    <x v="0"/>
  </r>
  <r>
    <x v="1"/>
    <s v="mar"/>
    <d v="1899-12-30T19:52:00"/>
    <n v="8000"/>
    <x v="0"/>
  </r>
  <r>
    <x v="2"/>
    <s v="mié"/>
    <d v="1899-12-30T16:40:00"/>
    <n v="8000"/>
    <x v="0"/>
  </r>
  <r>
    <x v="2"/>
    <s v="mié"/>
    <d v="1899-12-30T19:04:00"/>
    <n v="8000"/>
    <x v="0"/>
  </r>
  <r>
    <x v="2"/>
    <s v="mié"/>
    <d v="1899-12-30T19:22:00"/>
    <n v="22500"/>
    <x v="0"/>
  </r>
  <r>
    <x v="2"/>
    <s v="mié"/>
    <d v="1899-12-30T20:09:00"/>
    <n v="8000"/>
    <x v="0"/>
  </r>
  <r>
    <x v="2"/>
    <s v="mié"/>
    <d v="1899-12-30T19:03:00"/>
    <n v="16000"/>
    <x v="1"/>
  </r>
  <r>
    <x v="3"/>
    <s v="jue"/>
    <d v="1899-12-30T13:33:00"/>
    <n v="25000"/>
    <x v="0"/>
  </r>
  <r>
    <x v="3"/>
    <s v="jue"/>
    <d v="1899-12-30T20:17:00"/>
    <n v="51000"/>
    <x v="0"/>
  </r>
  <r>
    <x v="3"/>
    <s v="jue"/>
    <d v="1899-12-30T17:28:00"/>
    <n v="49000"/>
    <x v="0"/>
  </r>
  <r>
    <x v="4"/>
    <s v="vie"/>
    <d v="1899-12-30T19:45:00"/>
    <n v="11000"/>
    <x v="1"/>
  </r>
  <r>
    <x v="4"/>
    <s v="vie"/>
    <d v="1899-12-30T20:13:00"/>
    <n v="10000"/>
    <x v="0"/>
  </r>
  <r>
    <x v="4"/>
    <s v="vie"/>
    <d v="1899-12-30T18:19:00"/>
    <n v="24000"/>
    <x v="0"/>
  </r>
  <r>
    <x v="4"/>
    <s v="vie"/>
    <d v="1899-12-30T18:14:00"/>
    <n v="11000"/>
    <x v="0"/>
  </r>
  <r>
    <x v="5"/>
    <s v="sáb"/>
    <m/>
    <n v="280000"/>
    <x v="0"/>
  </r>
  <r>
    <x v="5"/>
    <s v="sáb"/>
    <d v="1899-12-30T19:02:00"/>
    <n v="18000"/>
    <x v="0"/>
  </r>
  <r>
    <x v="5"/>
    <s v="sáb"/>
    <d v="1899-12-30T15:39:00"/>
    <n v="16000"/>
    <x v="0"/>
  </r>
  <r>
    <x v="5"/>
    <s v="sáb"/>
    <d v="1899-12-30T15:38:00"/>
    <n v="13000"/>
    <x v="0"/>
  </r>
  <r>
    <x v="6"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D3:F9" firstHeaderRow="0" firstDataRow="1" firstDataCol="1" rowPageCount="1" colPageCount="1"/>
  <pivotFields count="7">
    <pivotField showAll="0"/>
    <pivotField dataField="1" showAll="0"/>
    <pivotField axis="axisRow" showAll="0" sortType="descending">
      <items count="11">
        <item x="4"/>
        <item x="3"/>
        <item x="0"/>
        <item m="1" x="8"/>
        <item m="1" x="9"/>
        <item h="1" x="5"/>
        <item m="1" x="7"/>
        <item x="1"/>
        <item m="1" x="6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2"/>
  </rowFields>
  <rowItems count="6">
    <i>
      <x v="2"/>
    </i>
    <i>
      <x v="7"/>
    </i>
    <i>
      <x/>
    </i>
    <i>
      <x v="1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Suma de valor" fld="1" baseField="4" baseItem="9" numFmtId="164"/>
    <dataField name="Suma de valor2" fld="1" showDataAs="percentOfTotal" baseField="2" baseItem="7" numFmtId="9"/>
  </dataFields>
  <formats count="5">
    <format dxfId="18">
      <pivotArea outline="0" collapsedLevelsAreSubtotals="1" fieldPosition="0"/>
    </format>
    <format dxfId="17">
      <pivotArea outline="0" collapsedLevelsAreSubtotals="1" fieldPosition="0"/>
    </format>
    <format dxfId="16">
      <pivotArea outline="0" collapsedLevelsAreSubtotals="1" fieldPosition="0"/>
    </format>
    <format dxfId="15">
      <pivotArea outline="0" fieldPosition="0">
        <references count="1">
          <reference field="4294967294" count="1">
            <x v="1"/>
          </reference>
        </references>
      </pivotArea>
    </format>
    <format dxfId="1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B17" firstHeaderRow="1" firstDataRow="1" firstDataCol="1" rowPageCount="1" colPageCount="1"/>
  <pivotFields count="7">
    <pivotField showAll="0"/>
    <pivotField dataField="1" showAll="0"/>
    <pivotField axis="axisRow" showAll="0" sortType="descending">
      <items count="11">
        <item h="1" x="4"/>
        <item h="1" x="3"/>
        <item h="1" x="0"/>
        <item h="1" m="1" x="8"/>
        <item h="1" m="1" x="9"/>
        <item h="1" x="5"/>
        <item h="1" m="1" x="7"/>
        <item x="1"/>
        <item h="1" m="1" x="6"/>
        <item h="1"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axis="axisRow" showAll="0" sortType="descending">
      <items count="79">
        <item x="32"/>
        <item m="1" x="56"/>
        <item m="1" x="66"/>
        <item x="36"/>
        <item x="25"/>
        <item m="1" x="75"/>
        <item x="19"/>
        <item x="30"/>
        <item m="1" x="71"/>
        <item m="1" x="72"/>
        <item m="1" x="60"/>
        <item x="8"/>
        <item x="14"/>
        <item x="16"/>
        <item m="1" x="50"/>
        <item m="1" x="74"/>
        <item x="11"/>
        <item m="1" x="52"/>
        <item m="1" x="70"/>
        <item m="1" x="69"/>
        <item m="1" x="57"/>
        <item m="1" x="49"/>
        <item x="31"/>
        <item x="9"/>
        <item m="1" x="76"/>
        <item m="1" x="77"/>
        <item m="1" x="73"/>
        <item x="0"/>
        <item m="1" x="58"/>
        <item m="1" x="51"/>
        <item m="1" x="61"/>
        <item m="1" x="63"/>
        <item x="23"/>
        <item m="1" x="54"/>
        <item x="21"/>
        <item m="1" x="47"/>
        <item x="44"/>
        <item m="1" x="45"/>
        <item x="1"/>
        <item x="2"/>
        <item x="10"/>
        <item m="1" x="59"/>
        <item x="7"/>
        <item m="1" x="62"/>
        <item m="1" x="53"/>
        <item m="1" x="55"/>
        <item m="1" x="65"/>
        <item m="1" x="67"/>
        <item m="1" x="68"/>
        <item m="1" x="64"/>
        <item x="3"/>
        <item x="4"/>
        <item x="5"/>
        <item x="6"/>
        <item x="12"/>
        <item x="13"/>
        <item x="15"/>
        <item x="17"/>
        <item x="18"/>
        <item m="1" x="48"/>
        <item x="22"/>
        <item x="24"/>
        <item x="26"/>
        <item m="1" x="46"/>
        <item x="28"/>
        <item x="29"/>
        <item x="33"/>
        <item x="35"/>
        <item x="20"/>
        <item x="27"/>
        <item x="34"/>
        <item x="37"/>
        <item x="38"/>
        <item x="39"/>
        <item x="40"/>
        <item x="41"/>
        <item x="42"/>
        <item x="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2">
    <field x="2"/>
    <field x="5"/>
  </rowFields>
  <rowItems count="14">
    <i>
      <x v="7"/>
    </i>
    <i r="1">
      <x v="57"/>
    </i>
    <i r="1">
      <x v="62"/>
    </i>
    <i r="1">
      <x v="56"/>
    </i>
    <i r="1">
      <x v="69"/>
    </i>
    <i r="1">
      <x v="64"/>
    </i>
    <i r="1">
      <x v="58"/>
    </i>
    <i r="1">
      <x v="60"/>
    </i>
    <i r="1">
      <x v="61"/>
    </i>
    <i r="1">
      <x v="65"/>
    </i>
    <i r="1">
      <x v="6"/>
    </i>
    <i r="1">
      <x v="12"/>
    </i>
    <i r="1">
      <x v="74"/>
    </i>
    <i t="grand">
      <x/>
    </i>
  </rowItems>
  <colItems count="1">
    <i/>
  </colItems>
  <pageFields count="1">
    <pageField fld="3" hier="-1"/>
  </pageFields>
  <dataFields count="1">
    <dataField name="Suma de valor" fld="1" baseField="4" baseItem="9" numFmtId="164"/>
  </dataFields>
  <formats count="3">
    <format dxfId="21">
      <pivotArea outline="0" collapsedLevelsAreSubtotals="1" fieldPosition="0"/>
    </format>
    <format dxfId="20">
      <pivotArea outline="0" collapsedLevelsAreSubtotals="1" fieldPosition="0"/>
    </format>
    <format dxfId="1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name="TablaDinámica1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B10" firstHeaderRow="1" firstDataRow="1" firstDataCol="1"/>
  <pivotFields count="5">
    <pivotField axis="axisRow" showAll="0">
      <items count="8">
        <item x="0"/>
        <item x="1"/>
        <item x="2"/>
        <item x="3"/>
        <item x="4"/>
        <item h="1" x="6"/>
        <item x="5"/>
        <item t="default"/>
      </items>
    </pivotField>
    <pivotField showAll="0"/>
    <pivotField showAll="0"/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6"/>
    </i>
    <i t="grand">
      <x/>
    </i>
  </rowItems>
  <colItems count="1">
    <i/>
  </colItems>
  <dataFields count="1">
    <dataField name="Suma de valor" fld="3" baseField="0" baseItem="0" numFmtId="164"/>
  </dataFields>
  <formats count="1">
    <format dxfId="12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name="TablaDinámica5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15:D22" firstHeaderRow="1" firstDataRow="2" firstDataCol="1"/>
  <pivotFields count="5">
    <pivotField axis="axisRow" showAll="0">
      <items count="8">
        <item x="0"/>
        <item x="1"/>
        <item x="2"/>
        <item x="3"/>
        <item x="4"/>
        <item h="1" x="6"/>
        <item h="1" x="5"/>
        <item t="default"/>
      </items>
    </pivotField>
    <pivotField showAll="0"/>
    <pivotField showAll="0"/>
    <pivotField dataField="1" showAll="0"/>
    <pivotField axis="axisCol" showAll="0">
      <items count="4">
        <item x="1"/>
        <item x="0"/>
        <item x="2"/>
        <item t="default"/>
      </items>
    </pivotField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Suma de valor" fld="3" baseField="0" baseItem="0" numFmtId="164"/>
  </dataFields>
  <formats count="1">
    <format dxfId="13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name="TablaDinámica4" cacheId="4" applyNumberFormats="0" applyBorderFormats="0" applyFontFormats="0" applyPatternFormats="0" applyAlignmentFormats="0" applyWidthHeightFormats="1" dataCaption="Valores" tag="1e779586-e469-4335-b09b-521d382f2a93" updatedVersion="8" minRefreshableVersion="3" useAutoFormatting="1" subtotalHiddenItems="1" itemPrintTitles="1" createdVersion="8" indent="0" outline="1" outlineData="1" multipleFieldFilters="0">
  <location ref="A16:D22" firstHeaderRow="1" firstDataRow="2" firstDataCol="1" rowPageCount="1" colPageCount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nombre_transaccion" axis="axisPage" allDrilled="1" subtotalTop="0" showAll="0" dataSourceSort="1" defaultSubtotal="0" defaultAttributeDrillState="1">
      <items count="1">
        <item s="1" x="0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1">
    <field x="4"/>
  </colFields>
  <colItems count="3">
    <i>
      <x/>
    </i>
    <i>
      <x v="1"/>
    </i>
    <i t="grand">
      <x/>
    </i>
  </colItems>
  <pageFields count="1">
    <pageField fld="3" hier="12" name="[transacciones].[nombre_transaccion].&amp;[VENTA]" cap="VENTA"/>
  </pageFields>
  <dataFields count="1">
    <dataField name="Suma de entrada" fld="2" baseField="0" baseItem="0" numFmtId="164"/>
  </dataFields>
  <formats count="1">
    <format dxfId="9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name="TablaDinámica2" cacheId="3" applyNumberFormats="0" applyBorderFormats="0" applyFontFormats="0" applyPatternFormats="0" applyAlignmentFormats="0" applyWidthHeightFormats="1" dataCaption="Valores" tag="17195d19-f644-4940-a03d-baa4d59330eb" updatedVersion="8" minRefreshableVersion="3" useAutoFormatting="1" subtotalHiddenItems="1" itemPrintTitles="1" createdVersion="8" indent="0" outline="1" outlineData="1" multipleFieldFilters="0">
  <location ref="A3:D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edwin" axis="axisCol" allDrilled="1" subtotalTop="0" showAll="0" dataSourceSort="1" defaultSubtotal="0" defaultAttributeDrillState="1">
      <items count="2">
        <item s="1" x="0"/>
        <item s="1" x="1"/>
      </items>
    </pivotField>
    <pivotField axis="axisCol" allDrilled="1" subtotalTop="0" showAll="0" dataSourceSort="1" defaultSubtotal="0" defaultAttributeDrillState="1">
      <items count="1">
        <item s="1" x="0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4"/>
    <field x="3"/>
  </colFields>
  <colItems count="3">
    <i>
      <x/>
      <x/>
    </i>
    <i r="1">
      <x v="1"/>
    </i>
    <i t="grand">
      <x/>
    </i>
  </colItems>
  <dataFields count="1">
    <dataField name="Suma de entrada" fld="2" baseField="0" baseItem="0" numFmtId="164"/>
  </dataFields>
  <formats count="1">
    <format dxfId="10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>
      <members count="4" level="1">
        <member name=""/>
        <member name=""/>
        <member name="[transacciones].[nombre_transaccion].&amp;[SALIDA_INV]"/>
        <member name="[transacciones].[nombre_transaccion].&amp;[ENTRADA_INV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name="TablaDinámica1" cacheId="1" applyNumberFormats="0" applyBorderFormats="0" applyFontFormats="0" applyPatternFormats="0" applyAlignmentFormats="0" applyWidthHeightFormats="1" dataCaption="Valores" tag="24a3d8ae-fd27-4bfc-95e5-9de02ba0fc04" updatedVersion="8" minRefreshableVersion="3" useAutoFormatting="1" subtotalHiddenItems="1" itemPrintTitles="1" createdVersion="8" indent="0" outline="1" outlineData="1" multipleFieldFilters="0">
  <location ref="F3:L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name="edwin"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3">
    <field x="1"/>
    <field x="4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3"/>
    <field x="2"/>
  </colFields>
  <colItems count="6">
    <i>
      <x/>
      <x/>
    </i>
    <i r="1">
      <x v="1"/>
    </i>
    <i r="1">
      <x v="2"/>
    </i>
    <i r="1">
      <x v="3"/>
    </i>
    <i>
      <x v="1"/>
      <x v="3"/>
    </i>
    <i t="grand">
      <x/>
    </i>
  </colItems>
  <dataFields count="1">
    <dataField name="Suma de egreso" fld="5" baseField="0" baseItem="0"/>
  </dataFields>
  <formats count="1">
    <format dxfId="11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name="TablaDinámica3" cacheId="2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4:F69" firstHeaderRow="1" firstDataRow="1" firstDataCol="5" rowPageCount="2" colPageCount="1"/>
  <pivotFields count="8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7"/>
    <field x="3"/>
    <field x="4"/>
    <field x="6"/>
    <field x="5"/>
  </rowFields>
  <rowItems count="65">
    <i>
      <x/>
      <x/>
      <x/>
      <x/>
      <x/>
    </i>
    <i r="1">
      <x v="1"/>
      <x/>
      <x/>
      <x/>
    </i>
    <i r="2">
      <x v="1"/>
      <x v="1"/>
      <x/>
    </i>
    <i r="1">
      <x v="2"/>
      <x v="2"/>
      <x v="1"/>
      <x/>
    </i>
    <i r="2">
      <x/>
      <x/>
      <x/>
    </i>
    <i r="1">
      <x v="3"/>
      <x/>
      <x/>
      <x/>
    </i>
    <i r="2">
      <x v="3"/>
      <x v="1"/>
      <x v="1"/>
    </i>
    <i r="1">
      <x v="4"/>
      <x/>
      <x/>
      <x v="1"/>
    </i>
    <i r="1">
      <x v="5"/>
      <x/>
      <x/>
      <x/>
    </i>
    <i r="2">
      <x v="1"/>
      <x v="1"/>
      <x/>
    </i>
    <i r="1">
      <x v="6"/>
      <x/>
      <x/>
      <x v="2"/>
    </i>
    <i r="1">
      <x v="7"/>
      <x/>
      <x/>
      <x v="1"/>
    </i>
    <i r="1">
      <x v="8"/>
      <x/>
      <x/>
      <x v="1"/>
    </i>
    <i r="1">
      <x v="9"/>
      <x/>
      <x/>
      <x v="1"/>
    </i>
    <i r="2">
      <x v="3"/>
      <x v="1"/>
      <x v="1"/>
    </i>
    <i r="1">
      <x v="10"/>
      <x/>
      <x/>
      <x v="2"/>
    </i>
    <i r="1">
      <x v="11"/>
      <x/>
      <x/>
      <x v="1"/>
    </i>
    <i>
      <x v="1"/>
      <x v="12"/>
      <x/>
      <x/>
      <x v="3"/>
    </i>
    <i r="1">
      <x v="13"/>
      <x/>
      <x/>
      <x v="2"/>
    </i>
    <i r="1">
      <x v="14"/>
      <x/>
      <x/>
      <x v="1"/>
    </i>
    <i r="1">
      <x v="15"/>
      <x/>
      <x/>
      <x v="1"/>
    </i>
    <i r="1">
      <x v="16"/>
      <x/>
      <x/>
      <x/>
    </i>
    <i r="1">
      <x v="17"/>
      <x/>
      <x/>
      <x v="1"/>
    </i>
    <i r="1">
      <x v="18"/>
      <x v="4"/>
      <x v="2"/>
      <x/>
    </i>
    <i r="2">
      <x/>
      <x/>
      <x v="1"/>
    </i>
    <i r="1">
      <x v="19"/>
      <x/>
      <x/>
      <x v="1"/>
    </i>
    <i r="1">
      <x v="20"/>
      <x/>
      <x/>
      <x v="1"/>
    </i>
    <i r="1">
      <x v="21"/>
      <x v="2"/>
      <x v="1"/>
      <x v="1"/>
    </i>
    <i r="2">
      <x/>
      <x/>
      <x v="2"/>
    </i>
    <i r="2">
      <x v="3"/>
      <x v="1"/>
      <x v="1"/>
    </i>
    <i r="1">
      <x v="22"/>
      <x/>
      <x/>
      <x v="4"/>
    </i>
    <i r="2">
      <x v="1"/>
      <x v="1"/>
      <x/>
    </i>
    <i r="1">
      <x v="23"/>
      <x/>
      <x/>
      <x v="1"/>
    </i>
    <i>
      <x v="2"/>
      <x v="24"/>
      <x/>
      <x/>
      <x v="1"/>
    </i>
    <i r="1">
      <x v="25"/>
      <x/>
      <x/>
      <x v="1"/>
    </i>
    <i r="1">
      <x v="26"/>
      <x/>
      <x/>
      <x v="1"/>
    </i>
    <i r="1">
      <x v="27"/>
      <x v="5"/>
      <x v="3"/>
      <x v="1"/>
    </i>
    <i r="1">
      <x v="28"/>
      <x v="5"/>
      <x v="3"/>
      <x v="1"/>
    </i>
    <i r="1">
      <x v="29"/>
      <x/>
      <x/>
      <x/>
    </i>
    <i r="1">
      <x v="30"/>
      <x/>
      <x/>
      <x v="1"/>
    </i>
    <i r="1">
      <x v="31"/>
      <x/>
      <x/>
      <x v="1"/>
    </i>
    <i r="1">
      <x v="32"/>
      <x/>
      <x/>
      <x v="1"/>
    </i>
    <i r="1">
      <x v="33"/>
      <x/>
      <x/>
      <x v="1"/>
    </i>
    <i r="1">
      <x v="34"/>
      <x/>
      <x/>
      <x v="3"/>
    </i>
    <i r="1">
      <x v="35"/>
      <x v="1"/>
      <x v="1"/>
      <x/>
    </i>
    <i r="2">
      <x v="3"/>
      <x v="1"/>
      <x v="1"/>
    </i>
    <i r="1">
      <x v="36"/>
      <x/>
      <x/>
      <x v="2"/>
    </i>
    <i r="1">
      <x v="37"/>
      <x/>
      <x/>
      <x v="1"/>
    </i>
    <i r="2">
      <x v="1"/>
      <x v="1"/>
      <x v="1"/>
    </i>
    <i r="1">
      <x v="38"/>
      <x v="5"/>
      <x v="3"/>
      <x v="1"/>
    </i>
    <i r="2">
      <x v="3"/>
      <x v="1"/>
      <x v="1"/>
    </i>
    <i r="1">
      <x v="39"/>
      <x/>
      <x/>
      <x/>
    </i>
    <i r="1">
      <x v="40"/>
      <x/>
      <x/>
      <x/>
    </i>
    <i r="1">
      <x v="41"/>
      <x/>
      <x/>
      <x v="4"/>
    </i>
    <i r="1">
      <x v="42"/>
      <x/>
      <x/>
      <x/>
    </i>
    <i>
      <x v="3"/>
      <x v="43"/>
      <x v="4"/>
      <x v="2"/>
      <x/>
    </i>
    <i r="1">
      <x v="44"/>
      <x/>
      <x/>
      <x/>
    </i>
    <i r="1">
      <x v="45"/>
      <x/>
      <x/>
      <x v="1"/>
    </i>
    <i r="1">
      <x v="46"/>
      <x/>
      <x/>
      <x v="1"/>
    </i>
    <i r="1">
      <x v="47"/>
      <x/>
      <x/>
      <x/>
    </i>
    <i r="1">
      <x v="48"/>
      <x/>
      <x/>
      <x v="1"/>
    </i>
    <i r="1">
      <x v="49"/>
      <x/>
      <x/>
      <x v="1"/>
    </i>
    <i r="1">
      <x v="50"/>
      <x/>
      <x/>
      <x v="1"/>
    </i>
    <i r="2">
      <x v="3"/>
      <x v="1"/>
      <x v="1"/>
    </i>
    <i t="grand">
      <x/>
    </i>
  </rowItems>
  <colItems count="1">
    <i/>
  </colItems>
  <pageFields count="2">
    <pageField fld="0" hier="26" name="[transacciones1].[nombre_transaccion].&amp;[VENTA]" cap="VENTA"/>
    <pageField fld="1" hier="27" name="[transacciones1].[tipo_cuenta].&amp;[EFECTIVO]" cap="EFECTIVO"/>
  </pageFields>
  <dataFields count="1">
    <dataField name="Recuento de id_item" fld="2" subtotal="count" baseField="0" baseItem="0"/>
  </dataFields>
  <formats count="1">
    <format dxfId="8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>
      <members count="1" level="1">
        <member name="[transacciones1].[tipo_cuenta].&amp;[EFECTIV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</pivotHierarchies>
  <pivotTableStyleInfo name="PivotStyleLight16" showRowHeaders="1" showColHeaders="1" showRowStripes="0" showColStripes="0" showLastColumn="1"/>
  <rowHierarchiesUsage count="5">
    <rowHierarchyUsage hierarchyUsage="34"/>
    <rowHierarchyUsage hierarchyUsage="30"/>
    <rowHierarchyUsage hierarchyUsage="8"/>
    <rowHierarchyUsage hierarchyUsage="5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1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4" Type="http://schemas.openxmlformats.org/officeDocument/2006/relationships/comments" Target="../comments6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B7"/>
  <sheetViews>
    <sheetView workbookViewId="0">
      <selection activeCell="D8" sqref="D8"/>
    </sheetView>
  </sheetViews>
  <sheetFormatPr baseColWidth="10" defaultRowHeight="15" x14ac:dyDescent="0.25"/>
  <sheetData>
    <row r="6" spans="1:2" x14ac:dyDescent="0.25">
      <c r="A6">
        <v>3500</v>
      </c>
    </row>
    <row r="7" spans="1:2" x14ac:dyDescent="0.25">
      <c r="A7">
        <v>2600</v>
      </c>
      <c r="B7" t="s">
        <v>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filterMode="1">
    <tabColor rgb="FF92D050"/>
  </sheetPr>
  <dimension ref="A1:I83"/>
  <sheetViews>
    <sheetView showGridLines="0" zoomScale="90" zoomScaleNormal="90" workbookViewId="0">
      <pane ySplit="17" topLeftCell="A23" activePane="bottomLeft" state="frozen"/>
      <selection pane="bottomLeft" activeCell="D80" sqref="D80"/>
    </sheetView>
  </sheetViews>
  <sheetFormatPr baseColWidth="10" defaultRowHeight="15" outlineLevelRow="1" x14ac:dyDescent="0.25"/>
  <cols>
    <col min="1" max="1" width="4.28515625" bestFit="1" customWidth="1"/>
    <col min="2" max="2" width="10.42578125" bestFit="1" customWidth="1"/>
    <col min="3" max="3" width="20.85546875" style="3" customWidth="1"/>
    <col min="4" max="4" width="18.140625" style="3" bestFit="1" customWidth="1"/>
    <col min="5" max="5" width="22.85546875" style="3" bestFit="1" customWidth="1"/>
    <col min="6" max="6" width="16.85546875" bestFit="1" customWidth="1"/>
    <col min="7" max="7" width="35" bestFit="1" customWidth="1"/>
    <col min="8" max="8" width="26.85546875" bestFit="1" customWidth="1"/>
    <col min="9" max="9" width="18.140625" customWidth="1"/>
  </cols>
  <sheetData>
    <row r="1" spans="1:9" hidden="1" outlineLevel="1" x14ac:dyDescent="0.25">
      <c r="A1">
        <v>21</v>
      </c>
      <c r="B1" s="15">
        <v>46058</v>
      </c>
      <c r="C1" s="16">
        <v>100000</v>
      </c>
      <c r="D1" s="16" t="s">
        <v>95</v>
      </c>
      <c r="E1" s="16"/>
      <c r="F1" s="1" t="s">
        <v>45</v>
      </c>
      <c r="G1" s="9" t="s">
        <v>12</v>
      </c>
    </row>
    <row r="2" spans="1:9" hidden="1" outlineLevel="1" x14ac:dyDescent="0.25">
      <c r="C2"/>
      <c r="D2"/>
      <c r="E2" t="s">
        <v>110</v>
      </c>
    </row>
    <row r="3" spans="1:9" hidden="1" outlineLevel="1" x14ac:dyDescent="0.25">
      <c r="C3" s="23">
        <f>+SUMIF(F:F,D3,C:C)</f>
        <v>27808267</v>
      </c>
      <c r="D3" t="s">
        <v>10</v>
      </c>
      <c r="E3"/>
      <c r="F3" s="3">
        <v>1200000</v>
      </c>
      <c r="G3" t="s">
        <v>109</v>
      </c>
    </row>
    <row r="4" spans="1:9" hidden="1" outlineLevel="1" x14ac:dyDescent="0.25">
      <c r="C4" s="23">
        <f>+SUMIF(F:F,D4,C:C)</f>
        <v>3198300</v>
      </c>
      <c r="D4" t="s">
        <v>2</v>
      </c>
      <c r="E4"/>
      <c r="G4" t="s">
        <v>111</v>
      </c>
    </row>
    <row r="5" spans="1:9" ht="17.25" hidden="1" outlineLevel="1" x14ac:dyDescent="0.4">
      <c r="C5" s="14">
        <f>+C3+C4</f>
        <v>31006567</v>
      </c>
      <c r="G5" t="s">
        <v>112</v>
      </c>
    </row>
    <row r="6" spans="1:9" hidden="1" outlineLevel="1" x14ac:dyDescent="0.25"/>
    <row r="7" spans="1:9" hidden="1" outlineLevel="1" x14ac:dyDescent="0.25">
      <c r="C7" s="3">
        <f>+C5/2</f>
        <v>15503283.5</v>
      </c>
    </row>
    <row r="8" spans="1:9" ht="16.5" hidden="1" customHeight="1" outlineLevel="1" x14ac:dyDescent="0.25">
      <c r="B8" s="2">
        <v>46062</v>
      </c>
      <c r="C8" s="3">
        <v>300000</v>
      </c>
      <c r="D8" t="s">
        <v>17</v>
      </c>
    </row>
    <row r="9" spans="1:9" ht="16.5" hidden="1" customHeight="1" outlineLevel="1" x14ac:dyDescent="0.25">
      <c r="B9" s="2">
        <v>46073</v>
      </c>
      <c r="C9" s="3">
        <v>1000000</v>
      </c>
      <c r="D9" t="s">
        <v>17</v>
      </c>
    </row>
    <row r="10" spans="1:9" ht="16.5" hidden="1" customHeight="1" outlineLevel="1" x14ac:dyDescent="0.25">
      <c r="B10" s="2">
        <v>46073</v>
      </c>
      <c r="C10" s="3">
        <v>3000000</v>
      </c>
      <c r="D10"/>
      <c r="I10">
        <v>1650000</v>
      </c>
    </row>
    <row r="11" spans="1:9" ht="16.5" hidden="1" customHeight="1" outlineLevel="1" x14ac:dyDescent="0.25">
      <c r="B11" s="2">
        <v>46080</v>
      </c>
      <c r="C11" s="3">
        <v>1000000</v>
      </c>
      <c r="D11" t="s">
        <v>17</v>
      </c>
      <c r="I11" s="13">
        <f>+C14-I10</f>
        <v>-16.5</v>
      </c>
    </row>
    <row r="12" spans="1:9" ht="16.5" hidden="1" customHeight="1" outlineLevel="1" x14ac:dyDescent="0.25">
      <c r="B12" s="2">
        <v>46084</v>
      </c>
      <c r="C12" s="3">
        <v>1500000</v>
      </c>
      <c r="D12" t="s">
        <v>17</v>
      </c>
    </row>
    <row r="13" spans="1:9" ht="16.5" hidden="1" customHeight="1" outlineLevel="1" x14ac:dyDescent="0.25">
      <c r="B13" s="2">
        <v>46086</v>
      </c>
      <c r="C13" s="3">
        <v>3855000</v>
      </c>
      <c r="D13" t="s">
        <v>249</v>
      </c>
    </row>
    <row r="14" spans="1:9" hidden="1" outlineLevel="1" x14ac:dyDescent="0.25">
      <c r="C14" s="16">
        <f>+C7-C4-SUM(C8:C13)</f>
        <v>1649983.5</v>
      </c>
      <c r="I14">
        <v>3854983.5</v>
      </c>
    </row>
    <row r="15" spans="1:9" hidden="1" outlineLevel="1" x14ac:dyDescent="0.25"/>
    <row r="16" spans="1:9" ht="17.25" collapsed="1" x14ac:dyDescent="0.4">
      <c r="C16" s="14">
        <f>+SUM(C18:C1048576)-C5</f>
        <v>0</v>
      </c>
      <c r="E16" s="3" t="s">
        <v>0</v>
      </c>
    </row>
    <row r="17" spans="1:8" x14ac:dyDescent="0.25">
      <c r="A17" s="4" t="s">
        <v>68</v>
      </c>
      <c r="B17" s="4" t="s">
        <v>5</v>
      </c>
      <c r="C17" s="5" t="s">
        <v>6</v>
      </c>
      <c r="D17" s="5" t="s">
        <v>7</v>
      </c>
      <c r="E17" s="5" t="s">
        <v>37</v>
      </c>
      <c r="F17" s="4" t="s">
        <v>1</v>
      </c>
      <c r="G17" s="4" t="s">
        <v>3</v>
      </c>
      <c r="H17" s="4" t="s">
        <v>15</v>
      </c>
    </row>
    <row r="18" spans="1:8" hidden="1" x14ac:dyDescent="0.25">
      <c r="A18">
        <v>1</v>
      </c>
      <c r="B18" s="2">
        <v>46049</v>
      </c>
      <c r="C18" s="3">
        <f>1350000+150000</f>
        <v>1500000</v>
      </c>
      <c r="D18" s="3" t="s">
        <v>9</v>
      </c>
      <c r="E18" s="3" t="s">
        <v>69</v>
      </c>
      <c r="F18" t="s">
        <v>10</v>
      </c>
      <c r="G18" t="s">
        <v>21</v>
      </c>
      <c r="H18" t="s">
        <v>22</v>
      </c>
    </row>
    <row r="19" spans="1:8" hidden="1" x14ac:dyDescent="0.25">
      <c r="A19">
        <v>2</v>
      </c>
      <c r="B19" s="2">
        <v>46049</v>
      </c>
      <c r="C19" s="3">
        <f>2500000+1400000+400000</f>
        <v>4300000</v>
      </c>
      <c r="D19" s="3" t="s">
        <v>9</v>
      </c>
      <c r="E19" s="3" t="s">
        <v>69</v>
      </c>
      <c r="F19" t="s">
        <v>10</v>
      </c>
      <c r="G19" s="8" t="s">
        <v>38</v>
      </c>
      <c r="H19" t="s">
        <v>61</v>
      </c>
    </row>
    <row r="20" spans="1:8" hidden="1" x14ac:dyDescent="0.25">
      <c r="A20">
        <v>3</v>
      </c>
      <c r="B20" s="2">
        <v>46056</v>
      </c>
      <c r="C20" s="3">
        <f>5400000+500000+(25000*2)</f>
        <v>5950000</v>
      </c>
      <c r="D20" s="3" t="s">
        <v>9</v>
      </c>
      <c r="E20" s="3" t="s">
        <v>69</v>
      </c>
      <c r="F20" t="s">
        <v>10</v>
      </c>
      <c r="G20" s="8" t="s">
        <v>41</v>
      </c>
      <c r="H20" s="3" t="s">
        <v>54</v>
      </c>
    </row>
    <row r="21" spans="1:8" hidden="1" x14ac:dyDescent="0.25">
      <c r="A21">
        <v>4</v>
      </c>
      <c r="B21" s="2">
        <v>46056</v>
      </c>
      <c r="C21" s="3">
        <v>80000</v>
      </c>
      <c r="D21" s="3" t="s">
        <v>9</v>
      </c>
      <c r="E21" s="3" t="s">
        <v>101</v>
      </c>
      <c r="F21" t="s">
        <v>10</v>
      </c>
      <c r="G21" s="8" t="s">
        <v>71</v>
      </c>
      <c r="H21" s="3" t="s">
        <v>72</v>
      </c>
    </row>
    <row r="22" spans="1:8" hidden="1" x14ac:dyDescent="0.25">
      <c r="A22">
        <v>5</v>
      </c>
      <c r="B22" s="2">
        <v>46056</v>
      </c>
      <c r="C22" s="3">
        <v>100000</v>
      </c>
      <c r="D22" s="3" t="s">
        <v>9</v>
      </c>
      <c r="E22" s="3" t="s">
        <v>101</v>
      </c>
      <c r="F22" t="s">
        <v>10</v>
      </c>
      <c r="G22" s="8" t="s">
        <v>47</v>
      </c>
      <c r="H22" t="s">
        <v>42</v>
      </c>
    </row>
    <row r="23" spans="1:8" x14ac:dyDescent="0.25">
      <c r="A23">
        <v>6</v>
      </c>
      <c r="B23" s="2">
        <v>46056</v>
      </c>
      <c r="C23" s="3">
        <v>30000</v>
      </c>
      <c r="D23" s="3" t="s">
        <v>9</v>
      </c>
      <c r="E23" s="3" t="s">
        <v>46</v>
      </c>
      <c r="F23" t="s">
        <v>10</v>
      </c>
      <c r="G23" s="8" t="s">
        <v>48</v>
      </c>
      <c r="H23" t="s">
        <v>42</v>
      </c>
    </row>
    <row r="24" spans="1:8" hidden="1" x14ac:dyDescent="0.25">
      <c r="A24">
        <v>7</v>
      </c>
      <c r="B24" s="2">
        <v>46060</v>
      </c>
      <c r="C24" s="3">
        <v>200000</v>
      </c>
      <c r="D24" s="3" t="s">
        <v>9</v>
      </c>
      <c r="E24" s="3" t="s">
        <v>101</v>
      </c>
      <c r="F24" t="s">
        <v>10</v>
      </c>
      <c r="G24" t="s">
        <v>57</v>
      </c>
      <c r="H24" t="s">
        <v>58</v>
      </c>
    </row>
    <row r="25" spans="1:8" hidden="1" x14ac:dyDescent="0.25">
      <c r="A25">
        <v>8</v>
      </c>
      <c r="B25" s="2">
        <v>46060</v>
      </c>
      <c r="C25" s="3">
        <v>110000</v>
      </c>
      <c r="D25" s="3" t="s">
        <v>9</v>
      </c>
      <c r="E25" s="3" t="s">
        <v>101</v>
      </c>
      <c r="F25" t="s">
        <v>10</v>
      </c>
      <c r="G25" s="8" t="s">
        <v>43</v>
      </c>
      <c r="H25" t="s">
        <v>66</v>
      </c>
    </row>
    <row r="26" spans="1:8" hidden="1" x14ac:dyDescent="0.25">
      <c r="A26">
        <v>9</v>
      </c>
      <c r="B26" s="2">
        <v>46060</v>
      </c>
      <c r="C26" s="3">
        <f>27000+35000</f>
        <v>62000</v>
      </c>
      <c r="D26" s="3" t="s">
        <v>9</v>
      </c>
      <c r="E26" s="3" t="s">
        <v>69</v>
      </c>
      <c r="F26" t="s">
        <v>10</v>
      </c>
      <c r="G26" t="s">
        <v>16</v>
      </c>
      <c r="H26" s="3" t="s">
        <v>80</v>
      </c>
    </row>
    <row r="27" spans="1:8" hidden="1" x14ac:dyDescent="0.25">
      <c r="A27">
        <v>10</v>
      </c>
      <c r="B27" s="2">
        <v>46056</v>
      </c>
      <c r="C27" s="3">
        <v>2400000</v>
      </c>
      <c r="D27" s="3" t="s">
        <v>9</v>
      </c>
      <c r="E27" s="3" t="s">
        <v>101</v>
      </c>
      <c r="F27" t="s">
        <v>10</v>
      </c>
      <c r="G27" t="s">
        <v>14</v>
      </c>
      <c r="H27" s="3" t="s">
        <v>40</v>
      </c>
    </row>
    <row r="28" spans="1:8" hidden="1" x14ac:dyDescent="0.25">
      <c r="A28">
        <v>11</v>
      </c>
      <c r="B28" s="2">
        <v>46056</v>
      </c>
      <c r="C28" s="3">
        <v>108150</v>
      </c>
      <c r="D28" s="3" t="s">
        <v>9</v>
      </c>
      <c r="E28" s="3" t="s">
        <v>101</v>
      </c>
      <c r="F28" t="s">
        <v>10</v>
      </c>
      <c r="G28" s="8" t="s">
        <v>44</v>
      </c>
      <c r="H28" s="3" t="s">
        <v>80</v>
      </c>
    </row>
    <row r="29" spans="1:8" hidden="1" x14ac:dyDescent="0.25">
      <c r="A29">
        <v>11</v>
      </c>
      <c r="B29" s="2">
        <v>46056</v>
      </c>
      <c r="C29" s="3">
        <v>180000</v>
      </c>
      <c r="D29" s="3" t="s">
        <v>9</v>
      </c>
      <c r="F29" t="s">
        <v>10</v>
      </c>
      <c r="G29" t="s">
        <v>25</v>
      </c>
      <c r="H29" t="s">
        <v>26</v>
      </c>
    </row>
    <row r="30" spans="1:8" hidden="1" x14ac:dyDescent="0.25">
      <c r="A30">
        <v>13</v>
      </c>
      <c r="B30" s="2">
        <v>46050</v>
      </c>
      <c r="C30" s="17">
        <v>135400</v>
      </c>
      <c r="D30" s="16" t="s">
        <v>9</v>
      </c>
      <c r="E30" s="3" t="s">
        <v>46</v>
      </c>
      <c r="F30" t="s">
        <v>10</v>
      </c>
      <c r="G30" t="s">
        <v>81</v>
      </c>
    </row>
    <row r="31" spans="1:8" hidden="1" x14ac:dyDescent="0.25">
      <c r="A31">
        <v>13</v>
      </c>
      <c r="B31" s="2">
        <v>46051</v>
      </c>
      <c r="C31" s="3">
        <f>50000+40000+10000+22000</f>
        <v>122000</v>
      </c>
      <c r="D31" s="3" t="s">
        <v>9</v>
      </c>
      <c r="E31" s="3" t="s">
        <v>46</v>
      </c>
      <c r="F31" t="s">
        <v>10</v>
      </c>
      <c r="G31" t="s">
        <v>64</v>
      </c>
    </row>
    <row r="32" spans="1:8" hidden="1" x14ac:dyDescent="0.25">
      <c r="A32">
        <v>14</v>
      </c>
      <c r="B32" s="2">
        <v>46051</v>
      </c>
      <c r="C32" s="3">
        <v>21900</v>
      </c>
      <c r="D32" s="18" t="s">
        <v>82</v>
      </c>
      <c r="E32" s="3" t="s">
        <v>95</v>
      </c>
      <c r="F32" t="s">
        <v>2</v>
      </c>
      <c r="G32" s="8" t="s">
        <v>4</v>
      </c>
    </row>
    <row r="33" spans="1:9" hidden="1" x14ac:dyDescent="0.25">
      <c r="A33">
        <v>15</v>
      </c>
      <c r="B33" s="2">
        <v>46051</v>
      </c>
      <c r="C33" s="3">
        <v>380000</v>
      </c>
      <c r="D33" s="18" t="s">
        <v>82</v>
      </c>
      <c r="E33" s="3" t="s">
        <v>95</v>
      </c>
      <c r="F33" t="s">
        <v>10</v>
      </c>
      <c r="G33" s="8" t="s">
        <v>83</v>
      </c>
    </row>
    <row r="34" spans="1:9" hidden="1" x14ac:dyDescent="0.25">
      <c r="A34">
        <v>16</v>
      </c>
      <c r="B34" s="2">
        <v>46051</v>
      </c>
      <c r="C34" s="3">
        <v>100000</v>
      </c>
      <c r="D34" s="18" t="s">
        <v>82</v>
      </c>
      <c r="E34" s="3" t="s">
        <v>95</v>
      </c>
      <c r="F34" t="s">
        <v>2</v>
      </c>
      <c r="G34" s="8" t="s">
        <v>83</v>
      </c>
    </row>
    <row r="35" spans="1:9" hidden="1" x14ac:dyDescent="0.25">
      <c r="A35">
        <v>17</v>
      </c>
      <c r="B35" s="2">
        <v>46051</v>
      </c>
      <c r="C35" s="3">
        <v>30000</v>
      </c>
      <c r="D35" s="18" t="s">
        <v>82</v>
      </c>
      <c r="E35" s="3" t="s">
        <v>95</v>
      </c>
      <c r="F35" t="s">
        <v>2</v>
      </c>
      <c r="G35" s="8" t="s">
        <v>83</v>
      </c>
    </row>
    <row r="36" spans="1:9" hidden="1" x14ac:dyDescent="0.25">
      <c r="A36">
        <v>18</v>
      </c>
      <c r="B36" s="2">
        <v>46060</v>
      </c>
      <c r="C36" s="3">
        <v>50000</v>
      </c>
      <c r="D36" s="18" t="s">
        <v>82</v>
      </c>
      <c r="E36" s="3" t="s">
        <v>95</v>
      </c>
      <c r="F36" t="s">
        <v>2</v>
      </c>
      <c r="G36" s="8" t="s">
        <v>83</v>
      </c>
    </row>
    <row r="37" spans="1:9" hidden="1" x14ac:dyDescent="0.25">
      <c r="A37">
        <v>19</v>
      </c>
      <c r="B37" s="2">
        <v>46066</v>
      </c>
      <c r="C37" s="3">
        <v>70000</v>
      </c>
      <c r="D37" s="18" t="s">
        <v>82</v>
      </c>
      <c r="E37" s="3" t="s">
        <v>95</v>
      </c>
      <c r="F37" t="s">
        <v>10</v>
      </c>
      <c r="G37" t="s">
        <v>83</v>
      </c>
    </row>
    <row r="38" spans="1:9" hidden="1" x14ac:dyDescent="0.25">
      <c r="A38">
        <v>20</v>
      </c>
      <c r="B38" s="2">
        <v>46057</v>
      </c>
      <c r="C38" s="3">
        <v>490000</v>
      </c>
      <c r="D38" s="18" t="s">
        <v>96</v>
      </c>
      <c r="F38" t="s">
        <v>2</v>
      </c>
      <c r="G38" s="8" t="s">
        <v>13</v>
      </c>
    </row>
    <row r="39" spans="1:9" hidden="1" x14ac:dyDescent="0.25">
      <c r="A39">
        <v>22</v>
      </c>
      <c r="B39" s="2">
        <v>46062</v>
      </c>
      <c r="C39" s="3">
        <f>1650000+50000</f>
        <v>1700000</v>
      </c>
      <c r="D39" s="18" t="s">
        <v>82</v>
      </c>
      <c r="F39" t="s">
        <v>10</v>
      </c>
      <c r="G39" s="8" t="s">
        <v>65</v>
      </c>
      <c r="H39" t="s">
        <v>19</v>
      </c>
      <c r="I39" t="s">
        <v>20</v>
      </c>
    </row>
    <row r="40" spans="1:9" hidden="1" x14ac:dyDescent="0.25">
      <c r="A40">
        <v>23</v>
      </c>
      <c r="B40" s="21">
        <v>46065</v>
      </c>
      <c r="C40" s="19">
        <f>15500+49000+14400+83115+4900+47200+44500</f>
        <v>258615</v>
      </c>
      <c r="D40" s="18" t="s">
        <v>82</v>
      </c>
      <c r="E40" s="19"/>
      <c r="F40" s="20" t="s">
        <v>10</v>
      </c>
      <c r="G40" s="20" t="s">
        <v>84</v>
      </c>
    </row>
    <row r="41" spans="1:9" hidden="1" x14ac:dyDescent="0.25">
      <c r="A41">
        <v>24</v>
      </c>
      <c r="B41" s="21">
        <v>46065</v>
      </c>
      <c r="C41" s="19">
        <f>38050+47400+30000</f>
        <v>115450</v>
      </c>
      <c r="D41" s="18" t="s">
        <v>82</v>
      </c>
      <c r="E41" s="19"/>
      <c r="F41" s="20" t="s">
        <v>10</v>
      </c>
      <c r="G41" s="20" t="s">
        <v>87</v>
      </c>
    </row>
    <row r="42" spans="1:9" hidden="1" x14ac:dyDescent="0.25">
      <c r="A42">
        <v>25</v>
      </c>
      <c r="B42" s="2">
        <v>46070</v>
      </c>
      <c r="C42" s="3">
        <v>60000</v>
      </c>
      <c r="D42" s="3" t="s">
        <v>8</v>
      </c>
      <c r="F42" t="s">
        <v>2</v>
      </c>
      <c r="G42" s="22" t="s">
        <v>97</v>
      </c>
    </row>
    <row r="43" spans="1:9" hidden="1" x14ac:dyDescent="0.25">
      <c r="A43">
        <v>26</v>
      </c>
      <c r="B43" s="2">
        <v>46071</v>
      </c>
      <c r="C43" s="3">
        <f>1345000+200000</f>
        <v>1545000</v>
      </c>
      <c r="D43" s="3" t="s">
        <v>9</v>
      </c>
      <c r="E43" s="3" t="s">
        <v>101</v>
      </c>
      <c r="F43" t="s">
        <v>10</v>
      </c>
      <c r="G43" t="s">
        <v>29</v>
      </c>
      <c r="H43" t="s">
        <v>28</v>
      </c>
    </row>
    <row r="44" spans="1:9" hidden="1" x14ac:dyDescent="0.25">
      <c r="A44">
        <v>27</v>
      </c>
      <c r="B44" s="2">
        <v>46071</v>
      </c>
      <c r="C44" s="3">
        <v>151300</v>
      </c>
      <c r="D44" s="18" t="s">
        <v>82</v>
      </c>
      <c r="E44" s="3" t="s">
        <v>46</v>
      </c>
      <c r="F44" t="s">
        <v>10</v>
      </c>
      <c r="G44" t="s">
        <v>94</v>
      </c>
      <c r="H44" t="s">
        <v>27</v>
      </c>
    </row>
    <row r="45" spans="1:9" x14ac:dyDescent="0.25">
      <c r="A45">
        <v>28</v>
      </c>
      <c r="B45" s="2">
        <v>46072</v>
      </c>
      <c r="C45" s="3">
        <v>300000</v>
      </c>
      <c r="D45" s="3" t="s">
        <v>9</v>
      </c>
      <c r="E45" s="3" t="s">
        <v>101</v>
      </c>
      <c r="F45" t="s">
        <v>10</v>
      </c>
      <c r="G45" t="s">
        <v>30</v>
      </c>
    </row>
    <row r="46" spans="1:9" hidden="1" x14ac:dyDescent="0.25">
      <c r="A46">
        <v>29</v>
      </c>
      <c r="B46" s="2">
        <v>46048</v>
      </c>
      <c r="C46" s="3">
        <v>150000</v>
      </c>
      <c r="D46" s="18" t="s">
        <v>82</v>
      </c>
      <c r="F46" t="s">
        <v>10</v>
      </c>
      <c r="G46" s="7" t="s">
        <v>86</v>
      </c>
    </row>
    <row r="47" spans="1:9" hidden="1" x14ac:dyDescent="0.25">
      <c r="A47">
        <v>30</v>
      </c>
      <c r="B47" s="2">
        <v>46048</v>
      </c>
      <c r="C47" s="6">
        <v>750000</v>
      </c>
      <c r="D47" s="3" t="s">
        <v>8</v>
      </c>
      <c r="F47" t="s">
        <v>10</v>
      </c>
      <c r="G47" s="7" t="s">
        <v>11</v>
      </c>
    </row>
    <row r="48" spans="1:9" hidden="1" x14ac:dyDescent="0.25">
      <c r="A48">
        <v>31</v>
      </c>
      <c r="B48" s="2">
        <v>46069</v>
      </c>
      <c r="C48" s="3">
        <v>900000</v>
      </c>
      <c r="D48" s="3" t="s">
        <v>8</v>
      </c>
      <c r="F48" t="s">
        <v>2</v>
      </c>
      <c r="G48" s="7" t="s">
        <v>11</v>
      </c>
    </row>
    <row r="49" spans="1:8" hidden="1" x14ac:dyDescent="0.25">
      <c r="A49">
        <v>32</v>
      </c>
      <c r="B49" s="2">
        <v>46070</v>
      </c>
      <c r="C49" s="3">
        <v>730000</v>
      </c>
      <c r="D49" s="18" t="s">
        <v>82</v>
      </c>
      <c r="E49" s="3" t="s">
        <v>89</v>
      </c>
      <c r="F49" t="s">
        <v>10</v>
      </c>
      <c r="G49" t="s">
        <v>90</v>
      </c>
      <c r="H49" t="s">
        <v>91</v>
      </c>
    </row>
    <row r="50" spans="1:8" hidden="1" x14ac:dyDescent="0.25">
      <c r="A50">
        <v>33</v>
      </c>
      <c r="B50" s="2">
        <v>46070</v>
      </c>
      <c r="C50" s="3">
        <v>420000</v>
      </c>
      <c r="D50" s="18" t="s">
        <v>82</v>
      </c>
      <c r="E50" s="3" t="s">
        <v>89</v>
      </c>
      <c r="F50" t="s">
        <v>10</v>
      </c>
      <c r="G50" t="s">
        <v>98</v>
      </c>
      <c r="H50" t="s">
        <v>23</v>
      </c>
    </row>
    <row r="51" spans="1:8" hidden="1" x14ac:dyDescent="0.25">
      <c r="A51">
        <v>34</v>
      </c>
      <c r="B51" s="2">
        <v>46070</v>
      </c>
      <c r="C51" s="3">
        <v>300000</v>
      </c>
      <c r="D51" s="18" t="s">
        <v>82</v>
      </c>
      <c r="F51" t="s">
        <v>10</v>
      </c>
      <c r="G51" s="8" t="s">
        <v>88</v>
      </c>
    </row>
    <row r="52" spans="1:8" hidden="1" x14ac:dyDescent="0.25">
      <c r="A52">
        <v>35</v>
      </c>
      <c r="B52" s="2">
        <v>46070</v>
      </c>
      <c r="C52" s="3">
        <v>140000</v>
      </c>
      <c r="D52" s="18" t="s">
        <v>82</v>
      </c>
      <c r="F52" t="s">
        <v>10</v>
      </c>
      <c r="G52" s="8" t="s">
        <v>92</v>
      </c>
    </row>
    <row r="53" spans="1:8" hidden="1" x14ac:dyDescent="0.25">
      <c r="A53">
        <v>36</v>
      </c>
      <c r="B53" s="2">
        <v>46070</v>
      </c>
      <c r="C53" s="3">
        <v>550000</v>
      </c>
      <c r="D53" s="18" t="s">
        <v>9</v>
      </c>
      <c r="E53" s="3" t="s">
        <v>101</v>
      </c>
      <c r="F53" t="s">
        <v>10</v>
      </c>
      <c r="G53" t="s">
        <v>31</v>
      </c>
    </row>
    <row r="54" spans="1:8" hidden="1" x14ac:dyDescent="0.25">
      <c r="A54">
        <v>37</v>
      </c>
      <c r="B54" s="2">
        <v>46070</v>
      </c>
      <c r="C54" s="3">
        <f>415000+49000</f>
        <v>464000</v>
      </c>
      <c r="D54" s="3" t="s">
        <v>9</v>
      </c>
      <c r="E54" s="3" t="s">
        <v>101</v>
      </c>
      <c r="F54" t="s">
        <v>10</v>
      </c>
      <c r="G54" t="s">
        <v>33</v>
      </c>
    </row>
    <row r="55" spans="1:8" hidden="1" x14ac:dyDescent="0.25">
      <c r="A55">
        <v>38</v>
      </c>
      <c r="B55" s="2">
        <v>46070</v>
      </c>
      <c r="C55" s="3">
        <f>30000+101000</f>
        <v>131000</v>
      </c>
      <c r="D55" s="3" t="s">
        <v>9</v>
      </c>
      <c r="E55" s="3" t="s">
        <v>101</v>
      </c>
      <c r="F55" t="s">
        <v>10</v>
      </c>
      <c r="G55" t="s">
        <v>32</v>
      </c>
    </row>
    <row r="56" spans="1:8" hidden="1" x14ac:dyDescent="0.25">
      <c r="A56">
        <v>40</v>
      </c>
      <c r="B56" s="2">
        <v>46072</v>
      </c>
      <c r="C56" s="3">
        <v>40000</v>
      </c>
      <c r="D56" s="10" t="s">
        <v>24</v>
      </c>
      <c r="E56" s="10"/>
      <c r="F56" t="s">
        <v>10</v>
      </c>
      <c r="G56" t="s">
        <v>93</v>
      </c>
    </row>
    <row r="57" spans="1:8" hidden="1" x14ac:dyDescent="0.25">
      <c r="A57">
        <v>41</v>
      </c>
      <c r="B57" s="2">
        <v>46072</v>
      </c>
      <c r="C57" s="3">
        <v>140000</v>
      </c>
      <c r="D57" s="10" t="s">
        <v>24</v>
      </c>
      <c r="E57" s="10"/>
      <c r="F57" t="s">
        <v>10</v>
      </c>
      <c r="G57" t="s">
        <v>108</v>
      </c>
    </row>
    <row r="58" spans="1:8" hidden="1" x14ac:dyDescent="0.25">
      <c r="A58">
        <v>42</v>
      </c>
      <c r="B58" s="2">
        <v>46072</v>
      </c>
      <c r="C58" s="3">
        <f>3500*580</f>
        <v>2030000</v>
      </c>
      <c r="D58" s="10" t="s">
        <v>24</v>
      </c>
      <c r="E58" s="10"/>
      <c r="F58" t="s">
        <v>10</v>
      </c>
      <c r="G58" t="s">
        <v>85</v>
      </c>
    </row>
    <row r="59" spans="1:8" hidden="1" x14ac:dyDescent="0.25">
      <c r="A59">
        <v>43</v>
      </c>
      <c r="B59" s="2">
        <v>46070</v>
      </c>
      <c r="C59" s="3">
        <v>40000</v>
      </c>
      <c r="D59" s="10" t="s">
        <v>24</v>
      </c>
      <c r="E59" s="10"/>
      <c r="F59" t="s">
        <v>10</v>
      </c>
      <c r="G59" t="s">
        <v>18</v>
      </c>
    </row>
    <row r="60" spans="1:8" hidden="1" x14ac:dyDescent="0.25">
      <c r="A60">
        <v>44</v>
      </c>
      <c r="B60" s="2">
        <v>46073</v>
      </c>
      <c r="C60" s="3">
        <v>15000</v>
      </c>
      <c r="D60" s="3" t="s">
        <v>9</v>
      </c>
      <c r="E60" s="3" t="s">
        <v>101</v>
      </c>
      <c r="F60" t="s">
        <v>2</v>
      </c>
      <c r="G60" s="3" t="s">
        <v>102</v>
      </c>
    </row>
    <row r="61" spans="1:8" hidden="1" x14ac:dyDescent="0.25">
      <c r="A61">
        <v>45</v>
      </c>
      <c r="B61" s="2">
        <v>46073</v>
      </c>
      <c r="C61" s="3">
        <v>619850</v>
      </c>
      <c r="D61" s="10" t="s">
        <v>24</v>
      </c>
      <c r="F61" t="s">
        <v>10</v>
      </c>
      <c r="G61" t="s">
        <v>103</v>
      </c>
    </row>
    <row r="62" spans="1:8" hidden="1" x14ac:dyDescent="0.25">
      <c r="A62">
        <v>46</v>
      </c>
      <c r="B62" s="2">
        <v>46073</v>
      </c>
      <c r="C62" s="3">
        <v>90000</v>
      </c>
      <c r="D62" s="10" t="s">
        <v>24</v>
      </c>
      <c r="F62" t="s">
        <v>10</v>
      </c>
      <c r="G62" t="s">
        <v>104</v>
      </c>
    </row>
    <row r="63" spans="1:8" hidden="1" x14ac:dyDescent="0.25">
      <c r="A63">
        <v>47</v>
      </c>
      <c r="B63" s="2">
        <v>46073</v>
      </c>
      <c r="C63" s="3">
        <v>20000</v>
      </c>
      <c r="D63" s="18" t="s">
        <v>82</v>
      </c>
      <c r="F63" t="s">
        <v>10</v>
      </c>
      <c r="G63" t="s">
        <v>105</v>
      </c>
    </row>
    <row r="64" spans="1:8" hidden="1" x14ac:dyDescent="0.25">
      <c r="A64">
        <v>48</v>
      </c>
      <c r="B64" s="2">
        <v>46073</v>
      </c>
      <c r="C64" s="3">
        <v>260100</v>
      </c>
      <c r="D64" s="3" t="s">
        <v>9</v>
      </c>
      <c r="E64" s="3" t="s">
        <v>46</v>
      </c>
      <c r="F64" t="s">
        <v>10</v>
      </c>
      <c r="G64" t="s">
        <v>106</v>
      </c>
    </row>
    <row r="65" spans="1:7" hidden="1" x14ac:dyDescent="0.25">
      <c r="A65">
        <v>49</v>
      </c>
      <c r="B65" s="2">
        <v>46073</v>
      </c>
      <c r="C65" s="3">
        <v>412000</v>
      </c>
      <c r="D65" s="10" t="s">
        <v>24</v>
      </c>
      <c r="F65" t="s">
        <v>10</v>
      </c>
      <c r="G65" s="1" t="s">
        <v>107</v>
      </c>
    </row>
    <row r="66" spans="1:7" hidden="1" x14ac:dyDescent="0.25">
      <c r="A66">
        <v>50</v>
      </c>
      <c r="B66" s="2">
        <v>46073</v>
      </c>
      <c r="C66" s="3">
        <v>80000</v>
      </c>
      <c r="D66" s="3" t="s">
        <v>9</v>
      </c>
      <c r="F66" t="s">
        <v>2</v>
      </c>
      <c r="G66" t="s">
        <v>113</v>
      </c>
    </row>
    <row r="67" spans="1:7" hidden="1" x14ac:dyDescent="0.25">
      <c r="A67">
        <v>51</v>
      </c>
      <c r="B67" s="2">
        <v>46074</v>
      </c>
      <c r="C67" s="3">
        <v>57000</v>
      </c>
      <c r="D67" s="10" t="s">
        <v>24</v>
      </c>
      <c r="F67" t="s">
        <v>10</v>
      </c>
      <c r="G67" t="s">
        <v>114</v>
      </c>
    </row>
    <row r="68" spans="1:7" hidden="1" x14ac:dyDescent="0.25">
      <c r="B68" s="2">
        <v>46074</v>
      </c>
      <c r="C68" s="3">
        <v>5600</v>
      </c>
      <c r="D68" s="3" t="s">
        <v>8</v>
      </c>
      <c r="F68" t="s">
        <v>10</v>
      </c>
      <c r="G68" t="s">
        <v>115</v>
      </c>
    </row>
    <row r="69" spans="1:7" hidden="1" x14ac:dyDescent="0.25">
      <c r="B69" s="2">
        <v>46074</v>
      </c>
      <c r="C69" s="3">
        <v>15000</v>
      </c>
      <c r="D69" s="3" t="s">
        <v>9</v>
      </c>
      <c r="F69" t="s">
        <v>10</v>
      </c>
      <c r="G69" t="s">
        <v>116</v>
      </c>
    </row>
    <row r="72" spans="1:7" x14ac:dyDescent="0.25">
      <c r="B72" s="2">
        <v>46076</v>
      </c>
      <c r="C72" s="3">
        <v>58200</v>
      </c>
      <c r="D72" s="3" t="s">
        <v>8</v>
      </c>
      <c r="F72" t="s">
        <v>10</v>
      </c>
      <c r="G72" t="s">
        <v>135</v>
      </c>
    </row>
    <row r="73" spans="1:7" x14ac:dyDescent="0.25">
      <c r="B73" s="2">
        <v>46076</v>
      </c>
      <c r="C73" s="3">
        <v>63202</v>
      </c>
      <c r="D73" s="3" t="s">
        <v>8</v>
      </c>
      <c r="F73" t="s">
        <v>10</v>
      </c>
      <c r="G73" t="s">
        <v>119</v>
      </c>
    </row>
    <row r="74" spans="1:7" x14ac:dyDescent="0.25">
      <c r="B74" s="2">
        <v>46076</v>
      </c>
      <c r="C74" s="3">
        <f>8200+1300</f>
        <v>9500</v>
      </c>
      <c r="D74" s="3" t="s">
        <v>8</v>
      </c>
      <c r="F74" t="s">
        <v>10</v>
      </c>
      <c r="G74" t="s">
        <v>12</v>
      </c>
    </row>
    <row r="75" spans="1:7" x14ac:dyDescent="0.25">
      <c r="B75" s="2">
        <v>46076</v>
      </c>
      <c r="C75" s="3">
        <v>20400</v>
      </c>
      <c r="D75" s="10" t="s">
        <v>24</v>
      </c>
      <c r="F75" t="s">
        <v>10</v>
      </c>
      <c r="G75" t="s">
        <v>120</v>
      </c>
    </row>
    <row r="76" spans="1:7" x14ac:dyDescent="0.25">
      <c r="B76" s="2">
        <v>46076</v>
      </c>
      <c r="C76" s="3">
        <v>42500</v>
      </c>
      <c r="D76" s="10" t="s">
        <v>24</v>
      </c>
      <c r="F76" t="s">
        <v>10</v>
      </c>
      <c r="G76" t="s">
        <v>117</v>
      </c>
    </row>
    <row r="77" spans="1:7" x14ac:dyDescent="0.25">
      <c r="B77" s="2">
        <v>46076</v>
      </c>
      <c r="C77" s="3">
        <v>192000</v>
      </c>
      <c r="D77" s="10" t="s">
        <v>24</v>
      </c>
      <c r="F77" t="s">
        <v>10</v>
      </c>
      <c r="G77" t="s">
        <v>118</v>
      </c>
    </row>
    <row r="78" spans="1:7" x14ac:dyDescent="0.25">
      <c r="B78" s="2">
        <v>46076</v>
      </c>
      <c r="C78" s="3">
        <v>260000</v>
      </c>
      <c r="D78" s="3" t="s">
        <v>9</v>
      </c>
      <c r="F78" t="s">
        <v>10</v>
      </c>
      <c r="G78" t="s">
        <v>130</v>
      </c>
    </row>
    <row r="79" spans="1:7" x14ac:dyDescent="0.25">
      <c r="B79" s="2">
        <v>46076</v>
      </c>
      <c r="C79" s="3">
        <v>30000</v>
      </c>
      <c r="D79" s="3" t="s">
        <v>9</v>
      </c>
      <c r="F79" t="s">
        <v>2</v>
      </c>
      <c r="G79" t="s">
        <v>133</v>
      </c>
    </row>
    <row r="80" spans="1:7" x14ac:dyDescent="0.25">
      <c r="B80" s="2">
        <v>46076</v>
      </c>
      <c r="C80" s="16">
        <v>615000</v>
      </c>
      <c r="D80" s="3" t="s">
        <v>8</v>
      </c>
      <c r="F80" t="s">
        <v>2</v>
      </c>
      <c r="G80" t="s">
        <v>134</v>
      </c>
    </row>
    <row r="81" spans="2:7" x14ac:dyDescent="0.25">
      <c r="B81" s="2">
        <v>46076</v>
      </c>
      <c r="C81" s="3">
        <v>81000</v>
      </c>
      <c r="D81" s="3" t="s">
        <v>8</v>
      </c>
      <c r="F81" t="s">
        <v>2</v>
      </c>
      <c r="G81" t="s">
        <v>229</v>
      </c>
    </row>
    <row r="82" spans="2:7" x14ac:dyDescent="0.25">
      <c r="B82" s="2">
        <v>46084</v>
      </c>
      <c r="C82" s="3">
        <v>395000</v>
      </c>
      <c r="D82" s="3" t="s">
        <v>9</v>
      </c>
      <c r="F82" t="s">
        <v>2</v>
      </c>
      <c r="G82" t="s">
        <v>220</v>
      </c>
    </row>
    <row r="83" spans="2:7" x14ac:dyDescent="0.25">
      <c r="B83" s="2">
        <v>46083</v>
      </c>
      <c r="C83" s="3">
        <v>330400</v>
      </c>
      <c r="D83" s="3" t="s">
        <v>9</v>
      </c>
      <c r="F83" t="s">
        <v>2</v>
      </c>
      <c r="G83" t="s">
        <v>228</v>
      </c>
    </row>
  </sheetData>
  <autoFilter ref="B17:I69">
    <filterColumn colId="5">
      <filters>
        <filter val="Despostador"/>
        <filter val="Sistma POS"/>
      </filters>
    </filterColumn>
  </autoFilter>
  <conditionalFormatting sqref="C1:E2 H18:H29 C24:C29 H35:H37 C36:C37 G50 G60">
    <cfRule type="containsText" dxfId="7" priority="19" operator="containsText" text="Patrimonio">
      <formula>NOT(ISERROR(SEARCH("Patrimonio",C1)))</formula>
    </cfRule>
    <cfRule type="containsText" dxfId="6" priority="20" operator="containsText" text="Por Pagar">
      <formula>NOT(ISERROR(SEARCH("Por Pagar",C1)))</formula>
    </cfRule>
  </conditionalFormatting>
  <conditionalFormatting sqref="D5:E1048576">
    <cfRule type="containsText" dxfId="5" priority="1" operator="containsText" text="Patrimonio">
      <formula>NOT(ISERROR(SEARCH("Patrimonio",D5)))</formula>
    </cfRule>
    <cfRule type="containsText" dxfId="4" priority="2" operator="containsText" text="Por Pagar">
      <formula>NOT(ISERROR(SEARCH("Por Pagar",D5)))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 tint="-0.249977111117893"/>
  </sheetPr>
  <dimension ref="A1:AO40"/>
  <sheetViews>
    <sheetView showGridLines="0" zoomScaleNormal="100" workbookViewId="0">
      <pane xSplit="1" ySplit="2" topLeftCell="AI12" activePane="bottomRight" state="frozen"/>
      <selection pane="topRight" activeCell="B1" sqref="B1"/>
      <selection pane="bottomLeft" activeCell="A3" sqref="A3"/>
      <selection pane="bottomRight" activeCell="AP19" sqref="AP19"/>
    </sheetView>
  </sheetViews>
  <sheetFormatPr baseColWidth="10" defaultRowHeight="15" outlineLevelRow="1" outlineLevelCol="1" x14ac:dyDescent="0.25"/>
  <cols>
    <col min="1" max="1" width="18" style="3" bestFit="1" customWidth="1"/>
    <col min="2" max="2" width="4.28515625" customWidth="1" outlineLevel="1"/>
    <col min="3" max="3" width="13" style="3" customWidth="1" outlineLevel="1"/>
    <col min="4" max="4" width="3.42578125" style="3" customWidth="1" outlineLevel="1"/>
    <col min="5" max="5" width="11.42578125" customWidth="1" outlineLevel="1"/>
    <col min="6" max="6" width="3.140625" customWidth="1" outlineLevel="1"/>
    <col min="7" max="7" width="11.42578125" customWidth="1" outlineLevel="1"/>
    <col min="8" max="8" width="3.140625" customWidth="1" outlineLevel="1"/>
    <col min="9" max="9" width="11.42578125" customWidth="1" outlineLevel="1"/>
    <col min="10" max="10" width="3.140625" customWidth="1" outlineLevel="1"/>
    <col min="11" max="11" width="11.42578125" customWidth="1" outlineLevel="1"/>
    <col min="12" max="12" width="3.140625" customWidth="1" outlineLevel="1"/>
    <col min="13" max="13" width="11.42578125" customWidth="1" outlineLevel="1"/>
    <col min="14" max="14" width="3.140625" customWidth="1" outlineLevel="1"/>
    <col min="15" max="15" width="11.42578125" customWidth="1" outlineLevel="1"/>
    <col min="16" max="16" width="3.140625" customWidth="1" outlineLevel="1" collapsed="1"/>
    <col min="17" max="17" width="11.42578125" customWidth="1" outlineLevel="1"/>
    <col min="18" max="18" width="3.140625" customWidth="1" outlineLevel="1" collapsed="1"/>
    <col min="19" max="19" width="11.42578125" customWidth="1" outlineLevel="1"/>
    <col min="20" max="20" width="3.140625" customWidth="1" outlineLevel="1" collapsed="1"/>
    <col min="21" max="21" width="11.42578125" customWidth="1" outlineLevel="1"/>
    <col min="22" max="22" width="3.140625" customWidth="1"/>
    <col min="23" max="23" width="11.42578125" customWidth="1"/>
    <col min="24" max="24" width="3.140625" customWidth="1" collapsed="1"/>
    <col min="25" max="25" width="11.42578125" customWidth="1"/>
    <col min="26" max="26" width="3.140625" customWidth="1" collapsed="1"/>
    <col min="27" max="27" width="11.42578125" customWidth="1"/>
    <col min="28" max="28" width="3.140625" customWidth="1" collapsed="1"/>
    <col min="29" max="29" width="11.42578125" customWidth="1"/>
    <col min="30" max="30" width="3.140625" customWidth="1" collapsed="1"/>
    <col min="31" max="31" width="11.42578125" customWidth="1"/>
    <col min="32" max="32" width="3.140625" customWidth="1" collapsed="1"/>
    <col min="33" max="33" width="11.42578125" customWidth="1"/>
    <col min="34" max="34" width="3.140625" customWidth="1" collapsed="1"/>
    <col min="35" max="35" width="11.42578125" customWidth="1"/>
    <col min="36" max="36" width="3.140625" customWidth="1" collapsed="1"/>
    <col min="37" max="37" width="11.42578125" customWidth="1"/>
    <col min="38" max="38" width="3.140625" customWidth="1" collapsed="1"/>
    <col min="40" max="40" width="3.140625" bestFit="1" customWidth="1" collapsed="1"/>
  </cols>
  <sheetData>
    <row r="1" spans="1:41" x14ac:dyDescent="0.25">
      <c r="A1" s="40"/>
      <c r="C1" s="42">
        <f>+C14-A1</f>
        <v>205600</v>
      </c>
      <c r="D1" s="40"/>
      <c r="E1" s="41"/>
      <c r="F1" s="41"/>
      <c r="G1" s="41"/>
      <c r="O1" s="41" t="str">
        <f>+TEXT(O2,"ddd")</f>
        <v>dom</v>
      </c>
      <c r="P1" s="41"/>
      <c r="Q1" s="41" t="str">
        <f>+TEXT(Q2,"ddd")</f>
        <v>lun</v>
      </c>
      <c r="R1" s="41"/>
      <c r="S1" s="41" t="str">
        <f>+TEXT(S2,"ddd")</f>
        <v>mar</v>
      </c>
      <c r="T1" s="41"/>
      <c r="U1" s="41" t="str">
        <f>+TEXT(U2,"ddd")</f>
        <v>mié</v>
      </c>
      <c r="V1" s="41"/>
      <c r="W1" s="41" t="str">
        <f>+TEXT(W2,"ddd")</f>
        <v>jue</v>
      </c>
      <c r="X1" s="41"/>
      <c r="Y1" s="41" t="str">
        <f>+TEXT(Y2,"ddd")</f>
        <v>sáb</v>
      </c>
      <c r="Z1" s="41"/>
      <c r="AA1" s="41" t="str">
        <f>+TEXT(AA2,"ddd")</f>
        <v>dom</v>
      </c>
      <c r="AB1" s="41"/>
      <c r="AC1" s="41" t="str">
        <f>+TEXT(AC2,"ddd")</f>
        <v>lun</v>
      </c>
      <c r="AD1" s="41"/>
      <c r="AE1" s="41" t="str">
        <f>+TEXT(AE2,"ddd")</f>
        <v>mar</v>
      </c>
      <c r="AF1" s="41"/>
      <c r="AG1" s="41" t="str">
        <f>+TEXT(AG2,"ddd")</f>
        <v>mié</v>
      </c>
      <c r="AH1" s="41"/>
      <c r="AI1" s="41" t="str">
        <f>+TEXT(AI2,"ddd")</f>
        <v>jue</v>
      </c>
      <c r="AJ1" s="41"/>
      <c r="AK1" s="41" t="str">
        <f>+TEXT(AK2,"ddd")</f>
        <v>vie</v>
      </c>
      <c r="AL1" s="41"/>
      <c r="AM1" s="41" t="str">
        <f>+TEXT(AM2,"ddd")</f>
        <v>sáb</v>
      </c>
      <c r="AN1" s="41"/>
      <c r="AO1" s="41" t="str">
        <f>+TEXT(AO2,"ddd")</f>
        <v>dom</v>
      </c>
    </row>
    <row r="2" spans="1:41" x14ac:dyDescent="0.25">
      <c r="A2" s="43" t="s">
        <v>136</v>
      </c>
      <c r="B2" s="44" t="s">
        <v>137</v>
      </c>
      <c r="C2" s="45">
        <v>46076</v>
      </c>
      <c r="D2" s="44" t="s">
        <v>137</v>
      </c>
      <c r="E2" s="45">
        <v>46077</v>
      </c>
      <c r="F2" s="44" t="s">
        <v>137</v>
      </c>
      <c r="G2" s="45">
        <v>46078</v>
      </c>
      <c r="H2" s="44" t="s">
        <v>137</v>
      </c>
      <c r="I2" s="45">
        <v>46079</v>
      </c>
      <c r="J2" s="44" t="s">
        <v>137</v>
      </c>
      <c r="K2" s="45">
        <v>46080</v>
      </c>
      <c r="L2" s="44" t="s">
        <v>137</v>
      </c>
      <c r="M2" s="45">
        <v>46081</v>
      </c>
      <c r="N2" s="44" t="s">
        <v>137</v>
      </c>
      <c r="O2" s="45">
        <v>46082</v>
      </c>
      <c r="P2" s="44" t="s">
        <v>137</v>
      </c>
      <c r="Q2" s="45">
        <v>46083</v>
      </c>
      <c r="R2" s="44" t="s">
        <v>137</v>
      </c>
      <c r="S2" s="45">
        <v>46084</v>
      </c>
      <c r="T2" s="44" t="s">
        <v>137</v>
      </c>
      <c r="U2" s="45">
        <v>46085</v>
      </c>
      <c r="V2" s="44" t="s">
        <v>137</v>
      </c>
      <c r="W2" s="45">
        <v>46086</v>
      </c>
      <c r="X2" s="44" t="s">
        <v>137</v>
      </c>
      <c r="Y2" s="45">
        <v>46088</v>
      </c>
      <c r="Z2" s="44" t="s">
        <v>137</v>
      </c>
      <c r="AA2" s="45">
        <v>46089</v>
      </c>
      <c r="AB2" s="44" t="s">
        <v>137</v>
      </c>
      <c r="AC2" s="45">
        <v>46090</v>
      </c>
      <c r="AD2" s="44" t="s">
        <v>137</v>
      </c>
      <c r="AE2" s="45">
        <v>46091</v>
      </c>
      <c r="AF2" s="44" t="s">
        <v>137</v>
      </c>
      <c r="AG2" s="45">
        <v>46092</v>
      </c>
      <c r="AH2" s="44" t="s">
        <v>137</v>
      </c>
      <c r="AI2" s="45">
        <v>46093</v>
      </c>
      <c r="AJ2" s="44" t="s">
        <v>137</v>
      </c>
      <c r="AK2" s="45">
        <v>46094</v>
      </c>
      <c r="AL2" s="44" t="s">
        <v>137</v>
      </c>
      <c r="AM2" s="45">
        <v>46095</v>
      </c>
      <c r="AN2" s="44" t="s">
        <v>137</v>
      </c>
      <c r="AO2" s="45">
        <v>46096</v>
      </c>
    </row>
    <row r="3" spans="1:41" outlineLevel="1" x14ac:dyDescent="0.25">
      <c r="A3" s="27">
        <v>100000</v>
      </c>
      <c r="B3" s="26">
        <v>0</v>
      </c>
      <c r="C3" s="3">
        <f>+$A3*B3</f>
        <v>0</v>
      </c>
      <c r="D3" s="26">
        <v>0</v>
      </c>
      <c r="E3" s="3">
        <f>+$A3*D3</f>
        <v>0</v>
      </c>
      <c r="F3" s="26">
        <v>0</v>
      </c>
      <c r="G3" s="3"/>
      <c r="H3" s="26">
        <v>0</v>
      </c>
      <c r="I3" s="3">
        <f>+$A3*H3</f>
        <v>0</v>
      </c>
      <c r="J3" s="26">
        <v>1</v>
      </c>
      <c r="K3" s="3">
        <f>+$A3*J3</f>
        <v>100000</v>
      </c>
      <c r="L3" s="26"/>
      <c r="M3" s="3">
        <f>+$A3*L3</f>
        <v>0</v>
      </c>
      <c r="N3" s="26"/>
      <c r="O3" s="3">
        <f>+$A3*N3</f>
        <v>0</v>
      </c>
      <c r="P3" s="26">
        <v>0</v>
      </c>
      <c r="Q3" s="3">
        <f>+$A3*P3</f>
        <v>0</v>
      </c>
      <c r="R3" s="26">
        <v>0</v>
      </c>
      <c r="S3" s="3"/>
      <c r="T3" s="26">
        <v>0</v>
      </c>
      <c r="U3" s="3">
        <v>0</v>
      </c>
      <c r="V3" s="1">
        <v>0</v>
      </c>
      <c r="W3" s="3">
        <v>0</v>
      </c>
      <c r="X3" s="1">
        <v>0</v>
      </c>
      <c r="Y3" s="3">
        <v>0</v>
      </c>
      <c r="Z3" s="1">
        <v>0</v>
      </c>
      <c r="AA3" s="3">
        <v>0</v>
      </c>
      <c r="AB3" s="1">
        <v>2</v>
      </c>
      <c r="AC3" s="3">
        <f t="shared" ref="AA3:AC5" si="0">+$A3*AB3</f>
        <v>200000</v>
      </c>
      <c r="AD3" s="1">
        <v>0</v>
      </c>
      <c r="AE3" s="3">
        <f t="shared" ref="AE3:AG13" si="1">+$A3*AD3</f>
        <v>0</v>
      </c>
      <c r="AF3" s="1">
        <v>0</v>
      </c>
      <c r="AG3" s="3">
        <f t="shared" si="1"/>
        <v>0</v>
      </c>
      <c r="AH3" s="1">
        <v>0</v>
      </c>
      <c r="AI3" s="3">
        <f t="shared" ref="AI3:AI13" si="2">+$A3*AH3</f>
        <v>0</v>
      </c>
      <c r="AJ3" s="1"/>
      <c r="AK3" s="3"/>
      <c r="AL3" s="1">
        <v>0</v>
      </c>
      <c r="AM3" s="3">
        <f t="shared" ref="AM3:AM13" si="3">+$A3*AL3</f>
        <v>0</v>
      </c>
      <c r="AN3" s="1">
        <v>0</v>
      </c>
      <c r="AO3" s="3">
        <f t="shared" ref="AO3:AO13" si="4">+$A3*AN3</f>
        <v>0</v>
      </c>
    </row>
    <row r="4" spans="1:41" outlineLevel="1" x14ac:dyDescent="0.25">
      <c r="A4" s="27">
        <v>50000</v>
      </c>
      <c r="B4" s="26">
        <v>1</v>
      </c>
      <c r="C4" s="3">
        <f t="shared" ref="C4:C13" si="5">+A4*B4</f>
        <v>50000</v>
      </c>
      <c r="D4" s="26">
        <v>1</v>
      </c>
      <c r="E4" s="3">
        <f t="shared" ref="E4:E13" si="6">+$A4*D4</f>
        <v>50000</v>
      </c>
      <c r="F4" s="26">
        <v>1</v>
      </c>
      <c r="G4" s="3"/>
      <c r="H4" s="26">
        <v>0</v>
      </c>
      <c r="I4" s="3">
        <f t="shared" ref="I4" si="7">+$A4*H4</f>
        <v>0</v>
      </c>
      <c r="J4" s="26">
        <v>2</v>
      </c>
      <c r="K4" s="3">
        <f t="shared" ref="K4" si="8">+$A4*J4</f>
        <v>100000</v>
      </c>
      <c r="L4" s="26">
        <v>0</v>
      </c>
      <c r="M4" s="3">
        <f t="shared" ref="M4" si="9">+$A4*L4</f>
        <v>0</v>
      </c>
      <c r="N4" s="26">
        <v>0</v>
      </c>
      <c r="O4" s="3">
        <f t="shared" ref="O4" si="10">+$A4*N4</f>
        <v>0</v>
      </c>
      <c r="P4" s="26">
        <v>1</v>
      </c>
      <c r="Q4" s="3">
        <f t="shared" ref="Q4" si="11">+$A4*P4</f>
        <v>50000</v>
      </c>
      <c r="R4" s="26">
        <v>1</v>
      </c>
      <c r="S4" s="3"/>
      <c r="T4" s="26">
        <v>0</v>
      </c>
      <c r="U4" s="3">
        <f t="shared" ref="U4:U5" si="12">+$A4*T4</f>
        <v>0</v>
      </c>
      <c r="V4" s="1">
        <v>1</v>
      </c>
      <c r="W4" s="3">
        <f t="shared" ref="W4:W5" si="13">+$A4*V4</f>
        <v>50000</v>
      </c>
      <c r="X4" s="1">
        <v>0</v>
      </c>
      <c r="Y4" s="3">
        <f t="shared" ref="Y4:Y5" si="14">+$A4*X4</f>
        <v>0</v>
      </c>
      <c r="Z4" s="1">
        <v>1</v>
      </c>
      <c r="AA4" s="3">
        <f t="shared" si="0"/>
        <v>50000</v>
      </c>
      <c r="AB4" s="1">
        <v>0</v>
      </c>
      <c r="AC4" s="3">
        <f t="shared" si="0"/>
        <v>0</v>
      </c>
      <c r="AD4" s="1">
        <v>1</v>
      </c>
      <c r="AE4" s="3">
        <f t="shared" si="1"/>
        <v>50000</v>
      </c>
      <c r="AF4" s="1">
        <v>0</v>
      </c>
      <c r="AG4" s="3">
        <f t="shared" si="1"/>
        <v>0</v>
      </c>
      <c r="AH4" s="1">
        <v>0</v>
      </c>
      <c r="AI4" s="3">
        <f t="shared" si="2"/>
        <v>0</v>
      </c>
      <c r="AJ4" s="1"/>
      <c r="AK4" s="3"/>
      <c r="AL4" s="1">
        <v>0</v>
      </c>
      <c r="AM4" s="3">
        <f t="shared" si="3"/>
        <v>0</v>
      </c>
      <c r="AN4" s="1">
        <v>0</v>
      </c>
      <c r="AO4" s="3">
        <f t="shared" si="4"/>
        <v>0</v>
      </c>
    </row>
    <row r="5" spans="1:41" outlineLevel="1" x14ac:dyDescent="0.25">
      <c r="A5" s="27">
        <v>20000</v>
      </c>
      <c r="B5" s="26">
        <v>4</v>
      </c>
      <c r="C5" s="3">
        <f t="shared" si="5"/>
        <v>80000</v>
      </c>
      <c r="D5" s="26">
        <v>5</v>
      </c>
      <c r="E5" s="3">
        <f>+$A5*D5</f>
        <v>100000</v>
      </c>
      <c r="F5" s="26">
        <v>5</v>
      </c>
      <c r="G5" s="3"/>
      <c r="H5" s="26">
        <v>4</v>
      </c>
      <c r="I5" s="3">
        <f>+$A5*H5</f>
        <v>80000</v>
      </c>
      <c r="J5" s="26"/>
      <c r="K5" s="3">
        <f>+$A5*J5</f>
        <v>0</v>
      </c>
      <c r="L5" s="26">
        <v>0</v>
      </c>
      <c r="M5" s="3">
        <f>+$A5*L5</f>
        <v>0</v>
      </c>
      <c r="N5" s="26">
        <v>0</v>
      </c>
      <c r="O5" s="3">
        <f>+$A5*N5</f>
        <v>0</v>
      </c>
      <c r="P5" s="26">
        <v>1</v>
      </c>
      <c r="Q5" s="3">
        <f>+$A5*P5</f>
        <v>20000</v>
      </c>
      <c r="R5" s="26">
        <v>1</v>
      </c>
      <c r="S5" s="3"/>
      <c r="T5" s="26">
        <v>0</v>
      </c>
      <c r="U5" s="3">
        <f t="shared" si="12"/>
        <v>0</v>
      </c>
      <c r="V5" s="1">
        <v>0</v>
      </c>
      <c r="W5" s="3">
        <f t="shared" si="13"/>
        <v>0</v>
      </c>
      <c r="X5" s="1">
        <v>0</v>
      </c>
      <c r="Y5" s="3">
        <f t="shared" si="14"/>
        <v>0</v>
      </c>
      <c r="Z5" s="1">
        <v>1</v>
      </c>
      <c r="AA5" s="3">
        <f t="shared" si="0"/>
        <v>20000</v>
      </c>
      <c r="AB5" s="1">
        <v>0</v>
      </c>
      <c r="AC5" s="3">
        <f t="shared" si="0"/>
        <v>0</v>
      </c>
      <c r="AD5" s="1">
        <v>0</v>
      </c>
      <c r="AE5" s="3">
        <f t="shared" si="1"/>
        <v>0</v>
      </c>
      <c r="AF5" s="1">
        <v>0</v>
      </c>
      <c r="AG5" s="3">
        <f t="shared" si="1"/>
        <v>0</v>
      </c>
      <c r="AH5" s="1">
        <v>0</v>
      </c>
      <c r="AI5" s="3">
        <f t="shared" si="2"/>
        <v>0</v>
      </c>
      <c r="AJ5" s="1"/>
      <c r="AK5" s="3"/>
      <c r="AL5" s="1">
        <v>2</v>
      </c>
      <c r="AM5" s="3">
        <f t="shared" si="3"/>
        <v>40000</v>
      </c>
      <c r="AN5" s="1">
        <v>0</v>
      </c>
      <c r="AO5" s="3">
        <f t="shared" si="4"/>
        <v>0</v>
      </c>
    </row>
    <row r="6" spans="1:41" outlineLevel="1" x14ac:dyDescent="0.25">
      <c r="A6" s="27">
        <v>10000</v>
      </c>
      <c r="B6" s="26">
        <v>2</v>
      </c>
      <c r="C6" s="3">
        <f t="shared" si="5"/>
        <v>20000</v>
      </c>
      <c r="D6" s="26">
        <v>2</v>
      </c>
      <c r="E6" s="3">
        <f>+$A6*D6</f>
        <v>20000</v>
      </c>
      <c r="F6" s="26">
        <v>2</v>
      </c>
      <c r="G6" s="3"/>
      <c r="H6" s="26">
        <v>1</v>
      </c>
      <c r="I6" s="3">
        <f>+$A6*H6</f>
        <v>10000</v>
      </c>
      <c r="J6" s="26">
        <v>1</v>
      </c>
      <c r="K6" s="3">
        <f>+$A6*J6</f>
        <v>10000</v>
      </c>
      <c r="L6" s="26">
        <v>5</v>
      </c>
      <c r="M6" s="3">
        <f>+$A6*L6</f>
        <v>50000</v>
      </c>
      <c r="N6" s="26">
        <v>5</v>
      </c>
      <c r="O6" s="3">
        <f>+$A6*N6</f>
        <v>50000</v>
      </c>
      <c r="P6" s="26">
        <v>4</v>
      </c>
      <c r="Q6" s="3">
        <f>+$A6*P6</f>
        <v>40000</v>
      </c>
      <c r="R6" s="26">
        <v>4</v>
      </c>
      <c r="S6" s="3"/>
      <c r="T6" s="26">
        <v>4</v>
      </c>
      <c r="U6" s="3">
        <f>+$A6*T6</f>
        <v>40000</v>
      </c>
      <c r="V6" s="1">
        <v>2</v>
      </c>
      <c r="W6" s="3">
        <f>+$A6*V6</f>
        <v>20000</v>
      </c>
      <c r="X6" s="1">
        <v>1</v>
      </c>
      <c r="Y6" s="3">
        <f>+$A6*X6</f>
        <v>10000</v>
      </c>
      <c r="Z6" s="1">
        <v>1</v>
      </c>
      <c r="AA6" s="3">
        <f>+$A6*Z6</f>
        <v>10000</v>
      </c>
      <c r="AB6" s="1">
        <v>2</v>
      </c>
      <c r="AC6" s="3">
        <f>+$A6*AB6</f>
        <v>20000</v>
      </c>
      <c r="AD6" s="1">
        <v>1</v>
      </c>
      <c r="AE6" s="3">
        <f t="shared" si="1"/>
        <v>10000</v>
      </c>
      <c r="AF6" s="1">
        <v>0</v>
      </c>
      <c r="AG6" s="3">
        <f t="shared" si="1"/>
        <v>0</v>
      </c>
      <c r="AH6" s="1">
        <v>1</v>
      </c>
      <c r="AI6" s="3">
        <f t="shared" si="2"/>
        <v>10000</v>
      </c>
      <c r="AJ6" s="1"/>
      <c r="AK6" s="3"/>
      <c r="AL6" s="1">
        <v>4</v>
      </c>
      <c r="AM6" s="3">
        <f t="shared" si="3"/>
        <v>40000</v>
      </c>
      <c r="AN6" s="1">
        <v>0</v>
      </c>
      <c r="AO6" s="3">
        <f t="shared" si="4"/>
        <v>0</v>
      </c>
    </row>
    <row r="7" spans="1:41" outlineLevel="1" x14ac:dyDescent="0.25">
      <c r="A7" s="27">
        <v>5000</v>
      </c>
      <c r="B7" s="26">
        <v>2</v>
      </c>
      <c r="C7" s="3">
        <f t="shared" si="5"/>
        <v>10000</v>
      </c>
      <c r="D7" s="26">
        <v>4</v>
      </c>
      <c r="E7" s="3">
        <f t="shared" si="6"/>
        <v>20000</v>
      </c>
      <c r="F7" s="26">
        <v>4</v>
      </c>
      <c r="G7" s="3"/>
      <c r="H7" s="26">
        <v>6</v>
      </c>
      <c r="I7" s="3">
        <f t="shared" ref="I7:I13" si="15">+$A7*H7</f>
        <v>30000</v>
      </c>
      <c r="J7" s="26">
        <v>5</v>
      </c>
      <c r="K7" s="3">
        <f t="shared" ref="K7:K13" si="16">+$A7*J7</f>
        <v>25000</v>
      </c>
      <c r="L7" s="26">
        <v>5</v>
      </c>
      <c r="M7" s="3">
        <f t="shared" ref="M7:M13" si="17">+$A7*L7</f>
        <v>25000</v>
      </c>
      <c r="N7" s="26">
        <v>5</v>
      </c>
      <c r="O7" s="3">
        <f t="shared" ref="O7:O13" si="18">+$A7*N7</f>
        <v>25000</v>
      </c>
      <c r="P7" s="26">
        <v>3</v>
      </c>
      <c r="Q7" s="3">
        <f t="shared" ref="Q7:Q13" si="19">+$A7*P7</f>
        <v>15000</v>
      </c>
      <c r="R7" s="26">
        <v>3</v>
      </c>
      <c r="S7" s="3"/>
      <c r="T7" s="26">
        <v>3</v>
      </c>
      <c r="U7" s="3">
        <f t="shared" ref="U7:U13" si="20">+$A7*T7</f>
        <v>15000</v>
      </c>
      <c r="V7" s="1">
        <v>4</v>
      </c>
      <c r="W7" s="3">
        <f t="shared" ref="W7:W13" si="21">+$A7*V7</f>
        <v>20000</v>
      </c>
      <c r="X7" s="1">
        <v>0</v>
      </c>
      <c r="Y7" s="3">
        <f t="shared" ref="Y7:Y13" si="22">+$A7*X7</f>
        <v>0</v>
      </c>
      <c r="Z7" s="1">
        <v>0</v>
      </c>
      <c r="AA7" s="3">
        <f t="shared" ref="AA7:AC13" si="23">+$A7*Z7</f>
        <v>0</v>
      </c>
      <c r="AB7" s="1">
        <v>3</v>
      </c>
      <c r="AC7" s="3">
        <f t="shared" si="23"/>
        <v>15000</v>
      </c>
      <c r="AD7" s="1">
        <v>3</v>
      </c>
      <c r="AE7" s="3">
        <f t="shared" si="1"/>
        <v>15000</v>
      </c>
      <c r="AF7" s="1">
        <v>5</v>
      </c>
      <c r="AG7" s="3">
        <f t="shared" si="1"/>
        <v>25000</v>
      </c>
      <c r="AH7" s="1">
        <v>3</v>
      </c>
      <c r="AI7" s="3">
        <f t="shared" si="2"/>
        <v>15000</v>
      </c>
      <c r="AJ7" s="1"/>
      <c r="AK7" s="3"/>
      <c r="AL7" s="1">
        <v>8</v>
      </c>
      <c r="AM7" s="3">
        <f t="shared" si="3"/>
        <v>40000</v>
      </c>
      <c r="AN7" s="1">
        <v>3</v>
      </c>
      <c r="AO7" s="3">
        <f t="shared" si="4"/>
        <v>15000</v>
      </c>
    </row>
    <row r="8" spans="1:41" outlineLevel="1" x14ac:dyDescent="0.25">
      <c r="A8" s="27">
        <v>2000</v>
      </c>
      <c r="B8" s="26">
        <v>4</v>
      </c>
      <c r="C8" s="3">
        <f t="shared" si="5"/>
        <v>8000</v>
      </c>
      <c r="D8" s="26">
        <v>5</v>
      </c>
      <c r="E8" s="3">
        <f t="shared" si="6"/>
        <v>10000</v>
      </c>
      <c r="F8" s="26">
        <v>5</v>
      </c>
      <c r="G8" s="3"/>
      <c r="H8" s="26">
        <v>12</v>
      </c>
      <c r="I8" s="3">
        <f t="shared" si="15"/>
        <v>24000</v>
      </c>
      <c r="J8" s="26">
        <v>17</v>
      </c>
      <c r="K8" s="3">
        <f t="shared" si="16"/>
        <v>34000</v>
      </c>
      <c r="L8" s="26">
        <v>14</v>
      </c>
      <c r="M8" s="3">
        <f t="shared" si="17"/>
        <v>28000</v>
      </c>
      <c r="N8" s="26">
        <v>14</v>
      </c>
      <c r="O8" s="3">
        <f t="shared" si="18"/>
        <v>28000</v>
      </c>
      <c r="P8" s="26">
        <v>10</v>
      </c>
      <c r="Q8" s="3">
        <f t="shared" si="19"/>
        <v>20000</v>
      </c>
      <c r="R8" s="26">
        <v>10</v>
      </c>
      <c r="S8" s="3"/>
      <c r="T8" s="26">
        <v>12</v>
      </c>
      <c r="U8" s="3">
        <f t="shared" si="20"/>
        <v>24000</v>
      </c>
      <c r="V8" s="1">
        <v>22</v>
      </c>
      <c r="W8" s="3">
        <f t="shared" si="21"/>
        <v>44000</v>
      </c>
      <c r="X8" s="1">
        <v>23</v>
      </c>
      <c r="Y8" s="3">
        <f t="shared" si="22"/>
        <v>46000</v>
      </c>
      <c r="Z8" s="1">
        <v>20</v>
      </c>
      <c r="AA8" s="3">
        <f t="shared" si="23"/>
        <v>40000</v>
      </c>
      <c r="AB8" s="1">
        <v>25</v>
      </c>
      <c r="AC8" s="3">
        <f t="shared" si="23"/>
        <v>50000</v>
      </c>
      <c r="AD8" s="1">
        <v>25</v>
      </c>
      <c r="AE8" s="3">
        <f t="shared" si="1"/>
        <v>50000</v>
      </c>
      <c r="AF8" s="1">
        <v>25</v>
      </c>
      <c r="AG8" s="3">
        <f t="shared" si="1"/>
        <v>50000</v>
      </c>
      <c r="AH8" s="1">
        <v>20</v>
      </c>
      <c r="AI8" s="3">
        <f t="shared" si="2"/>
        <v>40000</v>
      </c>
      <c r="AJ8" s="1"/>
      <c r="AK8" s="3"/>
      <c r="AL8" s="1">
        <v>23</v>
      </c>
      <c r="AM8" s="3">
        <f t="shared" si="3"/>
        <v>46000</v>
      </c>
      <c r="AN8" s="1">
        <v>18</v>
      </c>
      <c r="AO8" s="3">
        <f t="shared" si="4"/>
        <v>36000</v>
      </c>
    </row>
    <row r="9" spans="1:41" outlineLevel="1" x14ac:dyDescent="0.25">
      <c r="A9" s="27">
        <v>1000</v>
      </c>
      <c r="B9" s="26">
        <v>7</v>
      </c>
      <c r="C9" s="3">
        <f t="shared" si="5"/>
        <v>7000</v>
      </c>
      <c r="D9" s="26">
        <v>8</v>
      </c>
      <c r="E9" s="3">
        <f t="shared" si="6"/>
        <v>8000</v>
      </c>
      <c r="F9" s="26">
        <v>8</v>
      </c>
      <c r="G9" s="3"/>
      <c r="H9" s="26">
        <v>3</v>
      </c>
      <c r="I9" s="3">
        <f t="shared" si="15"/>
        <v>3000</v>
      </c>
      <c r="J9" s="26">
        <v>2</v>
      </c>
      <c r="K9" s="3">
        <f t="shared" si="16"/>
        <v>2000</v>
      </c>
      <c r="L9" s="26">
        <v>0</v>
      </c>
      <c r="M9" s="3">
        <f t="shared" si="17"/>
        <v>0</v>
      </c>
      <c r="N9" s="26">
        <v>0</v>
      </c>
      <c r="O9" s="3">
        <f t="shared" si="18"/>
        <v>0</v>
      </c>
      <c r="P9" s="26">
        <v>0</v>
      </c>
      <c r="Q9" s="3">
        <f t="shared" si="19"/>
        <v>0</v>
      </c>
      <c r="R9" s="26">
        <v>0</v>
      </c>
      <c r="S9" s="3"/>
      <c r="T9" s="26">
        <v>20</v>
      </c>
      <c r="U9" s="3">
        <f t="shared" si="20"/>
        <v>20000</v>
      </c>
      <c r="V9" s="1">
        <v>16</v>
      </c>
      <c r="W9" s="3">
        <f t="shared" si="21"/>
        <v>16000</v>
      </c>
      <c r="X9" s="1">
        <v>12</v>
      </c>
      <c r="Y9" s="3">
        <f t="shared" si="22"/>
        <v>12000</v>
      </c>
      <c r="Z9" s="1">
        <v>9</v>
      </c>
      <c r="AA9" s="3">
        <f t="shared" si="23"/>
        <v>9000</v>
      </c>
      <c r="AB9" s="1">
        <v>6</v>
      </c>
      <c r="AC9" s="3">
        <f t="shared" si="23"/>
        <v>6000</v>
      </c>
      <c r="AD9" s="1">
        <v>11</v>
      </c>
      <c r="AE9" s="3">
        <f t="shared" si="1"/>
        <v>11000</v>
      </c>
      <c r="AF9" s="1">
        <v>10</v>
      </c>
      <c r="AG9" s="3">
        <f t="shared" si="1"/>
        <v>10000</v>
      </c>
      <c r="AH9" s="1">
        <v>6</v>
      </c>
      <c r="AI9" s="3">
        <f t="shared" si="2"/>
        <v>6000</v>
      </c>
      <c r="AJ9" s="1"/>
      <c r="AK9" s="3"/>
      <c r="AL9" s="1">
        <v>11</v>
      </c>
      <c r="AM9" s="3">
        <f t="shared" si="3"/>
        <v>11000</v>
      </c>
      <c r="AN9" s="1">
        <v>9</v>
      </c>
      <c r="AO9" s="3">
        <f t="shared" si="4"/>
        <v>9000</v>
      </c>
    </row>
    <row r="10" spans="1:41" outlineLevel="1" x14ac:dyDescent="0.25">
      <c r="A10" s="27">
        <v>500</v>
      </c>
      <c r="B10" s="26">
        <v>31</v>
      </c>
      <c r="C10" s="3">
        <f t="shared" si="5"/>
        <v>15500</v>
      </c>
      <c r="D10" s="26">
        <v>32</v>
      </c>
      <c r="E10" s="3">
        <f t="shared" si="6"/>
        <v>16000</v>
      </c>
      <c r="F10" s="26">
        <v>32</v>
      </c>
      <c r="G10" s="3"/>
      <c r="H10" s="26">
        <v>38</v>
      </c>
      <c r="I10" s="3">
        <f t="shared" si="15"/>
        <v>19000</v>
      </c>
      <c r="J10" s="26">
        <v>37</v>
      </c>
      <c r="K10" s="3">
        <f t="shared" si="16"/>
        <v>18500</v>
      </c>
      <c r="L10" s="26">
        <v>36</v>
      </c>
      <c r="M10" s="3">
        <f t="shared" si="17"/>
        <v>18000</v>
      </c>
      <c r="N10" s="26">
        <v>36</v>
      </c>
      <c r="O10" s="3">
        <f t="shared" si="18"/>
        <v>18000</v>
      </c>
      <c r="P10" s="26">
        <v>36</v>
      </c>
      <c r="Q10" s="3">
        <f t="shared" si="19"/>
        <v>18000</v>
      </c>
      <c r="R10" s="26">
        <v>36</v>
      </c>
      <c r="S10" s="3"/>
      <c r="T10" s="26">
        <v>40</v>
      </c>
      <c r="U10" s="3">
        <f t="shared" si="20"/>
        <v>20000</v>
      </c>
      <c r="V10" s="1">
        <v>45</v>
      </c>
      <c r="W10" s="3">
        <f t="shared" si="21"/>
        <v>22500</v>
      </c>
      <c r="X10" s="1">
        <v>31</v>
      </c>
      <c r="Y10" s="3">
        <f t="shared" si="22"/>
        <v>15500</v>
      </c>
      <c r="Z10" s="1">
        <v>20</v>
      </c>
      <c r="AA10" s="3">
        <f t="shared" si="23"/>
        <v>10000</v>
      </c>
      <c r="AB10" s="1">
        <v>21</v>
      </c>
      <c r="AC10" s="3">
        <f t="shared" si="23"/>
        <v>10500</v>
      </c>
      <c r="AD10" s="1">
        <v>21</v>
      </c>
      <c r="AE10" s="3">
        <f t="shared" si="1"/>
        <v>10500</v>
      </c>
      <c r="AF10" s="1">
        <v>35</v>
      </c>
      <c r="AG10" s="3">
        <f t="shared" si="1"/>
        <v>17500</v>
      </c>
      <c r="AH10" s="1">
        <v>20</v>
      </c>
      <c r="AI10" s="3">
        <f t="shared" si="2"/>
        <v>10000</v>
      </c>
      <c r="AJ10" s="1"/>
      <c r="AK10" s="3"/>
      <c r="AL10" s="1">
        <v>42</v>
      </c>
      <c r="AM10" s="3">
        <f t="shared" si="3"/>
        <v>21000</v>
      </c>
      <c r="AN10" s="1">
        <v>44</v>
      </c>
      <c r="AO10" s="3">
        <f t="shared" si="4"/>
        <v>22000</v>
      </c>
    </row>
    <row r="11" spans="1:41" outlineLevel="1" x14ac:dyDescent="0.25">
      <c r="A11" s="27">
        <v>200</v>
      </c>
      <c r="B11" s="26">
        <v>54</v>
      </c>
      <c r="C11" s="3">
        <f t="shared" si="5"/>
        <v>10800</v>
      </c>
      <c r="D11" s="26">
        <v>56</v>
      </c>
      <c r="E11" s="3">
        <f t="shared" si="6"/>
        <v>11200</v>
      </c>
      <c r="F11" s="26">
        <v>56</v>
      </c>
      <c r="G11" s="3"/>
      <c r="H11" s="26">
        <v>62</v>
      </c>
      <c r="I11" s="3">
        <f t="shared" si="15"/>
        <v>12400</v>
      </c>
      <c r="J11" s="26">
        <v>62</v>
      </c>
      <c r="K11" s="3">
        <f t="shared" si="16"/>
        <v>12400</v>
      </c>
      <c r="L11" s="26">
        <v>68</v>
      </c>
      <c r="M11" s="3">
        <f t="shared" si="17"/>
        <v>13600</v>
      </c>
      <c r="N11" s="26">
        <v>68</v>
      </c>
      <c r="O11" s="3">
        <f t="shared" si="18"/>
        <v>13600</v>
      </c>
      <c r="P11" s="26">
        <v>81</v>
      </c>
      <c r="Q11" s="3">
        <f t="shared" si="19"/>
        <v>16200</v>
      </c>
      <c r="R11" s="26">
        <v>81</v>
      </c>
      <c r="S11" s="3"/>
      <c r="T11" s="26">
        <v>3</v>
      </c>
      <c r="U11" s="3">
        <f t="shared" si="20"/>
        <v>600</v>
      </c>
      <c r="V11" s="1">
        <v>5</v>
      </c>
      <c r="W11" s="3">
        <f t="shared" si="21"/>
        <v>1000</v>
      </c>
      <c r="X11" s="1">
        <v>4</v>
      </c>
      <c r="Y11" s="3">
        <f t="shared" si="22"/>
        <v>800</v>
      </c>
      <c r="Z11" s="1">
        <v>4</v>
      </c>
      <c r="AA11" s="3">
        <f t="shared" si="23"/>
        <v>800</v>
      </c>
      <c r="AB11" s="1">
        <v>7</v>
      </c>
      <c r="AC11" s="3">
        <f t="shared" si="23"/>
        <v>1400</v>
      </c>
      <c r="AD11" s="1">
        <v>13</v>
      </c>
      <c r="AE11" s="3">
        <f t="shared" si="1"/>
        <v>2600</v>
      </c>
      <c r="AF11" s="1">
        <v>9</v>
      </c>
      <c r="AG11" s="3">
        <f t="shared" si="1"/>
        <v>1800</v>
      </c>
      <c r="AH11" s="1">
        <v>6</v>
      </c>
      <c r="AI11" s="3">
        <f t="shared" si="2"/>
        <v>1200</v>
      </c>
      <c r="AJ11" s="1"/>
      <c r="AK11" s="3"/>
      <c r="AL11" s="1">
        <v>10</v>
      </c>
      <c r="AM11" s="3">
        <f t="shared" si="3"/>
        <v>2000</v>
      </c>
      <c r="AN11" s="1">
        <v>13</v>
      </c>
      <c r="AO11" s="3">
        <f t="shared" si="4"/>
        <v>2600</v>
      </c>
    </row>
    <row r="12" spans="1:41" outlineLevel="1" x14ac:dyDescent="0.25">
      <c r="A12" s="27">
        <v>100</v>
      </c>
      <c r="B12" s="26">
        <v>38</v>
      </c>
      <c r="C12" s="3">
        <f t="shared" si="5"/>
        <v>3800</v>
      </c>
      <c r="D12" s="26">
        <v>39</v>
      </c>
      <c r="E12" s="3">
        <f t="shared" si="6"/>
        <v>3900</v>
      </c>
      <c r="F12" s="26">
        <v>39</v>
      </c>
      <c r="G12" s="3"/>
      <c r="H12" s="26">
        <v>51</v>
      </c>
      <c r="I12" s="3">
        <f t="shared" si="15"/>
        <v>5100</v>
      </c>
      <c r="J12" s="26">
        <v>48</v>
      </c>
      <c r="K12" s="3">
        <f t="shared" si="16"/>
        <v>4800</v>
      </c>
      <c r="L12" s="26">
        <v>63</v>
      </c>
      <c r="M12" s="3">
        <f t="shared" si="17"/>
        <v>6300</v>
      </c>
      <c r="N12" s="26">
        <v>63</v>
      </c>
      <c r="O12" s="3">
        <f t="shared" si="18"/>
        <v>6300</v>
      </c>
      <c r="P12" s="26">
        <v>77</v>
      </c>
      <c r="Q12" s="3">
        <f t="shared" si="19"/>
        <v>7700</v>
      </c>
      <c r="R12" s="26">
        <v>77</v>
      </c>
      <c r="S12" s="3"/>
      <c r="T12" s="26">
        <v>9</v>
      </c>
      <c r="U12" s="3">
        <f t="shared" si="20"/>
        <v>900</v>
      </c>
      <c r="V12" s="1">
        <v>11</v>
      </c>
      <c r="W12" s="3">
        <f t="shared" si="21"/>
        <v>1100</v>
      </c>
      <c r="X12" s="1">
        <v>13</v>
      </c>
      <c r="Y12" s="3">
        <f t="shared" si="22"/>
        <v>1300</v>
      </c>
      <c r="Z12" s="1">
        <v>13</v>
      </c>
      <c r="AA12" s="3">
        <f t="shared" si="23"/>
        <v>1300</v>
      </c>
      <c r="AB12" s="1">
        <v>14</v>
      </c>
      <c r="AC12" s="3">
        <f t="shared" si="23"/>
        <v>1400</v>
      </c>
      <c r="AD12" s="1">
        <v>15</v>
      </c>
      <c r="AE12" s="3">
        <f t="shared" si="1"/>
        <v>1500</v>
      </c>
      <c r="AF12" s="1">
        <v>15</v>
      </c>
      <c r="AG12" s="3">
        <f t="shared" si="1"/>
        <v>1500</v>
      </c>
      <c r="AH12" s="1">
        <v>17</v>
      </c>
      <c r="AI12" s="3">
        <f t="shared" si="2"/>
        <v>1700</v>
      </c>
      <c r="AJ12" s="1"/>
      <c r="AK12" s="3"/>
      <c r="AL12" s="1">
        <v>29</v>
      </c>
      <c r="AM12" s="3">
        <f t="shared" si="3"/>
        <v>2900</v>
      </c>
      <c r="AN12" s="1">
        <v>29</v>
      </c>
      <c r="AO12" s="3">
        <f t="shared" si="4"/>
        <v>2900</v>
      </c>
    </row>
    <row r="13" spans="1:41" ht="15.75" outlineLevel="1" thickBot="1" x14ac:dyDescent="0.3">
      <c r="A13" s="27">
        <v>50</v>
      </c>
      <c r="B13" s="26">
        <v>10</v>
      </c>
      <c r="C13" s="28">
        <f t="shared" si="5"/>
        <v>500</v>
      </c>
      <c r="D13" s="26">
        <v>10</v>
      </c>
      <c r="E13" s="28">
        <f t="shared" si="6"/>
        <v>500</v>
      </c>
      <c r="F13" s="26">
        <v>10</v>
      </c>
      <c r="G13" s="28"/>
      <c r="H13" s="26">
        <v>10</v>
      </c>
      <c r="I13" s="28">
        <f t="shared" si="15"/>
        <v>500</v>
      </c>
      <c r="J13" s="26">
        <v>10</v>
      </c>
      <c r="K13" s="28">
        <f t="shared" si="16"/>
        <v>500</v>
      </c>
      <c r="L13" s="26">
        <v>10</v>
      </c>
      <c r="M13" s="28">
        <f t="shared" si="17"/>
        <v>500</v>
      </c>
      <c r="N13" s="26">
        <v>10</v>
      </c>
      <c r="O13" s="28">
        <f t="shared" si="18"/>
        <v>500</v>
      </c>
      <c r="P13" s="26">
        <v>14</v>
      </c>
      <c r="Q13" s="28">
        <f t="shared" si="19"/>
        <v>700</v>
      </c>
      <c r="R13" s="26">
        <v>14</v>
      </c>
      <c r="S13" s="28"/>
      <c r="T13" s="26">
        <v>9</v>
      </c>
      <c r="U13" s="28">
        <f t="shared" si="20"/>
        <v>450</v>
      </c>
      <c r="V13" s="1">
        <v>9</v>
      </c>
      <c r="W13" s="28">
        <f t="shared" si="21"/>
        <v>450</v>
      </c>
      <c r="X13" s="1">
        <v>8</v>
      </c>
      <c r="Y13" s="28">
        <f t="shared" si="22"/>
        <v>400</v>
      </c>
      <c r="Z13" s="1">
        <v>11</v>
      </c>
      <c r="AA13" s="28">
        <f t="shared" si="23"/>
        <v>550</v>
      </c>
      <c r="AB13" s="1">
        <v>9</v>
      </c>
      <c r="AC13" s="28">
        <f t="shared" si="23"/>
        <v>450</v>
      </c>
      <c r="AD13" s="1">
        <v>8</v>
      </c>
      <c r="AE13" s="28">
        <f t="shared" si="1"/>
        <v>400</v>
      </c>
      <c r="AF13" s="1">
        <v>8</v>
      </c>
      <c r="AG13" s="28">
        <f t="shared" si="1"/>
        <v>400</v>
      </c>
      <c r="AH13" s="1">
        <v>7</v>
      </c>
      <c r="AI13" s="28">
        <f t="shared" si="2"/>
        <v>350</v>
      </c>
      <c r="AJ13" s="1"/>
      <c r="AK13" s="28"/>
      <c r="AL13" s="1">
        <v>9</v>
      </c>
      <c r="AM13" s="28">
        <f t="shared" si="3"/>
        <v>450</v>
      </c>
      <c r="AN13" s="1">
        <v>10</v>
      </c>
      <c r="AO13" s="28">
        <f t="shared" si="4"/>
        <v>500</v>
      </c>
    </row>
    <row r="14" spans="1:41" ht="15.75" thickTop="1" x14ac:dyDescent="0.25">
      <c r="C14" s="18">
        <f>+SUM(C3:C13)</f>
        <v>205600</v>
      </c>
      <c r="E14" s="18">
        <f>+SUM(E3:E13)</f>
        <v>239600</v>
      </c>
      <c r="G14" s="17">
        <v>0</v>
      </c>
      <c r="I14" s="55">
        <f>100000+(315000-10000)</f>
        <v>405000</v>
      </c>
      <c r="K14" s="55">
        <f>115000+105200</f>
        <v>220200</v>
      </c>
      <c r="M14" s="17">
        <f>SUM(M3:M13)</f>
        <v>141400</v>
      </c>
      <c r="O14" s="17">
        <f>SUM(O3:O13)</f>
        <v>141400</v>
      </c>
      <c r="Q14" s="17">
        <f>SUM(Q3:Q13)</f>
        <v>187600</v>
      </c>
      <c r="S14" s="69"/>
      <c r="U14" s="17">
        <f>SUM(U3:U13)</f>
        <v>120950</v>
      </c>
      <c r="W14" s="17">
        <f>SUM(W3:W13)</f>
        <v>175050</v>
      </c>
      <c r="Y14" s="17">
        <f>SUM(Y3:Y13)</f>
        <v>86000</v>
      </c>
      <c r="AA14" s="17">
        <f>SUM(AA3:AA13)</f>
        <v>141650</v>
      </c>
      <c r="AC14" s="17">
        <f>SUM(AC3:AC13)</f>
        <v>304750</v>
      </c>
      <c r="AE14" s="17">
        <f>SUM(AE3:AE13)</f>
        <v>151000</v>
      </c>
      <c r="AG14" s="17">
        <f>SUM(AG3:AG13)</f>
        <v>106200</v>
      </c>
      <c r="AI14" s="17">
        <f>SUM(AI3:AI13)</f>
        <v>84250</v>
      </c>
      <c r="AK14" s="17">
        <f>SUM(AK3:AK13)</f>
        <v>0</v>
      </c>
      <c r="AM14" s="17">
        <f>SUM(AM3:AM13)</f>
        <v>203350</v>
      </c>
      <c r="AO14" s="17">
        <f>SUM(AO3:AO13)</f>
        <v>88000</v>
      </c>
    </row>
    <row r="15" spans="1:41" x14ac:dyDescent="0.25">
      <c r="E15" s="18">
        <f>+SUM('historial de venta'!G32:G37)</f>
        <v>76000</v>
      </c>
      <c r="U15">
        <v>324300</v>
      </c>
      <c r="AE15" s="17"/>
      <c r="AG15" s="17"/>
      <c r="AI15" s="17"/>
      <c r="AK15" s="17"/>
      <c r="AM15" s="17"/>
      <c r="AO15" s="17"/>
    </row>
    <row r="16" spans="1:41" x14ac:dyDescent="0.25">
      <c r="M16" s="13">
        <f>+K14-M18</f>
        <v>95200</v>
      </c>
      <c r="O16" s="13"/>
      <c r="Q16" s="13"/>
      <c r="S16" s="13"/>
      <c r="U16" s="13"/>
      <c r="W16" s="13"/>
      <c r="Y16" s="13"/>
      <c r="AA16" s="13"/>
      <c r="AC16" s="13"/>
      <c r="AE16" s="13"/>
      <c r="AG16" s="13"/>
      <c r="AI16" s="13"/>
      <c r="AK16" s="13"/>
      <c r="AM16" s="13"/>
      <c r="AO16" s="13"/>
    </row>
    <row r="17" spans="1:41" x14ac:dyDescent="0.25">
      <c r="A17" s="48" t="s">
        <v>3</v>
      </c>
      <c r="C17" s="48" t="s">
        <v>164</v>
      </c>
      <c r="D17" s="46"/>
      <c r="E17" s="48" t="s">
        <v>165</v>
      </c>
      <c r="F17" s="47"/>
      <c r="G17" s="48" t="s">
        <v>166</v>
      </c>
      <c r="H17" s="47"/>
      <c r="I17" s="48" t="s">
        <v>167</v>
      </c>
      <c r="J17" s="47"/>
      <c r="K17" s="48" t="s">
        <v>195</v>
      </c>
      <c r="L17" s="47"/>
      <c r="M17" s="48" t="s">
        <v>203</v>
      </c>
      <c r="N17" s="47"/>
      <c r="O17" s="48" t="str">
        <f>+O1</f>
        <v>dom</v>
      </c>
      <c r="P17" s="47"/>
      <c r="Q17" s="48" t="str">
        <f>+Q1</f>
        <v>lun</v>
      </c>
      <c r="R17" s="47"/>
      <c r="S17" s="48" t="str">
        <f>+S1</f>
        <v>mar</v>
      </c>
      <c r="T17" s="47"/>
      <c r="U17" s="48" t="str">
        <f>+U1</f>
        <v>mié</v>
      </c>
      <c r="V17" s="47"/>
      <c r="W17" s="48" t="str">
        <f>+W1</f>
        <v>jue</v>
      </c>
      <c r="X17" s="47"/>
      <c r="Y17" s="48" t="str">
        <f>+Y1</f>
        <v>sáb</v>
      </c>
      <c r="Z17" s="47"/>
      <c r="AA17" s="48" t="str">
        <f>+AA1</f>
        <v>dom</v>
      </c>
      <c r="AB17" s="47"/>
      <c r="AC17" s="48" t="str">
        <f>+AC1</f>
        <v>lun</v>
      </c>
      <c r="AD17" s="47"/>
      <c r="AE17" s="48" t="str">
        <f>+AE1</f>
        <v>mar</v>
      </c>
      <c r="AF17" s="47"/>
      <c r="AG17" s="48" t="str">
        <f>+AG1</f>
        <v>mié</v>
      </c>
      <c r="AH17" s="47"/>
      <c r="AI17" s="48" t="str">
        <f>+AI1</f>
        <v>jue</v>
      </c>
      <c r="AJ17" s="47"/>
      <c r="AK17" s="48" t="str">
        <f>+AK1</f>
        <v>vie</v>
      </c>
      <c r="AL17" s="47"/>
      <c r="AM17" s="48" t="str">
        <f>+AM1</f>
        <v>sáb</v>
      </c>
      <c r="AN17" s="47"/>
      <c r="AO17" s="48" t="str">
        <f>+AO1</f>
        <v>dom</v>
      </c>
    </row>
    <row r="18" spans="1:41" x14ac:dyDescent="0.25">
      <c r="A18" s="19" t="s">
        <v>139</v>
      </c>
      <c r="C18" s="19">
        <v>73700</v>
      </c>
      <c r="E18" s="49">
        <f>$C$23</f>
        <v>205600</v>
      </c>
      <c r="G18" s="31">
        <f>+E23</f>
        <v>315600</v>
      </c>
      <c r="I18" s="31">
        <f>+G23</f>
        <v>432900</v>
      </c>
      <c r="K18" s="31">
        <f>+I14</f>
        <v>405000</v>
      </c>
      <c r="M18" s="31">
        <v>125000</v>
      </c>
      <c r="O18" s="31">
        <f>+M14</f>
        <v>141400</v>
      </c>
      <c r="Q18" s="31">
        <f>+O18</f>
        <v>141400</v>
      </c>
      <c r="S18" s="31">
        <f>+Q23</f>
        <v>201400</v>
      </c>
      <c r="U18" s="68">
        <f>+S23</f>
        <v>252000</v>
      </c>
      <c r="W18" s="19">
        <f>+U23</f>
        <v>103550</v>
      </c>
      <c r="Y18" s="19">
        <f>+W23</f>
        <v>179050</v>
      </c>
      <c r="AA18" s="19">
        <f>$Y$14</f>
        <v>86000</v>
      </c>
      <c r="AC18" s="19">
        <f>+AA14</f>
        <v>141650</v>
      </c>
      <c r="AE18" s="19">
        <v>100000</v>
      </c>
      <c r="AG18" s="19">
        <f>+AE18+AE20</f>
        <v>151000</v>
      </c>
      <c r="AI18" s="19">
        <f>+AG14</f>
        <v>106200</v>
      </c>
      <c r="AK18" s="19">
        <f>+AI14</f>
        <v>84250</v>
      </c>
      <c r="AM18" s="19">
        <f>+AK23</f>
        <v>216750</v>
      </c>
      <c r="AO18" s="19">
        <f>+AM14</f>
        <v>203350</v>
      </c>
    </row>
    <row r="19" spans="1:41" x14ac:dyDescent="0.25">
      <c r="A19" s="19" t="s">
        <v>204</v>
      </c>
      <c r="C19" s="19"/>
      <c r="E19" s="49"/>
      <c r="G19" s="49"/>
      <c r="I19" s="49"/>
      <c r="K19" s="49"/>
      <c r="M19" s="65">
        <v>-350000</v>
      </c>
      <c r="O19" s="67">
        <v>0</v>
      </c>
      <c r="Q19" s="67">
        <v>0</v>
      </c>
      <c r="S19" s="67">
        <v>4300</v>
      </c>
      <c r="U19" s="65"/>
      <c r="W19" s="67">
        <f>+U25</f>
        <v>17400</v>
      </c>
      <c r="Y19" s="67"/>
      <c r="AA19" s="67">
        <v>75050</v>
      </c>
      <c r="AC19" s="67"/>
      <c r="AE19" s="67">
        <v>0</v>
      </c>
      <c r="AG19" s="65">
        <v>-100000</v>
      </c>
      <c r="AI19" s="67">
        <v>0</v>
      </c>
      <c r="AK19" s="67">
        <v>0</v>
      </c>
      <c r="AM19" s="67">
        <v>-100000</v>
      </c>
      <c r="AO19" s="67"/>
    </row>
    <row r="20" spans="1:41" x14ac:dyDescent="0.25">
      <c r="A20" s="19" t="s">
        <v>138</v>
      </c>
      <c r="C20" s="19">
        <v>192000</v>
      </c>
      <c r="E20" s="49">
        <v>213000</v>
      </c>
      <c r="G20" s="49">
        <v>344000</v>
      </c>
      <c r="I20" s="49">
        <v>84000</v>
      </c>
      <c r="K20" s="49">
        <v>186000</v>
      </c>
      <c r="M20" s="49">
        <v>456500</v>
      </c>
      <c r="O20" s="49">
        <v>0</v>
      </c>
      <c r="Q20" s="31">
        <v>60000</v>
      </c>
      <c r="S20" s="67">
        <v>105000</v>
      </c>
      <c r="U20" s="31">
        <v>260000</v>
      </c>
      <c r="W20" s="31">
        <v>143500</v>
      </c>
      <c r="Y20" s="31"/>
      <c r="AA20" s="31">
        <v>123500</v>
      </c>
      <c r="AC20" s="67">
        <v>172500</v>
      </c>
      <c r="AE20" s="67">
        <v>51000</v>
      </c>
      <c r="AG20" s="67">
        <v>335500</v>
      </c>
      <c r="AI20" s="67">
        <v>67000</v>
      </c>
      <c r="AK20" s="67">
        <f>Registros!$C$13</f>
        <v>132500</v>
      </c>
      <c r="AM20" s="67">
        <v>271000</v>
      </c>
      <c r="AO20" s="103">
        <v>99000</v>
      </c>
    </row>
    <row r="21" spans="1:41" ht="15.75" thickBot="1" x14ac:dyDescent="0.3">
      <c r="A21" s="19" t="s">
        <v>140</v>
      </c>
      <c r="C21" s="51">
        <f>60000+100</f>
        <v>60100</v>
      </c>
      <c r="E21" s="50">
        <v>103000</v>
      </c>
      <c r="G21" s="50">
        <f>70000+36700+120000</f>
        <v>226700</v>
      </c>
      <c r="I21" s="50">
        <f>$I$20</f>
        <v>84000</v>
      </c>
      <c r="K21" s="50">
        <f>10000+70000+20000+20000+(120000+300000)+7900</f>
        <v>547900</v>
      </c>
      <c r="M21" s="50">
        <f>20000+70000+6400</f>
        <v>96400</v>
      </c>
      <c r="O21" s="50"/>
      <c r="Q21" s="50"/>
      <c r="S21" s="50">
        <f>30000+28700</f>
        <v>58700</v>
      </c>
      <c r="U21" s="50">
        <f>20000+122700+124400+3500+11000+16500+46350+50000+14000</f>
        <v>408450</v>
      </c>
      <c r="W21" s="50">
        <f>38050+17000+7450+22400+500</f>
        <v>85400</v>
      </c>
      <c r="Y21" s="50"/>
      <c r="AA21" s="49">
        <f>10000+20000+26850</f>
        <v>56850</v>
      </c>
      <c r="AC21" s="49">
        <v>30000</v>
      </c>
      <c r="AE21" s="49">
        <v>0</v>
      </c>
      <c r="AG21" s="49">
        <f>140000+1000+20500+55800+43800+40000</f>
        <v>301100</v>
      </c>
      <c r="AI21" s="67">
        <f>4500+21600</f>
        <v>26100</v>
      </c>
      <c r="AK21" s="67"/>
      <c r="AM21" s="67">
        <f>30000+120000+50000+51500</f>
        <v>251500</v>
      </c>
      <c r="AO21" s="67">
        <f>Gas!$C$15</f>
        <v>221350</v>
      </c>
    </row>
    <row r="22" spans="1:41" ht="16.5" thickTop="1" thickBot="1" x14ac:dyDescent="0.3">
      <c r="A22" s="19" t="s">
        <v>310</v>
      </c>
      <c r="C22" s="87"/>
      <c r="E22" s="49"/>
      <c r="G22" s="49"/>
      <c r="I22" s="49"/>
      <c r="K22" s="49"/>
      <c r="M22" s="49"/>
      <c r="O22" s="49"/>
      <c r="Q22" s="49"/>
      <c r="S22" s="49"/>
      <c r="U22" s="49"/>
      <c r="W22" s="49"/>
      <c r="Y22" s="49"/>
      <c r="AA22" s="50">
        <v>100000</v>
      </c>
      <c r="AC22" s="50">
        <v>82000</v>
      </c>
      <c r="AE22" s="50">
        <v>0</v>
      </c>
      <c r="AG22" s="50">
        <v>0</v>
      </c>
      <c r="AI22" s="50">
        <f>4000+51350</f>
        <v>55350</v>
      </c>
      <c r="AK22" s="50"/>
      <c r="AM22" s="50"/>
      <c r="AO22" s="50"/>
    </row>
    <row r="23" spans="1:41" ht="15.75" thickTop="1" x14ac:dyDescent="0.25">
      <c r="C23" s="18">
        <f>+C18+C20-C21</f>
        <v>205600</v>
      </c>
      <c r="E23" s="18">
        <f>+E18+E20-E21</f>
        <v>315600</v>
      </c>
      <c r="G23" s="13">
        <f>+G18+G20-G21</f>
        <v>432900</v>
      </c>
      <c r="I23" s="13">
        <f>+I18+I20-I21</f>
        <v>432900</v>
      </c>
      <c r="K23" s="13">
        <f>+K18+K20-K21</f>
        <v>43100</v>
      </c>
      <c r="M23" s="13">
        <f>+SUM(M18:M20)-M21</f>
        <v>135100</v>
      </c>
      <c r="O23" s="13">
        <f>+SUM(O18:O20)-O21</f>
        <v>141400</v>
      </c>
      <c r="Q23" s="13">
        <f>+SUM(Q18:Q20)-Q21</f>
        <v>201400</v>
      </c>
      <c r="S23" s="13">
        <f>+SUM(S18:S20)-S21</f>
        <v>252000</v>
      </c>
      <c r="U23" s="13">
        <f>+SUM(U18:U20)-U21</f>
        <v>103550</v>
      </c>
      <c r="W23" s="13">
        <f>+SUM(W18:W20)-W21</f>
        <v>179050</v>
      </c>
      <c r="Y23" s="13">
        <f>+SUM(Y18:Y20)-Y21</f>
        <v>179050</v>
      </c>
      <c r="AA23" s="13">
        <f>+SUM(AA18:AA20)-SUM(AA21:AA22)</f>
        <v>127700</v>
      </c>
      <c r="AC23" s="13">
        <f>+SUM(AC18:AC20)-SUM(AC21:AC22)</f>
        <v>202150</v>
      </c>
      <c r="AE23" s="13">
        <f>+SUM(AE18:AE20)-SUM(AE21:AE22)</f>
        <v>151000</v>
      </c>
      <c r="AG23" s="13">
        <f>+SUM(AG18:AG20)-SUM(AG21:AG22)</f>
        <v>85400</v>
      </c>
      <c r="AI23" s="13">
        <f>+SUM(AI18:AI20)-SUM(AI21:AI22)</f>
        <v>91750</v>
      </c>
      <c r="AK23" s="13">
        <f>+SUM(AK18:AK20)-SUM(AK21:AK22)</f>
        <v>216750</v>
      </c>
      <c r="AM23" s="13">
        <f>+SUM(AM18:AM20)-SUM(AM21:AM22)</f>
        <v>136250</v>
      </c>
      <c r="AO23" s="13">
        <f>+SUM(AO18:AO20)-SUM(AO21:AO22)</f>
        <v>81000</v>
      </c>
    </row>
    <row r="25" spans="1:41" x14ac:dyDescent="0.25">
      <c r="A25" s="57" t="s">
        <v>197</v>
      </c>
      <c r="C25" s="58">
        <f>C14-C23</f>
        <v>0</v>
      </c>
      <c r="D25" s="58"/>
      <c r="E25" s="58">
        <f>E14-E23</f>
        <v>-76000</v>
      </c>
      <c r="F25" s="58"/>
      <c r="G25" s="58">
        <f>G14-G23</f>
        <v>-432900</v>
      </c>
      <c r="H25" s="58"/>
      <c r="I25" s="58">
        <f>I14-I23</f>
        <v>-27900</v>
      </c>
      <c r="J25" s="58"/>
      <c r="K25" s="58">
        <f>K14-K23</f>
        <v>177100</v>
      </c>
      <c r="L25" s="58"/>
      <c r="M25" s="58">
        <f>M14-M23</f>
        <v>6300</v>
      </c>
      <c r="N25" s="58"/>
      <c r="O25" s="58">
        <f>O14-O23</f>
        <v>0</v>
      </c>
      <c r="P25" s="58"/>
      <c r="Q25" s="58">
        <f>Q14-Q23</f>
        <v>-13800</v>
      </c>
      <c r="R25" s="58"/>
      <c r="S25" s="58">
        <f>S14-S23</f>
        <v>-252000</v>
      </c>
      <c r="T25" s="58"/>
      <c r="U25" s="58">
        <f>U14-U23</f>
        <v>17400</v>
      </c>
      <c r="V25" s="58"/>
      <c r="W25" s="58">
        <f>W14-W23</f>
        <v>-4000</v>
      </c>
      <c r="X25" s="58"/>
      <c r="Y25" s="58">
        <f>Y14-Y23</f>
        <v>-93050</v>
      </c>
      <c r="Z25" s="58"/>
      <c r="AA25" s="58">
        <f>AA14-AA23</f>
        <v>13950</v>
      </c>
      <c r="AB25" s="58"/>
      <c r="AC25" s="58">
        <f>AC14-AC23</f>
        <v>102600</v>
      </c>
      <c r="AD25" s="58"/>
      <c r="AE25" s="89">
        <f>AE14-AE23</f>
        <v>0</v>
      </c>
      <c r="AF25" s="58"/>
      <c r="AG25" s="58">
        <f>AG14-AG23</f>
        <v>20800</v>
      </c>
      <c r="AH25" s="58"/>
      <c r="AI25" s="58">
        <f>AI14-AI23</f>
        <v>-7500</v>
      </c>
      <c r="AJ25" s="58"/>
      <c r="AK25" s="58">
        <f>AK14-AK23</f>
        <v>-216750</v>
      </c>
      <c r="AL25" s="58"/>
      <c r="AM25" s="58">
        <f>AM14-AM23</f>
        <v>67100</v>
      </c>
      <c r="AN25" s="58"/>
      <c r="AO25" s="58">
        <f>AO14-AO23</f>
        <v>7000</v>
      </c>
    </row>
    <row r="26" spans="1:41" x14ac:dyDescent="0.25">
      <c r="A26"/>
    </row>
    <row r="27" spans="1:41" x14ac:dyDescent="0.25">
      <c r="A27" s="19" t="s">
        <v>331</v>
      </c>
      <c r="AE27" s="67">
        <f>100000-12050</f>
        <v>87950</v>
      </c>
      <c r="AG27" s="67">
        <f>100000-12050</f>
        <v>87950</v>
      </c>
      <c r="AI27" s="67">
        <f>+AG27-43000</f>
        <v>44950</v>
      </c>
      <c r="AK27" s="67">
        <f>+AI27</f>
        <v>44950</v>
      </c>
      <c r="AM27" s="67">
        <f>+AK27+100000</f>
        <v>144950</v>
      </c>
      <c r="AO27" s="67">
        <f>+AM27-50000</f>
        <v>94950</v>
      </c>
    </row>
    <row r="28" spans="1:41" x14ac:dyDescent="0.25">
      <c r="A28" s="19" t="s">
        <v>330</v>
      </c>
      <c r="W28">
        <v>75050</v>
      </c>
      <c r="Y28">
        <v>75050</v>
      </c>
      <c r="AG28" s="67">
        <v>100000</v>
      </c>
      <c r="AI28" s="67">
        <v>0</v>
      </c>
      <c r="AK28" s="67">
        <v>0</v>
      </c>
      <c r="AM28" s="67">
        <v>0</v>
      </c>
      <c r="AO28" s="67">
        <v>0</v>
      </c>
    </row>
    <row r="30" spans="1:41" x14ac:dyDescent="0.25">
      <c r="A30" s="100" t="s">
        <v>173</v>
      </c>
      <c r="B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100">
        <f>+(32000-2000)+11000+90000+3650</f>
        <v>134650</v>
      </c>
      <c r="AF30" s="3"/>
      <c r="AG30" s="100">
        <v>113000</v>
      </c>
      <c r="AH30" s="3"/>
      <c r="AI30" s="100">
        <v>94000</v>
      </c>
      <c r="AJ30" s="3"/>
      <c r="AK30" s="100">
        <v>0</v>
      </c>
      <c r="AL30" s="3"/>
      <c r="AM30" s="100">
        <f>+(98000-5000)</f>
        <v>93000</v>
      </c>
      <c r="AN30" s="3"/>
      <c r="AO30" s="100"/>
    </row>
    <row r="31" spans="1:41" x14ac:dyDescent="0.25">
      <c r="A31" s="100" t="s">
        <v>415</v>
      </c>
      <c r="B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100">
        <f>+AE30</f>
        <v>134650</v>
      </c>
      <c r="AF31" s="3"/>
      <c r="AG31" s="100">
        <f>+AG30+AE31</f>
        <v>247650</v>
      </c>
      <c r="AH31" s="3"/>
      <c r="AI31" s="100">
        <f>+AI30+AG31</f>
        <v>341650</v>
      </c>
      <c r="AJ31" s="3"/>
      <c r="AK31" s="100">
        <f>+AK30+AI31</f>
        <v>341650</v>
      </c>
      <c r="AL31" s="3"/>
      <c r="AM31" s="100">
        <f>+AM30+AK31</f>
        <v>434650</v>
      </c>
      <c r="AN31" s="3"/>
      <c r="AO31" s="100"/>
    </row>
    <row r="32" spans="1:41" x14ac:dyDescent="0.25">
      <c r="A32" s="101" t="s">
        <v>404</v>
      </c>
      <c r="B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101">
        <v>0</v>
      </c>
      <c r="AF32" s="3"/>
      <c r="AG32" s="101">
        <f>22000+1000</f>
        <v>23000</v>
      </c>
      <c r="AH32" s="3"/>
      <c r="AI32" s="101">
        <v>82000</v>
      </c>
      <c r="AJ32" s="3"/>
      <c r="AK32" s="101">
        <v>0</v>
      </c>
      <c r="AL32" s="3"/>
      <c r="AM32" s="101">
        <f>23000</f>
        <v>23000</v>
      </c>
      <c r="AN32" s="3"/>
      <c r="AO32" s="101"/>
    </row>
    <row r="33" spans="1:41" x14ac:dyDescent="0.25">
      <c r="A33" s="101" t="s">
        <v>414</v>
      </c>
      <c r="B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101">
        <v>0</v>
      </c>
      <c r="AF33" s="3"/>
      <c r="AG33" s="101">
        <f>+AG32</f>
        <v>23000</v>
      </c>
      <c r="AH33" s="3"/>
      <c r="AI33" s="101">
        <f>+AI32+AG33</f>
        <v>105000</v>
      </c>
      <c r="AJ33" s="3"/>
      <c r="AK33" s="101">
        <f>+AK32+AI33</f>
        <v>105000</v>
      </c>
      <c r="AL33" s="3"/>
      <c r="AM33" s="101">
        <f>+AM32+AK33</f>
        <v>128000</v>
      </c>
      <c r="AN33" s="3"/>
      <c r="AO33" s="101"/>
    </row>
    <row r="35" spans="1:41" x14ac:dyDescent="0.25">
      <c r="A35" s="16" t="s">
        <v>416</v>
      </c>
      <c r="B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100"/>
      <c r="AH35" s="3"/>
      <c r="AI35" s="100">
        <v>24000</v>
      </c>
      <c r="AJ35" s="3"/>
      <c r="AK35" s="100">
        <f>16000+AI35</f>
        <v>40000</v>
      </c>
      <c r="AL35" s="3"/>
      <c r="AM35" s="16">
        <f>8000*5</f>
        <v>40000</v>
      </c>
      <c r="AN35" s="3"/>
      <c r="AO35" s="100"/>
    </row>
    <row r="36" spans="1:41" x14ac:dyDescent="0.25">
      <c r="A36" s="16" t="s">
        <v>412</v>
      </c>
      <c r="AM36" s="16">
        <v>43000</v>
      </c>
    </row>
    <row r="38" spans="1:41" x14ac:dyDescent="0.25">
      <c r="AM38" s="13">
        <f>+SUM(AM23,AM27,AM31,AM33)</f>
        <v>843850</v>
      </c>
    </row>
    <row r="40" spans="1:41" x14ac:dyDescent="0.25">
      <c r="AM40" s="13"/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6:D6"/>
  <sheetViews>
    <sheetView tabSelected="1" workbookViewId="0">
      <selection activeCell="B7" sqref="B7"/>
    </sheetView>
  </sheetViews>
  <sheetFormatPr baseColWidth="10" defaultRowHeight="15" x14ac:dyDescent="0.25"/>
  <sheetData>
    <row r="6" spans="2:4" x14ac:dyDescent="0.25">
      <c r="B6">
        <v>4000</v>
      </c>
      <c r="C6">
        <v>11</v>
      </c>
      <c r="D6">
        <f>+B6*C6</f>
        <v>44000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H15"/>
  <sheetViews>
    <sheetView topLeftCell="A3" workbookViewId="0">
      <selection activeCell="C15" sqref="C15"/>
    </sheetView>
  </sheetViews>
  <sheetFormatPr baseColWidth="10" defaultRowHeight="15" x14ac:dyDescent="0.25"/>
  <cols>
    <col min="1" max="1" width="13" style="3" bestFit="1" customWidth="1"/>
    <col min="3" max="3" width="13" style="3" bestFit="1" customWidth="1"/>
    <col min="5" max="5" width="13" style="3" bestFit="1" customWidth="1"/>
  </cols>
  <sheetData>
    <row r="1" spans="1:8" x14ac:dyDescent="0.25">
      <c r="A1" s="3">
        <v>161810</v>
      </c>
    </row>
    <row r="2" spans="1:8" x14ac:dyDescent="0.25">
      <c r="A2" s="3">
        <v>45000</v>
      </c>
    </row>
    <row r="3" spans="1:8" x14ac:dyDescent="0.25">
      <c r="A3" s="3">
        <f>+A1-A2</f>
        <v>116810</v>
      </c>
      <c r="E3" s="16">
        <v>84250</v>
      </c>
    </row>
    <row r="4" spans="1:8" x14ac:dyDescent="0.25">
      <c r="B4">
        <f>20-9</f>
        <v>11</v>
      </c>
      <c r="E4" s="16">
        <v>134500</v>
      </c>
    </row>
    <row r="5" spans="1:8" x14ac:dyDescent="0.25">
      <c r="B5">
        <f>+B4-4</f>
        <v>7</v>
      </c>
      <c r="E5" s="16">
        <v>271000</v>
      </c>
    </row>
    <row r="6" spans="1:8" ht="15.75" thickBot="1" x14ac:dyDescent="0.3">
      <c r="E6" s="104">
        <f>30000+120000+50000+51500</f>
        <v>251500</v>
      </c>
      <c r="G6" s="104">
        <f>'Arqueo de Caja'!$AM$14</f>
        <v>203350</v>
      </c>
      <c r="H6" s="13">
        <f>+E6-G6</f>
        <v>48150</v>
      </c>
    </row>
    <row r="7" spans="1:8" ht="15.75" thickTop="1" x14ac:dyDescent="0.25">
      <c r="E7" s="3">
        <f>+SUM(E3:E5)-E6</f>
        <v>238250</v>
      </c>
    </row>
    <row r="10" spans="1:8" x14ac:dyDescent="0.25">
      <c r="B10" t="s">
        <v>421</v>
      </c>
      <c r="C10" s="16">
        <v>116300</v>
      </c>
      <c r="D10" t="s">
        <v>422</v>
      </c>
    </row>
    <row r="11" spans="1:8" x14ac:dyDescent="0.25">
      <c r="B11" t="s">
        <v>419</v>
      </c>
      <c r="C11" s="3">
        <v>17400</v>
      </c>
    </row>
    <row r="12" spans="1:8" x14ac:dyDescent="0.25">
      <c r="B12" t="s">
        <v>420</v>
      </c>
      <c r="C12" s="3">
        <v>8000</v>
      </c>
    </row>
    <row r="13" spans="1:8" x14ac:dyDescent="0.25">
      <c r="B13" t="s">
        <v>423</v>
      </c>
      <c r="C13" s="3">
        <v>72150</v>
      </c>
      <c r="D13" s="13">
        <f>+C13+C14</f>
        <v>79650</v>
      </c>
    </row>
    <row r="14" spans="1:8" x14ac:dyDescent="0.25">
      <c r="B14" t="s">
        <v>423</v>
      </c>
      <c r="C14" s="3">
        <v>7500</v>
      </c>
    </row>
    <row r="15" spans="1:8" x14ac:dyDescent="0.25">
      <c r="C15" s="3">
        <f>+SUM(C10:C14)</f>
        <v>221350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4"/>
  <sheetViews>
    <sheetView workbookViewId="0">
      <selection activeCell="E11" sqref="E11"/>
    </sheetView>
  </sheetViews>
  <sheetFormatPr baseColWidth="10" defaultRowHeight="15" x14ac:dyDescent="0.25"/>
  <cols>
    <col min="2" max="2" width="19.5703125" customWidth="1"/>
  </cols>
  <sheetData>
    <row r="1" spans="1:7" x14ac:dyDescent="0.25">
      <c r="A1" s="99">
        <v>41334</v>
      </c>
    </row>
    <row r="2" spans="1:7" x14ac:dyDescent="0.25">
      <c r="E2">
        <f>8000+16000+13500+18000+8000+6000+9000+30000+24000</f>
        <v>132500</v>
      </c>
    </row>
    <row r="3" spans="1:7" x14ac:dyDescent="0.25">
      <c r="G3">
        <v>216</v>
      </c>
    </row>
    <row r="4" spans="1:7" x14ac:dyDescent="0.25">
      <c r="A4">
        <v>1</v>
      </c>
      <c r="B4" t="s">
        <v>297</v>
      </c>
      <c r="C4" s="81">
        <v>8000</v>
      </c>
      <c r="D4" t="s">
        <v>403</v>
      </c>
      <c r="F4" t="s">
        <v>401</v>
      </c>
    </row>
    <row r="5" spans="1:7" x14ac:dyDescent="0.25">
      <c r="A5" s="1">
        <v>2</v>
      </c>
      <c r="B5" s="1" t="s">
        <v>393</v>
      </c>
      <c r="C5" s="91">
        <v>16000</v>
      </c>
      <c r="D5" t="s">
        <v>403</v>
      </c>
      <c r="F5" t="s">
        <v>402</v>
      </c>
    </row>
    <row r="6" spans="1:7" x14ac:dyDescent="0.25">
      <c r="A6" s="1">
        <v>2</v>
      </c>
      <c r="B6" s="1" t="s">
        <v>396</v>
      </c>
      <c r="C6" s="91">
        <v>6000</v>
      </c>
      <c r="D6">
        <v>3</v>
      </c>
    </row>
    <row r="7" spans="1:7" x14ac:dyDescent="0.25">
      <c r="A7">
        <v>3</v>
      </c>
      <c r="B7" t="s">
        <v>400</v>
      </c>
      <c r="C7" s="81">
        <f>4500*3</f>
        <v>13500</v>
      </c>
      <c r="D7">
        <v>3</v>
      </c>
    </row>
    <row r="8" spans="1:7" x14ac:dyDescent="0.25">
      <c r="A8" s="1">
        <v>3</v>
      </c>
      <c r="B8" s="1" t="s">
        <v>393</v>
      </c>
      <c r="C8" s="91">
        <v>24000</v>
      </c>
    </row>
    <row r="9" spans="1:7" x14ac:dyDescent="0.25">
      <c r="A9" s="1">
        <v>3</v>
      </c>
      <c r="B9" s="1" t="s">
        <v>396</v>
      </c>
      <c r="C9" s="91">
        <f>3000*3</f>
        <v>9000</v>
      </c>
      <c r="D9">
        <v>3</v>
      </c>
      <c r="F9" s="1">
        <v>35</v>
      </c>
      <c r="G9">
        <v>60</v>
      </c>
    </row>
    <row r="10" spans="1:7" x14ac:dyDescent="0.25">
      <c r="A10">
        <v>4</v>
      </c>
      <c r="B10" t="s">
        <v>400</v>
      </c>
      <c r="C10" s="81">
        <f>4500*4</f>
        <v>18000</v>
      </c>
      <c r="D10">
        <v>3</v>
      </c>
      <c r="F10" s="1">
        <v>12</v>
      </c>
    </row>
    <row r="11" spans="1:7" x14ac:dyDescent="0.25">
      <c r="A11">
        <v>1</v>
      </c>
      <c r="B11" t="s">
        <v>297</v>
      </c>
      <c r="C11" s="81">
        <v>8000</v>
      </c>
      <c r="F11" s="1">
        <v>6</v>
      </c>
    </row>
    <row r="12" spans="1:7" ht="15.75" thickBot="1" x14ac:dyDescent="0.3">
      <c r="B12" t="s">
        <v>285</v>
      </c>
      <c r="C12" s="90">
        <v>30000</v>
      </c>
      <c r="F12" s="1">
        <v>4.5</v>
      </c>
    </row>
    <row r="13" spans="1:7" ht="15.75" thickTop="1" x14ac:dyDescent="0.25">
      <c r="C13" s="81">
        <f>+SUM(C3:C12)</f>
        <v>132500</v>
      </c>
      <c r="F13" s="1">
        <v>57500</v>
      </c>
    </row>
    <row r="17" spans="1:5" x14ac:dyDescent="0.25">
      <c r="A17" s="99">
        <v>41699</v>
      </c>
    </row>
    <row r="19" spans="1:5" x14ac:dyDescent="0.25">
      <c r="A19">
        <v>2</v>
      </c>
      <c r="B19" t="s">
        <v>393</v>
      </c>
      <c r="C19">
        <v>16000</v>
      </c>
    </row>
    <row r="20" spans="1:5" x14ac:dyDescent="0.25">
      <c r="A20">
        <v>2</v>
      </c>
      <c r="B20" t="s">
        <v>396</v>
      </c>
      <c r="C20">
        <v>6000</v>
      </c>
    </row>
    <row r="21" spans="1:5" x14ac:dyDescent="0.25">
      <c r="A21" s="1">
        <v>1</v>
      </c>
      <c r="B21" s="1" t="s">
        <v>297</v>
      </c>
      <c r="C21" s="1">
        <v>8000</v>
      </c>
    </row>
    <row r="22" spans="1:5" x14ac:dyDescent="0.25">
      <c r="A22" s="1">
        <v>1</v>
      </c>
      <c r="B22" s="1" t="s">
        <v>395</v>
      </c>
      <c r="C22" s="1">
        <v>3000</v>
      </c>
    </row>
    <row r="23" spans="1:5" x14ac:dyDescent="0.25">
      <c r="A23">
        <v>2</v>
      </c>
      <c r="B23" t="s">
        <v>397</v>
      </c>
      <c r="C23">
        <v>9000</v>
      </c>
    </row>
    <row r="24" spans="1:5" x14ac:dyDescent="0.25">
      <c r="A24" s="1">
        <v>2</v>
      </c>
      <c r="B24" s="1" t="s">
        <v>393</v>
      </c>
      <c r="C24" s="1">
        <v>16000</v>
      </c>
    </row>
    <row r="25" spans="1:5" x14ac:dyDescent="0.25">
      <c r="A25" s="1">
        <v>2</v>
      </c>
      <c r="B25" s="1" t="s">
        <v>396</v>
      </c>
      <c r="C25" s="1">
        <v>6000</v>
      </c>
    </row>
    <row r="27" spans="1:5" x14ac:dyDescent="0.25">
      <c r="A27">
        <v>1</v>
      </c>
      <c r="B27" t="s">
        <v>394</v>
      </c>
      <c r="C27">
        <v>37000</v>
      </c>
      <c r="D27" t="s">
        <v>398</v>
      </c>
      <c r="E27">
        <f>30+7</f>
        <v>37</v>
      </c>
    </row>
    <row r="28" spans="1:5" x14ac:dyDescent="0.25">
      <c r="A28" s="1">
        <v>3</v>
      </c>
      <c r="B28" s="1" t="s">
        <v>393</v>
      </c>
      <c r="C28" s="1">
        <v>24000</v>
      </c>
    </row>
    <row r="29" spans="1:5" x14ac:dyDescent="0.25">
      <c r="A29" s="1">
        <v>1</v>
      </c>
      <c r="B29" s="1" t="s">
        <v>392</v>
      </c>
      <c r="C29" s="1">
        <v>15000</v>
      </c>
    </row>
    <row r="30" spans="1:5" x14ac:dyDescent="0.25">
      <c r="A30" s="1">
        <v>1</v>
      </c>
      <c r="B30" s="1" t="s">
        <v>395</v>
      </c>
      <c r="C30" s="1">
        <v>3000</v>
      </c>
    </row>
    <row r="31" spans="1:5" x14ac:dyDescent="0.25">
      <c r="B31" t="s">
        <v>394</v>
      </c>
      <c r="C31" s="1">
        <v>23000</v>
      </c>
      <c r="D31" t="s">
        <v>399</v>
      </c>
    </row>
    <row r="33" spans="1:4" x14ac:dyDescent="0.25">
      <c r="A33" s="1">
        <v>1</v>
      </c>
      <c r="B33" s="1" t="s">
        <v>297</v>
      </c>
      <c r="C33" s="1">
        <v>8000</v>
      </c>
      <c r="D33" t="s">
        <v>279</v>
      </c>
    </row>
    <row r="34" spans="1:4" x14ac:dyDescent="0.25">
      <c r="A34" s="1">
        <v>1</v>
      </c>
      <c r="B34" s="1" t="s">
        <v>395</v>
      </c>
      <c r="C34" s="1">
        <v>3000</v>
      </c>
      <c r="D34" t="s">
        <v>279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F24"/>
  <sheetViews>
    <sheetView zoomScale="130" zoomScaleNormal="130" workbookViewId="0">
      <pane ySplit="2" topLeftCell="A7" activePane="bottomLeft" state="frozen"/>
      <selection pane="bottomLeft" activeCell="D6" sqref="D6:D7"/>
    </sheetView>
  </sheetViews>
  <sheetFormatPr baseColWidth="10" defaultRowHeight="15" x14ac:dyDescent="0.25"/>
  <cols>
    <col min="1" max="1" width="7.28515625" bestFit="1" customWidth="1"/>
    <col min="2" max="2" width="46.7109375" bestFit="1" customWidth="1"/>
    <col min="3" max="3" width="7.7109375" bestFit="1" customWidth="1"/>
    <col min="4" max="4" width="7.42578125" bestFit="1" customWidth="1"/>
    <col min="5" max="5" width="103.140625" style="72" bestFit="1" customWidth="1"/>
  </cols>
  <sheetData>
    <row r="1" spans="1:6" ht="21" x14ac:dyDescent="0.35">
      <c r="B1" s="84" t="s">
        <v>352</v>
      </c>
      <c r="C1" s="22"/>
    </row>
    <row r="2" spans="1:6" x14ac:dyDescent="0.25">
      <c r="A2" s="82" t="s">
        <v>5</v>
      </c>
      <c r="B2" s="82" t="s">
        <v>335</v>
      </c>
      <c r="C2" s="82" t="s">
        <v>306</v>
      </c>
      <c r="D2" s="82" t="s">
        <v>351</v>
      </c>
      <c r="E2" s="92" t="s">
        <v>302</v>
      </c>
    </row>
    <row r="3" spans="1:6" x14ac:dyDescent="0.25">
      <c r="A3" s="85">
        <v>46090</v>
      </c>
      <c r="B3" s="83" t="s">
        <v>303</v>
      </c>
      <c r="C3" s="86" t="s">
        <v>307</v>
      </c>
      <c r="D3" s="83" t="s">
        <v>304</v>
      </c>
      <c r="E3" s="93" t="s">
        <v>305</v>
      </c>
    </row>
    <row r="4" spans="1:6" x14ac:dyDescent="0.25">
      <c r="A4" s="85">
        <v>46090</v>
      </c>
      <c r="B4" s="83" t="s">
        <v>334</v>
      </c>
      <c r="C4" s="86" t="s">
        <v>307</v>
      </c>
      <c r="D4" s="83" t="s">
        <v>308</v>
      </c>
      <c r="E4" s="93" t="s">
        <v>309</v>
      </c>
    </row>
    <row r="5" spans="1:6" ht="30" x14ac:dyDescent="0.25">
      <c r="A5" s="85">
        <v>46093</v>
      </c>
      <c r="B5" s="83" t="s">
        <v>338</v>
      </c>
      <c r="C5" s="86" t="s">
        <v>307</v>
      </c>
      <c r="D5" s="83" t="s">
        <v>336</v>
      </c>
      <c r="E5" s="93" t="s">
        <v>337</v>
      </c>
    </row>
    <row r="6" spans="1:6" ht="30" x14ac:dyDescent="0.25">
      <c r="A6" s="85">
        <v>46093</v>
      </c>
      <c r="B6" s="83" t="s">
        <v>341</v>
      </c>
      <c r="C6" s="86" t="s">
        <v>307</v>
      </c>
      <c r="D6" s="83" t="s">
        <v>339</v>
      </c>
      <c r="E6" s="93" t="s">
        <v>340</v>
      </c>
    </row>
    <row r="7" spans="1:6" ht="30" x14ac:dyDescent="0.25">
      <c r="A7" s="85">
        <v>46093</v>
      </c>
      <c r="B7" s="83" t="s">
        <v>342</v>
      </c>
      <c r="C7" s="86" t="s">
        <v>307</v>
      </c>
      <c r="D7" s="83" t="s">
        <v>344</v>
      </c>
      <c r="E7" s="93" t="s">
        <v>343</v>
      </c>
    </row>
    <row r="8" spans="1:6" x14ac:dyDescent="0.25">
      <c r="A8" s="85">
        <v>46093</v>
      </c>
      <c r="B8" s="83" t="s">
        <v>348</v>
      </c>
      <c r="C8" s="86" t="s">
        <v>307</v>
      </c>
      <c r="D8" s="83" t="s">
        <v>345</v>
      </c>
      <c r="E8" s="93" t="s">
        <v>346</v>
      </c>
    </row>
    <row r="9" spans="1:6" ht="30" x14ac:dyDescent="0.25">
      <c r="A9" s="85">
        <v>46093</v>
      </c>
      <c r="B9" s="83" t="s">
        <v>349</v>
      </c>
      <c r="C9" s="86" t="s">
        <v>307</v>
      </c>
      <c r="D9" s="83" t="s">
        <v>347</v>
      </c>
      <c r="E9" s="93" t="s">
        <v>350</v>
      </c>
    </row>
    <row r="10" spans="1:6" x14ac:dyDescent="0.25">
      <c r="A10" s="85">
        <v>46093</v>
      </c>
      <c r="B10" s="83" t="s">
        <v>377</v>
      </c>
      <c r="C10" s="86" t="s">
        <v>307</v>
      </c>
      <c r="D10" s="83" t="s">
        <v>378</v>
      </c>
      <c r="E10" s="93" t="s">
        <v>367</v>
      </c>
    </row>
    <row r="11" spans="1:6" x14ac:dyDescent="0.25">
      <c r="A11" s="85">
        <v>46093</v>
      </c>
      <c r="B11" s="83" t="s">
        <v>389</v>
      </c>
      <c r="C11" s="86"/>
      <c r="D11" s="83" t="s">
        <v>387</v>
      </c>
      <c r="E11" s="93" t="s">
        <v>388</v>
      </c>
    </row>
    <row r="12" spans="1:6" x14ac:dyDescent="0.25">
      <c r="A12" s="85"/>
      <c r="B12" s="97" t="s">
        <v>370</v>
      </c>
      <c r="C12" s="86"/>
      <c r="D12" s="83"/>
      <c r="E12" s="93"/>
    </row>
    <row r="13" spans="1:6" x14ac:dyDescent="0.25">
      <c r="A13" s="85"/>
      <c r="B13" s="85" t="s">
        <v>391</v>
      </c>
      <c r="C13" s="85"/>
      <c r="D13" s="85"/>
      <c r="E13" s="85"/>
      <c r="F13" s="85"/>
    </row>
    <row r="14" spans="1:6" ht="45" x14ac:dyDescent="0.25">
      <c r="A14" s="85"/>
      <c r="B14" s="97" t="s">
        <v>369</v>
      </c>
      <c r="C14" s="86"/>
      <c r="D14" s="83"/>
      <c r="E14" s="93"/>
    </row>
    <row r="15" spans="1:6" x14ac:dyDescent="0.25">
      <c r="A15" s="85"/>
      <c r="B15" s="97" t="s">
        <v>371</v>
      </c>
      <c r="C15" s="86"/>
      <c r="D15" s="83"/>
      <c r="E15" s="93"/>
    </row>
    <row r="16" spans="1:6" x14ac:dyDescent="0.25">
      <c r="A16" s="85"/>
      <c r="B16" s="98" t="s">
        <v>372</v>
      </c>
      <c r="C16" s="94" t="s">
        <v>306</v>
      </c>
      <c r="D16" s="83"/>
      <c r="E16" s="93"/>
    </row>
    <row r="17" spans="1:5" x14ac:dyDescent="0.25">
      <c r="A17" s="85"/>
      <c r="B17" s="98" t="s">
        <v>382</v>
      </c>
      <c r="C17" s="94"/>
      <c r="D17" s="83"/>
      <c r="E17" s="93"/>
    </row>
    <row r="18" spans="1:5" x14ac:dyDescent="0.25">
      <c r="A18" s="83"/>
      <c r="B18" s="83" t="s">
        <v>245</v>
      </c>
      <c r="C18" s="94" t="s">
        <v>306</v>
      </c>
      <c r="D18" s="83"/>
      <c r="E18" s="93"/>
    </row>
    <row r="19" spans="1:5" x14ac:dyDescent="0.25">
      <c r="A19" s="83"/>
      <c r="B19" s="83" t="s">
        <v>244</v>
      </c>
      <c r="C19" s="94" t="s">
        <v>306</v>
      </c>
      <c r="D19" s="83"/>
      <c r="E19" s="93"/>
    </row>
    <row r="20" spans="1:5" x14ac:dyDescent="0.25">
      <c r="A20" s="83"/>
      <c r="B20" s="83" t="s">
        <v>246</v>
      </c>
      <c r="C20" s="94" t="s">
        <v>306</v>
      </c>
      <c r="D20" s="83"/>
      <c r="E20" s="93"/>
    </row>
    <row r="21" spans="1:5" x14ac:dyDescent="0.25">
      <c r="A21" s="83"/>
      <c r="B21" s="83" t="s">
        <v>247</v>
      </c>
      <c r="C21" s="94" t="s">
        <v>306</v>
      </c>
      <c r="D21" s="83"/>
      <c r="E21" s="93"/>
    </row>
    <row r="22" spans="1:5" x14ac:dyDescent="0.25">
      <c r="A22" s="83"/>
      <c r="B22" s="83" t="s">
        <v>248</v>
      </c>
      <c r="C22" s="94" t="s">
        <v>306</v>
      </c>
      <c r="D22" s="83"/>
      <c r="E22" s="93"/>
    </row>
    <row r="23" spans="1:5" x14ac:dyDescent="0.25">
      <c r="A23" s="83"/>
      <c r="B23" s="83" t="s">
        <v>254</v>
      </c>
      <c r="C23" s="94" t="s">
        <v>306</v>
      </c>
      <c r="D23" s="83"/>
      <c r="E23" s="93"/>
    </row>
    <row r="24" spans="1:5" x14ac:dyDescent="0.25">
      <c r="A24" s="83"/>
      <c r="B24" s="83" t="s">
        <v>255</v>
      </c>
      <c r="C24" s="94" t="s">
        <v>306</v>
      </c>
      <c r="D24" s="83"/>
      <c r="E24" s="9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9966FF"/>
  </sheetPr>
  <dimension ref="A1:M72"/>
  <sheetViews>
    <sheetView zoomScale="115" zoomScaleNormal="115" workbookViewId="0">
      <pane ySplit="5" topLeftCell="A42" activePane="bottomLeft" state="frozen"/>
      <selection activeCell="C1" sqref="C1"/>
      <selection pane="bottomLeft" activeCell="D1" sqref="D1"/>
    </sheetView>
  </sheetViews>
  <sheetFormatPr baseColWidth="10" defaultColWidth="9.140625" defaultRowHeight="15" x14ac:dyDescent="0.25"/>
  <cols>
    <col min="1" max="1" width="10.140625" bestFit="1" customWidth="1"/>
    <col min="2" max="2" width="10.7109375" bestFit="1" customWidth="1"/>
    <col min="3" max="3" width="10.85546875" bestFit="1" customWidth="1"/>
    <col min="4" max="4" width="12.28515625" style="3" bestFit="1" customWidth="1"/>
    <col min="5" max="5" width="7" style="3" customWidth="1"/>
    <col min="6" max="6" width="8" style="3" bestFit="1" customWidth="1"/>
    <col min="7" max="7" width="11.7109375" style="3" bestFit="1" customWidth="1"/>
    <col min="9" max="9" width="31.85546875" bestFit="1" customWidth="1"/>
    <col min="10" max="10" width="13.42578125" customWidth="1"/>
    <col min="13" max="13" width="11.140625" bestFit="1" customWidth="1"/>
  </cols>
  <sheetData>
    <row r="1" spans="1:10" x14ac:dyDescent="0.25">
      <c r="A1" s="13">
        <f>+B1-D1</f>
        <v>-80000</v>
      </c>
      <c r="B1">
        <v>354650</v>
      </c>
      <c r="D1" s="3">
        <f>+SUMIF($H$6:$H$1048576,H1,$D$6:$D$1048576)</f>
        <v>434650</v>
      </c>
      <c r="H1" s="32" t="s">
        <v>142</v>
      </c>
    </row>
    <row r="2" spans="1:10" ht="15.75" thickBot="1" x14ac:dyDescent="0.3">
      <c r="D2" s="28">
        <f>+SUMIF($H$6:$H$1048576,H2,$D$6:$D$1048576)</f>
        <v>128000</v>
      </c>
      <c r="H2" s="33" t="s">
        <v>147</v>
      </c>
    </row>
    <row r="3" spans="1:10" ht="15.75" thickTop="1" x14ac:dyDescent="0.25">
      <c r="D3" s="3">
        <f>+SUM(D6:D1048576)</f>
        <v>645650</v>
      </c>
      <c r="H3" s="22" t="s">
        <v>127</v>
      </c>
    </row>
    <row r="5" spans="1:10" x14ac:dyDescent="0.25">
      <c r="A5" s="36" t="s">
        <v>5</v>
      </c>
      <c r="B5" s="36" t="s">
        <v>384</v>
      </c>
      <c r="C5" s="36" t="s">
        <v>157</v>
      </c>
      <c r="D5" s="37" t="s">
        <v>6</v>
      </c>
      <c r="E5" s="37" t="s">
        <v>223</v>
      </c>
      <c r="F5" s="37" t="s">
        <v>222</v>
      </c>
      <c r="G5" s="37"/>
      <c r="H5" s="36" t="s">
        <v>156</v>
      </c>
      <c r="I5" s="36" t="s">
        <v>155</v>
      </c>
      <c r="J5" s="36" t="s">
        <v>154</v>
      </c>
    </row>
    <row r="6" spans="1:10" x14ac:dyDescent="0.25">
      <c r="A6" s="2">
        <v>46076</v>
      </c>
      <c r="B6" s="2" t="str">
        <f t="shared" ref="B6:B17" si="0">+TEXT(A6,"ddd")</f>
        <v>lun</v>
      </c>
      <c r="C6" s="34">
        <v>0.72986111111111107</v>
      </c>
      <c r="D6" s="3">
        <v>6500</v>
      </c>
      <c r="E6" s="3" t="s">
        <v>222</v>
      </c>
      <c r="H6" s="32" t="s">
        <v>142</v>
      </c>
      <c r="I6" s="1" t="s">
        <v>143</v>
      </c>
      <c r="J6" t="s">
        <v>215</v>
      </c>
    </row>
    <row r="7" spans="1:10" x14ac:dyDescent="0.25">
      <c r="A7" s="2">
        <v>46076</v>
      </c>
      <c r="B7" s="2" t="str">
        <f t="shared" si="0"/>
        <v>lun</v>
      </c>
      <c r="C7" s="35"/>
      <c r="D7" s="3">
        <v>24000</v>
      </c>
      <c r="E7" s="3" t="s">
        <v>222</v>
      </c>
      <c r="H7" s="32" t="s">
        <v>142</v>
      </c>
      <c r="I7" s="1" t="s">
        <v>153</v>
      </c>
    </row>
    <row r="8" spans="1:10" x14ac:dyDescent="0.25">
      <c r="A8" s="2">
        <v>46077</v>
      </c>
      <c r="B8" s="2" t="str">
        <f t="shared" si="0"/>
        <v>mar</v>
      </c>
      <c r="C8" s="34">
        <v>0.79374999999999996</v>
      </c>
      <c r="D8" s="3">
        <v>3000</v>
      </c>
      <c r="E8" s="3" t="s">
        <v>222</v>
      </c>
      <c r="H8" s="32" t="s">
        <v>142</v>
      </c>
      <c r="I8" t="s">
        <v>152</v>
      </c>
    </row>
    <row r="9" spans="1:10" x14ac:dyDescent="0.25">
      <c r="A9" s="2">
        <v>46077</v>
      </c>
      <c r="B9" s="2" t="str">
        <f t="shared" si="0"/>
        <v>mar</v>
      </c>
      <c r="C9" s="34">
        <v>0.82777777777777772</v>
      </c>
      <c r="D9" s="3">
        <v>8000</v>
      </c>
      <c r="E9" s="3" t="s">
        <v>222</v>
      </c>
      <c r="H9" s="32" t="s">
        <v>142</v>
      </c>
      <c r="I9" t="s">
        <v>151</v>
      </c>
    </row>
    <row r="10" spans="1:10" x14ac:dyDescent="0.25">
      <c r="A10" s="2">
        <v>46078</v>
      </c>
      <c r="B10" s="2" t="str">
        <f t="shared" si="0"/>
        <v>mié</v>
      </c>
      <c r="C10" s="34">
        <v>0.69444444444444442</v>
      </c>
      <c r="D10" s="3">
        <v>8000</v>
      </c>
      <c r="E10" s="3" t="s">
        <v>222</v>
      </c>
      <c r="H10" s="32" t="s">
        <v>142</v>
      </c>
      <c r="I10" t="s">
        <v>150</v>
      </c>
    </row>
    <row r="11" spans="1:10" x14ac:dyDescent="0.25">
      <c r="A11" s="2">
        <v>46078</v>
      </c>
      <c r="B11" s="2" t="str">
        <f t="shared" si="0"/>
        <v>mié</v>
      </c>
      <c r="C11" s="34">
        <v>0.7944444444444444</v>
      </c>
      <c r="D11" s="3">
        <v>8000</v>
      </c>
      <c r="E11" s="3" t="s">
        <v>222</v>
      </c>
      <c r="H11" s="32" t="s">
        <v>142</v>
      </c>
      <c r="I11" t="s">
        <v>149</v>
      </c>
      <c r="J11" t="s">
        <v>214</v>
      </c>
    </row>
    <row r="12" spans="1:10" x14ac:dyDescent="0.25">
      <c r="A12" s="2">
        <v>46078</v>
      </c>
      <c r="B12" s="2" t="str">
        <f t="shared" si="0"/>
        <v>mié</v>
      </c>
      <c r="C12" s="34">
        <v>0.80694444444444446</v>
      </c>
      <c r="D12" s="3">
        <v>22500</v>
      </c>
      <c r="E12" s="3" t="s">
        <v>222</v>
      </c>
      <c r="H12" s="32" t="s">
        <v>142</v>
      </c>
      <c r="I12" s="1" t="s">
        <v>143</v>
      </c>
      <c r="J12" t="s">
        <v>215</v>
      </c>
    </row>
    <row r="13" spans="1:10" x14ac:dyDescent="0.25">
      <c r="A13" s="2">
        <v>46078</v>
      </c>
      <c r="B13" s="2" t="str">
        <f t="shared" si="0"/>
        <v>mié</v>
      </c>
      <c r="C13" s="34">
        <v>0.83958333333333335</v>
      </c>
      <c r="D13" s="3">
        <v>8000</v>
      </c>
      <c r="E13" s="3" t="s">
        <v>222</v>
      </c>
      <c r="H13" s="32" t="s">
        <v>142</v>
      </c>
      <c r="I13" t="s">
        <v>148</v>
      </c>
    </row>
    <row r="14" spans="1:10" x14ac:dyDescent="0.25">
      <c r="A14" s="2">
        <v>46078</v>
      </c>
      <c r="B14" s="2" t="str">
        <f t="shared" si="0"/>
        <v>mié</v>
      </c>
      <c r="C14" s="34">
        <v>0.79374999999999996</v>
      </c>
      <c r="D14" s="3">
        <v>16000</v>
      </c>
      <c r="E14" s="3" t="s">
        <v>222</v>
      </c>
      <c r="H14" s="33" t="s">
        <v>147</v>
      </c>
      <c r="I14" t="s">
        <v>146</v>
      </c>
      <c r="J14" t="s">
        <v>147</v>
      </c>
    </row>
    <row r="15" spans="1:10" x14ac:dyDescent="0.25">
      <c r="A15" s="2">
        <v>46079</v>
      </c>
      <c r="B15" s="2" t="str">
        <f t="shared" si="0"/>
        <v>jue</v>
      </c>
      <c r="C15" s="34">
        <v>0.56458333333333333</v>
      </c>
      <c r="D15" s="3">
        <v>25000</v>
      </c>
      <c r="E15" s="3" t="s">
        <v>222</v>
      </c>
      <c r="H15" s="32" t="s">
        <v>142</v>
      </c>
      <c r="I15" t="s">
        <v>145</v>
      </c>
      <c r="J15" t="s">
        <v>144</v>
      </c>
    </row>
    <row r="16" spans="1:10" x14ac:dyDescent="0.25">
      <c r="A16" s="2">
        <v>46079</v>
      </c>
      <c r="B16" s="2" t="str">
        <f t="shared" si="0"/>
        <v>jue</v>
      </c>
      <c r="C16" s="34">
        <v>0.84513888888888888</v>
      </c>
      <c r="D16" s="3">
        <v>51000</v>
      </c>
      <c r="E16" s="3" t="s">
        <v>222</v>
      </c>
      <c r="H16" s="32" t="s">
        <v>142</v>
      </c>
      <c r="I16" s="1" t="s">
        <v>143</v>
      </c>
      <c r="J16" t="s">
        <v>215</v>
      </c>
    </row>
    <row r="17" spans="1:10" x14ac:dyDescent="0.25">
      <c r="A17" s="2">
        <v>46079</v>
      </c>
      <c r="B17" s="2" t="str">
        <f t="shared" si="0"/>
        <v>jue</v>
      </c>
      <c r="C17" s="34">
        <v>0.72777777777777775</v>
      </c>
      <c r="D17" s="59">
        <v>49000</v>
      </c>
      <c r="E17" s="3" t="s">
        <v>222</v>
      </c>
      <c r="H17" s="32" t="s">
        <v>142</v>
      </c>
      <c r="I17" t="s">
        <v>141</v>
      </c>
    </row>
    <row r="18" spans="1:10" x14ac:dyDescent="0.25">
      <c r="A18" s="2">
        <v>46080</v>
      </c>
      <c r="B18" s="2" t="str">
        <f t="shared" ref="B18:B22" si="1">+TEXT(A18,"ddd")</f>
        <v>vie</v>
      </c>
      <c r="C18" s="34">
        <v>0.82291666666666663</v>
      </c>
      <c r="D18" s="59">
        <v>11000</v>
      </c>
      <c r="E18" s="3" t="s">
        <v>222</v>
      </c>
      <c r="H18" s="33" t="s">
        <v>147</v>
      </c>
      <c r="I18" t="s">
        <v>146</v>
      </c>
      <c r="J18" t="s">
        <v>147</v>
      </c>
    </row>
    <row r="19" spans="1:10" x14ac:dyDescent="0.25">
      <c r="A19" s="2">
        <v>46080</v>
      </c>
      <c r="B19" s="2" t="str">
        <f t="shared" si="1"/>
        <v>vie</v>
      </c>
      <c r="C19" s="34">
        <v>0.84236111111111112</v>
      </c>
      <c r="D19" s="59">
        <v>10000</v>
      </c>
      <c r="E19" s="3" t="s">
        <v>222</v>
      </c>
      <c r="H19" s="32" t="s">
        <v>142</v>
      </c>
      <c r="I19" t="s">
        <v>198</v>
      </c>
    </row>
    <row r="20" spans="1:10" x14ac:dyDescent="0.25">
      <c r="A20" s="2">
        <v>46080</v>
      </c>
      <c r="B20" s="2" t="str">
        <f t="shared" si="1"/>
        <v>vie</v>
      </c>
      <c r="C20" s="34">
        <v>0.7631944444444444</v>
      </c>
      <c r="D20" s="59">
        <v>24000</v>
      </c>
      <c r="E20" s="3" t="s">
        <v>222</v>
      </c>
      <c r="H20" s="32" t="s">
        <v>142</v>
      </c>
      <c r="I20" t="s">
        <v>199</v>
      </c>
    </row>
    <row r="21" spans="1:10" x14ac:dyDescent="0.25">
      <c r="A21" s="2">
        <v>46080</v>
      </c>
      <c r="B21" s="2" t="str">
        <f t="shared" si="1"/>
        <v>vie</v>
      </c>
      <c r="C21" s="34">
        <v>0.75972222222222219</v>
      </c>
      <c r="D21" s="59">
        <v>11000</v>
      </c>
      <c r="E21" s="3" t="s">
        <v>222</v>
      </c>
      <c r="H21" s="32" t="s">
        <v>142</v>
      </c>
      <c r="I21" t="s">
        <v>200</v>
      </c>
    </row>
    <row r="22" spans="1:10" x14ac:dyDescent="0.25">
      <c r="A22" s="2">
        <v>46081</v>
      </c>
      <c r="B22" s="2" t="str">
        <f t="shared" si="1"/>
        <v>sáb</v>
      </c>
      <c r="C22" s="34"/>
      <c r="D22" s="59">
        <v>280000</v>
      </c>
      <c r="E22" s="3" t="s">
        <v>222</v>
      </c>
      <c r="H22" s="32" t="s">
        <v>142</v>
      </c>
      <c r="I22" t="s">
        <v>208</v>
      </c>
      <c r="J22" t="s">
        <v>216</v>
      </c>
    </row>
    <row r="23" spans="1:10" x14ac:dyDescent="0.25">
      <c r="A23" s="2">
        <v>46081</v>
      </c>
      <c r="B23" s="2" t="str">
        <f t="shared" ref="B23:B29" si="2">+TEXT(A23,"ddd")</f>
        <v>sáb</v>
      </c>
      <c r="C23" s="34">
        <v>0.79305555555555562</v>
      </c>
      <c r="D23" s="3">
        <v>18000</v>
      </c>
      <c r="E23" s="3" t="s">
        <v>222</v>
      </c>
      <c r="H23" s="32" t="s">
        <v>142</v>
      </c>
      <c r="I23" t="s">
        <v>209</v>
      </c>
      <c r="J23" t="s">
        <v>214</v>
      </c>
    </row>
    <row r="24" spans="1:10" x14ac:dyDescent="0.25">
      <c r="A24" s="2">
        <v>46081</v>
      </c>
      <c r="B24" s="2" t="str">
        <f t="shared" si="2"/>
        <v>sáb</v>
      </c>
      <c r="C24" s="34">
        <v>0.65208333333333335</v>
      </c>
      <c r="D24" s="3">
        <v>16000</v>
      </c>
      <c r="E24" s="3" t="s">
        <v>222</v>
      </c>
      <c r="H24" s="32" t="s">
        <v>142</v>
      </c>
      <c r="I24" t="s">
        <v>210</v>
      </c>
      <c r="J24" t="s">
        <v>212</v>
      </c>
    </row>
    <row r="25" spans="1:10" x14ac:dyDescent="0.25">
      <c r="A25" s="2">
        <v>46081</v>
      </c>
      <c r="B25" s="2" t="str">
        <f t="shared" si="2"/>
        <v>sáb</v>
      </c>
      <c r="C25" s="34">
        <v>0.65138888888888891</v>
      </c>
      <c r="D25" s="3">
        <v>13000</v>
      </c>
      <c r="E25" s="3" t="s">
        <v>222</v>
      </c>
      <c r="H25" s="32" t="s">
        <v>142</v>
      </c>
      <c r="I25" t="s">
        <v>198</v>
      </c>
      <c r="J25" t="s">
        <v>213</v>
      </c>
    </row>
    <row r="26" spans="1:10" x14ac:dyDescent="0.25">
      <c r="A26" s="2">
        <v>46084</v>
      </c>
      <c r="B26" s="2" t="str">
        <f t="shared" si="2"/>
        <v>mar</v>
      </c>
      <c r="C26" s="35"/>
      <c r="D26" s="95">
        <f>-(D18+D14)</f>
        <v>-27000</v>
      </c>
      <c r="E26" s="3" t="s">
        <v>224</v>
      </c>
      <c r="H26" s="33" t="s">
        <v>147</v>
      </c>
      <c r="I26" t="s">
        <v>225</v>
      </c>
    </row>
    <row r="27" spans="1:10" x14ac:dyDescent="0.25">
      <c r="A27" s="2">
        <v>46084</v>
      </c>
      <c r="B27" s="2" t="str">
        <f t="shared" si="2"/>
        <v>mar</v>
      </c>
      <c r="C27" s="35"/>
      <c r="D27" s="3">
        <v>27000</v>
      </c>
      <c r="E27" s="3" t="s">
        <v>224</v>
      </c>
      <c r="H27" s="32" t="s">
        <v>142</v>
      </c>
      <c r="I27" t="s">
        <v>225</v>
      </c>
    </row>
    <row r="28" spans="1:10" x14ac:dyDescent="0.25">
      <c r="A28" s="2">
        <v>46084</v>
      </c>
      <c r="B28" s="2" t="str">
        <f t="shared" si="2"/>
        <v>mar</v>
      </c>
      <c r="C28" s="1"/>
      <c r="D28" s="58">
        <v>-619850</v>
      </c>
      <c r="E28" s="3" t="s">
        <v>224</v>
      </c>
      <c r="H28" s="32" t="s">
        <v>142</v>
      </c>
      <c r="I28" t="s">
        <v>221</v>
      </c>
    </row>
    <row r="29" spans="1:10" x14ac:dyDescent="0.25">
      <c r="A29" s="2">
        <v>46084</v>
      </c>
      <c r="B29" s="2" t="str">
        <f t="shared" si="2"/>
        <v>mar</v>
      </c>
      <c r="C29" s="1"/>
      <c r="D29" s="3">
        <v>33000</v>
      </c>
      <c r="E29" s="3" t="s">
        <v>222</v>
      </c>
      <c r="H29" s="32" t="s">
        <v>142</v>
      </c>
      <c r="I29" t="s">
        <v>226</v>
      </c>
    </row>
    <row r="30" spans="1:10" x14ac:dyDescent="0.25">
      <c r="A30" s="2">
        <v>46085</v>
      </c>
      <c r="B30" s="2" t="str">
        <f t="shared" ref="B30:B40" si="3">+TEXT(A30,"ddd")</f>
        <v>mié</v>
      </c>
      <c r="D30" s="3">
        <v>19000</v>
      </c>
      <c r="E30" s="3" t="s">
        <v>222</v>
      </c>
      <c r="H30" s="32" t="s">
        <v>142</v>
      </c>
      <c r="I30" t="s">
        <v>262</v>
      </c>
    </row>
    <row r="31" spans="1:10" x14ac:dyDescent="0.25">
      <c r="A31" s="2">
        <v>46085</v>
      </c>
      <c r="B31" s="2" t="str">
        <f t="shared" si="3"/>
        <v>mié</v>
      </c>
      <c r="D31" s="3">
        <v>8000</v>
      </c>
      <c r="E31" s="3" t="s">
        <v>222</v>
      </c>
      <c r="H31" s="32" t="s">
        <v>142</v>
      </c>
      <c r="I31" t="s">
        <v>261</v>
      </c>
    </row>
    <row r="32" spans="1:10" x14ac:dyDescent="0.25">
      <c r="A32" s="2">
        <v>46085</v>
      </c>
      <c r="B32" s="2" t="str">
        <f t="shared" si="3"/>
        <v>mié</v>
      </c>
      <c r="D32" s="3">
        <v>18000</v>
      </c>
      <c r="E32" s="3" t="s">
        <v>222</v>
      </c>
      <c r="H32" s="32" t="s">
        <v>142</v>
      </c>
      <c r="I32" t="s">
        <v>260</v>
      </c>
    </row>
    <row r="33" spans="1:13" x14ac:dyDescent="0.25">
      <c r="A33" s="2">
        <v>46085</v>
      </c>
      <c r="B33" s="2" t="str">
        <f t="shared" si="3"/>
        <v>mié</v>
      </c>
      <c r="D33" s="3">
        <v>8000</v>
      </c>
      <c r="E33" s="3" t="s">
        <v>222</v>
      </c>
      <c r="H33" s="32" t="s">
        <v>142</v>
      </c>
      <c r="I33" t="s">
        <v>259</v>
      </c>
    </row>
    <row r="34" spans="1:13" x14ac:dyDescent="0.25">
      <c r="A34" s="2">
        <v>46085</v>
      </c>
      <c r="B34" s="2" t="str">
        <f t="shared" si="3"/>
        <v>mié</v>
      </c>
      <c r="D34" s="3">
        <v>64000</v>
      </c>
      <c r="E34" s="3" t="s">
        <v>222</v>
      </c>
      <c r="H34" s="32" t="s">
        <v>142</v>
      </c>
      <c r="I34" t="s">
        <v>258</v>
      </c>
      <c r="M34" s="3">
        <f>+SUM(D30:D34)</f>
        <v>117000</v>
      </c>
    </row>
    <row r="35" spans="1:13" x14ac:dyDescent="0.25">
      <c r="A35" s="2">
        <v>46086</v>
      </c>
      <c r="B35" s="2" t="str">
        <f t="shared" si="3"/>
        <v>jue</v>
      </c>
      <c r="D35" s="3">
        <v>30000</v>
      </c>
      <c r="E35" s="3" t="s">
        <v>222</v>
      </c>
      <c r="H35" s="32" t="s">
        <v>142</v>
      </c>
      <c r="I35" t="s">
        <v>267</v>
      </c>
      <c r="M35" s="3">
        <f>'Arqueo de Caja'!$U$18+8000</f>
        <v>260000</v>
      </c>
    </row>
    <row r="36" spans="1:13" x14ac:dyDescent="0.25">
      <c r="A36" s="2">
        <v>46086</v>
      </c>
      <c r="B36" s="2" t="str">
        <f t="shared" si="3"/>
        <v>jue</v>
      </c>
      <c r="D36" s="3">
        <v>11000</v>
      </c>
      <c r="E36" s="3" t="s">
        <v>222</v>
      </c>
      <c r="H36" s="32" t="s">
        <v>142</v>
      </c>
      <c r="I36" t="s">
        <v>266</v>
      </c>
    </row>
    <row r="37" spans="1:13" x14ac:dyDescent="0.25">
      <c r="A37" s="2">
        <v>46086</v>
      </c>
      <c r="B37" s="2" t="str">
        <f t="shared" si="3"/>
        <v>jue</v>
      </c>
      <c r="D37" s="3">
        <v>16000</v>
      </c>
      <c r="E37" s="3" t="s">
        <v>222</v>
      </c>
      <c r="H37" s="32" t="s">
        <v>142</v>
      </c>
      <c r="I37" t="s">
        <v>265</v>
      </c>
    </row>
    <row r="38" spans="1:13" x14ac:dyDescent="0.25">
      <c r="A38" s="2">
        <v>46086</v>
      </c>
      <c r="B38" s="2" t="str">
        <f t="shared" si="3"/>
        <v>jue</v>
      </c>
      <c r="D38" s="3">
        <v>39500</v>
      </c>
      <c r="E38" s="3" t="s">
        <v>222</v>
      </c>
      <c r="H38" s="32" t="s">
        <v>142</v>
      </c>
      <c r="I38" t="s">
        <v>264</v>
      </c>
      <c r="M38">
        <f>+'Arqueo de Caja'!W14</f>
        <v>175050</v>
      </c>
    </row>
    <row r="39" spans="1:13" x14ac:dyDescent="0.25">
      <c r="A39" s="2">
        <v>46086</v>
      </c>
      <c r="B39" s="2" t="str">
        <f t="shared" si="3"/>
        <v>jue</v>
      </c>
      <c r="D39" s="3">
        <v>35000</v>
      </c>
      <c r="E39" s="3" t="s">
        <v>222</v>
      </c>
      <c r="H39" s="32" t="s">
        <v>142</v>
      </c>
      <c r="I39" t="s">
        <v>263</v>
      </c>
      <c r="M39" s="13">
        <f>+SUM(D35:D39)</f>
        <v>131500</v>
      </c>
    </row>
    <row r="40" spans="1:13" x14ac:dyDescent="0.25">
      <c r="A40" s="2">
        <v>46088</v>
      </c>
      <c r="B40" s="2" t="str">
        <f t="shared" si="3"/>
        <v>sáb</v>
      </c>
      <c r="D40" s="3">
        <v>28000</v>
      </c>
      <c r="E40" s="3" t="s">
        <v>222</v>
      </c>
      <c r="H40" s="32" t="s">
        <v>142</v>
      </c>
      <c r="I40" t="s">
        <v>318</v>
      </c>
      <c r="M40" s="13"/>
    </row>
    <row r="41" spans="1:13" x14ac:dyDescent="0.25">
      <c r="A41" s="2">
        <v>46088</v>
      </c>
      <c r="B41" s="2" t="str">
        <f t="shared" ref="B41" si="4">+TEXT(A41,"ddd")</f>
        <v>sáb</v>
      </c>
      <c r="D41" s="3">
        <v>43000</v>
      </c>
      <c r="E41" s="3" t="s">
        <v>222</v>
      </c>
      <c r="H41" s="32"/>
      <c r="I41" t="s">
        <v>268</v>
      </c>
      <c r="M41" s="13"/>
    </row>
    <row r="42" spans="1:13" x14ac:dyDescent="0.25">
      <c r="A42" s="2">
        <v>46089</v>
      </c>
      <c r="B42" s="2" t="str">
        <f t="shared" ref="B42:B45" si="5">+TEXT(A42,"ddd")</f>
        <v>dom</v>
      </c>
      <c r="D42" s="3">
        <v>30000</v>
      </c>
      <c r="E42" s="3" t="s">
        <v>222</v>
      </c>
      <c r="H42" s="32" t="s">
        <v>142</v>
      </c>
      <c r="I42" t="s">
        <v>363</v>
      </c>
    </row>
    <row r="43" spans="1:13" x14ac:dyDescent="0.25">
      <c r="A43" s="2">
        <v>46089</v>
      </c>
      <c r="B43" s="2" t="str">
        <f t="shared" si="5"/>
        <v>dom</v>
      </c>
      <c r="D43" s="3">
        <v>54000</v>
      </c>
      <c r="E43" s="3" t="s">
        <v>222</v>
      </c>
      <c r="H43" s="32" t="s">
        <v>142</v>
      </c>
      <c r="I43" t="s">
        <v>365</v>
      </c>
    </row>
    <row r="44" spans="1:13" x14ac:dyDescent="0.25">
      <c r="A44" s="2">
        <v>46089</v>
      </c>
      <c r="B44" s="2" t="str">
        <f t="shared" si="5"/>
        <v>dom</v>
      </c>
      <c r="D44" s="3">
        <v>8000</v>
      </c>
      <c r="E44" s="3" t="s">
        <v>222</v>
      </c>
      <c r="H44" s="32" t="s">
        <v>142</v>
      </c>
      <c r="I44" t="s">
        <v>364</v>
      </c>
    </row>
    <row r="45" spans="1:13" x14ac:dyDescent="0.25">
      <c r="A45" s="2">
        <v>46089</v>
      </c>
      <c r="B45" s="2" t="str">
        <f t="shared" si="5"/>
        <v>dom</v>
      </c>
      <c r="D45" s="3">
        <v>30000</v>
      </c>
      <c r="E45" s="3" t="s">
        <v>222</v>
      </c>
      <c r="H45" s="32" t="s">
        <v>142</v>
      </c>
      <c r="I45" t="s">
        <v>366</v>
      </c>
    </row>
    <row r="46" spans="1:13" x14ac:dyDescent="0.25">
      <c r="A46" s="2" t="s">
        <v>0</v>
      </c>
      <c r="B46" s="2" t="str">
        <f>+TEXT(A46,"ddd")</f>
        <v xml:space="preserve"> </v>
      </c>
      <c r="C46" t="s">
        <v>269</v>
      </c>
      <c r="D46" s="16">
        <v>16000</v>
      </c>
      <c r="E46" s="3" t="s">
        <v>222</v>
      </c>
      <c r="H46" s="32" t="s">
        <v>142</v>
      </c>
      <c r="I46" s="1" t="s">
        <v>319</v>
      </c>
    </row>
    <row r="47" spans="1:13" x14ac:dyDescent="0.25">
      <c r="A47" s="2">
        <v>46091</v>
      </c>
      <c r="B47" s="2" t="str">
        <f>+TEXT(A47,"ddd")</f>
        <v>mar</v>
      </c>
      <c r="D47" s="3">
        <v>90000</v>
      </c>
      <c r="E47" s="3" t="s">
        <v>222</v>
      </c>
      <c r="H47" s="32" t="s">
        <v>142</v>
      </c>
      <c r="I47" s="33" t="s">
        <v>354</v>
      </c>
    </row>
    <row r="48" spans="1:13" x14ac:dyDescent="0.25">
      <c r="A48" s="2">
        <v>46091</v>
      </c>
      <c r="B48" s="2" t="str">
        <f>+TEXT(A48,"ddd")</f>
        <v>mar</v>
      </c>
      <c r="D48" s="58">
        <v>-412000</v>
      </c>
      <c r="H48" s="32" t="s">
        <v>142</v>
      </c>
      <c r="I48" t="s">
        <v>355</v>
      </c>
    </row>
    <row r="49" spans="1:9" x14ac:dyDescent="0.25">
      <c r="A49" s="2">
        <v>46091</v>
      </c>
      <c r="B49" s="2" t="str">
        <f>+TEXT(A49,"ddd")</f>
        <v>mar</v>
      </c>
      <c r="D49" s="3">
        <v>30000</v>
      </c>
      <c r="E49" s="3" t="s">
        <v>222</v>
      </c>
      <c r="H49" s="32" t="s">
        <v>142</v>
      </c>
      <c r="I49" t="s">
        <v>356</v>
      </c>
    </row>
    <row r="50" spans="1:9" x14ac:dyDescent="0.25">
      <c r="A50" s="2">
        <v>46091</v>
      </c>
      <c r="B50" s="2" t="str">
        <f>+TEXT(A50,"ddd")</f>
        <v>mar</v>
      </c>
      <c r="D50" s="3">
        <v>11000</v>
      </c>
      <c r="E50" s="3" t="s">
        <v>222</v>
      </c>
      <c r="H50" s="32" t="s">
        <v>142</v>
      </c>
      <c r="I50" t="s">
        <v>353</v>
      </c>
    </row>
    <row r="51" spans="1:9" x14ac:dyDescent="0.25">
      <c r="A51" s="2">
        <v>46092</v>
      </c>
      <c r="B51" s="2" t="str">
        <f t="shared" ref="B51:B60" si="6">+TEXT(A51,"ddd")</f>
        <v>mié</v>
      </c>
      <c r="D51" s="3">
        <v>8000</v>
      </c>
      <c r="E51" s="3" t="s">
        <v>222</v>
      </c>
      <c r="H51" s="32" t="s">
        <v>142</v>
      </c>
      <c r="I51" t="s">
        <v>357</v>
      </c>
    </row>
    <row r="52" spans="1:9" x14ac:dyDescent="0.25">
      <c r="A52" s="2">
        <v>46092</v>
      </c>
      <c r="B52" s="2" t="str">
        <f t="shared" si="6"/>
        <v>mié</v>
      </c>
      <c r="D52" s="102">
        <v>24000</v>
      </c>
      <c r="E52" s="3" t="s">
        <v>222</v>
      </c>
      <c r="H52" s="32" t="s">
        <v>142</v>
      </c>
      <c r="I52" t="s">
        <v>358</v>
      </c>
    </row>
    <row r="53" spans="1:9" x14ac:dyDescent="0.25">
      <c r="A53" s="2">
        <v>46092</v>
      </c>
      <c r="B53" s="2" t="str">
        <f t="shared" si="6"/>
        <v>mié</v>
      </c>
      <c r="D53" s="3">
        <v>22000</v>
      </c>
      <c r="E53" s="3" t="s">
        <v>222</v>
      </c>
      <c r="H53" s="32" t="s">
        <v>142</v>
      </c>
      <c r="I53" t="s">
        <v>353</v>
      </c>
    </row>
    <row r="54" spans="1:9" x14ac:dyDescent="0.25">
      <c r="A54" s="2">
        <v>46092</v>
      </c>
      <c r="B54" s="2" t="str">
        <f t="shared" si="6"/>
        <v>mié</v>
      </c>
      <c r="D54" s="3">
        <v>8000</v>
      </c>
      <c r="E54" s="3" t="s">
        <v>222</v>
      </c>
      <c r="H54" s="32" t="s">
        <v>142</v>
      </c>
      <c r="I54" t="s">
        <v>359</v>
      </c>
    </row>
    <row r="55" spans="1:9" x14ac:dyDescent="0.25">
      <c r="A55" s="2">
        <v>46092</v>
      </c>
      <c r="B55" s="2" t="str">
        <f t="shared" si="6"/>
        <v>mié</v>
      </c>
      <c r="D55" s="3">
        <v>32000</v>
      </c>
      <c r="E55" s="3" t="s">
        <v>222</v>
      </c>
      <c r="H55" s="32" t="s">
        <v>142</v>
      </c>
      <c r="I55" t="s">
        <v>362</v>
      </c>
    </row>
    <row r="56" spans="1:9" x14ac:dyDescent="0.25">
      <c r="A56" s="2">
        <v>46092</v>
      </c>
      <c r="B56" s="2" t="str">
        <f t="shared" si="6"/>
        <v>mié</v>
      </c>
      <c r="D56" s="3">
        <v>8000</v>
      </c>
      <c r="E56" s="3" t="s">
        <v>222</v>
      </c>
      <c r="H56" s="32" t="s">
        <v>142</v>
      </c>
      <c r="I56" t="s">
        <v>360</v>
      </c>
    </row>
    <row r="57" spans="1:9" x14ac:dyDescent="0.25">
      <c r="A57" s="2">
        <v>46092</v>
      </c>
      <c r="B57" s="2" t="str">
        <f t="shared" si="6"/>
        <v>mié</v>
      </c>
      <c r="D57" s="3">
        <v>11000</v>
      </c>
      <c r="E57" s="3" t="s">
        <v>222</v>
      </c>
      <c r="H57" s="32" t="s">
        <v>142</v>
      </c>
      <c r="I57" t="s">
        <v>361</v>
      </c>
    </row>
    <row r="58" spans="1:9" x14ac:dyDescent="0.25">
      <c r="A58" s="2">
        <v>46092</v>
      </c>
      <c r="B58" s="2" t="str">
        <f t="shared" si="6"/>
        <v>mié</v>
      </c>
      <c r="D58" s="3">
        <v>1000</v>
      </c>
      <c r="E58" s="3" t="s">
        <v>222</v>
      </c>
      <c r="H58" s="33" t="s">
        <v>147</v>
      </c>
    </row>
    <row r="59" spans="1:9" x14ac:dyDescent="0.25">
      <c r="A59" s="2">
        <v>46092</v>
      </c>
      <c r="B59" s="2" t="str">
        <f t="shared" si="6"/>
        <v>mié</v>
      </c>
      <c r="D59" s="3">
        <v>22000</v>
      </c>
      <c r="E59" s="3" t="s">
        <v>222</v>
      </c>
      <c r="H59" s="33" t="s">
        <v>147</v>
      </c>
    </row>
    <row r="60" spans="1:9" x14ac:dyDescent="0.25">
      <c r="A60" s="2">
        <v>46093</v>
      </c>
      <c r="B60" s="2" t="str">
        <f t="shared" si="6"/>
        <v>jue</v>
      </c>
      <c r="D60" s="3">
        <v>82000</v>
      </c>
      <c r="E60" s="3" t="s">
        <v>222</v>
      </c>
      <c r="F60" s="96" t="s">
        <v>368</v>
      </c>
      <c r="H60" s="33" t="s">
        <v>147</v>
      </c>
    </row>
    <row r="61" spans="1:9" x14ac:dyDescent="0.25">
      <c r="A61" s="15">
        <v>46093</v>
      </c>
      <c r="B61" s="15" t="str">
        <f t="shared" ref="B61:B63" si="7">+TEXT(A61,"ddd")</f>
        <v>jue</v>
      </c>
      <c r="C61" s="1"/>
      <c r="D61" s="16">
        <v>24000</v>
      </c>
      <c r="E61" s="16" t="s">
        <v>222</v>
      </c>
      <c r="F61" s="16"/>
      <c r="G61" s="16" t="s">
        <v>383</v>
      </c>
      <c r="H61" s="32" t="s">
        <v>390</v>
      </c>
    </row>
    <row r="62" spans="1:9" x14ac:dyDescent="0.25">
      <c r="A62" s="2">
        <v>46093</v>
      </c>
      <c r="B62" s="2" t="str">
        <f t="shared" si="7"/>
        <v>jue</v>
      </c>
      <c r="C62" s="34">
        <v>0.73124999999999996</v>
      </c>
      <c r="D62" s="3">
        <v>11000</v>
      </c>
      <c r="E62" s="3" t="s">
        <v>222</v>
      </c>
      <c r="F62" s="96" t="s">
        <v>385</v>
      </c>
      <c r="H62" s="32" t="s">
        <v>142</v>
      </c>
      <c r="I62" t="s">
        <v>353</v>
      </c>
    </row>
    <row r="63" spans="1:9" x14ac:dyDescent="0.25">
      <c r="A63" s="2">
        <v>46093</v>
      </c>
      <c r="B63" s="2" t="str">
        <f t="shared" si="7"/>
        <v>jue</v>
      </c>
      <c r="C63" s="34">
        <v>0.78611111111111109</v>
      </c>
      <c r="D63" s="3">
        <v>24000</v>
      </c>
      <c r="E63" s="3" t="s">
        <v>222</v>
      </c>
      <c r="F63" s="96" t="s">
        <v>386</v>
      </c>
      <c r="H63" s="32" t="s">
        <v>142</v>
      </c>
      <c r="I63" t="s">
        <v>379</v>
      </c>
    </row>
    <row r="64" spans="1:9" x14ac:dyDescent="0.25">
      <c r="A64" s="2">
        <v>46093</v>
      </c>
      <c r="B64" s="2" t="str">
        <f t="shared" ref="B64:B71" si="8">+TEXT(A64,"ddd")</f>
        <v>jue</v>
      </c>
      <c r="D64" s="3">
        <v>24000</v>
      </c>
      <c r="E64" s="3" t="s">
        <v>222</v>
      </c>
      <c r="F64" s="96" t="s">
        <v>413</v>
      </c>
      <c r="H64" s="32" t="s">
        <v>142</v>
      </c>
      <c r="I64" t="s">
        <v>380</v>
      </c>
    </row>
    <row r="65" spans="1:9" x14ac:dyDescent="0.25">
      <c r="A65" s="2">
        <v>46093</v>
      </c>
      <c r="B65" s="2" t="str">
        <f t="shared" si="8"/>
        <v>jue</v>
      </c>
      <c r="D65" s="3">
        <v>11000</v>
      </c>
      <c r="E65" s="3" t="s">
        <v>222</v>
      </c>
      <c r="H65" s="32" t="s">
        <v>142</v>
      </c>
      <c r="I65" t="s">
        <v>381</v>
      </c>
    </row>
    <row r="66" spans="1:9" x14ac:dyDescent="0.25">
      <c r="A66" s="15">
        <v>46094</v>
      </c>
      <c r="B66" s="15" t="str">
        <f t="shared" si="8"/>
        <v>vie</v>
      </c>
      <c r="C66" s="1"/>
      <c r="D66" s="16">
        <v>16000</v>
      </c>
      <c r="E66" s="16" t="s">
        <v>222</v>
      </c>
      <c r="F66" s="16"/>
      <c r="G66" s="16" t="s">
        <v>383</v>
      </c>
      <c r="H66" s="32" t="s">
        <v>390</v>
      </c>
    </row>
    <row r="67" spans="1:9" x14ac:dyDescent="0.25">
      <c r="A67" s="2">
        <v>46095</v>
      </c>
      <c r="B67" s="2" t="str">
        <f t="shared" si="8"/>
        <v>sáb</v>
      </c>
      <c r="D67" s="3">
        <v>23000</v>
      </c>
      <c r="E67" s="3" t="s">
        <v>222</v>
      </c>
      <c r="F67" s="96" t="s">
        <v>368</v>
      </c>
      <c r="H67" s="33" t="s">
        <v>147</v>
      </c>
    </row>
    <row r="68" spans="1:9" x14ac:dyDescent="0.25">
      <c r="A68" s="2">
        <v>46095</v>
      </c>
      <c r="B68" s="2" t="str">
        <f t="shared" si="8"/>
        <v>sáb</v>
      </c>
      <c r="D68" s="3">
        <v>11000</v>
      </c>
      <c r="E68" s="3" t="s">
        <v>222</v>
      </c>
      <c r="F68" s="96" t="s">
        <v>411</v>
      </c>
      <c r="H68" s="32" t="s">
        <v>142</v>
      </c>
      <c r="I68" t="s">
        <v>405</v>
      </c>
    </row>
    <row r="69" spans="1:9" x14ac:dyDescent="0.25">
      <c r="A69" s="2">
        <v>46095</v>
      </c>
      <c r="B69" s="2" t="str">
        <f t="shared" si="8"/>
        <v>sáb</v>
      </c>
      <c r="D69" s="3">
        <v>11000</v>
      </c>
      <c r="E69" s="3" t="s">
        <v>222</v>
      </c>
      <c r="F69" s="96" t="s">
        <v>410</v>
      </c>
      <c r="H69" s="32" t="s">
        <v>142</v>
      </c>
      <c r="I69" t="s">
        <v>406</v>
      </c>
    </row>
    <row r="70" spans="1:9" x14ac:dyDescent="0.25">
      <c r="A70" s="2">
        <v>46095</v>
      </c>
      <c r="B70" s="2" t="str">
        <f t="shared" si="8"/>
        <v>sáb</v>
      </c>
      <c r="D70" s="3">
        <v>57500</v>
      </c>
      <c r="E70" s="3" t="s">
        <v>222</v>
      </c>
      <c r="F70" s="96"/>
      <c r="H70" s="32" t="s">
        <v>142</v>
      </c>
      <c r="I70" t="s">
        <v>407</v>
      </c>
    </row>
    <row r="71" spans="1:9" x14ac:dyDescent="0.25">
      <c r="A71" s="2">
        <v>46095</v>
      </c>
      <c r="B71" s="2" t="str">
        <f t="shared" si="8"/>
        <v>sáb</v>
      </c>
      <c r="D71" s="3">
        <v>13500</v>
      </c>
      <c r="E71" s="3" t="s">
        <v>222</v>
      </c>
      <c r="F71" s="96" t="s">
        <v>409</v>
      </c>
      <c r="H71" s="32" t="s">
        <v>142</v>
      </c>
      <c r="I71" t="s">
        <v>408</v>
      </c>
    </row>
    <row r="72" spans="1:9" x14ac:dyDescent="0.25">
      <c r="A72" s="2"/>
      <c r="B72" s="2"/>
    </row>
  </sheetData>
  <autoFilter ref="A5:M71"/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selection activeCell="C12" sqref="C12"/>
    </sheetView>
  </sheetViews>
  <sheetFormatPr baseColWidth="10" defaultRowHeight="15" x14ac:dyDescent="0.25"/>
  <cols>
    <col min="1" max="1" width="14" bestFit="1" customWidth="1"/>
  </cols>
  <sheetData>
    <row r="1" spans="1:2" x14ac:dyDescent="0.25">
      <c r="A1" t="s">
        <v>332</v>
      </c>
      <c r="B1" t="s">
        <v>333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18"/>
  <sheetViews>
    <sheetView zoomScale="85" zoomScaleNormal="85" workbookViewId="0">
      <selection activeCell="B16" sqref="B16"/>
    </sheetView>
  </sheetViews>
  <sheetFormatPr baseColWidth="10" defaultRowHeight="15" x14ac:dyDescent="0.25"/>
  <cols>
    <col min="1" max="1" width="21" bestFit="1" customWidth="1"/>
    <col min="2" max="2" width="9.42578125" customWidth="1"/>
    <col min="3" max="3" width="8.140625" bestFit="1" customWidth="1"/>
  </cols>
  <sheetData>
    <row r="1" spans="1:5" x14ac:dyDescent="0.25">
      <c r="A1" s="26" t="s">
        <v>315</v>
      </c>
    </row>
    <row r="2" spans="1:5" x14ac:dyDescent="0.25">
      <c r="A2" t="s">
        <v>311</v>
      </c>
      <c r="B2">
        <v>10000</v>
      </c>
      <c r="C2">
        <f>+B2*4</f>
        <v>40000</v>
      </c>
    </row>
    <row r="3" spans="1:5" x14ac:dyDescent="0.25">
      <c r="A3" t="s">
        <v>312</v>
      </c>
    </row>
    <row r="4" spans="1:5" x14ac:dyDescent="0.25">
      <c r="A4" t="s">
        <v>313</v>
      </c>
    </row>
    <row r="5" spans="1:5" x14ac:dyDescent="0.25">
      <c r="A5" s="88" t="s">
        <v>314</v>
      </c>
      <c r="B5" s="88"/>
      <c r="C5" s="88"/>
    </row>
    <row r="6" spans="1:5" x14ac:dyDescent="0.25">
      <c r="E6">
        <f>100000-16000</f>
        <v>84000</v>
      </c>
    </row>
    <row r="9" spans="1:5" x14ac:dyDescent="0.25">
      <c r="A9" t="s">
        <v>231</v>
      </c>
      <c r="B9" t="s">
        <v>234</v>
      </c>
    </row>
    <row r="10" spans="1:5" x14ac:dyDescent="0.25">
      <c r="A10" t="s">
        <v>232</v>
      </c>
      <c r="B10" t="s">
        <v>233</v>
      </c>
    </row>
    <row r="13" spans="1:5" x14ac:dyDescent="0.25">
      <c r="A13" t="s">
        <v>315</v>
      </c>
    </row>
    <row r="16" spans="1:5" x14ac:dyDescent="0.25">
      <c r="C16" t="s">
        <v>276</v>
      </c>
      <c r="D16" t="s">
        <v>276</v>
      </c>
    </row>
    <row r="17" spans="1:5" x14ac:dyDescent="0.25">
      <c r="A17" t="s">
        <v>417</v>
      </c>
      <c r="B17">
        <v>9000</v>
      </c>
      <c r="C17">
        <v>20</v>
      </c>
      <c r="D17">
        <f>+B17/C17</f>
        <v>450</v>
      </c>
      <c r="E17" t="s">
        <v>418</v>
      </c>
    </row>
    <row r="18" spans="1:5" x14ac:dyDescent="0.25">
      <c r="A18" t="s">
        <v>417</v>
      </c>
      <c r="B18">
        <v>8400</v>
      </c>
      <c r="C18">
        <v>20</v>
      </c>
      <c r="D18">
        <f>+B18/C18</f>
        <v>420</v>
      </c>
      <c r="E18" t="s">
        <v>418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</sheetPr>
  <dimension ref="A1:D13"/>
  <sheetViews>
    <sheetView workbookViewId="0">
      <selection activeCell="B20" sqref="B20"/>
    </sheetView>
  </sheetViews>
  <sheetFormatPr baseColWidth="10" defaultRowHeight="15" x14ac:dyDescent="0.25"/>
  <cols>
    <col min="1" max="1" width="32.5703125" bestFit="1" customWidth="1"/>
    <col min="2" max="2" width="23" bestFit="1" customWidth="1"/>
    <col min="3" max="3" width="20.140625" bestFit="1" customWidth="1"/>
    <col min="4" max="4" width="64.140625" bestFit="1" customWidth="1"/>
  </cols>
  <sheetData>
    <row r="1" spans="1:4" x14ac:dyDescent="0.25">
      <c r="A1" s="4" t="s">
        <v>15</v>
      </c>
      <c r="B1" s="4" t="s">
        <v>49</v>
      </c>
      <c r="C1" s="4" t="s">
        <v>50</v>
      </c>
      <c r="D1" s="4" t="s">
        <v>52</v>
      </c>
    </row>
    <row r="2" spans="1:4" x14ac:dyDescent="0.25">
      <c r="A2" t="s">
        <v>22</v>
      </c>
      <c r="B2" t="s">
        <v>70</v>
      </c>
      <c r="C2">
        <v>3206946710</v>
      </c>
      <c r="D2" t="s">
        <v>79</v>
      </c>
    </row>
    <row r="3" spans="1:4" x14ac:dyDescent="0.25">
      <c r="A3" s="3" t="s">
        <v>42</v>
      </c>
      <c r="B3" t="s">
        <v>51</v>
      </c>
      <c r="C3">
        <v>3104158673</v>
      </c>
      <c r="D3" t="s">
        <v>53</v>
      </c>
    </row>
    <row r="4" spans="1:4" x14ac:dyDescent="0.25">
      <c r="A4" s="3" t="s">
        <v>54</v>
      </c>
      <c r="B4" t="s">
        <v>55</v>
      </c>
      <c r="C4" t="s">
        <v>56</v>
      </c>
      <c r="D4" t="s">
        <v>78</v>
      </c>
    </row>
    <row r="5" spans="1:4" x14ac:dyDescent="0.25">
      <c r="A5" t="s">
        <v>58</v>
      </c>
      <c r="B5" t="s">
        <v>59</v>
      </c>
      <c r="C5" t="s">
        <v>60</v>
      </c>
      <c r="D5" t="s">
        <v>77</v>
      </c>
    </row>
    <row r="6" spans="1:4" x14ac:dyDescent="0.25">
      <c r="A6" t="s">
        <v>61</v>
      </c>
      <c r="B6" t="s">
        <v>62</v>
      </c>
      <c r="C6">
        <v>3103232264</v>
      </c>
      <c r="D6" t="s">
        <v>63</v>
      </c>
    </row>
    <row r="7" spans="1:4" x14ac:dyDescent="0.25">
      <c r="A7" t="s">
        <v>66</v>
      </c>
      <c r="B7" t="s">
        <v>67</v>
      </c>
      <c r="C7">
        <v>3222124844</v>
      </c>
      <c r="D7" t="s">
        <v>76</v>
      </c>
    </row>
    <row r="8" spans="1:4" x14ac:dyDescent="0.25">
      <c r="A8" s="3" t="s">
        <v>72</v>
      </c>
      <c r="B8" t="s">
        <v>73</v>
      </c>
      <c r="C8" t="s">
        <v>74</v>
      </c>
      <c r="D8" t="s">
        <v>75</v>
      </c>
    </row>
    <row r="9" spans="1:4" x14ac:dyDescent="0.25">
      <c r="A9" t="s">
        <v>252</v>
      </c>
      <c r="B9" t="s">
        <v>132</v>
      </c>
      <c r="C9">
        <v>3213130050</v>
      </c>
      <c r="D9" t="s">
        <v>131</v>
      </c>
    </row>
    <row r="10" spans="1:4" ht="30" x14ac:dyDescent="0.25">
      <c r="A10" t="s">
        <v>250</v>
      </c>
      <c r="C10" s="72" t="s">
        <v>251</v>
      </c>
      <c r="D10" t="s">
        <v>253</v>
      </c>
    </row>
    <row r="11" spans="1:4" x14ac:dyDescent="0.25">
      <c r="A11" t="s">
        <v>257</v>
      </c>
      <c r="C11" t="s">
        <v>256</v>
      </c>
    </row>
    <row r="12" spans="1:4" x14ac:dyDescent="0.25">
      <c r="A12" s="1" t="s">
        <v>329</v>
      </c>
      <c r="B12" s="1"/>
      <c r="C12" s="1" t="s">
        <v>316</v>
      </c>
    </row>
    <row r="13" spans="1:4" x14ac:dyDescent="0.25">
      <c r="A13" t="s">
        <v>243</v>
      </c>
      <c r="B13">
        <v>6016050600</v>
      </c>
    </row>
  </sheetData>
  <conditionalFormatting sqref="A2:A4">
    <cfRule type="containsText" dxfId="3" priority="3" operator="containsText" text="Patrimonio">
      <formula>NOT(ISERROR(SEARCH("Patrimonio",A2)))</formula>
    </cfRule>
    <cfRule type="containsText" dxfId="2" priority="4" operator="containsText" text="Por Pagar">
      <formula>NOT(ISERROR(SEARCH("Por Pagar",A2)))</formula>
    </cfRule>
  </conditionalFormatting>
  <conditionalFormatting sqref="A8">
    <cfRule type="containsText" dxfId="1" priority="1" operator="containsText" text="Patrimonio">
      <formula>NOT(ISERROR(SEARCH("Patrimonio",A8)))</formula>
    </cfRule>
    <cfRule type="containsText" dxfId="0" priority="2" operator="containsText" text="Por Pagar">
      <formula>NOT(ISERROR(SEARCH("Por Pagar",A8)))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39997558519241921"/>
  </sheetPr>
  <dimension ref="A1:G17"/>
  <sheetViews>
    <sheetView zoomScale="85" zoomScaleNormal="85" workbookViewId="0">
      <selection activeCell="A27" sqref="A27"/>
    </sheetView>
  </sheetViews>
  <sheetFormatPr baseColWidth="10" defaultRowHeight="15" x14ac:dyDescent="0.25"/>
  <cols>
    <col min="1" max="1" width="36.140625" bestFit="1" customWidth="1"/>
    <col min="2" max="2" width="13.42578125" bestFit="1" customWidth="1"/>
    <col min="4" max="4" width="17.5703125" customWidth="1"/>
    <col min="5" max="5" width="13.7109375" customWidth="1"/>
    <col min="6" max="6" width="14.42578125" bestFit="1" customWidth="1"/>
    <col min="7" max="7" width="15.42578125" bestFit="1" customWidth="1"/>
  </cols>
  <sheetData>
    <row r="1" spans="1:7" x14ac:dyDescent="0.25">
      <c r="A1" s="11" t="s">
        <v>37</v>
      </c>
      <c r="B1" t="s">
        <v>39</v>
      </c>
      <c r="D1" s="11" t="s">
        <v>37</v>
      </c>
      <c r="E1" t="s">
        <v>39</v>
      </c>
    </row>
    <row r="3" spans="1:7" x14ac:dyDescent="0.25">
      <c r="A3" s="11" t="s">
        <v>34</v>
      </c>
      <c r="B3" t="s">
        <v>36</v>
      </c>
      <c r="D3" s="11" t="s">
        <v>34</v>
      </c>
      <c r="E3" t="s">
        <v>36</v>
      </c>
      <c r="F3" t="s">
        <v>100</v>
      </c>
    </row>
    <row r="4" spans="1:7" x14ac:dyDescent="0.25">
      <c r="A4" s="8" t="s">
        <v>82</v>
      </c>
      <c r="B4" s="13">
        <v>4637265</v>
      </c>
      <c r="D4" s="8" t="s">
        <v>9</v>
      </c>
      <c r="E4" s="13">
        <v>18622650</v>
      </c>
      <c r="F4" s="24">
        <v>0.64590738721684227</v>
      </c>
      <c r="G4" s="3"/>
    </row>
    <row r="5" spans="1:7" x14ac:dyDescent="0.25">
      <c r="A5" s="12" t="s">
        <v>65</v>
      </c>
      <c r="B5" s="13">
        <v>1700000</v>
      </c>
      <c r="D5" s="8" t="s">
        <v>82</v>
      </c>
      <c r="E5" s="13">
        <v>4637265</v>
      </c>
      <c r="F5" s="24">
        <v>0.16083874851227456</v>
      </c>
    </row>
    <row r="6" spans="1:7" x14ac:dyDescent="0.25">
      <c r="A6" s="12" t="s">
        <v>90</v>
      </c>
      <c r="B6" s="13">
        <v>730000</v>
      </c>
      <c r="D6" s="8" t="s">
        <v>24</v>
      </c>
      <c r="E6" s="13">
        <v>3371850</v>
      </c>
      <c r="F6" s="24">
        <v>0.11694913578825299</v>
      </c>
    </row>
    <row r="7" spans="1:7" x14ac:dyDescent="0.25">
      <c r="A7" s="12" t="s">
        <v>83</v>
      </c>
      <c r="B7" s="13">
        <v>630000</v>
      </c>
      <c r="D7" s="8" t="s">
        <v>8</v>
      </c>
      <c r="E7" s="13">
        <v>1710000</v>
      </c>
      <c r="F7" s="24">
        <v>5.9309584411498917E-2</v>
      </c>
    </row>
    <row r="8" spans="1:7" x14ac:dyDescent="0.25">
      <c r="A8" s="12" t="s">
        <v>98</v>
      </c>
      <c r="B8" s="13">
        <v>420000</v>
      </c>
      <c r="D8" s="8" t="s">
        <v>96</v>
      </c>
      <c r="E8" s="13">
        <v>490000</v>
      </c>
      <c r="F8" s="24">
        <v>1.6995144071131268E-2</v>
      </c>
    </row>
    <row r="9" spans="1:7" x14ac:dyDescent="0.25">
      <c r="A9" s="12" t="s">
        <v>88</v>
      </c>
      <c r="B9" s="13">
        <v>300000</v>
      </c>
      <c r="D9" s="8" t="s">
        <v>35</v>
      </c>
      <c r="E9" s="13">
        <v>28831765</v>
      </c>
      <c r="F9" s="24">
        <v>1</v>
      </c>
    </row>
    <row r="10" spans="1:7" x14ac:dyDescent="0.25">
      <c r="A10" s="12" t="s">
        <v>84</v>
      </c>
      <c r="B10" s="13">
        <v>258615</v>
      </c>
    </row>
    <row r="11" spans="1:7" x14ac:dyDescent="0.25">
      <c r="A11" s="12" t="s">
        <v>94</v>
      </c>
      <c r="B11" s="13">
        <v>151300</v>
      </c>
    </row>
    <row r="12" spans="1:7" x14ac:dyDescent="0.25">
      <c r="A12" s="12" t="s">
        <v>86</v>
      </c>
      <c r="B12" s="13">
        <v>150000</v>
      </c>
    </row>
    <row r="13" spans="1:7" x14ac:dyDescent="0.25">
      <c r="A13" s="12" t="s">
        <v>92</v>
      </c>
      <c r="B13" s="13">
        <v>140000</v>
      </c>
    </row>
    <row r="14" spans="1:7" x14ac:dyDescent="0.25">
      <c r="A14" s="12" t="s">
        <v>87</v>
      </c>
      <c r="B14" s="13">
        <v>115450</v>
      </c>
    </row>
    <row r="15" spans="1:7" x14ac:dyDescent="0.25">
      <c r="A15" s="12" t="s">
        <v>4</v>
      </c>
      <c r="B15" s="13">
        <v>21900</v>
      </c>
    </row>
    <row r="16" spans="1:7" x14ac:dyDescent="0.25">
      <c r="A16" s="12" t="s">
        <v>105</v>
      </c>
      <c r="B16" s="13">
        <v>20000</v>
      </c>
    </row>
    <row r="17" spans="1:2" x14ac:dyDescent="0.25">
      <c r="A17" s="8" t="s">
        <v>35</v>
      </c>
      <c r="B17" s="13">
        <v>4637265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9"/>
  <sheetViews>
    <sheetView workbookViewId="0">
      <selection activeCell="D9" sqref="D9"/>
    </sheetView>
  </sheetViews>
  <sheetFormatPr baseColWidth="10" defaultRowHeight="15" x14ac:dyDescent="0.25"/>
  <cols>
    <col min="3" max="3" width="13" style="3" bestFit="1" customWidth="1"/>
    <col min="4" max="4" width="11.42578125" style="3"/>
    <col min="5" max="5" width="3" style="3" bestFit="1" customWidth="1"/>
  </cols>
  <sheetData>
    <row r="3" spans="1:6" x14ac:dyDescent="0.25">
      <c r="B3" t="s">
        <v>124</v>
      </c>
      <c r="C3" s="3" t="s">
        <v>125</v>
      </c>
      <c r="D3" s="3" t="s">
        <v>127</v>
      </c>
      <c r="E3" s="3" t="s">
        <v>129</v>
      </c>
      <c r="F3" t="s">
        <v>128</v>
      </c>
    </row>
    <row r="4" spans="1:6" x14ac:dyDescent="0.25">
      <c r="A4" t="s">
        <v>122</v>
      </c>
      <c r="B4">
        <v>1</v>
      </c>
      <c r="C4" s="3">
        <v>33000</v>
      </c>
      <c r="D4" s="3">
        <f>+B4*C4</f>
        <v>33000</v>
      </c>
      <c r="E4" s="25">
        <v>24</v>
      </c>
      <c r="F4" s="13">
        <f>C4/E4</f>
        <v>1375</v>
      </c>
    </row>
    <row r="5" spans="1:6" x14ac:dyDescent="0.25">
      <c r="A5" t="s">
        <v>126</v>
      </c>
      <c r="B5">
        <v>2</v>
      </c>
      <c r="C5" s="3">
        <v>29000</v>
      </c>
      <c r="D5" s="3">
        <f t="shared" ref="D5:D7" si="0">+B5*C5</f>
        <v>58000</v>
      </c>
      <c r="E5" s="25">
        <v>12</v>
      </c>
      <c r="F5" s="13">
        <f t="shared" ref="F5:F7" si="1">C5/E5</f>
        <v>2416.6666666666665</v>
      </c>
    </row>
    <row r="6" spans="1:6" x14ac:dyDescent="0.25">
      <c r="A6" t="s">
        <v>123</v>
      </c>
      <c r="B6">
        <v>3</v>
      </c>
      <c r="C6" s="3">
        <v>35000</v>
      </c>
      <c r="D6" s="3">
        <f t="shared" si="0"/>
        <v>105000</v>
      </c>
      <c r="E6" s="25">
        <v>30</v>
      </c>
      <c r="F6" s="13">
        <f t="shared" si="1"/>
        <v>1166.6666666666667</v>
      </c>
    </row>
    <row r="7" spans="1:6" x14ac:dyDescent="0.25">
      <c r="A7" t="s">
        <v>121</v>
      </c>
      <c r="B7">
        <v>6</v>
      </c>
      <c r="C7" s="3">
        <v>36000</v>
      </c>
      <c r="D7" s="3">
        <f t="shared" si="0"/>
        <v>216000</v>
      </c>
      <c r="E7" s="25">
        <v>30</v>
      </c>
      <c r="F7" s="13">
        <f t="shared" si="1"/>
        <v>1200</v>
      </c>
    </row>
    <row r="9" spans="1:6" x14ac:dyDescent="0.25">
      <c r="D9" s="3">
        <f>+SUM(D4:D7)</f>
        <v>412000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selection activeCell="D9" sqref="D9"/>
    </sheetView>
  </sheetViews>
  <sheetFormatPr baseColWidth="10" defaultRowHeight="15" x14ac:dyDescent="0.25"/>
  <sheetData>
    <row r="1" spans="1:3" x14ac:dyDescent="0.25">
      <c r="A1" s="1">
        <v>5</v>
      </c>
      <c r="B1" s="1">
        <v>100</v>
      </c>
      <c r="C1">
        <f>+A1*B1*3500</f>
        <v>1750000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9966FF"/>
  </sheetPr>
  <dimension ref="A2:G22"/>
  <sheetViews>
    <sheetView topLeftCell="A14" zoomScale="115" zoomScaleNormal="115" workbookViewId="0">
      <selection activeCell="A5" sqref="A5"/>
    </sheetView>
  </sheetViews>
  <sheetFormatPr baseColWidth="10" defaultRowHeight="15" x14ac:dyDescent="0.25"/>
  <cols>
    <col min="1" max="1" width="17.5703125" bestFit="1" customWidth="1"/>
    <col min="2" max="2" width="13.5703125" customWidth="1"/>
    <col min="3" max="3" width="11.28515625" bestFit="1" customWidth="1"/>
    <col min="4" max="4" width="12.5703125" customWidth="1"/>
    <col min="5" max="5" width="12.5703125" bestFit="1" customWidth="1"/>
  </cols>
  <sheetData>
    <row r="2" spans="1:7" x14ac:dyDescent="0.25">
      <c r="A2" s="22" t="s">
        <v>168</v>
      </c>
      <c r="E2" s="39">
        <f>+SUM(E4:E9)</f>
        <v>-4500</v>
      </c>
    </row>
    <row r="3" spans="1:7" x14ac:dyDescent="0.25">
      <c r="A3" s="11" t="s">
        <v>34</v>
      </c>
      <c r="B3" t="s">
        <v>36</v>
      </c>
      <c r="D3" s="22" t="s">
        <v>201</v>
      </c>
      <c r="E3" s="22" t="s">
        <v>163</v>
      </c>
    </row>
    <row r="4" spans="1:7" x14ac:dyDescent="0.25">
      <c r="A4" s="38">
        <v>46076</v>
      </c>
      <c r="B4" s="13">
        <v>30500</v>
      </c>
      <c r="C4" s="13"/>
      <c r="D4" s="63">
        <v>32000</v>
      </c>
      <c r="E4" s="39">
        <f>+B4-D4</f>
        <v>-1500</v>
      </c>
      <c r="F4" s="22" t="s">
        <v>162</v>
      </c>
      <c r="G4" t="s">
        <v>161</v>
      </c>
    </row>
    <row r="5" spans="1:7" x14ac:dyDescent="0.25">
      <c r="A5" s="38">
        <v>46077</v>
      </c>
      <c r="B5" s="13">
        <v>11000</v>
      </c>
      <c r="C5" s="13"/>
      <c r="D5" s="63">
        <v>8000</v>
      </c>
      <c r="E5" s="39">
        <f>+B5-D5</f>
        <v>3000</v>
      </c>
      <c r="F5" s="22" t="s">
        <v>160</v>
      </c>
      <c r="G5" t="s">
        <v>159</v>
      </c>
    </row>
    <row r="6" spans="1:7" x14ac:dyDescent="0.25">
      <c r="A6" s="38">
        <v>46078</v>
      </c>
      <c r="B6" s="13">
        <v>62500</v>
      </c>
      <c r="C6" s="13"/>
      <c r="D6" s="13">
        <v>62500</v>
      </c>
      <c r="E6" s="39">
        <f t="shared" ref="E6:E9" si="0">+B6-D6</f>
        <v>0</v>
      </c>
      <c r="F6" t="s">
        <v>158</v>
      </c>
    </row>
    <row r="7" spans="1:7" x14ac:dyDescent="0.25">
      <c r="A7" s="38">
        <v>46079</v>
      </c>
      <c r="B7" s="13">
        <v>125000</v>
      </c>
      <c r="C7" s="13"/>
      <c r="D7" s="63">
        <v>125000</v>
      </c>
      <c r="E7" s="39">
        <f t="shared" si="0"/>
        <v>0</v>
      </c>
      <c r="F7" t="s">
        <v>158</v>
      </c>
    </row>
    <row r="8" spans="1:7" x14ac:dyDescent="0.25">
      <c r="A8" s="38">
        <v>46080</v>
      </c>
      <c r="B8" s="13">
        <v>56000</v>
      </c>
      <c r="C8" s="13"/>
      <c r="D8" s="63">
        <f>11000+51000</f>
        <v>62000</v>
      </c>
      <c r="E8" s="39">
        <f t="shared" si="0"/>
        <v>-6000</v>
      </c>
    </row>
    <row r="9" spans="1:7" x14ac:dyDescent="0.25">
      <c r="A9" s="38">
        <v>46081</v>
      </c>
      <c r="B9" s="13">
        <v>327000</v>
      </c>
      <c r="C9" s="13"/>
      <c r="D9" s="64">
        <f>47000+280000</f>
        <v>327000</v>
      </c>
      <c r="E9" s="39">
        <f t="shared" si="0"/>
        <v>0</v>
      </c>
      <c r="F9" t="s">
        <v>158</v>
      </c>
    </row>
    <row r="10" spans="1:7" x14ac:dyDescent="0.25">
      <c r="A10" s="8" t="s">
        <v>35</v>
      </c>
      <c r="B10" s="13">
        <v>612000</v>
      </c>
    </row>
    <row r="15" spans="1:7" x14ac:dyDescent="0.25">
      <c r="A15" s="11" t="s">
        <v>36</v>
      </c>
      <c r="B15" s="11" t="s">
        <v>170</v>
      </c>
    </row>
    <row r="16" spans="1:7" x14ac:dyDescent="0.25">
      <c r="A16" s="11" t="s">
        <v>34</v>
      </c>
      <c r="B16" t="s">
        <v>147</v>
      </c>
      <c r="C16" t="s">
        <v>142</v>
      </c>
      <c r="D16" t="s">
        <v>35</v>
      </c>
    </row>
    <row r="17" spans="1:4" x14ac:dyDescent="0.25">
      <c r="A17" s="38">
        <v>46076</v>
      </c>
      <c r="B17" s="13"/>
      <c r="C17" s="13">
        <v>30500</v>
      </c>
      <c r="D17" s="13">
        <v>30500</v>
      </c>
    </row>
    <row r="18" spans="1:4" x14ac:dyDescent="0.25">
      <c r="A18" s="38">
        <v>46077</v>
      </c>
      <c r="B18" s="13"/>
      <c r="C18" s="13">
        <v>11000</v>
      </c>
      <c r="D18" s="13">
        <v>11000</v>
      </c>
    </row>
    <row r="19" spans="1:4" x14ac:dyDescent="0.25">
      <c r="A19" s="38">
        <v>46078</v>
      </c>
      <c r="B19" s="13">
        <v>16000</v>
      </c>
      <c r="C19" s="13">
        <v>46500</v>
      </c>
      <c r="D19" s="13">
        <v>62500</v>
      </c>
    </row>
    <row r="20" spans="1:4" x14ac:dyDescent="0.25">
      <c r="A20" s="38">
        <v>46079</v>
      </c>
      <c r="B20" s="13"/>
      <c r="C20" s="13">
        <v>125000</v>
      </c>
      <c r="D20" s="13">
        <v>125000</v>
      </c>
    </row>
    <row r="21" spans="1:4" x14ac:dyDescent="0.25">
      <c r="A21" s="38">
        <v>46080</v>
      </c>
      <c r="B21" s="13">
        <v>11000</v>
      </c>
      <c r="C21" s="13">
        <v>45000</v>
      </c>
      <c r="D21" s="13">
        <v>56000</v>
      </c>
    </row>
    <row r="22" spans="1:4" x14ac:dyDescent="0.25">
      <c r="A22" s="8" t="s">
        <v>35</v>
      </c>
      <c r="B22" s="13">
        <v>27000</v>
      </c>
      <c r="C22" s="13">
        <v>258000</v>
      </c>
      <c r="D22" s="13">
        <v>285000</v>
      </c>
    </row>
  </sheetData>
  <pageMargins left="0.7" right="0.7" top="0.75" bottom="0.75" header="0.3" footer="0.3"/>
  <legacy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9933"/>
  </sheetPr>
  <dimension ref="B2:G11"/>
  <sheetViews>
    <sheetView workbookViewId="0">
      <selection activeCell="F11" sqref="F11"/>
    </sheetView>
  </sheetViews>
  <sheetFormatPr baseColWidth="10" defaultRowHeight="15" x14ac:dyDescent="0.25"/>
  <cols>
    <col min="1" max="1" width="5.140625" customWidth="1"/>
    <col min="2" max="2" width="16.7109375" bestFit="1" customWidth="1"/>
    <col min="4" max="4" width="12" bestFit="1" customWidth="1"/>
  </cols>
  <sheetData>
    <row r="2" spans="2:7" x14ac:dyDescent="0.25">
      <c r="B2" t="s">
        <v>320</v>
      </c>
      <c r="E2" t="s">
        <v>327</v>
      </c>
    </row>
    <row r="3" spans="2:7" x14ac:dyDescent="0.25">
      <c r="B3" t="s">
        <v>321</v>
      </c>
    </row>
    <row r="4" spans="2:7" x14ac:dyDescent="0.25">
      <c r="B4" t="s">
        <v>322</v>
      </c>
    </row>
    <row r="5" spans="2:7" x14ac:dyDescent="0.25">
      <c r="B5" t="s">
        <v>323</v>
      </c>
      <c r="D5">
        <v>7</v>
      </c>
      <c r="E5" t="s">
        <v>326</v>
      </c>
    </row>
    <row r="6" spans="2:7" x14ac:dyDescent="0.25">
      <c r="B6" s="24">
        <v>0</v>
      </c>
      <c r="C6" t="s">
        <v>325</v>
      </c>
      <c r="G6" t="s">
        <v>328</v>
      </c>
    </row>
    <row r="7" spans="2:7" x14ac:dyDescent="0.25">
      <c r="G7">
        <v>26</v>
      </c>
    </row>
    <row r="8" spans="2:7" x14ac:dyDescent="0.25">
      <c r="B8" t="s">
        <v>324</v>
      </c>
      <c r="D8" s="3">
        <v>10000</v>
      </c>
    </row>
    <row r="9" spans="2:7" x14ac:dyDescent="0.25">
      <c r="D9" s="3">
        <f>+E9*D8</f>
        <v>2300</v>
      </c>
      <c r="E9" s="24">
        <v>0.23</v>
      </c>
    </row>
    <row r="11" spans="2:7" x14ac:dyDescent="0.25">
      <c r="G11">
        <f>4.5*4</f>
        <v>18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J22"/>
  <sheetViews>
    <sheetView showGridLines="0" zoomScaleNormal="100" workbookViewId="0">
      <pane ySplit="2" topLeftCell="A3" activePane="bottomLeft" state="frozen"/>
      <selection pane="bottomLeft" activeCell="G4" sqref="A4:XFD4"/>
    </sheetView>
  </sheetViews>
  <sheetFormatPr baseColWidth="10" defaultRowHeight="15" x14ac:dyDescent="0.25"/>
  <cols>
    <col min="2" max="2" width="3.28515625" bestFit="1" customWidth="1"/>
    <col min="3" max="3" width="6.5703125" bestFit="1" customWidth="1"/>
    <col min="4" max="4" width="23.140625" bestFit="1" customWidth="1"/>
    <col min="5" max="5" width="23.140625" customWidth="1"/>
    <col min="6" max="6" width="12" style="58" bestFit="1" customWidth="1"/>
    <col min="8" max="8" width="12" bestFit="1" customWidth="1"/>
  </cols>
  <sheetData>
    <row r="1" spans="1:10" x14ac:dyDescent="0.25">
      <c r="F1" s="70">
        <f>+SUM(F3:F1048576)</f>
        <v>89700</v>
      </c>
      <c r="H1" s="3">
        <f>'Arqueo de Caja'!$Y$14</f>
        <v>86000</v>
      </c>
      <c r="I1" s="39">
        <f>+F1-H1</f>
        <v>3700</v>
      </c>
      <c r="J1" s="80">
        <v>93000</v>
      </c>
    </row>
    <row r="2" spans="1:10" x14ac:dyDescent="0.25">
      <c r="A2" s="73" t="s">
        <v>282</v>
      </c>
      <c r="B2" s="73" t="s">
        <v>276</v>
      </c>
      <c r="C2" s="73" t="s">
        <v>277</v>
      </c>
      <c r="D2" s="73" t="s">
        <v>3</v>
      </c>
      <c r="E2" s="73"/>
      <c r="F2" s="74" t="s">
        <v>280</v>
      </c>
      <c r="G2" s="74" t="s">
        <v>281</v>
      </c>
      <c r="I2" s="39"/>
    </row>
    <row r="3" spans="1:10" x14ac:dyDescent="0.25">
      <c r="A3" s="75" t="s">
        <v>139</v>
      </c>
      <c r="B3" s="75"/>
      <c r="C3" s="75"/>
      <c r="D3" s="75" t="s">
        <v>139</v>
      </c>
      <c r="E3" s="75"/>
      <c r="F3" s="78">
        <v>93000</v>
      </c>
      <c r="G3" s="75"/>
    </row>
    <row r="4" spans="1:10" x14ac:dyDescent="0.25">
      <c r="A4" s="75" t="s">
        <v>270</v>
      </c>
      <c r="B4" s="75"/>
      <c r="C4" s="75"/>
      <c r="D4" s="75" t="s">
        <v>270</v>
      </c>
      <c r="E4" s="75"/>
      <c r="F4" s="78">
        <v>-70000</v>
      </c>
      <c r="G4" s="75"/>
    </row>
    <row r="5" spans="1:10" x14ac:dyDescent="0.25">
      <c r="A5" s="75" t="s">
        <v>140</v>
      </c>
      <c r="B5" s="75"/>
      <c r="C5" s="75"/>
      <c r="D5" s="75" t="s">
        <v>271</v>
      </c>
      <c r="E5" s="75" t="s">
        <v>272</v>
      </c>
      <c r="F5" s="78">
        <f>-3800*10</f>
        <v>-38000</v>
      </c>
      <c r="G5" s="75"/>
    </row>
    <row r="6" spans="1:10" x14ac:dyDescent="0.25">
      <c r="A6" s="75" t="s">
        <v>140</v>
      </c>
      <c r="B6" s="75"/>
      <c r="C6" s="75"/>
      <c r="D6" s="75" t="s">
        <v>271</v>
      </c>
      <c r="E6" s="75" t="s">
        <v>273</v>
      </c>
      <c r="F6" s="78">
        <v>-28500</v>
      </c>
      <c r="G6" s="75"/>
    </row>
    <row r="7" spans="1:10" x14ac:dyDescent="0.25">
      <c r="A7" s="75" t="s">
        <v>140</v>
      </c>
      <c r="B7" s="75"/>
      <c r="C7" s="75"/>
      <c r="D7" s="75" t="s">
        <v>274</v>
      </c>
      <c r="E7" s="75"/>
      <c r="F7" s="78">
        <v>-27800</v>
      </c>
      <c r="G7" s="75"/>
    </row>
    <row r="8" spans="1:10" x14ac:dyDescent="0.25">
      <c r="A8" s="75" t="s">
        <v>140</v>
      </c>
      <c r="B8" s="75"/>
      <c r="C8" s="75"/>
      <c r="D8" s="75" t="s">
        <v>275</v>
      </c>
      <c r="E8" s="75"/>
      <c r="F8" s="78">
        <v>-27000</v>
      </c>
      <c r="G8" s="75"/>
    </row>
    <row r="9" spans="1:10" x14ac:dyDescent="0.25">
      <c r="A9" s="75"/>
      <c r="B9" s="75"/>
      <c r="C9" s="75"/>
      <c r="D9" s="75" t="s">
        <v>289</v>
      </c>
      <c r="E9" s="75"/>
      <c r="F9" s="78">
        <v>-22000</v>
      </c>
      <c r="G9" s="75"/>
    </row>
    <row r="10" spans="1:10" x14ac:dyDescent="0.25">
      <c r="A10" s="75" t="s">
        <v>278</v>
      </c>
      <c r="B10" s="75">
        <v>2</v>
      </c>
      <c r="C10" s="75">
        <v>8000</v>
      </c>
      <c r="D10" s="75" t="s">
        <v>191</v>
      </c>
      <c r="E10" s="75"/>
      <c r="F10" s="78">
        <f t="shared" ref="F10:F15" si="0">+B10*C10</f>
        <v>16000</v>
      </c>
      <c r="G10" s="75"/>
    </row>
    <row r="11" spans="1:10" x14ac:dyDescent="0.25">
      <c r="A11" s="75" t="s">
        <v>278</v>
      </c>
      <c r="B11" s="75">
        <v>2</v>
      </c>
      <c r="C11" s="75">
        <v>8000</v>
      </c>
      <c r="D11" s="75" t="s">
        <v>191</v>
      </c>
      <c r="E11" s="75"/>
      <c r="F11" s="78">
        <f t="shared" si="0"/>
        <v>16000</v>
      </c>
      <c r="G11" s="75"/>
    </row>
    <row r="12" spans="1:10" x14ac:dyDescent="0.25">
      <c r="A12" s="75" t="s">
        <v>278</v>
      </c>
      <c r="B12" s="75">
        <v>4</v>
      </c>
      <c r="C12" s="75">
        <v>8000</v>
      </c>
      <c r="D12" s="75" t="s">
        <v>191</v>
      </c>
      <c r="E12" s="75"/>
      <c r="F12" s="78">
        <f t="shared" si="0"/>
        <v>32000</v>
      </c>
      <c r="G12" s="75"/>
    </row>
    <row r="13" spans="1:10" x14ac:dyDescent="0.25">
      <c r="A13" s="75" t="s">
        <v>278</v>
      </c>
      <c r="B13" s="75">
        <v>1</v>
      </c>
      <c r="C13" s="75">
        <v>8000</v>
      </c>
      <c r="D13" s="75" t="s">
        <v>191</v>
      </c>
      <c r="E13" s="75"/>
      <c r="F13" s="78">
        <f t="shared" si="0"/>
        <v>8000</v>
      </c>
      <c r="G13" s="75"/>
    </row>
    <row r="14" spans="1:10" x14ac:dyDescent="0.25">
      <c r="A14" s="75" t="s">
        <v>278</v>
      </c>
      <c r="B14" s="75">
        <v>2</v>
      </c>
      <c r="C14" s="75">
        <v>8000</v>
      </c>
      <c r="D14" s="75" t="s">
        <v>191</v>
      </c>
      <c r="E14" s="75"/>
      <c r="F14" s="78">
        <f t="shared" si="0"/>
        <v>16000</v>
      </c>
      <c r="G14" s="75"/>
    </row>
    <row r="15" spans="1:10" x14ac:dyDescent="0.25">
      <c r="A15" s="75" t="s">
        <v>278</v>
      </c>
      <c r="B15" s="75">
        <v>5</v>
      </c>
      <c r="C15" s="75">
        <v>3000</v>
      </c>
      <c r="D15" s="75" t="s">
        <v>121</v>
      </c>
      <c r="E15" s="75"/>
      <c r="F15" s="78">
        <f t="shared" si="0"/>
        <v>15000</v>
      </c>
      <c r="G15" s="75"/>
    </row>
    <row r="16" spans="1:10" x14ac:dyDescent="0.25">
      <c r="A16" s="75" t="s">
        <v>279</v>
      </c>
      <c r="B16" s="75">
        <v>2</v>
      </c>
      <c r="C16" s="75">
        <v>8000</v>
      </c>
      <c r="D16" s="75" t="s">
        <v>191</v>
      </c>
      <c r="E16" s="75"/>
      <c r="F16" s="76"/>
      <c r="G16" s="78">
        <f>+B16*C16</f>
        <v>16000</v>
      </c>
    </row>
    <row r="17" spans="1:7" x14ac:dyDescent="0.25">
      <c r="A17" s="75" t="s">
        <v>279</v>
      </c>
      <c r="B17" s="75"/>
      <c r="C17" s="75"/>
      <c r="D17" s="75" t="s">
        <v>284</v>
      </c>
      <c r="E17" s="75"/>
      <c r="F17" s="76"/>
      <c r="G17" s="79">
        <v>28000</v>
      </c>
    </row>
    <row r="18" spans="1:7" x14ac:dyDescent="0.25">
      <c r="A18" s="75" t="s">
        <v>278</v>
      </c>
      <c r="B18" s="75"/>
      <c r="C18" s="75"/>
      <c r="D18" s="75" t="s">
        <v>287</v>
      </c>
      <c r="E18" s="75"/>
      <c r="F18" s="78">
        <v>15000</v>
      </c>
      <c r="G18" s="77"/>
    </row>
    <row r="19" spans="1:7" x14ac:dyDescent="0.25">
      <c r="A19" s="75" t="s">
        <v>278</v>
      </c>
      <c r="B19" s="75"/>
      <c r="C19" s="75"/>
      <c r="D19" s="75" t="s">
        <v>285</v>
      </c>
      <c r="E19" s="75"/>
      <c r="F19" s="78">
        <v>60000</v>
      </c>
      <c r="G19" s="77"/>
    </row>
    <row r="20" spans="1:7" x14ac:dyDescent="0.25">
      <c r="A20" s="75" t="s">
        <v>278</v>
      </c>
      <c r="B20" s="75"/>
      <c r="C20" s="75"/>
      <c r="D20" s="75" t="s">
        <v>286</v>
      </c>
      <c r="E20" s="75"/>
      <c r="F20" s="78">
        <v>12000</v>
      </c>
      <c r="G20" s="77"/>
    </row>
    <row r="21" spans="1:7" x14ac:dyDescent="0.25">
      <c r="A21" s="75" t="s">
        <v>279</v>
      </c>
      <c r="B21" s="75"/>
      <c r="C21" s="75"/>
      <c r="D21" s="75" t="s">
        <v>283</v>
      </c>
      <c r="E21" s="75"/>
      <c r="F21" s="76"/>
      <c r="G21" s="79">
        <v>43000</v>
      </c>
    </row>
    <row r="22" spans="1:7" x14ac:dyDescent="0.25">
      <c r="A22" s="75" t="s">
        <v>278</v>
      </c>
      <c r="D22" s="75" t="s">
        <v>288</v>
      </c>
      <c r="F22" s="78">
        <f>16000+4000</f>
        <v>20000</v>
      </c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D27"/>
  <sheetViews>
    <sheetView zoomScale="145" zoomScaleNormal="145" workbookViewId="0">
      <pane ySplit="2" topLeftCell="A22" activePane="bottomLeft" state="frozen"/>
      <selection pane="bottomLeft" activeCell="B25" sqref="B25"/>
    </sheetView>
  </sheetViews>
  <sheetFormatPr baseColWidth="10" defaultRowHeight="15" x14ac:dyDescent="0.25"/>
  <cols>
    <col min="1" max="1" width="11" bestFit="1" customWidth="1"/>
    <col min="2" max="2" width="30.7109375" bestFit="1" customWidth="1"/>
    <col min="3" max="3" width="13.28515625" style="58" bestFit="1" customWidth="1"/>
  </cols>
  <sheetData>
    <row r="1" spans="1:3" x14ac:dyDescent="0.25">
      <c r="B1" s="62" t="s">
        <v>207</v>
      </c>
      <c r="C1" s="61">
        <f>+SUM(C3:C1048576)</f>
        <v>40</v>
      </c>
    </row>
    <row r="2" spans="1:3" x14ac:dyDescent="0.25">
      <c r="A2" s="36" t="s">
        <v>5</v>
      </c>
      <c r="B2" s="36" t="s">
        <v>3</v>
      </c>
      <c r="C2" s="60" t="s">
        <v>218</v>
      </c>
    </row>
    <row r="3" spans="1:3" x14ac:dyDescent="0.25">
      <c r="A3" s="56">
        <v>46076</v>
      </c>
      <c r="B3" t="s">
        <v>202</v>
      </c>
      <c r="C3" s="58">
        <v>73700</v>
      </c>
    </row>
    <row r="4" spans="1:3" x14ac:dyDescent="0.25">
      <c r="A4" s="56">
        <v>46080</v>
      </c>
      <c r="B4" t="s">
        <v>196</v>
      </c>
      <c r="C4" s="58">
        <v>-300000</v>
      </c>
    </row>
    <row r="5" spans="1:3" x14ac:dyDescent="0.25">
      <c r="A5" s="56">
        <v>46081</v>
      </c>
      <c r="B5" t="s">
        <v>205</v>
      </c>
      <c r="C5" s="58">
        <v>280000</v>
      </c>
    </row>
    <row r="6" spans="1:3" x14ac:dyDescent="0.25">
      <c r="A6" s="56">
        <v>46080</v>
      </c>
      <c r="B6" s="71" t="s">
        <v>206</v>
      </c>
      <c r="C6" s="58">
        <v>-16000</v>
      </c>
    </row>
    <row r="7" spans="1:3" x14ac:dyDescent="0.25">
      <c r="A7" s="56">
        <v>46081</v>
      </c>
      <c r="B7" s="71" t="s">
        <v>211</v>
      </c>
      <c r="C7" s="58">
        <v>-350000</v>
      </c>
    </row>
    <row r="8" spans="1:3" x14ac:dyDescent="0.25">
      <c r="A8" s="56">
        <v>46081</v>
      </c>
      <c r="B8" t="s">
        <v>217</v>
      </c>
      <c r="C8" s="58">
        <v>30000</v>
      </c>
    </row>
    <row r="9" spans="1:3" x14ac:dyDescent="0.25">
      <c r="A9" s="66">
        <v>46076</v>
      </c>
      <c r="B9" t="s">
        <v>219</v>
      </c>
      <c r="C9" s="58">
        <f>195000+140000+20000</f>
        <v>355000</v>
      </c>
    </row>
    <row r="10" spans="1:3" x14ac:dyDescent="0.25">
      <c r="A10" s="2">
        <v>46084</v>
      </c>
      <c r="B10" t="s">
        <v>241</v>
      </c>
      <c r="C10" s="58">
        <v>619850</v>
      </c>
    </row>
    <row r="11" spans="1:3" x14ac:dyDescent="0.25">
      <c r="A11" s="2">
        <v>46084</v>
      </c>
      <c r="B11" t="s">
        <v>227</v>
      </c>
      <c r="C11" s="58">
        <v>-619850</v>
      </c>
    </row>
    <row r="12" spans="1:3" x14ac:dyDescent="0.25">
      <c r="A12" s="2">
        <v>46083</v>
      </c>
      <c r="B12" t="s">
        <v>230</v>
      </c>
      <c r="C12" s="58">
        <v>50000</v>
      </c>
    </row>
    <row r="13" spans="1:3" x14ac:dyDescent="0.25">
      <c r="A13" s="2">
        <v>46085</v>
      </c>
      <c r="B13" t="s">
        <v>237</v>
      </c>
      <c r="C13" s="70">
        <v>46350</v>
      </c>
    </row>
    <row r="14" spans="1:3" x14ac:dyDescent="0.25">
      <c r="A14" s="2">
        <v>46085</v>
      </c>
      <c r="B14" t="s">
        <v>235</v>
      </c>
      <c r="C14" s="70">
        <v>16500</v>
      </c>
    </row>
    <row r="15" spans="1:3" x14ac:dyDescent="0.25">
      <c r="A15" s="2">
        <v>46085</v>
      </c>
      <c r="B15" t="s">
        <v>236</v>
      </c>
      <c r="C15" s="70">
        <v>11000</v>
      </c>
    </row>
    <row r="16" spans="1:3" x14ac:dyDescent="0.25">
      <c r="A16" s="2">
        <v>46085</v>
      </c>
      <c r="B16" t="s">
        <v>240</v>
      </c>
      <c r="C16" s="70">
        <v>3500</v>
      </c>
    </row>
    <row r="17" spans="1:4" x14ac:dyDescent="0.25">
      <c r="A17" s="2">
        <v>46085</v>
      </c>
      <c r="B17" t="s">
        <v>238</v>
      </c>
      <c r="C17" s="70">
        <v>124400</v>
      </c>
    </row>
    <row r="18" spans="1:4" x14ac:dyDescent="0.25">
      <c r="A18" s="2">
        <v>46085</v>
      </c>
      <c r="B18" s="71" t="s">
        <v>239</v>
      </c>
      <c r="C18" s="58">
        <v>-201750</v>
      </c>
    </row>
    <row r="19" spans="1:4" x14ac:dyDescent="0.25">
      <c r="A19" s="2">
        <v>46085</v>
      </c>
      <c r="B19" s="71" t="s">
        <v>239</v>
      </c>
      <c r="C19" s="58">
        <v>-122700</v>
      </c>
    </row>
    <row r="20" spans="1:4" x14ac:dyDescent="0.25">
      <c r="A20" s="2">
        <v>46086</v>
      </c>
      <c r="B20" t="s">
        <v>242</v>
      </c>
      <c r="C20" s="58">
        <v>5000</v>
      </c>
    </row>
    <row r="21" spans="1:4" x14ac:dyDescent="0.25">
      <c r="A21" s="2">
        <v>46120</v>
      </c>
      <c r="B21" t="s">
        <v>291</v>
      </c>
      <c r="C21" s="58">
        <v>129000</v>
      </c>
    </row>
    <row r="22" spans="1:4" x14ac:dyDescent="0.25">
      <c r="A22" s="2">
        <v>46120</v>
      </c>
      <c r="B22" t="s">
        <v>290</v>
      </c>
      <c r="C22" s="58">
        <f>6*8000</f>
        <v>48000</v>
      </c>
    </row>
    <row r="23" spans="1:4" x14ac:dyDescent="0.25">
      <c r="A23" s="2">
        <v>46120</v>
      </c>
      <c r="B23" s="71" t="s">
        <v>239</v>
      </c>
      <c r="C23" s="58">
        <v>-100000</v>
      </c>
    </row>
    <row r="24" spans="1:4" x14ac:dyDescent="0.25">
      <c r="A24" s="2">
        <v>46123</v>
      </c>
      <c r="B24" s="71" t="s">
        <v>375</v>
      </c>
      <c r="C24" s="58">
        <v>-100000</v>
      </c>
    </row>
    <row r="25" spans="1:4" x14ac:dyDescent="0.25">
      <c r="A25" s="2">
        <v>46124</v>
      </c>
      <c r="B25" t="s">
        <v>374</v>
      </c>
      <c r="C25" s="58">
        <v>23990</v>
      </c>
      <c r="D25" t="s">
        <v>373</v>
      </c>
    </row>
    <row r="26" spans="1:4" x14ac:dyDescent="0.25">
      <c r="A26" s="2">
        <v>46124</v>
      </c>
      <c r="B26" t="s">
        <v>376</v>
      </c>
      <c r="C26" s="58">
        <v>45400</v>
      </c>
    </row>
    <row r="27" spans="1:4" x14ac:dyDescent="0.25">
      <c r="A27" s="2">
        <v>46124</v>
      </c>
      <c r="B27" s="71" t="s">
        <v>239</v>
      </c>
      <c r="C27" s="58">
        <v>-51350</v>
      </c>
    </row>
  </sheetData>
  <pageMargins left="0.7" right="0.7" top="0.75" bottom="0.75" header="0.3" footer="0.3"/>
  <pageSetup paperSize="119" orientation="portrait" horizontalDpi="203" verticalDpi="203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G16"/>
  <sheetViews>
    <sheetView topLeftCell="A4" workbookViewId="0">
      <selection activeCell="F14" sqref="F14:H14"/>
    </sheetView>
  </sheetViews>
  <sheetFormatPr baseColWidth="10" defaultRowHeight="15" x14ac:dyDescent="0.25"/>
  <cols>
    <col min="1" max="1" width="14.5703125" bestFit="1" customWidth="1"/>
    <col min="2" max="2" width="11.42578125" style="58"/>
    <col min="3" max="3" width="13.140625" bestFit="1" customWidth="1"/>
    <col min="6" max="6" width="15.5703125" bestFit="1" customWidth="1"/>
  </cols>
  <sheetData>
    <row r="1" spans="1:7" x14ac:dyDescent="0.25">
      <c r="B1" s="70">
        <f>+SUM(B2:B1048576)</f>
        <v>-581250</v>
      </c>
      <c r="C1" t="s">
        <v>300</v>
      </c>
    </row>
    <row r="2" spans="1:7" x14ac:dyDescent="0.25">
      <c r="A2" t="s">
        <v>109</v>
      </c>
      <c r="B2" s="58">
        <v>1300000</v>
      </c>
      <c r="C2" t="s">
        <v>299</v>
      </c>
      <c r="F2">
        <v>1600</v>
      </c>
      <c r="G2" t="s">
        <v>317</v>
      </c>
    </row>
    <row r="3" spans="1:7" x14ac:dyDescent="0.25">
      <c r="A3" t="s">
        <v>292</v>
      </c>
      <c r="B3" s="58">
        <v>-1350000</v>
      </c>
      <c r="C3" t="s">
        <v>298</v>
      </c>
      <c r="F3" s="81">
        <v>3700000</v>
      </c>
    </row>
    <row r="4" spans="1:7" x14ac:dyDescent="0.25">
      <c r="A4" s="1" t="s">
        <v>293</v>
      </c>
      <c r="B4" s="58">
        <v>-400000</v>
      </c>
      <c r="C4" t="s">
        <v>298</v>
      </c>
      <c r="F4" s="81">
        <f>+F3/F2</f>
        <v>2312.5</v>
      </c>
    </row>
    <row r="5" spans="1:7" x14ac:dyDescent="0.25">
      <c r="A5" t="s">
        <v>294</v>
      </c>
      <c r="B5" s="58">
        <f>-500000/2</f>
        <v>-250000</v>
      </c>
      <c r="C5" t="s">
        <v>298</v>
      </c>
    </row>
    <row r="6" spans="1:7" x14ac:dyDescent="0.25">
      <c r="A6" t="s">
        <v>295</v>
      </c>
      <c r="B6" s="58">
        <f>-180000/2</f>
        <v>-90000</v>
      </c>
      <c r="C6" t="s">
        <v>298</v>
      </c>
      <c r="F6">
        <v>3500</v>
      </c>
    </row>
    <row r="7" spans="1:7" x14ac:dyDescent="0.25">
      <c r="A7" t="s">
        <v>296</v>
      </c>
      <c r="B7" s="58">
        <v>-30000</v>
      </c>
      <c r="C7" t="s">
        <v>298</v>
      </c>
      <c r="F7">
        <f>+F6*F2</f>
        <v>5600000</v>
      </c>
    </row>
    <row r="8" spans="1:7" x14ac:dyDescent="0.25">
      <c r="A8" t="s">
        <v>297</v>
      </c>
      <c r="B8" s="58">
        <f>((550-185)*3500)/2</f>
        <v>638750</v>
      </c>
      <c r="C8" t="s">
        <v>298</v>
      </c>
      <c r="F8" s="29">
        <f>+F7-F3</f>
        <v>1900000</v>
      </c>
    </row>
    <row r="9" spans="1:7" x14ac:dyDescent="0.25">
      <c r="A9" t="s">
        <v>112</v>
      </c>
      <c r="B9" s="58">
        <f>-800000/2</f>
        <v>-400000</v>
      </c>
      <c r="C9" t="s">
        <v>298</v>
      </c>
    </row>
    <row r="10" spans="1:7" x14ac:dyDescent="0.25">
      <c r="A10" t="s">
        <v>297</v>
      </c>
      <c r="D10" t="s">
        <v>301</v>
      </c>
      <c r="E10" t="s">
        <v>0</v>
      </c>
      <c r="F10" s="3">
        <f>7000*F2</f>
        <v>11200000</v>
      </c>
    </row>
    <row r="11" spans="1:7" x14ac:dyDescent="0.25">
      <c r="F11" s="29">
        <f>+F10-F3</f>
        <v>7500000</v>
      </c>
    </row>
    <row r="16" spans="1:7" x14ac:dyDescent="0.25">
      <c r="C16" s="81">
        <f>715*3500</f>
        <v>2502500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3:N22"/>
  <sheetViews>
    <sheetView workbookViewId="0">
      <selection activeCell="E6" sqref="E6"/>
    </sheetView>
  </sheetViews>
  <sheetFormatPr baseColWidth="10" defaultRowHeight="15" x14ac:dyDescent="0.25"/>
  <cols>
    <col min="1" max="1" width="19.140625" bestFit="1" customWidth="1"/>
    <col min="2" max="2" width="22.42578125" bestFit="1" customWidth="1"/>
    <col min="3" max="3" width="10.42578125" bestFit="1" customWidth="1"/>
    <col min="4" max="4" width="12.5703125" bestFit="1" customWidth="1"/>
    <col min="5" max="6" width="10.42578125" bestFit="1" customWidth="1"/>
    <col min="7" max="7" width="12.5703125" bestFit="1" customWidth="1"/>
    <col min="8" max="8" width="10.42578125" bestFit="1" customWidth="1"/>
    <col min="9" max="9" width="7.28515625" bestFit="1" customWidth="1"/>
    <col min="10" max="10" width="7" bestFit="1" customWidth="1"/>
    <col min="11" max="11" width="8.7109375" bestFit="1" customWidth="1"/>
    <col min="12" max="12" width="12.5703125" bestFit="1" customWidth="1"/>
  </cols>
  <sheetData>
    <row r="3" spans="1:14" x14ac:dyDescent="0.25">
      <c r="A3" s="11" t="s">
        <v>169</v>
      </c>
      <c r="B3" s="11" t="s">
        <v>170</v>
      </c>
      <c r="F3" s="11" t="s">
        <v>171</v>
      </c>
      <c r="G3" s="11" t="s">
        <v>170</v>
      </c>
    </row>
    <row r="4" spans="1:14" x14ac:dyDescent="0.25">
      <c r="B4" t="s">
        <v>172</v>
      </c>
      <c r="D4" t="s">
        <v>35</v>
      </c>
      <c r="G4" t="s">
        <v>172</v>
      </c>
      <c r="K4" t="s">
        <v>173</v>
      </c>
      <c r="L4" t="s">
        <v>35</v>
      </c>
    </row>
    <row r="5" spans="1:14" x14ac:dyDescent="0.25">
      <c r="A5" s="11" t="s">
        <v>34</v>
      </c>
      <c r="B5" t="s">
        <v>174</v>
      </c>
      <c r="C5" t="s">
        <v>175</v>
      </c>
      <c r="F5" s="11" t="s">
        <v>34</v>
      </c>
      <c r="G5" t="s">
        <v>174</v>
      </c>
      <c r="H5" t="s">
        <v>176</v>
      </c>
      <c r="I5" t="s">
        <v>177</v>
      </c>
      <c r="J5" t="s">
        <v>175</v>
      </c>
      <c r="K5" t="s">
        <v>175</v>
      </c>
      <c r="N5" s="1" t="s">
        <v>172</v>
      </c>
    </row>
    <row r="6" spans="1:14" x14ac:dyDescent="0.25">
      <c r="A6" s="8" t="s">
        <v>178</v>
      </c>
      <c r="B6" s="13">
        <v>73700</v>
      </c>
      <c r="C6" s="13">
        <v>192000</v>
      </c>
      <c r="D6" s="13">
        <v>265700</v>
      </c>
      <c r="F6" s="8" t="s">
        <v>178</v>
      </c>
      <c r="G6" s="13">
        <v>0</v>
      </c>
      <c r="H6" s="13">
        <v>60000</v>
      </c>
      <c r="I6" s="13">
        <v>100</v>
      </c>
      <c r="J6" s="13">
        <v>0</v>
      </c>
      <c r="K6" s="13">
        <v>0</v>
      </c>
      <c r="L6" s="13">
        <v>60100</v>
      </c>
      <c r="N6" s="18">
        <f>+D6-L6</f>
        <v>205600</v>
      </c>
    </row>
    <row r="7" spans="1:14" x14ac:dyDescent="0.25">
      <c r="A7" s="8" t="s">
        <v>179</v>
      </c>
      <c r="B7" s="13">
        <v>205600</v>
      </c>
      <c r="C7" s="13">
        <v>213000</v>
      </c>
      <c r="D7" s="13">
        <v>418600</v>
      </c>
      <c r="F7" s="8" t="s">
        <v>179</v>
      </c>
      <c r="G7" s="13">
        <v>0</v>
      </c>
      <c r="H7" s="13">
        <v>103000</v>
      </c>
      <c r="I7" s="13"/>
      <c r="J7" s="13">
        <v>0</v>
      </c>
      <c r="K7" s="13">
        <v>0</v>
      </c>
      <c r="L7" s="13">
        <v>103000</v>
      </c>
      <c r="N7" s="30">
        <f>+D7-L7</f>
        <v>315600</v>
      </c>
    </row>
    <row r="8" spans="1:14" x14ac:dyDescent="0.25">
      <c r="A8" s="8" t="s">
        <v>180</v>
      </c>
      <c r="B8" s="13"/>
      <c r="C8" s="13">
        <v>344000</v>
      </c>
      <c r="D8" s="13">
        <v>344000</v>
      </c>
      <c r="F8" s="8" t="s">
        <v>180</v>
      </c>
      <c r="G8" s="13"/>
      <c r="H8" s="13">
        <v>226700</v>
      </c>
      <c r="I8" s="13"/>
      <c r="J8" s="13">
        <v>0</v>
      </c>
      <c r="K8" s="13">
        <v>0</v>
      </c>
      <c r="L8" s="13">
        <v>226700</v>
      </c>
      <c r="N8" s="30">
        <f>+D8-L8</f>
        <v>117300</v>
      </c>
    </row>
    <row r="9" spans="1:14" x14ac:dyDescent="0.25">
      <c r="A9" s="8" t="s">
        <v>181</v>
      </c>
      <c r="B9" s="13"/>
      <c r="C9" s="13">
        <v>84000</v>
      </c>
      <c r="D9" s="13">
        <v>84000</v>
      </c>
      <c r="F9" s="8" t="s">
        <v>181</v>
      </c>
      <c r="G9" s="13"/>
      <c r="H9" s="13">
        <v>84000</v>
      </c>
      <c r="I9" s="13"/>
      <c r="J9" s="13">
        <v>0</v>
      </c>
      <c r="K9" s="13">
        <v>0</v>
      </c>
      <c r="L9" s="13">
        <v>84000</v>
      </c>
      <c r="N9" s="13">
        <f>+D9-L9</f>
        <v>0</v>
      </c>
    </row>
    <row r="10" spans="1:14" x14ac:dyDescent="0.25">
      <c r="A10" s="8" t="s">
        <v>35</v>
      </c>
      <c r="B10" s="13">
        <v>279300</v>
      </c>
      <c r="C10" s="13">
        <v>833000</v>
      </c>
      <c r="D10" s="13">
        <v>1112300</v>
      </c>
      <c r="F10" s="8" t="s">
        <v>35</v>
      </c>
      <c r="G10" s="13">
        <v>0</v>
      </c>
      <c r="H10" s="13">
        <v>473700</v>
      </c>
      <c r="I10" s="13">
        <v>100</v>
      </c>
      <c r="J10" s="13">
        <v>0</v>
      </c>
      <c r="K10" s="13">
        <v>0</v>
      </c>
      <c r="L10" s="13">
        <v>473800</v>
      </c>
    </row>
    <row r="14" spans="1:14" x14ac:dyDescent="0.25">
      <c r="A14" s="11" t="s">
        <v>182</v>
      </c>
      <c r="B14" t="s" vm="1">
        <v>175</v>
      </c>
    </row>
    <row r="16" spans="1:14" x14ac:dyDescent="0.25">
      <c r="A16" s="11" t="s">
        <v>169</v>
      </c>
      <c r="B16" s="11" t="s">
        <v>170</v>
      </c>
    </row>
    <row r="17" spans="1:4" x14ac:dyDescent="0.25">
      <c r="A17" s="11" t="s">
        <v>34</v>
      </c>
      <c r="B17" t="s">
        <v>172</v>
      </c>
      <c r="C17" t="s">
        <v>173</v>
      </c>
      <c r="D17" t="s">
        <v>35</v>
      </c>
    </row>
    <row r="18" spans="1:4" x14ac:dyDescent="0.25">
      <c r="A18" s="8" t="s">
        <v>178</v>
      </c>
      <c r="B18" s="13">
        <v>192000</v>
      </c>
      <c r="C18" s="13">
        <v>32000</v>
      </c>
      <c r="D18" s="13">
        <v>224000</v>
      </c>
    </row>
    <row r="19" spans="1:4" x14ac:dyDescent="0.25">
      <c r="A19" s="8" t="s">
        <v>179</v>
      </c>
      <c r="B19" s="13">
        <v>213000</v>
      </c>
      <c r="C19" s="13">
        <v>8000</v>
      </c>
      <c r="D19" s="13">
        <v>221000</v>
      </c>
    </row>
    <row r="20" spans="1:4" x14ac:dyDescent="0.25">
      <c r="A20" s="8" t="s">
        <v>180</v>
      </c>
      <c r="B20" s="13">
        <v>344000</v>
      </c>
      <c r="C20" s="13">
        <v>46500</v>
      </c>
      <c r="D20" s="13">
        <v>390500</v>
      </c>
    </row>
    <row r="21" spans="1:4" x14ac:dyDescent="0.25">
      <c r="A21" s="8" t="s">
        <v>181</v>
      </c>
      <c r="B21" s="13">
        <v>84000</v>
      </c>
      <c r="C21" s="13">
        <v>125000</v>
      </c>
      <c r="D21" s="13">
        <v>209000</v>
      </c>
    </row>
    <row r="22" spans="1:4" x14ac:dyDescent="0.25">
      <c r="A22" s="8" t="s">
        <v>35</v>
      </c>
      <c r="B22" s="13">
        <v>833000</v>
      </c>
      <c r="C22" s="13">
        <v>211500</v>
      </c>
      <c r="D22" s="13">
        <v>1044500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K69"/>
  <sheetViews>
    <sheetView workbookViewId="0">
      <pane ySplit="4" topLeftCell="A65" activePane="bottomLeft" state="frozen"/>
      <selection pane="bottomLeft" activeCell="H38" sqref="H38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9.42578125" bestFit="1" customWidth="1"/>
    <col min="4" max="5" width="10.85546875" bestFit="1" customWidth="1"/>
    <col min="6" max="6" width="19.5703125" bestFit="1" customWidth="1"/>
    <col min="7" max="7" width="14.28515625" style="3" bestFit="1" customWidth="1"/>
    <col min="8" max="8" width="13.85546875" bestFit="1" customWidth="1"/>
    <col min="9" max="9" width="12.5703125" bestFit="1" customWidth="1"/>
    <col min="11" max="11" width="23.85546875" bestFit="1" customWidth="1"/>
  </cols>
  <sheetData>
    <row r="1" spans="1:11" x14ac:dyDescent="0.25">
      <c r="A1" s="11" t="s">
        <v>182</v>
      </c>
      <c r="B1" t="s" vm="1">
        <v>175</v>
      </c>
    </row>
    <row r="2" spans="1:11" x14ac:dyDescent="0.25">
      <c r="A2" s="11" t="s">
        <v>183</v>
      </c>
      <c r="B2" t="s" vm="2">
        <v>172</v>
      </c>
      <c r="H2" s="13"/>
    </row>
    <row r="4" spans="1:11" x14ac:dyDescent="0.25">
      <c r="A4" s="11" t="s">
        <v>184</v>
      </c>
      <c r="B4" s="11" t="s">
        <v>5</v>
      </c>
      <c r="C4" s="11" t="s">
        <v>185</v>
      </c>
      <c r="D4" s="11" t="s">
        <v>186</v>
      </c>
      <c r="E4" s="11" t="s">
        <v>187</v>
      </c>
      <c r="F4" t="s">
        <v>188</v>
      </c>
      <c r="G4" s="23" t="s">
        <v>189</v>
      </c>
      <c r="J4" s="52" t="s">
        <v>184</v>
      </c>
      <c r="K4" s="52" t="s">
        <v>190</v>
      </c>
    </row>
    <row r="5" spans="1:11" x14ac:dyDescent="0.25">
      <c r="A5" t="s">
        <v>178</v>
      </c>
      <c r="B5" s="53">
        <v>46076.692083333335</v>
      </c>
      <c r="C5" t="s">
        <v>191</v>
      </c>
      <c r="D5">
        <v>8000</v>
      </c>
      <c r="E5">
        <v>2</v>
      </c>
      <c r="F5" s="13">
        <v>1</v>
      </c>
      <c r="G5" s="3">
        <f>+D5*E5</f>
        <v>16000</v>
      </c>
      <c r="J5" s="54">
        <v>46076</v>
      </c>
      <c r="K5" s="3">
        <f>+SUMIF(A:A,J5,G:G)</f>
        <v>192000</v>
      </c>
    </row>
    <row r="6" spans="1:11" x14ac:dyDescent="0.25">
      <c r="A6" t="s">
        <v>178</v>
      </c>
      <c r="B6" s="53">
        <v>46076.717372685183</v>
      </c>
      <c r="C6" t="s">
        <v>191</v>
      </c>
      <c r="D6">
        <v>8000</v>
      </c>
      <c r="E6">
        <v>2</v>
      </c>
      <c r="F6" s="13">
        <v>1</v>
      </c>
      <c r="G6" s="3">
        <f t="shared" ref="G6:G68" si="0">+D6*E6</f>
        <v>16000</v>
      </c>
      <c r="J6" s="54">
        <v>46077</v>
      </c>
      <c r="K6" s="3">
        <f>+SUMIF(A:A,J6,G:G)</f>
        <v>213000</v>
      </c>
    </row>
    <row r="7" spans="1:11" x14ac:dyDescent="0.25">
      <c r="A7" t="s">
        <v>178</v>
      </c>
      <c r="C7" t="s">
        <v>192</v>
      </c>
      <c r="D7">
        <v>3000</v>
      </c>
      <c r="E7">
        <v>2</v>
      </c>
      <c r="F7" s="13">
        <v>1</v>
      </c>
      <c r="G7" s="3">
        <f t="shared" si="0"/>
        <v>6000</v>
      </c>
      <c r="J7" s="54">
        <v>46078</v>
      </c>
      <c r="K7" s="3">
        <f>+SUMIF(A:A,J7,G:G)</f>
        <v>344000</v>
      </c>
    </row>
    <row r="8" spans="1:11" x14ac:dyDescent="0.25">
      <c r="A8" t="s">
        <v>178</v>
      </c>
      <c r="B8" s="53">
        <v>46076.750289351854</v>
      </c>
      <c r="C8" t="s">
        <v>122</v>
      </c>
      <c r="D8">
        <v>3000</v>
      </c>
      <c r="E8">
        <v>2</v>
      </c>
      <c r="F8" s="13">
        <v>1</v>
      </c>
      <c r="G8" s="3">
        <f t="shared" si="0"/>
        <v>6000</v>
      </c>
      <c r="J8" s="54">
        <v>46079</v>
      </c>
      <c r="K8" s="3">
        <f>+SUMIF(A:A,J8,G:G)</f>
        <v>84000</v>
      </c>
    </row>
    <row r="9" spans="1:11" x14ac:dyDescent="0.25">
      <c r="A9" t="s">
        <v>178</v>
      </c>
      <c r="C9" t="s">
        <v>191</v>
      </c>
      <c r="D9">
        <v>8000</v>
      </c>
      <c r="E9">
        <v>2</v>
      </c>
      <c r="F9" s="13">
        <v>1</v>
      </c>
      <c r="G9" s="3">
        <f t="shared" si="0"/>
        <v>16000</v>
      </c>
    </row>
    <row r="10" spans="1:11" x14ac:dyDescent="0.25">
      <c r="A10" t="s">
        <v>178</v>
      </c>
      <c r="B10" s="53">
        <v>46076.751967592594</v>
      </c>
      <c r="C10" t="s">
        <v>191</v>
      </c>
      <c r="D10">
        <v>8000</v>
      </c>
      <c r="E10">
        <v>2</v>
      </c>
      <c r="F10" s="13">
        <v>1</v>
      </c>
      <c r="G10" s="3">
        <f t="shared" si="0"/>
        <v>16000</v>
      </c>
    </row>
    <row r="11" spans="1:11" x14ac:dyDescent="0.25">
      <c r="A11" t="s">
        <v>178</v>
      </c>
      <c r="C11" t="s">
        <v>123</v>
      </c>
      <c r="D11">
        <v>3000</v>
      </c>
      <c r="E11">
        <v>1</v>
      </c>
      <c r="F11" s="13">
        <v>1</v>
      </c>
      <c r="G11" s="3">
        <f t="shared" si="0"/>
        <v>3000</v>
      </c>
    </row>
    <row r="12" spans="1:11" x14ac:dyDescent="0.25">
      <c r="A12" t="s">
        <v>178</v>
      </c>
      <c r="B12" s="53">
        <v>46076.787222222221</v>
      </c>
      <c r="C12" t="s">
        <v>191</v>
      </c>
      <c r="D12">
        <v>8000</v>
      </c>
      <c r="E12">
        <v>1</v>
      </c>
      <c r="F12" s="13">
        <v>1</v>
      </c>
      <c r="G12" s="3">
        <f t="shared" si="0"/>
        <v>8000</v>
      </c>
    </row>
    <row r="13" spans="1:11" x14ac:dyDescent="0.25">
      <c r="A13" t="s">
        <v>178</v>
      </c>
      <c r="B13" s="53">
        <v>46076.795474537037</v>
      </c>
      <c r="C13" t="s">
        <v>191</v>
      </c>
      <c r="D13">
        <v>8000</v>
      </c>
      <c r="E13">
        <v>2</v>
      </c>
      <c r="F13" s="13">
        <v>1</v>
      </c>
      <c r="G13" s="3">
        <f t="shared" si="0"/>
        <v>16000</v>
      </c>
    </row>
    <row r="14" spans="1:11" x14ac:dyDescent="0.25">
      <c r="A14" t="s">
        <v>178</v>
      </c>
      <c r="C14" t="s">
        <v>192</v>
      </c>
      <c r="D14">
        <v>3000</v>
      </c>
      <c r="E14">
        <v>2</v>
      </c>
      <c r="F14" s="13">
        <v>1</v>
      </c>
      <c r="G14" s="3">
        <f t="shared" si="0"/>
        <v>6000</v>
      </c>
    </row>
    <row r="15" spans="1:11" x14ac:dyDescent="0.25">
      <c r="A15" t="s">
        <v>178</v>
      </c>
      <c r="B15" s="53">
        <v>46076.818287037036</v>
      </c>
      <c r="C15" t="s">
        <v>191</v>
      </c>
      <c r="D15">
        <v>8000</v>
      </c>
      <c r="E15">
        <v>3</v>
      </c>
      <c r="F15" s="13">
        <v>1</v>
      </c>
      <c r="G15" s="3">
        <f t="shared" si="0"/>
        <v>24000</v>
      </c>
      <c r="H15" s="13"/>
    </row>
    <row r="16" spans="1:11" x14ac:dyDescent="0.25">
      <c r="A16" t="s">
        <v>178</v>
      </c>
      <c r="B16" s="53">
        <v>46076.841643518521</v>
      </c>
      <c r="C16" t="s">
        <v>191</v>
      </c>
      <c r="D16">
        <v>8000</v>
      </c>
      <c r="E16">
        <v>1</v>
      </c>
      <c r="F16" s="13">
        <v>1</v>
      </c>
      <c r="G16" s="3">
        <f t="shared" si="0"/>
        <v>8000</v>
      </c>
    </row>
    <row r="17" spans="1:8" x14ac:dyDescent="0.25">
      <c r="A17" t="s">
        <v>178</v>
      </c>
      <c r="B17" s="53">
        <v>46076.843854166669</v>
      </c>
      <c r="C17" t="s">
        <v>191</v>
      </c>
      <c r="D17">
        <v>8000</v>
      </c>
      <c r="E17">
        <v>1</v>
      </c>
      <c r="F17" s="13">
        <v>1</v>
      </c>
      <c r="G17" s="3">
        <f t="shared" si="0"/>
        <v>8000</v>
      </c>
    </row>
    <row r="18" spans="1:8" x14ac:dyDescent="0.25">
      <c r="A18" t="s">
        <v>178</v>
      </c>
      <c r="B18" s="53">
        <v>46076.845659722225</v>
      </c>
      <c r="C18" t="s">
        <v>191</v>
      </c>
      <c r="D18">
        <v>8000</v>
      </c>
      <c r="E18">
        <v>1</v>
      </c>
      <c r="F18" s="13">
        <v>1</v>
      </c>
      <c r="G18" s="3">
        <f t="shared" si="0"/>
        <v>8000</v>
      </c>
    </row>
    <row r="19" spans="1:8" x14ac:dyDescent="0.25">
      <c r="A19" t="s">
        <v>178</v>
      </c>
      <c r="C19" t="s">
        <v>123</v>
      </c>
      <c r="D19">
        <v>3000</v>
      </c>
      <c r="E19">
        <v>1</v>
      </c>
      <c r="F19" s="13">
        <v>1</v>
      </c>
      <c r="G19" s="3">
        <f t="shared" si="0"/>
        <v>3000</v>
      </c>
    </row>
    <row r="20" spans="1:8" x14ac:dyDescent="0.25">
      <c r="A20" t="s">
        <v>178</v>
      </c>
      <c r="B20" s="53">
        <v>46076.850243055553</v>
      </c>
      <c r="C20" t="s">
        <v>191</v>
      </c>
      <c r="D20">
        <v>8000</v>
      </c>
      <c r="E20">
        <v>3</v>
      </c>
      <c r="F20" s="13">
        <v>1</v>
      </c>
      <c r="G20" s="3">
        <f t="shared" si="0"/>
        <v>24000</v>
      </c>
    </row>
    <row r="21" spans="1:8" x14ac:dyDescent="0.25">
      <c r="A21" t="s">
        <v>178</v>
      </c>
      <c r="B21" s="53">
        <v>46076.852650462963</v>
      </c>
      <c r="C21" t="s">
        <v>191</v>
      </c>
      <c r="D21">
        <v>8000</v>
      </c>
      <c r="E21">
        <v>1</v>
      </c>
      <c r="F21" s="13">
        <v>1</v>
      </c>
      <c r="G21" s="3">
        <f t="shared" si="0"/>
        <v>8000</v>
      </c>
    </row>
    <row r="22" spans="1:8" x14ac:dyDescent="0.25">
      <c r="A22" t="s">
        <v>179</v>
      </c>
      <c r="B22" s="53">
        <v>46077.648680555554</v>
      </c>
      <c r="C22" t="s">
        <v>191</v>
      </c>
      <c r="D22">
        <v>8000</v>
      </c>
      <c r="E22">
        <v>5</v>
      </c>
      <c r="F22" s="13">
        <v>1</v>
      </c>
      <c r="G22" s="27">
        <f t="shared" si="0"/>
        <v>40000</v>
      </c>
    </row>
    <row r="23" spans="1:8" x14ac:dyDescent="0.25">
      <c r="A23" t="s">
        <v>179</v>
      </c>
      <c r="B23" s="53">
        <v>46077.649351851855</v>
      </c>
      <c r="C23" t="s">
        <v>191</v>
      </c>
      <c r="D23">
        <v>8000</v>
      </c>
      <c r="E23">
        <v>3</v>
      </c>
      <c r="F23" s="13">
        <v>1</v>
      </c>
      <c r="G23" s="27">
        <f t="shared" si="0"/>
        <v>24000</v>
      </c>
    </row>
    <row r="24" spans="1:8" x14ac:dyDescent="0.25">
      <c r="A24" t="s">
        <v>179</v>
      </c>
      <c r="B24" s="53">
        <v>46077.740034722221</v>
      </c>
      <c r="C24" t="s">
        <v>191</v>
      </c>
      <c r="D24">
        <v>8000</v>
      </c>
      <c r="E24">
        <v>1</v>
      </c>
      <c r="F24" s="13">
        <v>1</v>
      </c>
      <c r="G24" s="27">
        <f t="shared" si="0"/>
        <v>8000</v>
      </c>
    </row>
    <row r="25" spans="1:8" x14ac:dyDescent="0.25">
      <c r="A25" t="s">
        <v>179</v>
      </c>
      <c r="B25" s="53">
        <v>46077.759606481479</v>
      </c>
      <c r="C25" t="s">
        <v>191</v>
      </c>
      <c r="D25">
        <v>8000</v>
      </c>
      <c r="E25">
        <v>1</v>
      </c>
      <c r="F25" s="13">
        <v>1</v>
      </c>
      <c r="G25" s="27">
        <f t="shared" si="0"/>
        <v>8000</v>
      </c>
    </row>
    <row r="26" spans="1:8" x14ac:dyDescent="0.25">
      <c r="A26" t="s">
        <v>179</v>
      </c>
      <c r="B26" s="53">
        <v>46077.774178240739</v>
      </c>
      <c r="C26" t="s">
        <v>191</v>
      </c>
      <c r="D26">
        <v>8000</v>
      </c>
      <c r="E26">
        <v>2</v>
      </c>
      <c r="F26" s="13">
        <v>1</v>
      </c>
      <c r="G26" s="27">
        <f t="shared" si="0"/>
        <v>16000</v>
      </c>
    </row>
    <row r="27" spans="1:8" x14ac:dyDescent="0.25">
      <c r="A27" t="s">
        <v>179</v>
      </c>
      <c r="B27" s="53">
        <v>46077.775185185186</v>
      </c>
      <c r="C27" t="s">
        <v>191</v>
      </c>
      <c r="D27">
        <v>8000</v>
      </c>
      <c r="E27">
        <v>1</v>
      </c>
      <c r="F27" s="13">
        <v>1</v>
      </c>
      <c r="G27" s="27">
        <f t="shared" si="0"/>
        <v>8000</v>
      </c>
    </row>
    <row r="28" spans="1:8" x14ac:dyDescent="0.25">
      <c r="A28" t="s">
        <v>179</v>
      </c>
      <c r="B28" s="53">
        <v>46077.77952546296</v>
      </c>
      <c r="C28" t="s">
        <v>193</v>
      </c>
      <c r="D28">
        <v>4500</v>
      </c>
      <c r="E28">
        <v>2</v>
      </c>
      <c r="F28" s="13">
        <v>1</v>
      </c>
      <c r="G28" s="27">
        <f t="shared" si="0"/>
        <v>9000</v>
      </c>
    </row>
    <row r="29" spans="1:8" x14ac:dyDescent="0.25">
      <c r="A29" t="s">
        <v>179</v>
      </c>
      <c r="C29" t="s">
        <v>191</v>
      </c>
      <c r="D29">
        <v>8000</v>
      </c>
      <c r="E29">
        <v>1</v>
      </c>
      <c r="F29" s="13">
        <v>1</v>
      </c>
      <c r="G29" s="27">
        <f t="shared" si="0"/>
        <v>8000</v>
      </c>
    </row>
    <row r="30" spans="1:8" x14ac:dyDescent="0.25">
      <c r="A30" t="s">
        <v>179</v>
      </c>
      <c r="B30" s="53">
        <v>46077.797152777777</v>
      </c>
      <c r="C30" t="s">
        <v>191</v>
      </c>
      <c r="D30">
        <v>8000</v>
      </c>
      <c r="E30">
        <v>1</v>
      </c>
      <c r="F30" s="13">
        <v>1</v>
      </c>
      <c r="G30" s="27">
        <f t="shared" si="0"/>
        <v>8000</v>
      </c>
    </row>
    <row r="31" spans="1:8" x14ac:dyDescent="0.25">
      <c r="A31" t="s">
        <v>179</v>
      </c>
      <c r="B31" s="53">
        <v>46077.836875000001</v>
      </c>
      <c r="C31" t="s">
        <v>191</v>
      </c>
      <c r="D31">
        <v>8000</v>
      </c>
      <c r="E31">
        <v>1</v>
      </c>
      <c r="F31" s="13">
        <v>1</v>
      </c>
      <c r="G31" s="27">
        <f t="shared" si="0"/>
        <v>8000</v>
      </c>
      <c r="H31" s="13">
        <f>+SUM(G22:G31)</f>
        <v>137000</v>
      </c>
    </row>
    <row r="32" spans="1:8" x14ac:dyDescent="0.25">
      <c r="A32" t="s">
        <v>179</v>
      </c>
      <c r="B32" s="53">
        <v>46077.847013888888</v>
      </c>
      <c r="C32" t="s">
        <v>122</v>
      </c>
      <c r="D32">
        <v>3000</v>
      </c>
      <c r="E32">
        <v>1</v>
      </c>
      <c r="F32" s="13">
        <v>1</v>
      </c>
      <c r="G32" s="16">
        <f t="shared" si="0"/>
        <v>3000</v>
      </c>
    </row>
    <row r="33" spans="1:8" x14ac:dyDescent="0.25">
      <c r="A33" t="s">
        <v>179</v>
      </c>
      <c r="C33" t="s">
        <v>191</v>
      </c>
      <c r="D33">
        <v>8000</v>
      </c>
      <c r="E33">
        <v>3</v>
      </c>
      <c r="F33" s="13">
        <v>1</v>
      </c>
      <c r="G33" s="16">
        <f t="shared" si="0"/>
        <v>24000</v>
      </c>
    </row>
    <row r="34" spans="1:8" x14ac:dyDescent="0.25">
      <c r="A34" t="s">
        <v>179</v>
      </c>
      <c r="C34" t="s">
        <v>123</v>
      </c>
      <c r="D34">
        <v>3000</v>
      </c>
      <c r="E34">
        <v>1</v>
      </c>
      <c r="F34" s="13">
        <v>1</v>
      </c>
      <c r="G34" s="16">
        <f t="shared" si="0"/>
        <v>3000</v>
      </c>
    </row>
    <row r="35" spans="1:8" x14ac:dyDescent="0.25">
      <c r="A35" t="s">
        <v>179</v>
      </c>
      <c r="B35" s="53">
        <v>46077.849872685183</v>
      </c>
      <c r="C35" t="s">
        <v>191</v>
      </c>
      <c r="D35">
        <v>8000</v>
      </c>
      <c r="E35">
        <v>4</v>
      </c>
      <c r="F35" s="13">
        <v>1</v>
      </c>
      <c r="G35" s="16">
        <f t="shared" si="0"/>
        <v>32000</v>
      </c>
    </row>
    <row r="36" spans="1:8" x14ac:dyDescent="0.25">
      <c r="A36" t="s">
        <v>179</v>
      </c>
      <c r="C36" t="s">
        <v>192</v>
      </c>
      <c r="D36">
        <v>3000</v>
      </c>
      <c r="E36">
        <v>2</v>
      </c>
      <c r="F36" s="13">
        <v>1</v>
      </c>
      <c r="G36" s="16">
        <f t="shared" si="0"/>
        <v>6000</v>
      </c>
    </row>
    <row r="37" spans="1:8" x14ac:dyDescent="0.25">
      <c r="A37" t="s">
        <v>179</v>
      </c>
      <c r="B37" s="53">
        <v>46077.867604166669</v>
      </c>
      <c r="C37" t="s">
        <v>191</v>
      </c>
      <c r="D37">
        <v>8000</v>
      </c>
      <c r="E37">
        <v>1</v>
      </c>
      <c r="F37" s="13">
        <v>1</v>
      </c>
      <c r="G37" s="16">
        <f t="shared" si="0"/>
        <v>8000</v>
      </c>
      <c r="H37" s="13">
        <f>+SUM(G22:G37)</f>
        <v>213000</v>
      </c>
    </row>
    <row r="38" spans="1:8" x14ac:dyDescent="0.25">
      <c r="A38" t="s">
        <v>180</v>
      </c>
      <c r="B38" s="53">
        <v>46078.578043981484</v>
      </c>
      <c r="C38" t="s">
        <v>191</v>
      </c>
      <c r="D38">
        <v>8000</v>
      </c>
      <c r="E38">
        <v>1</v>
      </c>
      <c r="F38" s="13">
        <v>1</v>
      </c>
      <c r="G38" s="3">
        <f t="shared" si="0"/>
        <v>8000</v>
      </c>
    </row>
    <row r="39" spans="1:8" x14ac:dyDescent="0.25">
      <c r="A39" t="s">
        <v>180</v>
      </c>
      <c r="B39" s="53">
        <v>46078.579907407409</v>
      </c>
      <c r="C39" t="s">
        <v>191</v>
      </c>
      <c r="D39">
        <v>8000</v>
      </c>
      <c r="E39">
        <v>1</v>
      </c>
      <c r="F39" s="13">
        <v>1</v>
      </c>
      <c r="G39" s="3">
        <f t="shared" si="0"/>
        <v>8000</v>
      </c>
    </row>
    <row r="40" spans="1:8" x14ac:dyDescent="0.25">
      <c r="A40" t="s">
        <v>180</v>
      </c>
      <c r="B40" s="53">
        <v>46078.58693287037</v>
      </c>
      <c r="C40" t="s">
        <v>191</v>
      </c>
      <c r="D40">
        <v>8000</v>
      </c>
      <c r="E40">
        <v>1</v>
      </c>
      <c r="F40" s="13">
        <v>1</v>
      </c>
      <c r="G40" s="3">
        <f t="shared" si="0"/>
        <v>8000</v>
      </c>
    </row>
    <row r="41" spans="1:8" x14ac:dyDescent="0.25">
      <c r="A41" t="s">
        <v>180</v>
      </c>
      <c r="B41" s="53">
        <v>46078.59138888889</v>
      </c>
      <c r="C41" t="s">
        <v>194</v>
      </c>
      <c r="D41">
        <v>35000</v>
      </c>
      <c r="E41">
        <v>1</v>
      </c>
      <c r="F41" s="13">
        <v>1</v>
      </c>
      <c r="G41" s="3">
        <f t="shared" si="0"/>
        <v>35000</v>
      </c>
    </row>
    <row r="42" spans="1:8" x14ac:dyDescent="0.25">
      <c r="A42" t="s">
        <v>180</v>
      </c>
      <c r="B42" s="53">
        <v>46078.600636574076</v>
      </c>
      <c r="C42" t="s">
        <v>194</v>
      </c>
      <c r="D42">
        <v>35000</v>
      </c>
      <c r="E42">
        <v>1</v>
      </c>
      <c r="F42" s="13">
        <v>1</v>
      </c>
      <c r="G42" s="3">
        <f t="shared" si="0"/>
        <v>35000</v>
      </c>
    </row>
    <row r="43" spans="1:8" x14ac:dyDescent="0.25">
      <c r="A43" t="s">
        <v>180</v>
      </c>
      <c r="B43" s="53">
        <v>46078.601261574076</v>
      </c>
      <c r="C43" t="s">
        <v>191</v>
      </c>
      <c r="D43">
        <v>8000</v>
      </c>
      <c r="E43">
        <v>2</v>
      </c>
      <c r="F43" s="13">
        <v>1</v>
      </c>
      <c r="G43" s="3">
        <f t="shared" si="0"/>
        <v>16000</v>
      </c>
    </row>
    <row r="44" spans="1:8" x14ac:dyDescent="0.25">
      <c r="A44" t="s">
        <v>180</v>
      </c>
      <c r="B44" s="53">
        <v>46078.694513888891</v>
      </c>
      <c r="C44" t="s">
        <v>191</v>
      </c>
      <c r="D44">
        <v>8000</v>
      </c>
      <c r="E44">
        <v>1</v>
      </c>
      <c r="F44" s="13">
        <v>1</v>
      </c>
      <c r="G44" s="3">
        <f t="shared" si="0"/>
        <v>8000</v>
      </c>
    </row>
    <row r="45" spans="1:8" x14ac:dyDescent="0.25">
      <c r="A45" t="s">
        <v>180</v>
      </c>
      <c r="B45" s="53">
        <v>46078.762141203704</v>
      </c>
      <c r="C45" t="s">
        <v>191</v>
      </c>
      <c r="D45">
        <v>8000</v>
      </c>
      <c r="E45">
        <v>1</v>
      </c>
      <c r="F45" s="13">
        <v>1</v>
      </c>
      <c r="G45" s="3">
        <f t="shared" si="0"/>
        <v>8000</v>
      </c>
    </row>
    <row r="46" spans="1:8" x14ac:dyDescent="0.25">
      <c r="A46" t="s">
        <v>180</v>
      </c>
      <c r="B46" s="53">
        <v>46078.764027777775</v>
      </c>
      <c r="C46" t="s">
        <v>191</v>
      </c>
      <c r="D46">
        <v>8000</v>
      </c>
      <c r="E46">
        <v>1</v>
      </c>
      <c r="F46" s="13">
        <v>1</v>
      </c>
      <c r="G46" s="3">
        <f t="shared" si="0"/>
        <v>8000</v>
      </c>
    </row>
    <row r="47" spans="1:8" x14ac:dyDescent="0.25">
      <c r="A47" t="s">
        <v>180</v>
      </c>
      <c r="B47" s="53">
        <v>46078.768379629626</v>
      </c>
      <c r="C47" t="s">
        <v>191</v>
      </c>
      <c r="D47">
        <v>8000</v>
      </c>
      <c r="E47">
        <v>1</v>
      </c>
      <c r="F47" s="13">
        <v>1</v>
      </c>
      <c r="G47" s="3">
        <f t="shared" si="0"/>
        <v>8000</v>
      </c>
    </row>
    <row r="48" spans="1:8" x14ac:dyDescent="0.25">
      <c r="A48" t="s">
        <v>180</v>
      </c>
      <c r="B48" s="53">
        <v>46078.77375</v>
      </c>
      <c r="C48" t="s">
        <v>191</v>
      </c>
      <c r="D48">
        <v>8000</v>
      </c>
      <c r="E48">
        <v>5</v>
      </c>
      <c r="F48" s="13">
        <v>1</v>
      </c>
      <c r="G48" s="3">
        <f t="shared" si="0"/>
        <v>40000</v>
      </c>
    </row>
    <row r="49" spans="1:7" x14ac:dyDescent="0.25">
      <c r="A49" t="s">
        <v>180</v>
      </c>
      <c r="B49" s="53">
        <v>46078.774247685185</v>
      </c>
      <c r="C49" t="s">
        <v>192</v>
      </c>
      <c r="D49">
        <v>3000</v>
      </c>
      <c r="E49">
        <v>2</v>
      </c>
      <c r="F49" s="13">
        <v>1</v>
      </c>
      <c r="G49" s="3">
        <f t="shared" si="0"/>
        <v>6000</v>
      </c>
    </row>
    <row r="50" spans="1:7" x14ac:dyDescent="0.25">
      <c r="A50" t="s">
        <v>180</v>
      </c>
      <c r="C50" t="s">
        <v>123</v>
      </c>
      <c r="D50">
        <v>3000</v>
      </c>
      <c r="E50">
        <v>1</v>
      </c>
      <c r="F50" s="13">
        <v>1</v>
      </c>
      <c r="G50" s="3">
        <f t="shared" si="0"/>
        <v>3000</v>
      </c>
    </row>
    <row r="51" spans="1:7" x14ac:dyDescent="0.25">
      <c r="A51" t="s">
        <v>180</v>
      </c>
      <c r="B51" s="53">
        <v>46078.777766203704</v>
      </c>
      <c r="C51" t="s">
        <v>191</v>
      </c>
      <c r="D51">
        <v>8000</v>
      </c>
      <c r="E51">
        <v>3</v>
      </c>
      <c r="F51" s="13">
        <v>1</v>
      </c>
      <c r="G51" s="3">
        <f t="shared" si="0"/>
        <v>24000</v>
      </c>
    </row>
    <row r="52" spans="1:7" x14ac:dyDescent="0.25">
      <c r="A52" t="s">
        <v>180</v>
      </c>
      <c r="B52" s="53">
        <v>46078.800497685188</v>
      </c>
      <c r="C52" t="s">
        <v>191</v>
      </c>
      <c r="D52">
        <v>8000</v>
      </c>
      <c r="E52">
        <v>1</v>
      </c>
      <c r="F52" s="13">
        <v>1</v>
      </c>
      <c r="G52" s="3">
        <f t="shared" si="0"/>
        <v>8000</v>
      </c>
    </row>
    <row r="53" spans="1:7" x14ac:dyDescent="0.25">
      <c r="A53" t="s">
        <v>180</v>
      </c>
      <c r="C53" t="s">
        <v>192</v>
      </c>
      <c r="D53">
        <v>3000</v>
      </c>
      <c r="E53">
        <v>1</v>
      </c>
      <c r="F53" s="13">
        <v>1</v>
      </c>
      <c r="G53" s="3">
        <f t="shared" si="0"/>
        <v>3000</v>
      </c>
    </row>
    <row r="54" spans="1:7" x14ac:dyDescent="0.25">
      <c r="A54" t="s">
        <v>180</v>
      </c>
      <c r="B54" s="53">
        <v>46078.81894675926</v>
      </c>
      <c r="C54" t="s">
        <v>194</v>
      </c>
      <c r="D54">
        <v>35000</v>
      </c>
      <c r="E54">
        <v>1</v>
      </c>
      <c r="F54" s="13">
        <v>1</v>
      </c>
      <c r="G54" s="3">
        <f t="shared" si="0"/>
        <v>35000</v>
      </c>
    </row>
    <row r="55" spans="1:7" x14ac:dyDescent="0.25">
      <c r="A55" t="s">
        <v>180</v>
      </c>
      <c r="C55" t="s">
        <v>123</v>
      </c>
      <c r="D55">
        <v>3000</v>
      </c>
      <c r="E55">
        <v>1</v>
      </c>
      <c r="F55" s="13">
        <v>1</v>
      </c>
      <c r="G55" s="3">
        <f t="shared" si="0"/>
        <v>3000</v>
      </c>
    </row>
    <row r="56" spans="1:7" x14ac:dyDescent="0.25">
      <c r="A56" t="s">
        <v>180</v>
      </c>
      <c r="B56" s="53">
        <v>46078.819791666669</v>
      </c>
      <c r="C56" t="s">
        <v>191</v>
      </c>
      <c r="D56">
        <v>8000</v>
      </c>
      <c r="E56">
        <v>2</v>
      </c>
      <c r="F56" s="13">
        <v>1</v>
      </c>
      <c r="G56" s="3">
        <f t="shared" si="0"/>
        <v>16000</v>
      </c>
    </row>
    <row r="57" spans="1:7" x14ac:dyDescent="0.25">
      <c r="A57" t="s">
        <v>180</v>
      </c>
      <c r="B57" s="53">
        <v>46078.83253472222</v>
      </c>
      <c r="C57" t="s">
        <v>191</v>
      </c>
      <c r="D57">
        <v>8000</v>
      </c>
      <c r="E57">
        <v>2</v>
      </c>
      <c r="F57" s="13">
        <v>1</v>
      </c>
      <c r="G57" s="3">
        <f t="shared" si="0"/>
        <v>16000</v>
      </c>
    </row>
    <row r="58" spans="1:7" x14ac:dyDescent="0.25">
      <c r="A58" t="s">
        <v>180</v>
      </c>
      <c r="B58" s="53">
        <v>46078.838090277779</v>
      </c>
      <c r="C58" t="s">
        <v>191</v>
      </c>
      <c r="D58">
        <v>8000</v>
      </c>
      <c r="E58">
        <v>4</v>
      </c>
      <c r="F58" s="13">
        <v>1</v>
      </c>
      <c r="G58" s="3">
        <f t="shared" si="0"/>
        <v>32000</v>
      </c>
    </row>
    <row r="59" spans="1:7" x14ac:dyDescent="0.25">
      <c r="A59" t="s">
        <v>180</v>
      </c>
      <c r="B59" s="53">
        <v>46078.848043981481</v>
      </c>
      <c r="C59" t="s">
        <v>191</v>
      </c>
      <c r="D59">
        <v>8000</v>
      </c>
      <c r="E59">
        <v>2</v>
      </c>
      <c r="F59" s="13">
        <v>1</v>
      </c>
      <c r="G59" s="3">
        <f t="shared" si="0"/>
        <v>16000</v>
      </c>
    </row>
    <row r="60" spans="1:7" x14ac:dyDescent="0.25">
      <c r="A60" t="s">
        <v>181</v>
      </c>
      <c r="B60" s="53">
        <v>46079.557025462964</v>
      </c>
      <c r="C60" t="s">
        <v>193</v>
      </c>
      <c r="D60">
        <v>4500</v>
      </c>
      <c r="E60">
        <v>2</v>
      </c>
      <c r="F60" s="13">
        <v>1</v>
      </c>
      <c r="G60" s="3">
        <f t="shared" si="0"/>
        <v>9000</v>
      </c>
    </row>
    <row r="61" spans="1:7" x14ac:dyDescent="0.25">
      <c r="A61" t="s">
        <v>181</v>
      </c>
      <c r="B61" s="53">
        <v>46079.560671296298</v>
      </c>
      <c r="C61" t="s">
        <v>191</v>
      </c>
      <c r="D61">
        <v>8000</v>
      </c>
      <c r="E61">
        <v>2</v>
      </c>
      <c r="F61" s="13">
        <v>1</v>
      </c>
      <c r="G61" s="3">
        <f t="shared" si="0"/>
        <v>16000</v>
      </c>
    </row>
    <row r="62" spans="1:7" x14ac:dyDescent="0.25">
      <c r="A62" t="s">
        <v>181</v>
      </c>
      <c r="B62" s="53">
        <v>46079.752893518518</v>
      </c>
      <c r="C62" t="s">
        <v>191</v>
      </c>
      <c r="D62">
        <v>8000</v>
      </c>
      <c r="E62">
        <v>1</v>
      </c>
      <c r="F62" s="13">
        <v>1</v>
      </c>
      <c r="G62" s="3">
        <f t="shared" si="0"/>
        <v>8000</v>
      </c>
    </row>
    <row r="63" spans="1:7" x14ac:dyDescent="0.25">
      <c r="A63" t="s">
        <v>181</v>
      </c>
      <c r="B63" s="53">
        <v>46079.764050925929</v>
      </c>
      <c r="C63" t="s">
        <v>191</v>
      </c>
      <c r="D63">
        <v>8000</v>
      </c>
      <c r="E63">
        <v>1</v>
      </c>
      <c r="F63" s="13">
        <v>1</v>
      </c>
      <c r="G63" s="3">
        <f t="shared" si="0"/>
        <v>8000</v>
      </c>
    </row>
    <row r="64" spans="1:7" x14ac:dyDescent="0.25">
      <c r="A64" t="s">
        <v>181</v>
      </c>
      <c r="B64" s="53">
        <v>46079.794652777775</v>
      </c>
      <c r="C64" t="s">
        <v>191</v>
      </c>
      <c r="D64">
        <v>8000</v>
      </c>
      <c r="E64">
        <v>2</v>
      </c>
      <c r="F64" s="13">
        <v>1</v>
      </c>
      <c r="G64" s="3">
        <f t="shared" si="0"/>
        <v>16000</v>
      </c>
    </row>
    <row r="65" spans="1:7" x14ac:dyDescent="0.25">
      <c r="A65" t="s">
        <v>181</v>
      </c>
      <c r="B65" s="53">
        <v>46079.81355324074</v>
      </c>
      <c r="C65" t="s">
        <v>191</v>
      </c>
      <c r="D65">
        <v>8000</v>
      </c>
      <c r="E65">
        <v>1</v>
      </c>
      <c r="F65" s="13">
        <v>1</v>
      </c>
      <c r="G65" s="3">
        <f t="shared" si="0"/>
        <v>8000</v>
      </c>
    </row>
    <row r="66" spans="1:7" x14ac:dyDescent="0.25">
      <c r="A66" t="s">
        <v>181</v>
      </c>
      <c r="B66" s="53">
        <v>46079.814722222225</v>
      </c>
      <c r="C66" t="s">
        <v>191</v>
      </c>
      <c r="D66">
        <v>8000</v>
      </c>
      <c r="E66">
        <v>1</v>
      </c>
      <c r="F66" s="13">
        <v>1</v>
      </c>
      <c r="G66" s="3">
        <f t="shared" si="0"/>
        <v>8000</v>
      </c>
    </row>
    <row r="67" spans="1:7" x14ac:dyDescent="0.25">
      <c r="A67" t="s">
        <v>181</v>
      </c>
      <c r="B67" s="53">
        <v>46079.84375</v>
      </c>
      <c r="C67" t="s">
        <v>191</v>
      </c>
      <c r="D67">
        <v>8000</v>
      </c>
      <c r="E67">
        <v>1</v>
      </c>
      <c r="F67" s="13">
        <v>1</v>
      </c>
      <c r="G67" s="3">
        <f t="shared" si="0"/>
        <v>8000</v>
      </c>
    </row>
    <row r="68" spans="1:7" x14ac:dyDescent="0.25">
      <c r="A68" t="s">
        <v>181</v>
      </c>
      <c r="C68" t="s">
        <v>123</v>
      </c>
      <c r="D68">
        <v>3000</v>
      </c>
      <c r="E68">
        <v>1</v>
      </c>
      <c r="F68" s="13">
        <v>1</v>
      </c>
      <c r="G68" s="3">
        <f t="shared" si="0"/>
        <v>3000</v>
      </c>
    </row>
    <row r="69" spans="1:7" x14ac:dyDescent="0.25">
      <c r="A69" t="s">
        <v>35</v>
      </c>
      <c r="F69" s="13">
        <v>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C6966FDC-54C0-4686-84FA-DB32BA161069}">
  <ds:schemaRefs/>
</ds:datastoreItem>
</file>

<file path=customXml/itemProps2.xml><?xml version="1.0" encoding="utf-8"?>
<ds:datastoreItem xmlns:ds="http://schemas.openxmlformats.org/officeDocument/2006/customXml" ds:itemID="{E5F843DC-A6BF-4370-8AAB-198DC9DA39C7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26BBDD3B-5549-4B7F-A242-39E079346B51}">
  <ds:schemaRefs/>
</ds:datastoreItem>
</file>

<file path=customXml/itemProps4.xml><?xml version="1.0" encoding="utf-8"?>
<ds:datastoreItem xmlns:ds="http://schemas.openxmlformats.org/officeDocument/2006/customXml" ds:itemID="{651B3BFD-4BC7-48D9-94DF-A7E0AC3AE585}">
  <ds:schemaRefs/>
</ds:datastoreItem>
</file>

<file path=customXml/itemProps5.xml><?xml version="1.0" encoding="utf-8"?>
<ds:datastoreItem xmlns:ds="http://schemas.openxmlformats.org/officeDocument/2006/customXml" ds:itemID="{3BFDF280-F210-4B3E-AFDE-1E932821F2B6}">
  <ds:schemaRefs/>
</ds:datastoreItem>
</file>

<file path=customXml/itemProps6.xml><?xml version="1.0" encoding="utf-8"?>
<ds:datastoreItem xmlns:ds="http://schemas.openxmlformats.org/officeDocument/2006/customXml" ds:itemID="{788789B1-0D01-44D2-92B3-AE3C27D29AF4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21</vt:i4>
      </vt:variant>
    </vt:vector>
  </HeadingPairs>
  <TitlesOfParts>
    <vt:vector size="21" baseType="lpstr">
      <vt:lpstr>chorizo</vt:lpstr>
      <vt:lpstr>choriboni</vt:lpstr>
      <vt:lpstr>Arqueo de Caja</vt:lpstr>
      <vt:lpstr>Cuentas</vt:lpstr>
      <vt:lpstr>Gas</vt:lpstr>
      <vt:lpstr>Registros</vt:lpstr>
      <vt:lpstr>DevOps</vt:lpstr>
      <vt:lpstr>Extracto</vt:lpstr>
      <vt:lpstr>Clientes</vt:lpstr>
      <vt:lpstr>Empaques</vt:lpstr>
      <vt:lpstr>proveedores</vt:lpstr>
      <vt:lpstr>informe</vt:lpstr>
      <vt:lpstr>Costos</vt:lpstr>
      <vt:lpstr>Inventario</vt:lpstr>
      <vt:lpstr>Reporte</vt:lpstr>
      <vt:lpstr>Rappi</vt:lpstr>
      <vt:lpstr>7-MARZO</vt:lpstr>
      <vt:lpstr>Prestamos</vt:lpstr>
      <vt:lpstr>maquina</vt:lpstr>
      <vt:lpstr>Informe ventas</vt:lpstr>
      <vt:lpstr>historial de venta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PC</cp:lastModifiedBy>
  <dcterms:created xsi:type="dcterms:W3CDTF">2015-06-05T18:19:34Z</dcterms:created>
  <dcterms:modified xsi:type="dcterms:W3CDTF">2026-03-15T23:48:19Z</dcterms:modified>
</cp:coreProperties>
</file>