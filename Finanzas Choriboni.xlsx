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892" firstSheet="2" activeTab="2"/>
  </bookViews>
  <sheets>
    <sheet name="chorizo" sheetId="3" state="hidden" r:id="rId1"/>
    <sheet name="choriboni" sheetId="4" state="hidden" r:id="rId2"/>
    <sheet name="Arqueo de Caja" sheetId="9" r:id="rId3"/>
    <sheet name="proveedores" sheetId="7" state="hidden" r:id="rId4"/>
    <sheet name="informe" sheetId="6" state="hidden" r:id="rId5"/>
    <sheet name="Costos" sheetId="8" state="hidden" r:id="rId6"/>
    <sheet name="Reporte" sheetId="11" r:id="rId7"/>
    <sheet name="Extracto_bancario" sheetId="10" r:id="rId8"/>
    <sheet name="Prestamos" sheetId="12" r:id="rId9"/>
    <sheet name="Informe ventas" sheetId="13" r:id="rId10"/>
    <sheet name="historial de venta" sheetId="14" r:id="rId11"/>
  </sheets>
  <externalReferences>
    <externalReference r:id="rId12"/>
  </externalReferences>
  <definedNames>
    <definedName name="_xlnm._FilterDatabase" localSheetId="1" hidden="1">choriboni!$B$14:$I$57</definedName>
  </definedNames>
  <calcPr calcId="162913"/>
  <pivotCaches>
    <pivotCache cacheId="0" r:id="rId13"/>
    <pivotCache cacheId="1" r:id="rId14"/>
    <pivotCache cacheId="2" r:id="rId15"/>
    <pivotCache cacheId="3" r:id="rId16"/>
    <pivotCache cacheId="4" r:id="rId17"/>
    <pivotCache cacheId="5" r:id="rId1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3" l="1"/>
  <c r="I22" i="9"/>
  <c r="I26" i="9"/>
  <c r="I24" i="9"/>
  <c r="I23" i="9"/>
  <c r="I20" i="9"/>
  <c r="K17" i="9" l="1"/>
  <c r="K13" i="9"/>
  <c r="K12" i="9"/>
  <c r="K11" i="9"/>
  <c r="K10" i="9"/>
  <c r="K9" i="9"/>
  <c r="K8" i="9"/>
  <c r="K7" i="9"/>
  <c r="K6" i="9"/>
  <c r="K5" i="9"/>
  <c r="K4" i="9"/>
  <c r="K3" i="9"/>
  <c r="E8" i="11"/>
  <c r="D8" i="11"/>
  <c r="E25" i="9"/>
  <c r="H31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20" i="9"/>
  <c r="K14" i="9" l="1"/>
  <c r="C1" i="9"/>
  <c r="D14" i="10" l="1"/>
  <c r="E4" i="11"/>
  <c r="E5" i="11"/>
  <c r="B2" i="10"/>
  <c r="B3" i="10"/>
  <c r="B4" i="10"/>
  <c r="B5" i="10"/>
  <c r="B6" i="10"/>
  <c r="B7" i="10"/>
  <c r="B8" i="10"/>
  <c r="B9" i="10"/>
  <c r="B10" i="10"/>
  <c r="B11" i="10"/>
  <c r="B12" i="10"/>
  <c r="B13" i="10"/>
  <c r="I18" i="9"/>
  <c r="I19" i="9" s="1"/>
  <c r="G19" i="9"/>
  <c r="C19" i="9"/>
  <c r="C20" i="9" s="1"/>
  <c r="E17" i="9" s="1"/>
  <c r="G17" i="9" s="1"/>
  <c r="G14" i="9"/>
  <c r="I13" i="9"/>
  <c r="I12" i="9"/>
  <c r="I11" i="9"/>
  <c r="I10" i="9"/>
  <c r="I9" i="9"/>
  <c r="I8" i="9"/>
  <c r="I7" i="9"/>
  <c r="I6" i="9"/>
  <c r="I5" i="9"/>
  <c r="I4" i="9"/>
  <c r="I3" i="9"/>
  <c r="G20" i="9" l="1"/>
  <c r="I17" i="9" s="1"/>
  <c r="E6" i="9"/>
  <c r="E5" i="9"/>
  <c r="E7" i="9"/>
  <c r="E8" i="9"/>
  <c r="E9" i="9"/>
  <c r="E10" i="9"/>
  <c r="E11" i="9"/>
  <c r="E12" i="9"/>
  <c r="E13" i="9"/>
  <c r="E4" i="9"/>
  <c r="E3" i="9"/>
  <c r="C3" i="9"/>
  <c r="E14" i="9" l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D9" i="8" s="1"/>
  <c r="C71" i="4"/>
  <c r="C14" i="9" l="1"/>
  <c r="C4" i="4"/>
  <c r="C38" i="4"/>
  <c r="C37" i="4"/>
  <c r="C28" i="4"/>
  <c r="C36" i="4"/>
  <c r="C16" i="4"/>
  <c r="C55" i="4"/>
  <c r="C17" i="4"/>
  <c r="C51" i="4"/>
  <c r="C52" i="4"/>
  <c r="C40" i="4"/>
  <c r="C15" i="4"/>
  <c r="C23" i="4" l="1"/>
  <c r="C3" i="4" l="1"/>
  <c r="C5" i="4" s="1"/>
  <c r="C7" i="4" s="1"/>
  <c r="C11" i="4" s="1"/>
  <c r="C13" i="4" l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5" authorId="0" shapeId="0">
      <text>
        <r>
          <rPr>
            <b/>
            <sz val="9"/>
            <color indexed="81"/>
            <rFont val="Tahoma"/>
            <charset val="1"/>
          </rPr>
          <t>150,000 motor de extractor y olla</t>
        </r>
      </text>
    </comment>
    <comment ref="C16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7" authorId="0" shapeId="0">
      <text>
        <r>
          <rPr>
            <b/>
            <sz val="9"/>
            <color indexed="81"/>
            <rFont val="Tahoma"/>
            <charset val="1"/>
          </rPr>
          <t>2 facturas y sillas</t>
        </r>
      </text>
    </comment>
    <comment ref="G17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1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2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3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4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6" authorId="0" shapeId="0">
      <text>
        <r>
          <rPr>
            <b/>
            <sz val="9"/>
            <color indexed="81"/>
            <rFont val="Tahoma"/>
            <charset val="1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14" authorId="0" shapeId="0">
      <text>
        <r>
          <rPr>
            <b/>
            <sz val="9"/>
            <color indexed="81"/>
            <rFont val="Tahoma"/>
            <family val="2"/>
          </rPr>
          <t>Edwin</t>
        </r>
      </text>
    </comment>
    <comment ref="C19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19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19" authorId="0" shapeId="0">
      <text>
        <r>
          <rPr>
            <sz val="9"/>
            <color indexed="81"/>
            <rFont val="Tahoma"/>
            <family val="2"/>
          </rPr>
          <t xml:space="preserve">nomina,
mercado
Uniforme
</t>
        </r>
      </text>
    </comment>
    <comment ref="I19" authorId="0" shapeId="0">
      <text>
        <r>
          <rPr>
            <b/>
            <sz val="9"/>
            <color indexed="81"/>
            <rFont val="Tahoma"/>
            <family val="2"/>
          </rPr>
          <t>nomina
transporte de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<sst xmlns="http://schemas.openxmlformats.org/spreadsheetml/2006/main" count="576" uniqueCount="200">
  <si>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</si>
  <si>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</si>
  <si>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</si>
  <si>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</si>
  <si>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</si>
  <si>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</si>
  <si>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</si>
  <si>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</si>
  <si>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</si>
  <si>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</si>
  <si>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</si>
  <si>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</si>
  <si>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</si>
  <si>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</si>
  <si>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</si>
  <si>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</si>
  <si>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</si>
  <si>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</si>
  <si>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</si>
  <si>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</si>
  <si>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</si>
  <si>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</si>
  <si>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</si>
  <si>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</si>
  <si>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</si>
  <si>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</si>
  <si>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</si>
  <si>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</si>
  <si>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</si>
  <si>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</si>
  <si>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</si>
  <si>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</si>
  <si>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</si>
  <si>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</si>
  <si>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</si>
  <si>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</si>
  <si>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</si>
  <si>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</si>
  <si>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</si>
  <si>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</si>
  <si>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</si>
  <si>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</si>
  <si>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</si>
  <si>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</si>
  <si>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</si>
  <si>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</si>
  <si>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</si>
  <si>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</si>
  <si>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</si>
  <si>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</si>
  <si>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</si>
  <si>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</si>
  <si>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</si>
  <si>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</si>
  <si>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</si>
  <si>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</si>
  <si>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</si>
  <si>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</si>
  <si>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</si>
  <si>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</si>
  <si>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</si>
  <si>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</si>
  <si>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</si>
  <si>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</si>
  <si>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</si>
  <si>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</si>
  <si>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</si>
  <si>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</si>
  <si>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</si>
  <si>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</si>
  <si>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</si>
  <si>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</si>
  <si>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</si>
  <si>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</si>
  <si>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</si>
  <si>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</si>
  <si>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</si>
  <si>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</si>
  <si>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</si>
  <si>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</si>
  <si>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</si>
  <si>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</si>
  <si>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</si>
  <si>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</si>
  <si>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</si>
  <si>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</si>
  <si>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</si>
  <si>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</si>
  <si>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</si>
  <si>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</si>
  <si>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</si>
  <si>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</si>
  <si>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</si>
  <si>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</si>
  <si>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</si>
  <si>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</si>
  <si>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</si>
  <si>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</si>
  <si>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</si>
  <si>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</si>
  <si>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</si>
  <si>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</si>
  <si>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</si>
  <si>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</si>
  <si>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</si>
  <si>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</si>
  <si>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</si>
  <si>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</si>
  <si>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</si>
  <si>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</si>
  <si>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</si>
  <si>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</si>
  <si>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</si>
  <si>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</si>
  <si>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</si>
  <si>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</si>
  <si>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</si>
  <si>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</si>
  <si>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</si>
  <si>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</si>
  <si>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</si>
  <si>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</si>
  <si>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</si>
  <si>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</si>
  <si>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</si>
  <si>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</si>
  <si>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</si>
  <si>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</si>
  <si>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</si>
  <si>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</si>
  <si>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</si>
  <si>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</si>
  <si>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</si>
  <si>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</si>
  <si>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</si>
  <si>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</si>
  <si>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</si>
  <si>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</si>
  <si>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</si>
  <si>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</si>
  <si>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</si>
  <si>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</si>
  <si>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</si>
  <si>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</si>
  <si>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</si>
  <si>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</si>
  <si>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</si>
  <si>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</si>
  <si>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</si>
  <si>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</si>
  <si>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</si>
  <si>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</si>
  <si>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</si>
  <si>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</si>
  <si>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</si>
  <si>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</si>
  <si>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</si>
  <si>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</si>
  <si>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</si>
  <si>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</si>
  <si>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</si>
  <si>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</si>
  <si>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</si>
  <si>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</si>
  <si>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</si>
  <si>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</si>
  <si>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Libro Auxiliar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</si>
  <si>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</si>
  <si>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</si>
  <si>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</si>
  <si>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</si>
  <si>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</si>
  <si>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</si>
  <si>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</si>
  <si>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</si>
  <si>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</si>
  <si>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</si>
  <si>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</si>
  <si>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</si>
  <si>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</si>
  <si>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</si>
  <si>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</si>
  <si>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</si>
  <si>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</si>
  <si>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</si>
  <si>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</si>
  <si>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</si>
  <si>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</si>
  <si>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</si>
  <si>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</si>
  <si>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</si>
  <si>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</si>
  <si>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</si>
  <si>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</si>
  <si>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</si>
  <si>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</si>
  <si>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</si>
  <si>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</si>
  <si>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</si>
  <si>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>martes transporte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</si>
</sst>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charset val="1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9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5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9" fillId="8" borderId="0" xfId="4" applyNumberFormat="1"/>
    <xf numFmtId="164" fontId="2" fillId="0" borderId="2" xfId="0" applyNumberFormat="1" applyFont="1" applyBorder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10" fillId="11" borderId="0" xfId="0" applyFont="1" applyFill="1"/>
    <xf numFmtId="164" fontId="10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1" fillId="11" borderId="0" xfId="1" applyNumberFormat="1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16" fontId="12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0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65" fontId="0" fillId="0" borderId="0" xfId="5" applyNumberFormat="1" applyFont="1"/>
    <xf numFmtId="165" fontId="0" fillId="2" borderId="0" xfId="0" applyNumberFormat="1" applyFill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0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pivotCacheDefinition" Target="pivotCache/pivotCacheDefinition5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eetMetadata" Target="metadata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31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2.xml"/><Relationship Id="rId30" Type="http://schemas.openxmlformats.org/officeDocument/2006/relationships/customXml" Target="../customXml/item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evOps_local\foodtech_choriboni\Documentacion\Dashboard%20Chorob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orme"/>
      <sheetName val="historial de venta"/>
    </sheetNames>
    <sheetDataSet>
      <sheetData sheetId="0">
        <row r="7">
          <cell r="H7">
            <v>226700</v>
          </cell>
        </row>
        <row r="8">
          <cell r="H8">
            <v>84000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Finanzas%20Choriboni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4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6079.954428472221" createdVersion="8" refreshedVersion="8" minRefreshableVersion="3" recordCount="13">
  <cacheSource type="worksheet">
    <worksheetSource ref="A1:F1048576" sheet="Extracto_bancario" r:id="rId2"/>
  </cacheSource>
  <cacheFields count="6">
    <cacheField name="fecha" numFmtId="0">
      <sharedItems containsNonDate="0" containsDate="1" containsString="0" containsBlank="1" minDate="2026-02-23T00:00:00" maxDate="2026-02-27T00:00:00" count="5">
        <d v="2026-02-23T00:00:00"/>
        <d v="2026-02-24T00:00:00"/>
        <d v="2026-02-25T00:00:00"/>
        <d v="2026-02-26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51000"/>
    </cacheField>
    <cacheField name="cuenta" numFmtId="0">
      <sharedItems containsBlank="1" count="3">
        <s v="Nequi"/>
        <s v="DaviPlata"/>
        <m/>
      </sharedItems>
    </cacheField>
    <cacheField name="nombre_clien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x v="0"/>
    <s v="lun"/>
    <d v="1899-12-30T17:31:00"/>
    <n v="6500"/>
    <x v="0"/>
    <s v="Papá"/>
  </r>
  <r>
    <x v="0"/>
    <s v="lun"/>
    <m/>
    <n v="24000"/>
    <x v="0"/>
    <s v="Diana Carolina Colorado Penagos"/>
  </r>
  <r>
    <x v="1"/>
    <s v="mar"/>
    <d v="1899-12-30T19:03:00"/>
    <n v="3000"/>
    <x v="0"/>
    <s v="Lucelyz Pelaez"/>
  </r>
  <r>
    <x v="1"/>
    <s v="mar"/>
    <d v="1899-12-30T19:52:00"/>
    <n v="8000"/>
    <x v="0"/>
    <s v="Jeisson Gutierrez"/>
  </r>
  <r>
    <x v="2"/>
    <s v="mié"/>
    <d v="1899-12-30T16:40:00"/>
    <n v="8000"/>
    <x v="0"/>
    <s v="María Torres"/>
  </r>
  <r>
    <x v="2"/>
    <s v="mié"/>
    <d v="1899-12-30T19:04:00"/>
    <n v="8000"/>
    <x v="0"/>
    <s v="Ori****Rod*****Ma"/>
  </r>
  <r>
    <x v="2"/>
    <s v="mié"/>
    <d v="1899-12-30T19:22:00"/>
    <n v="22500"/>
    <x v="0"/>
    <s v="Papá"/>
  </r>
  <r>
    <x v="2"/>
    <s v="mié"/>
    <d v="1899-12-30T20:09:00"/>
    <n v="8000"/>
    <x v="0"/>
    <s v="Juan Heredia"/>
  </r>
  <r>
    <x v="2"/>
    <s v="mié"/>
    <d v="1899-12-30T19:03:00"/>
    <n v="16000"/>
    <x v="1"/>
    <s v="ND"/>
  </r>
  <r>
    <x v="3"/>
    <s v="jue"/>
    <d v="1899-12-30T13:33:00"/>
    <n v="25000"/>
    <x v="0"/>
    <s v="Claudia Arevalo"/>
  </r>
  <r>
    <x v="3"/>
    <s v="jue"/>
    <d v="1899-12-30T20:17:00"/>
    <n v="51000"/>
    <x v="0"/>
    <s v="Papá"/>
  </r>
  <r>
    <x v="3"/>
    <s v="jue"/>
    <d v="1899-12-30T17:28:00"/>
    <n v="49000"/>
    <x v="0"/>
    <s v="Darwin Casallas"/>
  </r>
  <r>
    <x v="4"/>
    <m/>
    <m/>
    <m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0">
      <pivotArea outline="0" collapsedLevelsAreSubtotals="1" fieldPosition="0"/>
    </format>
    <format dxfId="9">
      <pivotArea outline="0" collapsedLevelsAreSubtotals="1" fieldPosition="0"/>
    </format>
    <format dxfId="8">
      <pivotArea outline="0" collapsedLevelsAreSubtotals="1" fieldPosition="0"/>
    </format>
    <format dxfId="7">
      <pivotArea outline="0" fieldPosition="0">
        <references count="1">
          <reference field="4294967294" count="1">
            <x v="1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8" firstHeaderRow="1" firstDataRow="1" firstDataCol="1"/>
  <pivotFields count="6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4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5:D21" firstHeaderRow="1" firstDataRow="2" firstDataCol="1"/>
  <pivotFields count="6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h="1" x="2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5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1" cacheId="2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4" cacheId="5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2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3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B8" sqref="B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I78"/>
  <sheetViews>
    <sheetView showGridLines="0" zoomScale="70" zoomScaleNormal="70" workbookViewId="0">
      <pane ySplit="14" topLeftCell="A60" activePane="bottomLeft" state="frozen"/>
      <selection pane="bottomLeft" activeCell="D74" sqref="D74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hidden="1" outlineLevel="1" x14ac:dyDescent="0.25">
      <c r="C2"/>
      <c r="D2"/>
      <c r="E2" t="s">
        <v>110</v>
      </c>
    </row>
    <row r="3" spans="1:8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hidden="1" outlineLevel="1" x14ac:dyDescent="0.25">
      <c r="C4" s="23">
        <f>+SUMIF(F:F,D4,C:C)</f>
        <v>2472900</v>
      </c>
      <c r="D4" t="s">
        <v>2</v>
      </c>
      <c r="E4"/>
      <c r="G4" t="s">
        <v>111</v>
      </c>
    </row>
    <row r="5" spans="1:8" ht="17.25" hidden="1" outlineLevel="1" x14ac:dyDescent="0.4">
      <c r="C5" s="14">
        <f>+C3+C4</f>
        <v>30281167</v>
      </c>
      <c r="G5" t="s">
        <v>112</v>
      </c>
    </row>
    <row r="6" spans="1:8" hidden="1" outlineLevel="1" x14ac:dyDescent="0.25"/>
    <row r="7" spans="1:8" hidden="1" outlineLevel="1" x14ac:dyDescent="0.25">
      <c r="C7" s="3">
        <f>+C5/2</f>
        <v>15140583.5</v>
      </c>
    </row>
    <row r="8" spans="1:8" ht="16.5" hidden="1" customHeight="1" outlineLevel="1" x14ac:dyDescent="0.25">
      <c r="B8" s="2">
        <v>46062</v>
      </c>
      <c r="C8" s="3">
        <v>300000</v>
      </c>
      <c r="D8" t="s">
        <v>17</v>
      </c>
    </row>
    <row r="9" spans="1:8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8" ht="16.5" hidden="1" customHeight="1" outlineLevel="1" x14ac:dyDescent="0.25">
      <c r="B10" s="2">
        <v>46073</v>
      </c>
      <c r="C10" s="3">
        <v>3000000</v>
      </c>
      <c r="D10"/>
    </row>
    <row r="11" spans="1:8" hidden="1" outlineLevel="1" x14ac:dyDescent="0.25">
      <c r="C11" s="16">
        <f>+C7-C4-SUM(C8:C10)</f>
        <v>8367683.5</v>
      </c>
    </row>
    <row r="12" spans="1:8" hidden="1" outlineLevel="1" x14ac:dyDescent="0.25"/>
    <row r="13" spans="1:8" ht="17.25" collapsed="1" x14ac:dyDescent="0.4">
      <c r="C13" s="14">
        <f>+SUM(C15:C1048576)-C5</f>
        <v>0</v>
      </c>
      <c r="E13" s="3" t="s">
        <v>0</v>
      </c>
    </row>
    <row r="14" spans="1:8" x14ac:dyDescent="0.25">
      <c r="A14" s="4" t="s">
        <v>68</v>
      </c>
      <c r="B14" s="4" t="s">
        <v>5</v>
      </c>
      <c r="C14" s="5" t="s">
        <v>6</v>
      </c>
      <c r="D14" s="5" t="s">
        <v>7</v>
      </c>
      <c r="E14" s="5" t="s">
        <v>37</v>
      </c>
      <c r="F14" s="4" t="s">
        <v>1</v>
      </c>
      <c r="G14" s="4" t="s">
        <v>3</v>
      </c>
      <c r="H14" s="4" t="s">
        <v>15</v>
      </c>
    </row>
    <row r="15" spans="1:8" x14ac:dyDescent="0.25">
      <c r="A15">
        <v>1</v>
      </c>
      <c r="B15" s="2">
        <v>46049</v>
      </c>
      <c r="C15" s="3">
        <f>1350000+150000</f>
        <v>1500000</v>
      </c>
      <c r="D15" s="3" t="s">
        <v>9</v>
      </c>
      <c r="E15" s="3" t="s">
        <v>69</v>
      </c>
      <c r="F15" t="s">
        <v>10</v>
      </c>
      <c r="G15" t="s">
        <v>21</v>
      </c>
      <c r="H15" t="s">
        <v>22</v>
      </c>
    </row>
    <row r="16" spans="1:8" x14ac:dyDescent="0.25">
      <c r="A16">
        <v>2</v>
      </c>
      <c r="B16" s="2">
        <v>46049</v>
      </c>
      <c r="C16" s="3">
        <f>2500000+1400000+400000</f>
        <v>4300000</v>
      </c>
      <c r="D16" s="3" t="s">
        <v>9</v>
      </c>
      <c r="E16" s="3" t="s">
        <v>69</v>
      </c>
      <c r="F16" t="s">
        <v>10</v>
      </c>
      <c r="G16" s="8" t="s">
        <v>38</v>
      </c>
      <c r="H16" t="s">
        <v>61</v>
      </c>
    </row>
    <row r="17" spans="1:8" x14ac:dyDescent="0.25">
      <c r="A17">
        <v>3</v>
      </c>
      <c r="B17" s="2">
        <v>46056</v>
      </c>
      <c r="C17" s="3">
        <f>5400000+500000+(25000*2)</f>
        <v>5950000</v>
      </c>
      <c r="D17" s="3" t="s">
        <v>9</v>
      </c>
      <c r="E17" s="3" t="s">
        <v>69</v>
      </c>
      <c r="F17" t="s">
        <v>10</v>
      </c>
      <c r="G17" s="8" t="s">
        <v>41</v>
      </c>
      <c r="H17" s="3" t="s">
        <v>54</v>
      </c>
    </row>
    <row r="18" spans="1:8" x14ac:dyDescent="0.25">
      <c r="A18">
        <v>4</v>
      </c>
      <c r="B18" s="2">
        <v>46056</v>
      </c>
      <c r="C18" s="3">
        <v>80000</v>
      </c>
      <c r="D18" s="3" t="s">
        <v>9</v>
      </c>
      <c r="E18" s="3" t="s">
        <v>101</v>
      </c>
      <c r="F18" t="s">
        <v>10</v>
      </c>
      <c r="G18" s="8" t="s">
        <v>71</v>
      </c>
      <c r="H18" s="3" t="s">
        <v>72</v>
      </c>
    </row>
    <row r="19" spans="1:8" x14ac:dyDescent="0.25">
      <c r="A19">
        <v>5</v>
      </c>
      <c r="B19" s="2">
        <v>46056</v>
      </c>
      <c r="C19" s="3">
        <v>100000</v>
      </c>
      <c r="D19" s="3" t="s">
        <v>9</v>
      </c>
      <c r="E19" s="3" t="s">
        <v>101</v>
      </c>
      <c r="F19" t="s">
        <v>10</v>
      </c>
      <c r="G19" s="8" t="s">
        <v>47</v>
      </c>
      <c r="H19" t="s">
        <v>42</v>
      </c>
    </row>
    <row r="20" spans="1:8" x14ac:dyDescent="0.25">
      <c r="A20">
        <v>6</v>
      </c>
      <c r="B20" s="2">
        <v>46056</v>
      </c>
      <c r="C20" s="3">
        <v>30000</v>
      </c>
      <c r="D20" s="3" t="s">
        <v>9</v>
      </c>
      <c r="E20" s="3" t="s">
        <v>46</v>
      </c>
      <c r="F20" t="s">
        <v>10</v>
      </c>
      <c r="G20" s="8" t="s">
        <v>48</v>
      </c>
      <c r="H20" t="s">
        <v>42</v>
      </c>
    </row>
    <row r="21" spans="1:8" x14ac:dyDescent="0.25">
      <c r="A21">
        <v>7</v>
      </c>
      <c r="B21" s="2">
        <v>46060</v>
      </c>
      <c r="C21" s="3">
        <v>200000</v>
      </c>
      <c r="D21" s="3" t="s">
        <v>9</v>
      </c>
      <c r="E21" s="3" t="s">
        <v>101</v>
      </c>
      <c r="F21" t="s">
        <v>10</v>
      </c>
      <c r="G21" t="s">
        <v>57</v>
      </c>
      <c r="H21" t="s">
        <v>58</v>
      </c>
    </row>
    <row r="22" spans="1:8" x14ac:dyDescent="0.25">
      <c r="A22">
        <v>8</v>
      </c>
      <c r="B22" s="2">
        <v>46060</v>
      </c>
      <c r="C22" s="3">
        <v>110000</v>
      </c>
      <c r="D22" s="3" t="s">
        <v>9</v>
      </c>
      <c r="E22" s="3" t="s">
        <v>101</v>
      </c>
      <c r="F22" t="s">
        <v>10</v>
      </c>
      <c r="G22" s="8" t="s">
        <v>43</v>
      </c>
      <c r="H22" t="s">
        <v>66</v>
      </c>
    </row>
    <row r="23" spans="1:8" x14ac:dyDescent="0.25">
      <c r="A23">
        <v>9</v>
      </c>
      <c r="B23" s="2">
        <v>46060</v>
      </c>
      <c r="C23" s="3">
        <f>27000+35000</f>
        <v>62000</v>
      </c>
      <c r="D23" s="3" t="s">
        <v>9</v>
      </c>
      <c r="E23" s="3" t="s">
        <v>69</v>
      </c>
      <c r="F23" t="s">
        <v>10</v>
      </c>
      <c r="G23" t="s">
        <v>16</v>
      </c>
      <c r="H23" s="3" t="s">
        <v>80</v>
      </c>
    </row>
    <row r="24" spans="1:8" x14ac:dyDescent="0.25">
      <c r="A24">
        <v>10</v>
      </c>
      <c r="B24" s="2">
        <v>46056</v>
      </c>
      <c r="C24" s="3">
        <v>2400000</v>
      </c>
      <c r="D24" s="3" t="s">
        <v>9</v>
      </c>
      <c r="E24" s="3" t="s">
        <v>101</v>
      </c>
      <c r="F24" t="s">
        <v>10</v>
      </c>
      <c r="G24" t="s">
        <v>14</v>
      </c>
      <c r="H24" s="3" t="s">
        <v>40</v>
      </c>
    </row>
    <row r="25" spans="1:8" x14ac:dyDescent="0.25">
      <c r="A25">
        <v>11</v>
      </c>
      <c r="B25" s="2">
        <v>46056</v>
      </c>
      <c r="C25" s="3">
        <v>108150</v>
      </c>
      <c r="D25" s="3" t="s">
        <v>9</v>
      </c>
      <c r="E25" s="3" t="s">
        <v>101</v>
      </c>
      <c r="F25" t="s">
        <v>10</v>
      </c>
      <c r="G25" s="8" t="s">
        <v>44</v>
      </c>
      <c r="H25" s="3" t="s">
        <v>80</v>
      </c>
    </row>
    <row r="26" spans="1:8" x14ac:dyDescent="0.25">
      <c r="A26">
        <v>11</v>
      </c>
      <c r="B26" s="2">
        <v>46056</v>
      </c>
      <c r="C26" s="3">
        <v>180000</v>
      </c>
      <c r="D26" s="3" t="s">
        <v>9</v>
      </c>
      <c r="F26" t="s">
        <v>10</v>
      </c>
      <c r="G26" t="s">
        <v>25</v>
      </c>
      <c r="H26" t="s">
        <v>26</v>
      </c>
    </row>
    <row r="27" spans="1:8" x14ac:dyDescent="0.25">
      <c r="A27">
        <v>13</v>
      </c>
      <c r="B27" s="2">
        <v>46050</v>
      </c>
      <c r="C27" s="17">
        <v>135400</v>
      </c>
      <c r="D27" s="16" t="s">
        <v>9</v>
      </c>
      <c r="E27" s="3" t="s">
        <v>46</v>
      </c>
      <c r="F27" t="s">
        <v>10</v>
      </c>
      <c r="G27" t="s">
        <v>81</v>
      </c>
    </row>
    <row r="28" spans="1:8" x14ac:dyDescent="0.25">
      <c r="A28">
        <v>13</v>
      </c>
      <c r="B28" s="2">
        <v>46051</v>
      </c>
      <c r="C28" s="3">
        <f>50000+40000+10000+22000</f>
        <v>122000</v>
      </c>
      <c r="D28" s="3" t="s">
        <v>9</v>
      </c>
      <c r="E28" s="3" t="s">
        <v>46</v>
      </c>
      <c r="F28" t="s">
        <v>10</v>
      </c>
      <c r="G28" t="s">
        <v>64</v>
      </c>
    </row>
    <row r="29" spans="1:8" x14ac:dyDescent="0.25">
      <c r="A29">
        <v>14</v>
      </c>
      <c r="B29" s="2">
        <v>46051</v>
      </c>
      <c r="C29" s="3">
        <v>21900</v>
      </c>
      <c r="D29" s="18" t="s">
        <v>82</v>
      </c>
      <c r="E29" s="3" t="s">
        <v>95</v>
      </c>
      <c r="F29" t="s">
        <v>2</v>
      </c>
      <c r="G29" s="8" t="s">
        <v>4</v>
      </c>
    </row>
    <row r="30" spans="1:8" x14ac:dyDescent="0.25">
      <c r="A30">
        <v>15</v>
      </c>
      <c r="B30" s="2">
        <v>46051</v>
      </c>
      <c r="C30" s="3">
        <v>380000</v>
      </c>
      <c r="D30" s="18" t="s">
        <v>82</v>
      </c>
      <c r="E30" s="3" t="s">
        <v>95</v>
      </c>
      <c r="F30" t="s">
        <v>10</v>
      </c>
      <c r="G30" s="8" t="s">
        <v>83</v>
      </c>
    </row>
    <row r="31" spans="1:8" x14ac:dyDescent="0.25">
      <c r="A31">
        <v>16</v>
      </c>
      <c r="B31" s="2">
        <v>46051</v>
      </c>
      <c r="C31" s="3">
        <v>100000</v>
      </c>
      <c r="D31" s="18" t="s">
        <v>82</v>
      </c>
      <c r="E31" s="3" t="s">
        <v>95</v>
      </c>
      <c r="F31" t="s">
        <v>2</v>
      </c>
      <c r="G31" s="8" t="s">
        <v>83</v>
      </c>
    </row>
    <row r="32" spans="1:8" x14ac:dyDescent="0.25">
      <c r="A32">
        <v>17</v>
      </c>
      <c r="B32" s="2">
        <v>46051</v>
      </c>
      <c r="C32" s="3">
        <v>30000</v>
      </c>
      <c r="D32" s="18" t="s">
        <v>82</v>
      </c>
      <c r="E32" s="3" t="s">
        <v>95</v>
      </c>
      <c r="F32" t="s">
        <v>2</v>
      </c>
      <c r="G32" s="8" t="s">
        <v>83</v>
      </c>
    </row>
    <row r="33" spans="1:9" x14ac:dyDescent="0.25">
      <c r="A33">
        <v>18</v>
      </c>
      <c r="B33" s="2">
        <v>46060</v>
      </c>
      <c r="C33" s="3">
        <v>50000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19</v>
      </c>
      <c r="B34" s="2">
        <v>46066</v>
      </c>
      <c r="C34" s="3">
        <v>70000</v>
      </c>
      <c r="D34" s="18" t="s">
        <v>82</v>
      </c>
      <c r="E34" s="3" t="s">
        <v>95</v>
      </c>
      <c r="F34" t="s">
        <v>10</v>
      </c>
      <c r="G34" t="s">
        <v>83</v>
      </c>
    </row>
    <row r="35" spans="1:9" x14ac:dyDescent="0.25">
      <c r="A35">
        <v>20</v>
      </c>
      <c r="B35" s="2">
        <v>46057</v>
      </c>
      <c r="C35" s="3">
        <v>490000</v>
      </c>
      <c r="D35" s="18" t="s">
        <v>96</v>
      </c>
      <c r="F35" t="s">
        <v>2</v>
      </c>
      <c r="G35" s="8" t="s">
        <v>13</v>
      </c>
    </row>
    <row r="36" spans="1:9" x14ac:dyDescent="0.25">
      <c r="A36">
        <v>22</v>
      </c>
      <c r="B36" s="2">
        <v>46062</v>
      </c>
      <c r="C36" s="3">
        <f>1650000+50000</f>
        <v>1700000</v>
      </c>
      <c r="D36" s="18" t="s">
        <v>82</v>
      </c>
      <c r="F36" t="s">
        <v>10</v>
      </c>
      <c r="G36" s="8" t="s">
        <v>65</v>
      </c>
      <c r="H36" t="s">
        <v>19</v>
      </c>
      <c r="I36" t="s">
        <v>20</v>
      </c>
    </row>
    <row r="37" spans="1:9" x14ac:dyDescent="0.25">
      <c r="A37">
        <v>23</v>
      </c>
      <c r="B37" s="21">
        <v>46065</v>
      </c>
      <c r="C37" s="19">
        <f>15500+49000+14400+83115+4900+47200+44500</f>
        <v>258615</v>
      </c>
      <c r="D37" s="18" t="s">
        <v>82</v>
      </c>
      <c r="E37" s="19"/>
      <c r="F37" s="20" t="s">
        <v>10</v>
      </c>
      <c r="G37" s="20" t="s">
        <v>84</v>
      </c>
    </row>
    <row r="38" spans="1:9" x14ac:dyDescent="0.25">
      <c r="A38">
        <v>24</v>
      </c>
      <c r="B38" s="21">
        <v>46065</v>
      </c>
      <c r="C38" s="19">
        <f>38050+47400+30000</f>
        <v>115450</v>
      </c>
      <c r="D38" s="18" t="s">
        <v>82</v>
      </c>
      <c r="E38" s="19"/>
      <c r="F38" s="20" t="s">
        <v>10</v>
      </c>
      <c r="G38" s="20" t="s">
        <v>87</v>
      </c>
    </row>
    <row r="39" spans="1:9" x14ac:dyDescent="0.25">
      <c r="A39">
        <v>25</v>
      </c>
      <c r="B39" s="2">
        <v>46070</v>
      </c>
      <c r="C39" s="3">
        <v>60000</v>
      </c>
      <c r="D39" s="3" t="s">
        <v>8</v>
      </c>
      <c r="F39" t="s">
        <v>2</v>
      </c>
      <c r="G39" s="22" t="s">
        <v>97</v>
      </c>
    </row>
    <row r="40" spans="1:9" x14ac:dyDescent="0.25">
      <c r="A40">
        <v>26</v>
      </c>
      <c r="B40" s="2">
        <v>46071</v>
      </c>
      <c r="C40" s="3">
        <f>1345000+200000</f>
        <v>1545000</v>
      </c>
      <c r="D40" s="3" t="s">
        <v>9</v>
      </c>
      <c r="E40" s="3" t="s">
        <v>101</v>
      </c>
      <c r="F40" t="s">
        <v>10</v>
      </c>
      <c r="G40" t="s">
        <v>29</v>
      </c>
      <c r="H40" t="s">
        <v>28</v>
      </c>
    </row>
    <row r="41" spans="1:9" x14ac:dyDescent="0.25">
      <c r="A41">
        <v>27</v>
      </c>
      <c r="B41" s="2">
        <v>46071</v>
      </c>
      <c r="C41" s="3">
        <v>151300</v>
      </c>
      <c r="D41" s="18" t="s">
        <v>82</v>
      </c>
      <c r="E41" s="3" t="s">
        <v>46</v>
      </c>
      <c r="F41" t="s">
        <v>10</v>
      </c>
      <c r="G41" t="s">
        <v>94</v>
      </c>
      <c r="H41" t="s">
        <v>27</v>
      </c>
    </row>
    <row r="42" spans="1:9" x14ac:dyDescent="0.25">
      <c r="A42">
        <v>28</v>
      </c>
      <c r="B42" s="2">
        <v>46072</v>
      </c>
      <c r="C42" s="3">
        <v>300000</v>
      </c>
      <c r="D42" s="3" t="s">
        <v>9</v>
      </c>
      <c r="E42" s="3" t="s">
        <v>101</v>
      </c>
      <c r="F42" t="s">
        <v>10</v>
      </c>
      <c r="G42" t="s">
        <v>30</v>
      </c>
    </row>
    <row r="43" spans="1:9" x14ac:dyDescent="0.25">
      <c r="A43">
        <v>29</v>
      </c>
      <c r="B43" s="2">
        <v>46048</v>
      </c>
      <c r="C43" s="3">
        <v>150000</v>
      </c>
      <c r="D43" s="18" t="s">
        <v>82</v>
      </c>
      <c r="F43" t="s">
        <v>10</v>
      </c>
      <c r="G43" s="7" t="s">
        <v>86</v>
      </c>
    </row>
    <row r="44" spans="1:9" x14ac:dyDescent="0.25">
      <c r="A44">
        <v>30</v>
      </c>
      <c r="B44" s="2">
        <v>46048</v>
      </c>
      <c r="C44" s="6">
        <v>750000</v>
      </c>
      <c r="D44" s="3" t="s">
        <v>8</v>
      </c>
      <c r="F44" t="s">
        <v>10</v>
      </c>
      <c r="G44" s="7" t="s">
        <v>11</v>
      </c>
    </row>
    <row r="45" spans="1:9" x14ac:dyDescent="0.25">
      <c r="A45">
        <v>31</v>
      </c>
      <c r="B45" s="2">
        <v>46069</v>
      </c>
      <c r="C45" s="3">
        <v>900000</v>
      </c>
      <c r="D45" s="3" t="s">
        <v>8</v>
      </c>
      <c r="F45" t="s">
        <v>2</v>
      </c>
      <c r="G45" s="7" t="s">
        <v>11</v>
      </c>
    </row>
    <row r="46" spans="1:9" x14ac:dyDescent="0.25">
      <c r="A46">
        <v>32</v>
      </c>
      <c r="B46" s="2">
        <v>46070</v>
      </c>
      <c r="C46" s="3">
        <v>730000</v>
      </c>
      <c r="D46" s="18" t="s">
        <v>82</v>
      </c>
      <c r="E46" s="3" t="s">
        <v>89</v>
      </c>
      <c r="F46" t="s">
        <v>10</v>
      </c>
      <c r="G46" t="s">
        <v>90</v>
      </c>
      <c r="H46" t="s">
        <v>91</v>
      </c>
    </row>
    <row r="47" spans="1:9" x14ac:dyDescent="0.25">
      <c r="A47">
        <v>33</v>
      </c>
      <c r="B47" s="2">
        <v>46070</v>
      </c>
      <c r="C47" s="3">
        <v>420000</v>
      </c>
      <c r="D47" s="18" t="s">
        <v>82</v>
      </c>
      <c r="E47" s="3" t="s">
        <v>89</v>
      </c>
      <c r="F47" t="s">
        <v>10</v>
      </c>
      <c r="G47" t="s">
        <v>98</v>
      </c>
      <c r="H47" t="s">
        <v>23</v>
      </c>
    </row>
    <row r="48" spans="1:9" x14ac:dyDescent="0.25">
      <c r="A48">
        <v>34</v>
      </c>
      <c r="B48" s="2">
        <v>46070</v>
      </c>
      <c r="C48" s="3">
        <v>300000</v>
      </c>
      <c r="D48" s="18" t="s">
        <v>82</v>
      </c>
      <c r="F48" t="s">
        <v>10</v>
      </c>
      <c r="G48" s="8" t="s">
        <v>88</v>
      </c>
    </row>
    <row r="49" spans="1:7" x14ac:dyDescent="0.25">
      <c r="A49">
        <v>35</v>
      </c>
      <c r="B49" s="2">
        <v>46070</v>
      </c>
      <c r="C49" s="3">
        <v>140000</v>
      </c>
      <c r="D49" s="18" t="s">
        <v>82</v>
      </c>
      <c r="F49" t="s">
        <v>10</v>
      </c>
      <c r="G49" s="8" t="s">
        <v>92</v>
      </c>
    </row>
    <row r="50" spans="1:7" x14ac:dyDescent="0.25">
      <c r="A50">
        <v>36</v>
      </c>
      <c r="B50" s="2">
        <v>46070</v>
      </c>
      <c r="C50" s="3">
        <v>550000</v>
      </c>
      <c r="D50" s="18" t="s">
        <v>9</v>
      </c>
      <c r="E50" s="3" t="s">
        <v>101</v>
      </c>
      <c r="F50" t="s">
        <v>10</v>
      </c>
      <c r="G50" t="s">
        <v>31</v>
      </c>
    </row>
    <row r="51" spans="1:7" x14ac:dyDescent="0.25">
      <c r="A51">
        <v>37</v>
      </c>
      <c r="B51" s="2">
        <v>46070</v>
      </c>
      <c r="C51" s="3">
        <f>415000+49000</f>
        <v>464000</v>
      </c>
      <c r="D51" s="3" t="s">
        <v>9</v>
      </c>
      <c r="E51" s="3" t="s">
        <v>101</v>
      </c>
      <c r="F51" t="s">
        <v>10</v>
      </c>
      <c r="G51" t="s">
        <v>33</v>
      </c>
    </row>
    <row r="52" spans="1:7" x14ac:dyDescent="0.25">
      <c r="A52">
        <v>38</v>
      </c>
      <c r="B52" s="2">
        <v>46070</v>
      </c>
      <c r="C52" s="3">
        <f>30000+101000</f>
        <v>131000</v>
      </c>
      <c r="D52" s="3" t="s">
        <v>9</v>
      </c>
      <c r="E52" s="3" t="s">
        <v>101</v>
      </c>
      <c r="F52" t="s">
        <v>10</v>
      </c>
      <c r="G52" t="s">
        <v>32</v>
      </c>
    </row>
    <row r="53" spans="1:7" x14ac:dyDescent="0.25">
      <c r="A53">
        <v>40</v>
      </c>
      <c r="B53" s="2">
        <v>46072</v>
      </c>
      <c r="C53" s="3">
        <v>40000</v>
      </c>
      <c r="D53" s="10" t="s">
        <v>24</v>
      </c>
      <c r="E53" s="10"/>
      <c r="F53" t="s">
        <v>10</v>
      </c>
      <c r="G53" t="s">
        <v>93</v>
      </c>
    </row>
    <row r="54" spans="1:7" x14ac:dyDescent="0.25">
      <c r="A54">
        <v>41</v>
      </c>
      <c r="B54" s="2">
        <v>46072</v>
      </c>
      <c r="C54" s="3">
        <v>140000</v>
      </c>
      <c r="D54" s="10" t="s">
        <v>24</v>
      </c>
      <c r="E54" s="10"/>
      <c r="F54" t="s">
        <v>10</v>
      </c>
      <c r="G54" t="s">
        <v>108</v>
      </c>
    </row>
    <row r="55" spans="1:7" x14ac:dyDescent="0.25">
      <c r="A55">
        <v>42</v>
      </c>
      <c r="B55" s="2">
        <v>46072</v>
      </c>
      <c r="C55" s="3">
        <f>3500*580</f>
        <v>2030000</v>
      </c>
      <c r="D55" s="10" t="s">
        <v>24</v>
      </c>
      <c r="E55" s="10"/>
      <c r="F55" t="s">
        <v>10</v>
      </c>
      <c r="G55" t="s">
        <v>85</v>
      </c>
    </row>
    <row r="56" spans="1:7" x14ac:dyDescent="0.25">
      <c r="A56">
        <v>43</v>
      </c>
      <c r="B56" s="2">
        <v>46070</v>
      </c>
      <c r="C56" s="3">
        <v>40000</v>
      </c>
      <c r="D56" s="10" t="s">
        <v>24</v>
      </c>
      <c r="E56" s="10"/>
      <c r="F56" t="s">
        <v>10</v>
      </c>
      <c r="G56" t="s">
        <v>18</v>
      </c>
    </row>
    <row r="57" spans="1:7" x14ac:dyDescent="0.25">
      <c r="A57">
        <v>44</v>
      </c>
      <c r="B57" s="2">
        <v>46073</v>
      </c>
      <c r="C57" s="3">
        <v>15000</v>
      </c>
      <c r="D57" s="3" t="s">
        <v>9</v>
      </c>
      <c r="E57" s="3" t="s">
        <v>101</v>
      </c>
      <c r="F57" t="s">
        <v>2</v>
      </c>
      <c r="G57" s="3" t="s">
        <v>102</v>
      </c>
    </row>
    <row r="58" spans="1:7" x14ac:dyDescent="0.25">
      <c r="A58">
        <v>45</v>
      </c>
      <c r="B58" s="2">
        <v>46073</v>
      </c>
      <c r="C58" s="3">
        <v>619850</v>
      </c>
      <c r="D58" s="10" t="s">
        <v>24</v>
      </c>
      <c r="F58" t="s">
        <v>10</v>
      </c>
      <c r="G58" t="s">
        <v>103</v>
      </c>
    </row>
    <row r="59" spans="1:7" x14ac:dyDescent="0.25">
      <c r="A59">
        <v>46</v>
      </c>
      <c r="B59" s="2">
        <v>46073</v>
      </c>
      <c r="C59" s="3">
        <v>90000</v>
      </c>
      <c r="D59" s="10" t="s">
        <v>24</v>
      </c>
      <c r="F59" t="s">
        <v>10</v>
      </c>
      <c r="G59" t="s">
        <v>104</v>
      </c>
    </row>
    <row r="60" spans="1:7" x14ac:dyDescent="0.25">
      <c r="A60">
        <v>47</v>
      </c>
      <c r="B60" s="2">
        <v>46073</v>
      </c>
      <c r="C60" s="3">
        <v>20000</v>
      </c>
      <c r="D60" s="18" t="s">
        <v>82</v>
      </c>
      <c r="F60" t="s">
        <v>10</v>
      </c>
      <c r="G60" t="s">
        <v>105</v>
      </c>
    </row>
    <row r="61" spans="1:7" x14ac:dyDescent="0.25">
      <c r="A61">
        <v>48</v>
      </c>
      <c r="B61" s="2">
        <v>46073</v>
      </c>
      <c r="C61" s="3">
        <v>260100</v>
      </c>
      <c r="D61" s="3" t="s">
        <v>9</v>
      </c>
      <c r="E61" s="3" t="s">
        <v>46</v>
      </c>
      <c r="F61" t="s">
        <v>10</v>
      </c>
      <c r="G61" t="s">
        <v>106</v>
      </c>
    </row>
    <row r="62" spans="1:7" x14ac:dyDescent="0.25">
      <c r="A62">
        <v>49</v>
      </c>
      <c r="B62" s="2">
        <v>46073</v>
      </c>
      <c r="C62" s="3">
        <v>412000</v>
      </c>
      <c r="D62" s="10" t="s">
        <v>24</v>
      </c>
      <c r="F62" t="s">
        <v>10</v>
      </c>
      <c r="G62" s="1" t="s">
        <v>107</v>
      </c>
    </row>
    <row r="63" spans="1:7" x14ac:dyDescent="0.25">
      <c r="A63">
        <v>50</v>
      </c>
      <c r="B63" s="2">
        <v>46073</v>
      </c>
      <c r="C63" s="3">
        <v>80000</v>
      </c>
      <c r="D63" s="3" t="s">
        <v>9</v>
      </c>
      <c r="F63" t="s">
        <v>2</v>
      </c>
      <c r="G63" t="s">
        <v>113</v>
      </c>
    </row>
    <row r="64" spans="1:7" x14ac:dyDescent="0.25">
      <c r="A64">
        <v>51</v>
      </c>
      <c r="B64" s="2">
        <v>46074</v>
      </c>
      <c r="C64" s="3">
        <v>57000</v>
      </c>
      <c r="D64" s="10" t="s">
        <v>24</v>
      </c>
      <c r="F64" t="s">
        <v>10</v>
      </c>
      <c r="G64" t="s">
        <v>114</v>
      </c>
    </row>
    <row r="65" spans="2:7" x14ac:dyDescent="0.25">
      <c r="B65" s="2">
        <v>46074</v>
      </c>
      <c r="C65" s="3">
        <v>5600</v>
      </c>
      <c r="D65" s="3" t="s">
        <v>8</v>
      </c>
      <c r="F65" t="s">
        <v>10</v>
      </c>
      <c r="G65" t="s">
        <v>115</v>
      </c>
    </row>
    <row r="66" spans="2:7" x14ac:dyDescent="0.25">
      <c r="B66" s="2">
        <v>46074</v>
      </c>
      <c r="C66" s="3">
        <v>15000</v>
      </c>
      <c r="D66" s="3" t="s">
        <v>9</v>
      </c>
      <c r="F66" t="s">
        <v>10</v>
      </c>
      <c r="G66" t="s">
        <v>116</v>
      </c>
    </row>
    <row r="69" spans="2:7" x14ac:dyDescent="0.25">
      <c r="B69" s="2">
        <v>46076</v>
      </c>
      <c r="C69" s="3">
        <v>58200</v>
      </c>
      <c r="D69" s="3" t="s">
        <v>8</v>
      </c>
      <c r="F69" t="s">
        <v>10</v>
      </c>
      <c r="G69" t="s">
        <v>136</v>
      </c>
    </row>
    <row r="70" spans="2:7" x14ac:dyDescent="0.25">
      <c r="B70" s="2">
        <v>46076</v>
      </c>
      <c r="C70" s="3">
        <v>63202</v>
      </c>
      <c r="D70" s="3" t="s">
        <v>8</v>
      </c>
      <c r="F70" t="s">
        <v>10</v>
      </c>
      <c r="G70" t="s">
        <v>119</v>
      </c>
    </row>
    <row r="71" spans="2:7" x14ac:dyDescent="0.25">
      <c r="B71" s="2">
        <v>46076</v>
      </c>
      <c r="C71" s="3">
        <f>8200+1300</f>
        <v>9500</v>
      </c>
      <c r="D71" s="3" t="s">
        <v>8</v>
      </c>
      <c r="F71" t="s">
        <v>10</v>
      </c>
      <c r="G71" t="s">
        <v>12</v>
      </c>
    </row>
    <row r="72" spans="2:7" x14ac:dyDescent="0.25">
      <c r="B72" s="2">
        <v>46076</v>
      </c>
      <c r="C72" s="3">
        <v>20400</v>
      </c>
      <c r="D72" s="10" t="s">
        <v>24</v>
      </c>
      <c r="F72" t="s">
        <v>10</v>
      </c>
      <c r="G72" t="s">
        <v>120</v>
      </c>
    </row>
    <row r="73" spans="2:7" x14ac:dyDescent="0.25">
      <c r="B73" s="2">
        <v>46076</v>
      </c>
      <c r="C73" s="3">
        <v>42500</v>
      </c>
      <c r="D73" s="10" t="s">
        <v>24</v>
      </c>
      <c r="F73" t="s">
        <v>10</v>
      </c>
      <c r="G73" t="s">
        <v>117</v>
      </c>
    </row>
    <row r="74" spans="2:7" x14ac:dyDescent="0.25">
      <c r="B74" s="2">
        <v>46076</v>
      </c>
      <c r="C74" s="3">
        <v>192000</v>
      </c>
      <c r="D74" s="10" t="s">
        <v>24</v>
      </c>
      <c r="F74" t="s">
        <v>10</v>
      </c>
      <c r="G74" t="s">
        <v>118</v>
      </c>
    </row>
    <row r="75" spans="2:7" x14ac:dyDescent="0.25">
      <c r="B75" s="2">
        <v>46076</v>
      </c>
      <c r="C75" s="3">
        <v>260000</v>
      </c>
      <c r="D75" s="3" t="s">
        <v>9</v>
      </c>
      <c r="F75" t="s">
        <v>10</v>
      </c>
      <c r="G75" t="s">
        <v>130</v>
      </c>
    </row>
    <row r="76" spans="2:7" x14ac:dyDescent="0.25">
      <c r="B76" s="2">
        <v>46076</v>
      </c>
      <c r="C76" s="3">
        <v>30000</v>
      </c>
      <c r="D76" s="3" t="s">
        <v>9</v>
      </c>
      <c r="F76" t="s">
        <v>2</v>
      </c>
      <c r="G76" t="s">
        <v>133</v>
      </c>
    </row>
    <row r="77" spans="2:7" x14ac:dyDescent="0.25">
      <c r="B77" s="2">
        <v>46076</v>
      </c>
      <c r="C77" s="16">
        <v>615000</v>
      </c>
      <c r="D77" s="3" t="s">
        <v>8</v>
      </c>
      <c r="F77" t="s">
        <v>2</v>
      </c>
      <c r="G77" t="s">
        <v>134</v>
      </c>
    </row>
    <row r="78" spans="2:7" x14ac:dyDescent="0.25">
      <c r="B78" s="2">
        <v>46076</v>
      </c>
      <c r="C78" s="3">
        <v>81000</v>
      </c>
      <c r="D78" s="3" t="s">
        <v>8</v>
      </c>
      <c r="F78" t="s">
        <v>2</v>
      </c>
      <c r="G78" t="s">
        <v>135</v>
      </c>
    </row>
  </sheetData>
  <autoFilter ref="B14:I57"/>
  <conditionalFormatting sqref="C1:E2 D5:E1048576 H15:H26 C21:C26 H32:H34 C33:C34 G47 G57">
    <cfRule type="containsText" dxfId="19" priority="13" operator="containsText" text="Patrimonio">
      <formula>NOT(ISERROR(SEARCH("Patrimonio",C1)))</formula>
    </cfRule>
    <cfRule type="containsText" dxfId="18" priority="14" operator="containsText" text="Por Pagar">
      <formula>NOT(ISERROR(SEARCH("Por Pagar",C1)))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K28"/>
  <sheetViews>
    <sheetView showGridLines="0" tabSelected="1" topLeftCell="A8" zoomScale="115" zoomScaleNormal="115" workbookViewId="0">
      <selection activeCell="A2" sqref="A2"/>
    </sheetView>
  </sheetViews>
  <sheetFormatPr baseColWidth="10" defaultRowHeight="15" x14ac:dyDescent="0.25"/>
  <cols>
    <col min="1" max="1" width="13" style="3" bestFit="1" customWidth="1"/>
    <col min="2" max="2" width="4.28515625" customWidth="1"/>
    <col min="3" max="3" width="13" style="3" bestFit="1" customWidth="1"/>
    <col min="4" max="4" width="3" style="3" bestFit="1" customWidth="1"/>
    <col min="6" max="6" width="3.140625" bestFit="1" customWidth="1"/>
    <col min="7" max="7" width="11.42578125" customWidth="1"/>
    <col min="8" max="8" width="3.140625" bestFit="1" customWidth="1"/>
    <col min="10" max="10" width="3.140625" bestFit="1" customWidth="1"/>
  </cols>
  <sheetData>
    <row r="1" spans="1:11" hidden="1" x14ac:dyDescent="0.25">
      <c r="A1" s="41">
        <v>197650</v>
      </c>
      <c r="C1" s="43">
        <f>+C14-A1</f>
        <v>7950</v>
      </c>
      <c r="D1" s="41"/>
      <c r="E1" s="42"/>
      <c r="F1" s="42"/>
      <c r="G1" s="42"/>
    </row>
    <row r="2" spans="1:11" x14ac:dyDescent="0.25">
      <c r="A2" s="44" t="s">
        <v>137</v>
      </c>
      <c r="B2" s="45" t="s">
        <v>138</v>
      </c>
      <c r="C2" s="46">
        <v>46076</v>
      </c>
      <c r="D2" s="45" t="s">
        <v>138</v>
      </c>
      <c r="E2" s="46">
        <v>46077</v>
      </c>
      <c r="F2" s="45" t="s">
        <v>138</v>
      </c>
      <c r="G2" s="46">
        <v>46078</v>
      </c>
      <c r="H2" s="45" t="s">
        <v>138</v>
      </c>
      <c r="I2" s="46">
        <v>46079</v>
      </c>
      <c r="J2" s="45" t="s">
        <v>138</v>
      </c>
      <c r="K2" s="46">
        <v>46060</v>
      </c>
    </row>
    <row r="3" spans="1:1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1"/>
      <c r="K3" s="3">
        <f>+$A3*J3</f>
        <v>0</v>
      </c>
    </row>
    <row r="4" spans="1:11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1"/>
      <c r="K4" s="3">
        <f t="shared" ref="K4" si="3">+$A4*J4</f>
        <v>0</v>
      </c>
    </row>
    <row r="5" spans="1:11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1"/>
      <c r="K5" s="3">
        <f>+$A5*J5</f>
        <v>0</v>
      </c>
    </row>
    <row r="6" spans="1:11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1"/>
      <c r="K6" s="3">
        <f>+$A6*J6</f>
        <v>0</v>
      </c>
    </row>
    <row r="7" spans="1:11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4">+$A7*H7</f>
        <v>30000</v>
      </c>
      <c r="J7" s="1"/>
      <c r="K7" s="3">
        <f t="shared" ref="K7:K13" si="5">+$A7*J7</f>
        <v>0</v>
      </c>
    </row>
    <row r="8" spans="1:11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4"/>
        <v>24000</v>
      </c>
      <c r="J8" s="1"/>
      <c r="K8" s="3">
        <f t="shared" si="5"/>
        <v>0</v>
      </c>
    </row>
    <row r="9" spans="1:11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4"/>
        <v>3000</v>
      </c>
      <c r="J9" s="1"/>
      <c r="K9" s="3">
        <f t="shared" si="5"/>
        <v>0</v>
      </c>
    </row>
    <row r="10" spans="1:11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4"/>
        <v>19000</v>
      </c>
      <c r="J10" s="1"/>
      <c r="K10" s="3">
        <f t="shared" si="5"/>
        <v>0</v>
      </c>
    </row>
    <row r="11" spans="1:11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4"/>
        <v>12400</v>
      </c>
      <c r="J11" s="1"/>
      <c r="K11" s="3">
        <f t="shared" si="5"/>
        <v>0</v>
      </c>
    </row>
    <row r="12" spans="1:11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4"/>
        <v>5100</v>
      </c>
      <c r="J12" s="1"/>
      <c r="K12" s="3">
        <f t="shared" si="5"/>
        <v>0</v>
      </c>
    </row>
    <row r="13" spans="1:11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4"/>
        <v>500</v>
      </c>
      <c r="J13" s="1"/>
      <c r="K13" s="28">
        <f t="shared" si="5"/>
        <v>0</v>
      </c>
    </row>
    <row r="14" spans="1:11" ht="15.75" thickTop="1" x14ac:dyDescent="0.25">
      <c r="C14" s="18">
        <f>+SUM(C3:C13)</f>
        <v>205600</v>
      </c>
      <c r="E14" s="18">
        <f>+SUM(E3:E13)</f>
        <v>239600</v>
      </c>
      <c r="G14" s="16">
        <f>+E24+117300</f>
        <v>117300</v>
      </c>
      <c r="I14" s="56">
        <v>100000</v>
      </c>
      <c r="K14" s="3">
        <f>+SUM(K3:K13)</f>
        <v>0</v>
      </c>
    </row>
    <row r="16" spans="1:11" x14ac:dyDescent="0.25">
      <c r="A16" s="49" t="s">
        <v>3</v>
      </c>
      <c r="C16" s="49" t="s">
        <v>167</v>
      </c>
      <c r="D16" s="47"/>
      <c r="E16" s="49" t="s">
        <v>168</v>
      </c>
      <c r="F16" s="48"/>
      <c r="G16" s="49" t="s">
        <v>169</v>
      </c>
      <c r="H16" s="48"/>
      <c r="I16" s="49" t="s">
        <v>170</v>
      </c>
      <c r="J16" s="48"/>
      <c r="K16" s="49" t="s">
        <v>198</v>
      </c>
    </row>
    <row r="17" spans="1:11" x14ac:dyDescent="0.25">
      <c r="A17" s="19" t="s">
        <v>140</v>
      </c>
      <c r="C17" s="19">
        <v>73700</v>
      </c>
      <c r="E17" s="50">
        <f>$C$20</f>
        <v>205600</v>
      </c>
      <c r="G17" s="32">
        <f>$E$20</f>
        <v>315600</v>
      </c>
      <c r="I17" s="32">
        <f>$G$20</f>
        <v>432900</v>
      </c>
      <c r="K17" s="32">
        <f>+I20</f>
        <v>432900</v>
      </c>
    </row>
    <row r="18" spans="1:11" x14ac:dyDescent="0.25">
      <c r="A18" s="19" t="s">
        <v>139</v>
      </c>
      <c r="C18" s="19">
        <v>192000</v>
      </c>
      <c r="E18" s="50">
        <v>213000</v>
      </c>
      <c r="G18" s="50">
        <v>344000</v>
      </c>
      <c r="I18" s="50">
        <f>[1]Informe!$H$8</f>
        <v>84000</v>
      </c>
      <c r="K18" s="50"/>
    </row>
    <row r="19" spans="1:11" ht="15.75" thickBot="1" x14ac:dyDescent="0.3">
      <c r="A19" s="19" t="s">
        <v>141</v>
      </c>
      <c r="C19" s="52">
        <f>60000+100</f>
        <v>60100</v>
      </c>
      <c r="E19" s="51">
        <v>103000</v>
      </c>
      <c r="G19" s="51">
        <f>[1]Informe!$H$7</f>
        <v>226700</v>
      </c>
      <c r="I19" s="51">
        <f>$I$18</f>
        <v>84000</v>
      </c>
      <c r="K19" s="51"/>
    </row>
    <row r="20" spans="1:11" ht="15.75" thickTop="1" x14ac:dyDescent="0.25">
      <c r="C20" s="18">
        <f>+C17+C18-C19</f>
        <v>205600</v>
      </c>
      <c r="E20" s="18">
        <f>+E17+E18-E19</f>
        <v>315600</v>
      </c>
      <c r="G20" s="13">
        <f>+G17+G18-G19</f>
        <v>432900</v>
      </c>
      <c r="I20" s="13">
        <f>+I17+I18-I19</f>
        <v>432900</v>
      </c>
      <c r="K20" s="13"/>
    </row>
    <row r="22" spans="1:11" x14ac:dyDescent="0.25">
      <c r="E22" s="16">
        <v>76000</v>
      </c>
      <c r="I22" s="30">
        <f>+I20-I14</f>
        <v>332900</v>
      </c>
    </row>
    <row r="23" spans="1:11" x14ac:dyDescent="0.25">
      <c r="I23" s="57">
        <f>315000-10000</f>
        <v>305000</v>
      </c>
    </row>
    <row r="24" spans="1:11" x14ac:dyDescent="0.25">
      <c r="E24" s="13"/>
      <c r="I24" s="58">
        <f>+I22-I23</f>
        <v>27900</v>
      </c>
    </row>
    <row r="25" spans="1:11" x14ac:dyDescent="0.25">
      <c r="E25" s="13">
        <f>+E18-E22</f>
        <v>137000</v>
      </c>
      <c r="I25" s="57">
        <v>20000</v>
      </c>
      <c r="J25" t="s">
        <v>199</v>
      </c>
    </row>
    <row r="26" spans="1:11" x14ac:dyDescent="0.25">
      <c r="I26" s="29">
        <f>+I24-I25</f>
        <v>7900</v>
      </c>
    </row>
    <row r="28" spans="1:11" x14ac:dyDescent="0.25">
      <c r="I28" s="29"/>
      <c r="K28" s="2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17" priority="3" operator="containsText" text="Patrimonio">
      <formula>NOT(ISERROR(SEARCH("Patrimonio",A2)))</formula>
    </cfRule>
    <cfRule type="containsText" dxfId="16" priority="4" operator="containsText" text="Por Pagar">
      <formula>NOT(ISERROR(SEARCH("Por Pagar",A2)))</formula>
    </cfRule>
  </conditionalFormatting>
  <conditionalFormatting sqref="A8">
    <cfRule type="containsText" dxfId="15" priority="1" operator="containsText" text="Patrimonio">
      <formula>NOT(ISERROR(SEARCH("Patrimonio",A8)))</formula>
    </cfRule>
    <cfRule type="containsText" dxfId="14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2:G21"/>
  <sheetViews>
    <sheetView zoomScale="115" zoomScaleNormal="115" workbookViewId="0">
      <selection activeCell="C12" sqref="C12"/>
    </sheetView>
  </sheetViews>
  <sheetFormatPr baseColWidth="10" defaultRowHeight="15" x14ac:dyDescent="0.25"/>
  <cols>
    <col min="1" max="1" width="17.5703125" bestFit="1" customWidth="1"/>
    <col min="2" max="2" width="13.5703125" bestFit="1" customWidth="1"/>
    <col min="3" max="3" width="11.28515625" bestFit="1" customWidth="1"/>
    <col min="4" max="5" width="12.5703125" bestFit="1" customWidth="1"/>
  </cols>
  <sheetData>
    <row r="2" spans="1:7" x14ac:dyDescent="0.25">
      <c r="A2" s="22" t="s">
        <v>171</v>
      </c>
      <c r="D2" s="22" t="s">
        <v>166</v>
      </c>
      <c r="E2" s="22" t="s">
        <v>165</v>
      </c>
    </row>
    <row r="3" spans="1:7" x14ac:dyDescent="0.25">
      <c r="A3" s="11" t="s">
        <v>34</v>
      </c>
      <c r="B3" t="s">
        <v>36</v>
      </c>
    </row>
    <row r="4" spans="1:7" x14ac:dyDescent="0.25">
      <c r="A4" s="39">
        <v>46076</v>
      </c>
      <c r="B4" s="13">
        <v>30500</v>
      </c>
      <c r="C4" s="13"/>
      <c r="D4" s="31">
        <v>32000</v>
      </c>
      <c r="E4" s="40">
        <f>+B4-D4</f>
        <v>-1500</v>
      </c>
      <c r="F4" s="22" t="s">
        <v>164</v>
      </c>
      <c r="G4" t="s">
        <v>163</v>
      </c>
    </row>
    <row r="5" spans="1:7" x14ac:dyDescent="0.25">
      <c r="A5" s="39">
        <v>46077</v>
      </c>
      <c r="B5" s="13">
        <v>11000</v>
      </c>
      <c r="C5" s="13"/>
      <c r="D5" s="31">
        <v>8000</v>
      </c>
      <c r="E5" s="40">
        <f>+B5-D5</f>
        <v>3000</v>
      </c>
      <c r="F5" s="22" t="s">
        <v>162</v>
      </c>
      <c r="G5" t="s">
        <v>161</v>
      </c>
    </row>
    <row r="6" spans="1:7" x14ac:dyDescent="0.25">
      <c r="A6" s="39">
        <v>46078</v>
      </c>
      <c r="B6" s="13">
        <v>62500</v>
      </c>
      <c r="C6" s="13"/>
      <c r="D6" s="13">
        <v>62500</v>
      </c>
      <c r="F6" t="s">
        <v>160</v>
      </c>
    </row>
    <row r="7" spans="1:7" x14ac:dyDescent="0.25">
      <c r="A7" s="39">
        <v>46079</v>
      </c>
      <c r="B7" s="13">
        <v>125000</v>
      </c>
      <c r="C7" s="13"/>
      <c r="D7" s="31">
        <v>125000</v>
      </c>
      <c r="F7" t="s">
        <v>160</v>
      </c>
    </row>
    <row r="8" spans="1:7" x14ac:dyDescent="0.25">
      <c r="A8" s="8" t="s">
        <v>35</v>
      </c>
      <c r="B8" s="13">
        <v>229000</v>
      </c>
      <c r="C8" s="13"/>
      <c r="D8" s="13">
        <f>+SUM(D4:D7)</f>
        <v>227500</v>
      </c>
      <c r="E8" s="40">
        <f>+B8-D8</f>
        <v>1500</v>
      </c>
    </row>
    <row r="9" spans="1:7" x14ac:dyDescent="0.25">
      <c r="C9" s="13"/>
      <c r="E9" s="40"/>
    </row>
    <row r="15" spans="1:7" x14ac:dyDescent="0.25">
      <c r="A15" s="11" t="s">
        <v>36</v>
      </c>
      <c r="B15" s="11" t="s">
        <v>173</v>
      </c>
    </row>
    <row r="16" spans="1:7" x14ac:dyDescent="0.25">
      <c r="A16" s="11" t="s">
        <v>34</v>
      </c>
      <c r="B16" t="s">
        <v>148</v>
      </c>
      <c r="C16" t="s">
        <v>143</v>
      </c>
      <c r="D16" t="s">
        <v>35</v>
      </c>
    </row>
    <row r="17" spans="1:4" x14ac:dyDescent="0.25">
      <c r="A17" s="39">
        <v>46076</v>
      </c>
      <c r="B17" s="13"/>
      <c r="C17" s="13">
        <v>30500</v>
      </c>
      <c r="D17" s="13">
        <v>30500</v>
      </c>
    </row>
    <row r="18" spans="1:4" x14ac:dyDescent="0.25">
      <c r="A18" s="39">
        <v>46077</v>
      </c>
      <c r="B18" s="13"/>
      <c r="C18" s="13">
        <v>11000</v>
      </c>
      <c r="D18" s="13">
        <v>11000</v>
      </c>
    </row>
    <row r="19" spans="1:4" x14ac:dyDescent="0.25">
      <c r="A19" s="39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9">
        <v>46079</v>
      </c>
      <c r="B20" s="13"/>
      <c r="C20" s="13">
        <v>125000</v>
      </c>
      <c r="D20" s="13">
        <v>125000</v>
      </c>
    </row>
    <row r="21" spans="1:4" x14ac:dyDescent="0.25">
      <c r="A21" s="8" t="s">
        <v>35</v>
      </c>
      <c r="B21" s="13">
        <v>16000</v>
      </c>
      <c r="C21" s="13">
        <v>213000</v>
      </c>
      <c r="D21" s="13">
        <v>229000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G14"/>
  <sheetViews>
    <sheetView zoomScale="115" zoomScaleNormal="115" workbookViewId="0">
      <selection sqref="A1:E1"/>
    </sheetView>
  </sheetViews>
  <sheetFormatPr baseColWidth="10" defaultColWidth="9.140625" defaultRowHeight="15" x14ac:dyDescent="0.25"/>
  <cols>
    <col min="2" max="2" width="11.5703125" bestFit="1" customWidth="1"/>
    <col min="3" max="3" width="10" bestFit="1" customWidth="1"/>
    <col min="4" max="4" width="12.28515625" style="3" bestFit="1" customWidth="1"/>
    <col min="6" max="6" width="30.42578125" bestFit="1" customWidth="1"/>
    <col min="7" max="7" width="13.42578125" hidden="1" customWidth="1"/>
  </cols>
  <sheetData>
    <row r="1" spans="1:7" x14ac:dyDescent="0.25">
      <c r="A1" s="37" t="s">
        <v>5</v>
      </c>
      <c r="B1" s="37" t="s">
        <v>159</v>
      </c>
      <c r="C1" s="37" t="s">
        <v>158</v>
      </c>
      <c r="D1" s="38" t="s">
        <v>6</v>
      </c>
      <c r="E1" s="37" t="s">
        <v>157</v>
      </c>
      <c r="F1" s="37" t="s">
        <v>156</v>
      </c>
      <c r="G1" s="37" t="s">
        <v>155</v>
      </c>
    </row>
    <row r="2" spans="1:7" x14ac:dyDescent="0.25">
      <c r="A2" s="2">
        <v>46076</v>
      </c>
      <c r="B2" s="2" t="str">
        <f t="shared" ref="B2:B13" si="0">+TEXT(A2,"ddd")</f>
        <v>lun</v>
      </c>
      <c r="C2" s="35">
        <v>0.72986111111111107</v>
      </c>
      <c r="D2" s="3">
        <v>6500</v>
      </c>
      <c r="E2" s="33" t="s">
        <v>143</v>
      </c>
      <c r="F2" s="1" t="s">
        <v>144</v>
      </c>
    </row>
    <row r="3" spans="1:7" x14ac:dyDescent="0.25">
      <c r="A3" s="2">
        <v>46076</v>
      </c>
      <c r="B3" s="2" t="str">
        <f t="shared" si="0"/>
        <v>lun</v>
      </c>
      <c r="C3" s="36"/>
      <c r="D3" s="3">
        <v>24000</v>
      </c>
      <c r="E3" s="33" t="s">
        <v>143</v>
      </c>
      <c r="F3" s="1" t="s">
        <v>154</v>
      </c>
    </row>
    <row r="4" spans="1:7" x14ac:dyDescent="0.25">
      <c r="A4" s="2">
        <v>46077</v>
      </c>
      <c r="B4" s="2" t="str">
        <f t="shared" si="0"/>
        <v>mar</v>
      </c>
      <c r="C4" s="35">
        <v>0.79374999999999996</v>
      </c>
      <c r="D4" s="3">
        <v>3000</v>
      </c>
      <c r="E4" s="33" t="s">
        <v>143</v>
      </c>
      <c r="F4" t="s">
        <v>153</v>
      </c>
    </row>
    <row r="5" spans="1:7" x14ac:dyDescent="0.25">
      <c r="A5" s="2">
        <v>46077</v>
      </c>
      <c r="B5" s="2" t="str">
        <f t="shared" si="0"/>
        <v>mar</v>
      </c>
      <c r="C5" s="35">
        <v>0.82777777777777772</v>
      </c>
      <c r="D5" s="3">
        <v>8000</v>
      </c>
      <c r="E5" s="33" t="s">
        <v>143</v>
      </c>
      <c r="F5" t="s">
        <v>152</v>
      </c>
    </row>
    <row r="6" spans="1:7" x14ac:dyDescent="0.25">
      <c r="A6" s="2">
        <v>46078</v>
      </c>
      <c r="B6" s="2" t="str">
        <f t="shared" si="0"/>
        <v>mié</v>
      </c>
      <c r="C6" s="35">
        <v>0.69444444444444442</v>
      </c>
      <c r="D6" s="3">
        <v>8000</v>
      </c>
      <c r="E6" s="33" t="s">
        <v>143</v>
      </c>
      <c r="F6" t="s">
        <v>151</v>
      </c>
    </row>
    <row r="7" spans="1:7" x14ac:dyDescent="0.25">
      <c r="A7" s="2">
        <v>46078</v>
      </c>
      <c r="B7" s="2" t="str">
        <f t="shared" si="0"/>
        <v>mié</v>
      </c>
      <c r="C7" s="35">
        <v>0.7944444444444444</v>
      </c>
      <c r="D7" s="3">
        <v>8000</v>
      </c>
      <c r="E7" s="33" t="s">
        <v>143</v>
      </c>
      <c r="F7" t="s">
        <v>150</v>
      </c>
    </row>
    <row r="8" spans="1:7" x14ac:dyDescent="0.25">
      <c r="A8" s="2">
        <v>46078</v>
      </c>
      <c r="B8" s="2" t="str">
        <f t="shared" si="0"/>
        <v>mié</v>
      </c>
      <c r="C8" s="35">
        <v>0.80694444444444446</v>
      </c>
      <c r="D8" s="3">
        <v>22500</v>
      </c>
      <c r="E8" s="33" t="s">
        <v>143</v>
      </c>
      <c r="F8" s="1" t="s">
        <v>144</v>
      </c>
    </row>
    <row r="9" spans="1:7" x14ac:dyDescent="0.25">
      <c r="A9" s="2">
        <v>46078</v>
      </c>
      <c r="B9" s="2" t="str">
        <f t="shared" si="0"/>
        <v>mié</v>
      </c>
      <c r="C9" s="35">
        <v>0.83958333333333335</v>
      </c>
      <c r="D9" s="3">
        <v>8000</v>
      </c>
      <c r="E9" s="33" t="s">
        <v>143</v>
      </c>
      <c r="F9" t="s">
        <v>149</v>
      </c>
    </row>
    <row r="10" spans="1:7" x14ac:dyDescent="0.25">
      <c r="A10" s="2">
        <v>46078</v>
      </c>
      <c r="B10" s="2" t="str">
        <f t="shared" si="0"/>
        <v>mié</v>
      </c>
      <c r="C10" s="35">
        <v>0.79374999999999996</v>
      </c>
      <c r="D10" s="3">
        <v>16000</v>
      </c>
      <c r="E10" s="34" t="s">
        <v>148</v>
      </c>
      <c r="F10" t="s">
        <v>147</v>
      </c>
    </row>
    <row r="11" spans="1:7" x14ac:dyDescent="0.25">
      <c r="A11" s="2">
        <v>46079</v>
      </c>
      <c r="B11" s="2" t="str">
        <f t="shared" si="0"/>
        <v>jue</v>
      </c>
      <c r="C11" s="35">
        <v>0.56458333333333333</v>
      </c>
      <c r="D11" s="3">
        <v>25000</v>
      </c>
      <c r="E11" s="33" t="s">
        <v>143</v>
      </c>
      <c r="F11" t="s">
        <v>146</v>
      </c>
      <c r="G11" t="s">
        <v>145</v>
      </c>
    </row>
    <row r="12" spans="1:7" x14ac:dyDescent="0.25">
      <c r="A12" s="2">
        <v>46079</v>
      </c>
      <c r="B12" s="2" t="str">
        <f t="shared" si="0"/>
        <v>jue</v>
      </c>
      <c r="C12" s="35">
        <v>0.84513888888888888</v>
      </c>
      <c r="D12" s="3">
        <v>51000</v>
      </c>
      <c r="E12" s="33" t="s">
        <v>143</v>
      </c>
      <c r="F12" s="1" t="s">
        <v>144</v>
      </c>
    </row>
    <row r="13" spans="1:7" ht="15.75" thickBot="1" x14ac:dyDescent="0.3">
      <c r="A13" s="2">
        <v>46079</v>
      </c>
      <c r="B13" s="2" t="str">
        <f t="shared" si="0"/>
        <v>jue</v>
      </c>
      <c r="C13" s="35">
        <v>0.72777777777777775</v>
      </c>
      <c r="D13" s="28">
        <v>49000</v>
      </c>
      <c r="E13" s="33" t="s">
        <v>143</v>
      </c>
      <c r="F13" t="s">
        <v>142</v>
      </c>
    </row>
    <row r="14" spans="1:7" ht="15.75" thickTop="1" x14ac:dyDescent="0.25">
      <c r="D14" s="3">
        <f>+SUM(D2:D13)</f>
        <v>229000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zoomScale="160" zoomScaleNormal="160" workbookViewId="0">
      <selection activeCell="B1" sqref="B1"/>
    </sheetView>
  </sheetViews>
  <sheetFormatPr baseColWidth="10" defaultRowHeight="15" x14ac:dyDescent="0.25"/>
  <cols>
    <col min="1" max="1" width="5.85546875" bestFit="1" customWidth="1"/>
    <col min="2" max="2" width="19.7109375" customWidth="1"/>
  </cols>
  <sheetData>
    <row r="1" spans="1:3" x14ac:dyDescent="0.25">
      <c r="A1" s="37" t="s">
        <v>5</v>
      </c>
      <c r="B1" s="37" t="s">
        <v>3</v>
      </c>
      <c r="C1" s="38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topLeftCell="E1"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172</v>
      </c>
      <c r="B3" s="11" t="s">
        <v>173</v>
      </c>
      <c r="F3" s="11" t="s">
        <v>174</v>
      </c>
      <c r="G3" s="11" t="s">
        <v>173</v>
      </c>
    </row>
    <row r="4" spans="1:14" x14ac:dyDescent="0.25">
      <c r="B4" t="s">
        <v>175</v>
      </c>
      <c r="D4" t="s">
        <v>35</v>
      </c>
      <c r="G4" t="s">
        <v>175</v>
      </c>
      <c r="K4" t="s">
        <v>176</v>
      </c>
      <c r="L4" t="s">
        <v>35</v>
      </c>
    </row>
    <row r="5" spans="1:14" x14ac:dyDescent="0.25">
      <c r="A5" s="11" t="s">
        <v>34</v>
      </c>
      <c r="B5" t="s">
        <v>177</v>
      </c>
      <c r="C5" t="s">
        <v>178</v>
      </c>
      <c r="F5" s="11" t="s">
        <v>34</v>
      </c>
      <c r="G5" t="s">
        <v>177</v>
      </c>
      <c r="H5" t="s">
        <v>179</v>
      </c>
      <c r="I5" t="s">
        <v>180</v>
      </c>
      <c r="J5" t="s">
        <v>178</v>
      </c>
      <c r="K5" t="s">
        <v>178</v>
      </c>
      <c r="N5" s="1" t="s">
        <v>175</v>
      </c>
    </row>
    <row r="6" spans="1:14" x14ac:dyDescent="0.25">
      <c r="A6" s="8" t="s">
        <v>181</v>
      </c>
      <c r="B6" s="13">
        <v>73700</v>
      </c>
      <c r="C6" s="13">
        <v>192000</v>
      </c>
      <c r="D6" s="13">
        <v>265700</v>
      </c>
      <c r="F6" s="8" t="s">
        <v>181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182</v>
      </c>
      <c r="B7" s="13">
        <v>205600</v>
      </c>
      <c r="C7" s="13">
        <v>213000</v>
      </c>
      <c r="D7" s="13">
        <v>418600</v>
      </c>
      <c r="F7" s="8" t="s">
        <v>182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183</v>
      </c>
      <c r="B8" s="13"/>
      <c r="C8" s="13">
        <v>344000</v>
      </c>
      <c r="D8" s="13">
        <v>344000</v>
      </c>
      <c r="F8" s="8" t="s">
        <v>183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184</v>
      </c>
      <c r="B9" s="13"/>
      <c r="C9" s="13">
        <v>84000</v>
      </c>
      <c r="D9" s="13">
        <v>84000</v>
      </c>
      <c r="F9" s="8" t="s">
        <v>184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185</v>
      </c>
      <c r="B14" t="s" vm="1">
        <v>178</v>
      </c>
    </row>
    <row r="16" spans="1:14" x14ac:dyDescent="0.25">
      <c r="A16" s="11" t="s">
        <v>172</v>
      </c>
      <c r="B16" s="11" t="s">
        <v>173</v>
      </c>
    </row>
    <row r="17" spans="1:4" x14ac:dyDescent="0.25">
      <c r="A17" s="11" t="s">
        <v>34</v>
      </c>
      <c r="B17" t="s">
        <v>175</v>
      </c>
      <c r="C17" t="s">
        <v>176</v>
      </c>
      <c r="D17" t="s">
        <v>35</v>
      </c>
    </row>
    <row r="18" spans="1:4" x14ac:dyDescent="0.25">
      <c r="A18" s="8" t="s">
        <v>181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182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183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184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59" activePane="bottomLeft" state="frozen"/>
      <selection pane="bottomLeft" activeCell="E68" sqref="E6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185</v>
      </c>
      <c r="B1" t="s" vm="1">
        <v>178</v>
      </c>
    </row>
    <row r="2" spans="1:11" x14ac:dyDescent="0.25">
      <c r="A2" s="11" t="s">
        <v>186</v>
      </c>
      <c r="B2" t="s" vm="2">
        <v>175</v>
      </c>
      <c r="H2" s="13"/>
    </row>
    <row r="4" spans="1:11" x14ac:dyDescent="0.25">
      <c r="A4" s="11" t="s">
        <v>187</v>
      </c>
      <c r="B4" s="11" t="s">
        <v>5</v>
      </c>
      <c r="C4" s="11" t="s">
        <v>188</v>
      </c>
      <c r="D4" s="11" t="s">
        <v>189</v>
      </c>
      <c r="E4" s="11" t="s">
        <v>190</v>
      </c>
      <c r="F4" t="s">
        <v>191</v>
      </c>
      <c r="G4" s="23" t="s">
        <v>192</v>
      </c>
      <c r="J4" s="53" t="s">
        <v>187</v>
      </c>
      <c r="K4" s="53" t="s">
        <v>193</v>
      </c>
    </row>
    <row r="5" spans="1:11" x14ac:dyDescent="0.25">
      <c r="A5" t="s">
        <v>181</v>
      </c>
      <c r="B5" s="54">
        <v>46076.692083333335</v>
      </c>
      <c r="C5" t="s">
        <v>194</v>
      </c>
      <c r="D5">
        <v>8000</v>
      </c>
      <c r="E5">
        <v>2</v>
      </c>
      <c r="F5" s="13">
        <v>1</v>
      </c>
      <c r="G5" s="3">
        <f>+D5*E5</f>
        <v>16000</v>
      </c>
      <c r="J5" s="55">
        <v>46076</v>
      </c>
      <c r="K5" s="3">
        <f>+SUMIF(A:A,J5,G:G)</f>
        <v>192000</v>
      </c>
    </row>
    <row r="6" spans="1:11" x14ac:dyDescent="0.25">
      <c r="A6" t="s">
        <v>181</v>
      </c>
      <c r="B6" s="54">
        <v>46076.717372685183</v>
      </c>
      <c r="C6" t="s">
        <v>194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5">
        <v>46077</v>
      </c>
      <c r="K6" s="3">
        <f>+SUMIF(A:A,J6,G:G)</f>
        <v>213000</v>
      </c>
    </row>
    <row r="7" spans="1:11" x14ac:dyDescent="0.25">
      <c r="A7" t="s">
        <v>181</v>
      </c>
      <c r="C7" t="s">
        <v>195</v>
      </c>
      <c r="D7">
        <v>3000</v>
      </c>
      <c r="E7">
        <v>2</v>
      </c>
      <c r="F7" s="13">
        <v>1</v>
      </c>
      <c r="G7" s="3">
        <f t="shared" si="0"/>
        <v>6000</v>
      </c>
      <c r="J7" s="55">
        <v>46078</v>
      </c>
      <c r="K7" s="3">
        <f>+SUMIF(A:A,J7,G:G)</f>
        <v>344000</v>
      </c>
    </row>
    <row r="8" spans="1:11" x14ac:dyDescent="0.25">
      <c r="A8" t="s">
        <v>181</v>
      </c>
      <c r="B8" s="54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5">
        <v>46079</v>
      </c>
      <c r="K8" s="3">
        <f>+SUMIF(A:A,J8,G:G)</f>
        <v>84000</v>
      </c>
    </row>
    <row r="9" spans="1:11" x14ac:dyDescent="0.25">
      <c r="A9" t="s">
        <v>181</v>
      </c>
      <c r="C9" t="s">
        <v>194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181</v>
      </c>
      <c r="B10" s="54">
        <v>46076.751967592594</v>
      </c>
      <c r="C10" t="s">
        <v>194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181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181</v>
      </c>
      <c r="B12" s="54">
        <v>46076.787222222221</v>
      </c>
      <c r="C12" t="s">
        <v>194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181</v>
      </c>
      <c r="B13" s="54">
        <v>46076.795474537037</v>
      </c>
      <c r="C13" t="s">
        <v>194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181</v>
      </c>
      <c r="C14" t="s">
        <v>195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181</v>
      </c>
      <c r="B15" s="54">
        <v>46076.818287037036</v>
      </c>
      <c r="C15" t="s">
        <v>194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181</v>
      </c>
      <c r="B16" s="54">
        <v>46076.841643518521</v>
      </c>
      <c r="C16" t="s">
        <v>194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181</v>
      </c>
      <c r="B17" s="54">
        <v>46076.843854166669</v>
      </c>
      <c r="C17" t="s">
        <v>194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181</v>
      </c>
      <c r="B18" s="54">
        <v>46076.845659722225</v>
      </c>
      <c r="C18" t="s">
        <v>194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181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181</v>
      </c>
      <c r="B20" s="54">
        <v>46076.850243055553</v>
      </c>
      <c r="C20" t="s">
        <v>194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181</v>
      </c>
      <c r="B21" s="54">
        <v>46076.852650462963</v>
      </c>
      <c r="C21" t="s">
        <v>194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182</v>
      </c>
      <c r="B22" s="54">
        <v>46077.648680555554</v>
      </c>
      <c r="C22" t="s">
        <v>194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182</v>
      </c>
      <c r="B23" s="54">
        <v>46077.649351851855</v>
      </c>
      <c r="C23" t="s">
        <v>194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182</v>
      </c>
      <c r="B24" s="54">
        <v>46077.740034722221</v>
      </c>
      <c r="C24" t="s">
        <v>194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182</v>
      </c>
      <c r="B25" s="54">
        <v>46077.759606481479</v>
      </c>
      <c r="C25" t="s">
        <v>194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182</v>
      </c>
      <c r="B26" s="54">
        <v>46077.774178240739</v>
      </c>
      <c r="C26" t="s">
        <v>194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182</v>
      </c>
      <c r="B27" s="54">
        <v>46077.775185185186</v>
      </c>
      <c r="C27" t="s">
        <v>194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182</v>
      </c>
      <c r="B28" s="54">
        <v>46077.77952546296</v>
      </c>
      <c r="C28" t="s">
        <v>196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182</v>
      </c>
      <c r="C29" t="s">
        <v>194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182</v>
      </c>
      <c r="B30" s="54">
        <v>46077.797152777777</v>
      </c>
      <c r="C30" t="s">
        <v>194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182</v>
      </c>
      <c r="B31" s="54">
        <v>46077.836875000001</v>
      </c>
      <c r="C31" t="s">
        <v>194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182</v>
      </c>
      <c r="B32" s="54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7" x14ac:dyDescent="0.25">
      <c r="A33" t="s">
        <v>182</v>
      </c>
      <c r="C33" t="s">
        <v>194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7" x14ac:dyDescent="0.25">
      <c r="A34" t="s">
        <v>182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7" x14ac:dyDescent="0.25">
      <c r="A35" t="s">
        <v>182</v>
      </c>
      <c r="B35" s="54">
        <v>46077.849872685183</v>
      </c>
      <c r="C35" t="s">
        <v>194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7" x14ac:dyDescent="0.25">
      <c r="A36" t="s">
        <v>182</v>
      </c>
      <c r="C36" t="s">
        <v>195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7" x14ac:dyDescent="0.25">
      <c r="A37" t="s">
        <v>182</v>
      </c>
      <c r="B37" s="54">
        <v>46077.867604166669</v>
      </c>
      <c r="C37" t="s">
        <v>194</v>
      </c>
      <c r="D37">
        <v>8000</v>
      </c>
      <c r="E37">
        <v>1</v>
      </c>
      <c r="F37" s="13">
        <v>1</v>
      </c>
      <c r="G37" s="16">
        <f t="shared" si="0"/>
        <v>8000</v>
      </c>
    </row>
    <row r="38" spans="1:7" x14ac:dyDescent="0.25">
      <c r="A38" t="s">
        <v>183</v>
      </c>
      <c r="B38" s="54">
        <v>46078.578043981484</v>
      </c>
      <c r="C38" t="s">
        <v>194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7" x14ac:dyDescent="0.25">
      <c r="A39" t="s">
        <v>183</v>
      </c>
      <c r="B39" s="54">
        <v>46078.579907407409</v>
      </c>
      <c r="C39" t="s">
        <v>194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7" x14ac:dyDescent="0.25">
      <c r="A40" t="s">
        <v>183</v>
      </c>
      <c r="B40" s="54">
        <v>46078.58693287037</v>
      </c>
      <c r="C40" t="s">
        <v>194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7" x14ac:dyDescent="0.25">
      <c r="A41" t="s">
        <v>183</v>
      </c>
      <c r="B41" s="54">
        <v>46078.59138888889</v>
      </c>
      <c r="C41" t="s">
        <v>197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7" x14ac:dyDescent="0.25">
      <c r="A42" t="s">
        <v>183</v>
      </c>
      <c r="B42" s="54">
        <v>46078.600636574076</v>
      </c>
      <c r="C42" t="s">
        <v>197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7" x14ac:dyDescent="0.25">
      <c r="A43" t="s">
        <v>183</v>
      </c>
      <c r="B43" s="54">
        <v>46078.601261574076</v>
      </c>
      <c r="C43" t="s">
        <v>194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7" x14ac:dyDescent="0.25">
      <c r="A44" t="s">
        <v>183</v>
      </c>
      <c r="B44" s="54">
        <v>46078.694513888891</v>
      </c>
      <c r="C44" t="s">
        <v>194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7" x14ac:dyDescent="0.25">
      <c r="A45" t="s">
        <v>183</v>
      </c>
      <c r="B45" s="54">
        <v>46078.762141203704</v>
      </c>
      <c r="C45" t="s">
        <v>194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7" x14ac:dyDescent="0.25">
      <c r="A46" t="s">
        <v>183</v>
      </c>
      <c r="B46" s="54">
        <v>46078.764027777775</v>
      </c>
      <c r="C46" t="s">
        <v>194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7" x14ac:dyDescent="0.25">
      <c r="A47" t="s">
        <v>183</v>
      </c>
      <c r="B47" s="54">
        <v>46078.768379629626</v>
      </c>
      <c r="C47" t="s">
        <v>194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7" x14ac:dyDescent="0.25">
      <c r="A48" t="s">
        <v>183</v>
      </c>
      <c r="B48" s="54">
        <v>46078.77375</v>
      </c>
      <c r="C48" t="s">
        <v>194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183</v>
      </c>
      <c r="B49" s="54">
        <v>46078.774247685185</v>
      </c>
      <c r="C49" t="s">
        <v>195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183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183</v>
      </c>
      <c r="B51" s="54">
        <v>46078.777766203704</v>
      </c>
      <c r="C51" t="s">
        <v>194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183</v>
      </c>
      <c r="B52" s="54">
        <v>46078.800497685188</v>
      </c>
      <c r="C52" t="s">
        <v>194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183</v>
      </c>
      <c r="C53" t="s">
        <v>195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183</v>
      </c>
      <c r="B54" s="54">
        <v>46078.81894675926</v>
      </c>
      <c r="C54" t="s">
        <v>197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183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183</v>
      </c>
      <c r="B56" s="54">
        <v>46078.819791666669</v>
      </c>
      <c r="C56" t="s">
        <v>194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183</v>
      </c>
      <c r="B57" s="54">
        <v>46078.83253472222</v>
      </c>
      <c r="C57" t="s">
        <v>194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183</v>
      </c>
      <c r="B58" s="54">
        <v>46078.838090277779</v>
      </c>
      <c r="C58" t="s">
        <v>194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183</v>
      </c>
      <c r="B59" s="54">
        <v>46078.848043981481</v>
      </c>
      <c r="C59" t="s">
        <v>194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184</v>
      </c>
      <c r="B60" s="54">
        <v>46079.557025462964</v>
      </c>
      <c r="C60" t="s">
        <v>196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184</v>
      </c>
      <c r="B61" s="54">
        <v>46079.560671296298</v>
      </c>
      <c r="C61" t="s">
        <v>194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184</v>
      </c>
      <c r="B62" s="54">
        <v>46079.752893518518</v>
      </c>
      <c r="C62" t="s">
        <v>194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184</v>
      </c>
      <c r="B63" s="54">
        <v>46079.764050925929</v>
      </c>
      <c r="C63" t="s">
        <v>194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184</v>
      </c>
      <c r="B64" s="54">
        <v>46079.794652777775</v>
      </c>
      <c r="C64" t="s">
        <v>194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184</v>
      </c>
      <c r="B65" s="54">
        <v>46079.81355324074</v>
      </c>
      <c r="C65" t="s">
        <v>194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184</v>
      </c>
      <c r="B66" s="54">
        <v>46079.814722222225</v>
      </c>
      <c r="C66" t="s">
        <v>194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184</v>
      </c>
      <c r="B67" s="54">
        <v>46079.84375</v>
      </c>
      <c r="C67" t="s">
        <v>194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184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651B3BFD-4BC7-48D9-94DF-A7E0AC3AE585}">
  <ds:schemaRefs/>
</ds:datastoreItem>
</file>

<file path=customXml/itemProps2.xml><?xml version="1.0" encoding="utf-8"?>
<ds:datastoreItem xmlns:ds="http://schemas.openxmlformats.org/officeDocument/2006/customXml" ds:itemID="{26BBDD3B-5549-4B7F-A242-39E079346B51}">
  <ds:schemaRefs/>
</ds:datastoreItem>
</file>

<file path=customXml/itemProps3.xml><?xml version="1.0" encoding="utf-8"?>
<ds:datastoreItem xmlns:ds="http://schemas.openxmlformats.org/officeDocument/2006/customXml" ds:itemID="{C6966FDC-54C0-4686-84FA-DB32BA161069}">
  <ds:schemaRefs/>
</ds:datastoreItem>
</file>

<file path=customXml/itemProps4.xml><?xml version="1.0" encoding="utf-8"?>
<ds:datastoreItem xmlns:ds="http://schemas.openxmlformats.org/officeDocument/2006/customXml" ds:itemID="{3BFDF280-F210-4B3E-AFDE-1E932821F2B6}">
  <ds:schemaRefs/>
</ds:datastoreItem>
</file>

<file path=customXml/itemProps5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788789B1-0D01-44D2-92B3-AE3C27D29AF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chorizo</vt:lpstr>
      <vt:lpstr>choriboni</vt:lpstr>
      <vt:lpstr>Arqueo de Caja</vt:lpstr>
      <vt:lpstr>proveedores</vt:lpstr>
      <vt:lpstr>informe</vt:lpstr>
      <vt:lpstr>Costos</vt:lpstr>
      <vt:lpstr>Reporte</vt:lpstr>
      <vt:lpstr>Extracto_bancario</vt:lpstr>
      <vt:lpstr>Prestamos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2026-02-27T18:57:58Z</dcterms:modified>
</cp:coreProperties>
</file>