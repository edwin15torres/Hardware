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AA589FCD-338E-4B05-A136-2B6543BC3C67}" xr6:coauthVersionLast="47" xr6:coauthVersionMax="47" xr10:uidLastSave="{00000000-0000-0000-0000-000000000000}"/>
  <bookViews>
    <workbookView xWindow="-120" yWindow="-120" windowWidth="20730" windowHeight="11160" tabRatio="806" firstSheet="7" activeTab="14" xr2:uid="{00000000-000D-0000-FFFF-FFFF00000000}"/>
  </bookViews>
  <sheets>
    <sheet name="chorizo" sheetId="3" state="hidden" r:id="rId1"/>
    <sheet name="choriboni" sheetId="4" r:id="rId2"/>
    <sheet name="Arqueo de Caja" sheetId="9" r:id="rId3"/>
    <sheet name="empaque" sheetId="15" r:id="rId4"/>
    <sheet name="proveedores" sheetId="7" state="hidden" r:id="rId5"/>
    <sheet name="informe" sheetId="6" state="hidden" r:id="rId6"/>
    <sheet name="Costos" sheetId="8" state="hidden" r:id="rId7"/>
    <sheet name="Reporte" sheetId="11" r:id="rId8"/>
    <sheet name="Extracto_bancario" sheetId="10" r:id="rId9"/>
    <sheet name="7-MARZO" sheetId="22" r:id="rId10"/>
    <sheet name="Prestamos" sheetId="12" r:id="rId11"/>
    <sheet name="maquina" sheetId="23" r:id="rId12"/>
    <sheet name="Hoja4" sheetId="19" r:id="rId13"/>
    <sheet name="Inventario" sheetId="20" r:id="rId14"/>
    <sheet name="Bugs" sheetId="21" r:id="rId15"/>
    <sheet name="Gastos del dìa" sheetId="17" r:id="rId16"/>
    <sheet name="Hoja1" sheetId="16" r:id="rId17"/>
    <sheet name="Informe ventas" sheetId="13" state="hidden" r:id="rId18"/>
    <sheet name="historial de venta" sheetId="14" state="hidden" r:id="rId19"/>
  </sheets>
  <definedNames>
    <definedName name="_xlnm._FilterDatabase" localSheetId="1" hidden="1">choriboni!$B$17:$I$69</definedName>
  </definedNames>
  <calcPr calcId="191029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8" i="9" l="1"/>
  <c r="AC13" i="9"/>
  <c r="AC12" i="9"/>
  <c r="AC11" i="9"/>
  <c r="AC10" i="9"/>
  <c r="AC9" i="9"/>
  <c r="AC8" i="9"/>
  <c r="AC7" i="9"/>
  <c r="AC6" i="9"/>
  <c r="AC5" i="9"/>
  <c r="AC4" i="9"/>
  <c r="AC14" i="9" s="1"/>
  <c r="AC1" i="9"/>
  <c r="AC17" i="9" s="1"/>
  <c r="AA21" i="9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F1" i="22" s="1"/>
  <c r="B40" i="10"/>
  <c r="B38" i="10"/>
  <c r="B39" i="10"/>
  <c r="Y13" i="9"/>
  <c r="Y12" i="9"/>
  <c r="Y11" i="9"/>
  <c r="Y10" i="9"/>
  <c r="Y9" i="9"/>
  <c r="Y8" i="9"/>
  <c r="Y7" i="9"/>
  <c r="Y6" i="9"/>
  <c r="Y5" i="9"/>
  <c r="Y4" i="9"/>
  <c r="Y1" i="9"/>
  <c r="Y17" i="9" s="1"/>
  <c r="AC22" i="9" l="1"/>
  <c r="AC24" i="9"/>
  <c r="Y14" i="9"/>
  <c r="AA18" i="9" s="1"/>
  <c r="AA14" i="9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H1" i="22" l="1"/>
  <c r="I1" i="22" s="1"/>
  <c r="F9" i="2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H13" i="9"/>
  <c r="AH12" i="9"/>
  <c r="AH11" i="9"/>
  <c r="AH10" i="9"/>
  <c r="AH9" i="9"/>
  <c r="AH8" i="9"/>
  <c r="AH7" i="9"/>
  <c r="AH6" i="9"/>
  <c r="AH5" i="9"/>
  <c r="AH4" i="9"/>
  <c r="AH3" i="9"/>
  <c r="S21" i="9"/>
  <c r="U1" i="9"/>
  <c r="U17" i="9" s="1"/>
  <c r="S1" i="9"/>
  <c r="S17" i="9" s="1"/>
  <c r="Q1" i="9"/>
  <c r="Q17" i="9" s="1"/>
  <c r="O1" i="9"/>
  <c r="O17" i="9" s="1"/>
  <c r="AH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2" i="9"/>
  <c r="O24" i="9" s="1"/>
  <c r="M24" i="9"/>
  <c r="K22" i="9"/>
  <c r="K24" i="9" s="1"/>
  <c r="G21" i="9"/>
  <c r="Q22" i="9" l="1"/>
  <c r="Q24" i="9" s="1"/>
  <c r="N6" i="13"/>
  <c r="S18" i="9" l="1"/>
  <c r="S22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S24" i="9" l="1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U22" i="9" l="1"/>
  <c r="D1" i="10"/>
  <c r="E2" i="1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4" i="9"/>
  <c r="W19" i="9" s="1"/>
  <c r="E14" i="9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2" i="9" l="1"/>
  <c r="G24" i="9"/>
  <c r="I22" i="9"/>
  <c r="I24" i="9" s="1"/>
  <c r="D9" i="8"/>
  <c r="C14" i="9"/>
  <c r="C24" i="9" s="1"/>
  <c r="C41" i="4"/>
  <c r="C40" i="4"/>
  <c r="C31" i="4"/>
  <c r="C39" i="4"/>
  <c r="C19" i="4"/>
  <c r="C58" i="4"/>
  <c r="C20" i="4"/>
  <c r="C54" i="4"/>
  <c r="C55" i="4"/>
  <c r="C43" i="4"/>
  <c r="C18" i="4"/>
  <c r="W24" i="9" l="1"/>
  <c r="Y18" i="9"/>
  <c r="Y22" i="9" s="1"/>
  <c r="Y24" i="9" s="1"/>
  <c r="AA22" i="9" s="1"/>
  <c r="AA24" i="9" s="1"/>
  <c r="C1" i="9"/>
  <c r="C26" i="4"/>
  <c r="C3" i="4" s="1"/>
  <c r="C4" i="4"/>
  <c r="C5" i="4" l="1"/>
  <c r="C7" i="4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6A67C84A-C2FD-48C7-AF18-9064D425D87E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
- Pago prestamo (cerdo y res)
</t>
        </r>
      </text>
    </comment>
    <comment ref="I24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<sst xmlns="http://schemas.openxmlformats.org/spreadsheetml/2006/main" count="821" uniqueCount="312">
  <si>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</si>
  <si>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</si>
  <si>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</si>
  <si>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</si>
  <si>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</si>
  <si>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</si>
  <si>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</si>
  <si>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</si>
  <si>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</si>
  <si>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</si>
  <si>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</si>
  <si>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</si>
  <si>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</si>
  <si>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</si>
  <si>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</si>
  <si>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</si>
  <si>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</si>
  <si>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</si>
  <si>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</si>
  <si>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</si>
  <si>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</si>
  <si>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</si>
  <si>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</si>
  <si>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</si>
  <si>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</si>
  <si>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</si>
  <si>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</si>
  <si>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</si>
  <si>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</si>
  <si>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</si>
  <si>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</si>
  <si>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</si>
  <si>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</si>
  <si>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</si>
  <si>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</si>
  <si>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</si>
  <si>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</si>
  <si>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</si>
  <si>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</si>
  <si>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</si>
  <si>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</si>
  <si>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</si>
  <si>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</si>
  <si>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</si>
  <si>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</si>
  <si>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</si>
  <si>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</si>
  <si>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</si>
  <si>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</si>
  <si>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</si>
  <si>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</si>
  <si>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</si>
  <si>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</si>
  <si>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</si>
  <si>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</si>
  <si>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</si>
  <si>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</si>
  <si>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</si>
  <si>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</si>
  <si>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</si>
  <si>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</si>
  <si>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</si>
  <si>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</si>
  <si>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</si>
  <si>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</si>
  <si>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</si>
  <si>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</si>
  <si>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</si>
  <si>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</si>
  <si>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</si>
  <si>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</si>
  <si>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</si>
  <si>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</si>
  <si>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</si>
  <si>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</si>
  <si>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</si>
  <si>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</si>
  <si>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</si>
  <si>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</si>
  <si>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</si>
  <si>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</si>
  <si>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</si>
  <si>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</si>
  <si>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</si>
  <si>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</si>
  <si>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</si>
  <si>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</si>
  <si>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</si>
  <si>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</si>
  <si>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</si>
  <si>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</si>
  <si>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</si>
  <si>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</si>
  <si>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</si>
  <si>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</si>
  <si>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</si>
  <si>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</si>
  <si>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</si>
  <si>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</si>
  <si>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</si>
  <si>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</si>
  <si>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</si>
  <si>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</si>
  <si>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</si>
  <si>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</si>
  <si>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</si>
  <si>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</si>
  <si>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</si>
  <si>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</si>
  <si>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</si>
  <si>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</si>
  <si>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</si>
  <si>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</si>
  <si>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</si>
  <si>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</si>
  <si>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</si>
  <si>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</si>
  <si>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</si>
  <si>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</si>
  <si>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</si>
  <si>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</si>
  <si>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</si>
  <si>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</si>
  <si>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</si>
  <si>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</si>
  <si>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</si>
  <si>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</si>
  <si>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</si>
  <si>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</si>
  <si>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</si>
  <si>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</si>
  <si>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</si>
  <si>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</si>
  <si>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</si>
  <si>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</si>
  <si>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</si>
  <si>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</si>
  <si>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</si>
  <si>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</si>
  <si>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</si>
  <si>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</si>
  <si>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</si>
  <si>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</si>
  <si>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</si>
  <si>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</si>
  <si>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</si>
  <si>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</si>
  <si>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</si>
  <si>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</si>
  <si>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</si>
  <si>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</si>
  <si>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</si>
  <si>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</si>
  <si>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</si>
  <si>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</si>
  <si>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</si>
  <si>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</si>
  <si>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</si>
  <si>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</si>
  <si>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</si>
  <si>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</si>
  <si>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</si>
  <si>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</si>
  <si>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</si>
  <si>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</si>
  <si>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</si>
  <si>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</si>
  <si>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</si>
  <si>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</si>
  <si>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</si>
  <si>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</si>
  <si>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</si>
  <si>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</si>
  <si>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</si>
  <si>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</si>
  <si>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</si>
  <si>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</si>
  <si>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</si>
  <si>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</si>
  <si>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</si>
  <si>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</si>
  <si>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</si>
  <si>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</si>
  <si>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</si>
  <si>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</si>
  <si>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</si>
  <si>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</si>
  <si>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</si>
  <si>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</si>
  <si>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</si>
  <si>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</si>
  <si>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</si>
  <si>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</si>
  <si>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</si>
  <si>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</si>
  <si>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</si>
  <si>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</si>
  <si>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</si>
  <si>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</si>
  <si>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</si>
  <si>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</si>
  <si>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</si>
  <si>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</si>
  <si>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</si>
  <si>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</si>
  <si>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</si>
  <si>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</si>
  <si>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</si>
  <si>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</si>
  <si>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</si>
  <si>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</si>
  <si>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</si>
  <si>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</si>
  <si>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</si>
  <si>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</si>
  <si>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</si>
  <si>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</si>
  <si>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</si>
  <si>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</si>
  <si>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</si>
  <si>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</si>
  <si>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</si>
  <si>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</si>
  <si>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</si>
  <si>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</si>
  <si>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</si>
  <si>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</si>
  <si>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</si>
  <si>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</si>
  <si>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</si>
  <si>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</si>
  <si>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</si>
  <si>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</si>
  <si>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</si>
  <si>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</si>
  <si>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</si>
  <si>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</si>
  <si>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</si>
  <si>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</si>
  <si>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</si>
  <si>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</si>
  <si>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</si>
  <si>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</si>
  <si>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</si>
  <si>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</si>
  <si>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</si>
  <si>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</si>
  <si>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</si>
  <si>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</si>
  <si>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bottòn de abrir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</si>
  <si>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</si>
  <si>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</si>
  <si>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</si>
  <si>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</si>
  <si>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</si>
  <si>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 xml:space="preserve">debe existir un monitoreo de 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</si>
  <si>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</si>
  <si>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</si>
  <si>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</si>
  <si>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</si>
  <si>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</si>
  <si>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</si>
  <si>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</si>
  <si>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</si>
  <si>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</si>
  <si>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</si>
  <si>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</si>
  <si>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</si>
  <si>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</si>
  <si>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</si>
  <si>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</si>
  <si>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</si>
  <si>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</si>
  <si>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</si>
  <si>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</si>
  <si>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</si>
  <si>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</si>
  <si>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</si>
  <si>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Yimmerson Velandia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</si>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</sst>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21" Type="http://schemas.openxmlformats.org/officeDocument/2006/relationships/pivotCacheDefinition" Target="pivotCache/pivotCacheDefinition2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4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256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H30"/>
  <sheetViews>
    <sheetView showGridLines="0" zoomScale="85" zoomScaleNormal="85" workbookViewId="0">
      <selection activeCell="AF21" sqref="AF21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  <col min="28" max="28" width="3.140625" bestFit="1" customWidth="1" collapsed="1"/>
  </cols>
  <sheetData>
    <row r="1" spans="1:34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/>
      <c r="AF1" s="41"/>
    </row>
    <row r="2" spans="1:3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5"/>
      <c r="AE2" s="45"/>
      <c r="AF2" s="45"/>
      <c r="AG2" s="44" t="s">
        <v>137</v>
      </c>
      <c r="AH2" s="45">
        <v>46083</v>
      </c>
    </row>
    <row r="3" spans="1:3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0</v>
      </c>
      <c r="AC3" s="3">
        <v>0</v>
      </c>
      <c r="AD3" s="3"/>
      <c r="AE3" s="3"/>
      <c r="AF3" s="3"/>
      <c r="AG3" s="26">
        <v>0</v>
      </c>
      <c r="AH3" s="3">
        <f>+$A3*AG3</f>
        <v>0</v>
      </c>
    </row>
    <row r="4" spans="1:34" outlineLevel="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0</v>
      </c>
      <c r="O4" s="3">
        <f t="shared" ref="O4" si="5">+$A4*N4</f>
        <v>0</v>
      </c>
      <c r="P4" s="26">
        <v>1</v>
      </c>
      <c r="Q4" s="3">
        <f t="shared" ref="Q4" si="6">+$A4*P4</f>
        <v>50000</v>
      </c>
      <c r="R4" s="26">
        <v>1</v>
      </c>
      <c r="S4" s="3"/>
      <c r="T4" s="26">
        <v>0</v>
      </c>
      <c r="U4" s="3">
        <f t="shared" ref="U4:U5" si="7">+$A4*T4</f>
        <v>0</v>
      </c>
      <c r="V4" s="1">
        <v>1</v>
      </c>
      <c r="W4" s="3">
        <f t="shared" ref="W4:W5" si="8">+$A4*V4</f>
        <v>50000</v>
      </c>
      <c r="X4" s="1">
        <v>0</v>
      </c>
      <c r="Y4" s="3">
        <f t="shared" ref="Y4:Y5" si="9">+$A4*X4</f>
        <v>0</v>
      </c>
      <c r="Z4" s="1">
        <v>1</v>
      </c>
      <c r="AA4" s="3">
        <f t="shared" ref="AA4:AA5" si="10">+$A4*Z4</f>
        <v>50000</v>
      </c>
      <c r="AB4" s="1">
        <v>1</v>
      </c>
      <c r="AC4" s="3">
        <f t="shared" ref="AC4:AC5" si="11">+$A4*AB4</f>
        <v>50000</v>
      </c>
      <c r="AD4" s="3"/>
      <c r="AE4" s="3"/>
      <c r="AF4" s="3"/>
      <c r="AG4" s="26">
        <v>1</v>
      </c>
      <c r="AH4" s="3">
        <f t="shared" ref="AH4" si="12">+$A4*AG4</f>
        <v>50000</v>
      </c>
    </row>
    <row r="5" spans="1:34" outlineLevel="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7"/>
        <v>0</v>
      </c>
      <c r="V5" s="1">
        <v>0</v>
      </c>
      <c r="W5" s="3">
        <f t="shared" si="8"/>
        <v>0</v>
      </c>
      <c r="X5" s="1">
        <v>0</v>
      </c>
      <c r="Y5" s="3">
        <f t="shared" si="9"/>
        <v>0</v>
      </c>
      <c r="Z5" s="1">
        <v>1</v>
      </c>
      <c r="AA5" s="3">
        <f t="shared" si="10"/>
        <v>20000</v>
      </c>
      <c r="AB5" s="1">
        <v>1</v>
      </c>
      <c r="AC5" s="3">
        <f t="shared" si="11"/>
        <v>20000</v>
      </c>
      <c r="AD5" s="3"/>
      <c r="AE5" s="3"/>
      <c r="AF5" s="3"/>
      <c r="AG5" s="26">
        <v>1</v>
      </c>
      <c r="AH5" s="3">
        <f>+$A5*AG5</f>
        <v>20000</v>
      </c>
    </row>
    <row r="6" spans="1:34" outlineLevel="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1</v>
      </c>
      <c r="AC6" s="3">
        <f>+$A6*AB6</f>
        <v>10000</v>
      </c>
      <c r="AD6" s="3"/>
      <c r="AE6" s="3"/>
      <c r="AF6" s="3"/>
      <c r="AG6" s="26">
        <v>4</v>
      </c>
      <c r="AH6" s="3">
        <f>+$A6*AG6</f>
        <v>40000</v>
      </c>
    </row>
    <row r="7" spans="1:34" outlineLevel="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13">+$A7*H7</f>
        <v>30000</v>
      </c>
      <c r="J7" s="26">
        <v>5</v>
      </c>
      <c r="K7" s="3">
        <f t="shared" ref="K7:K13" si="14">+$A7*J7</f>
        <v>25000</v>
      </c>
      <c r="L7" s="26">
        <v>5</v>
      </c>
      <c r="M7" s="3">
        <f t="shared" ref="M7:M13" si="15">+$A7*L7</f>
        <v>25000</v>
      </c>
      <c r="N7" s="26">
        <v>5</v>
      </c>
      <c r="O7" s="3">
        <f t="shared" ref="O7:O13" si="16">+$A7*N7</f>
        <v>25000</v>
      </c>
      <c r="P7" s="26">
        <v>3</v>
      </c>
      <c r="Q7" s="3">
        <f t="shared" ref="Q7:Q13" si="17">+$A7*P7</f>
        <v>15000</v>
      </c>
      <c r="R7" s="26">
        <v>3</v>
      </c>
      <c r="S7" s="3"/>
      <c r="T7" s="26">
        <v>3</v>
      </c>
      <c r="U7" s="3">
        <f t="shared" ref="U7:U13" si="18">+$A7*T7</f>
        <v>15000</v>
      </c>
      <c r="V7" s="1">
        <v>4</v>
      </c>
      <c r="W7" s="3">
        <f t="shared" ref="W7:W13" si="19">+$A7*V7</f>
        <v>20000</v>
      </c>
      <c r="X7" s="1">
        <v>0</v>
      </c>
      <c r="Y7" s="3">
        <f t="shared" ref="Y7:Y13" si="20">+$A7*X7</f>
        <v>0</v>
      </c>
      <c r="Z7" s="1">
        <v>0</v>
      </c>
      <c r="AA7" s="3">
        <f t="shared" ref="AA7:AA13" si="21">+$A7*Z7</f>
        <v>0</v>
      </c>
      <c r="AB7" s="1">
        <v>0</v>
      </c>
      <c r="AC7" s="3">
        <f t="shared" ref="AC7:AC13" si="22">+$A7*AB7</f>
        <v>0</v>
      </c>
      <c r="AD7" s="3"/>
      <c r="AE7" s="3"/>
      <c r="AF7" s="3"/>
      <c r="AG7" s="26">
        <v>3</v>
      </c>
      <c r="AH7" s="3">
        <f t="shared" ref="AH7:AH13" si="23">+$A7*AG7</f>
        <v>15000</v>
      </c>
    </row>
    <row r="8" spans="1:34" outlineLevel="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13"/>
        <v>24000</v>
      </c>
      <c r="J8" s="26">
        <v>17</v>
      </c>
      <c r="K8" s="3">
        <f t="shared" si="14"/>
        <v>34000</v>
      </c>
      <c r="L8" s="26">
        <v>14</v>
      </c>
      <c r="M8" s="3">
        <f t="shared" si="15"/>
        <v>28000</v>
      </c>
      <c r="N8" s="26">
        <v>14</v>
      </c>
      <c r="O8" s="3">
        <f t="shared" si="16"/>
        <v>28000</v>
      </c>
      <c r="P8" s="26">
        <v>10</v>
      </c>
      <c r="Q8" s="3">
        <f t="shared" si="17"/>
        <v>20000</v>
      </c>
      <c r="R8" s="26">
        <v>10</v>
      </c>
      <c r="S8" s="3"/>
      <c r="T8" s="26">
        <v>12</v>
      </c>
      <c r="U8" s="3">
        <f t="shared" si="18"/>
        <v>24000</v>
      </c>
      <c r="V8" s="1">
        <v>22</v>
      </c>
      <c r="W8" s="3">
        <f t="shared" si="19"/>
        <v>44000</v>
      </c>
      <c r="X8" s="1">
        <v>23</v>
      </c>
      <c r="Y8" s="3">
        <f t="shared" si="20"/>
        <v>46000</v>
      </c>
      <c r="Z8" s="1">
        <v>20</v>
      </c>
      <c r="AA8" s="3">
        <f t="shared" si="21"/>
        <v>40000</v>
      </c>
      <c r="AB8" s="1">
        <v>20</v>
      </c>
      <c r="AC8" s="3">
        <f t="shared" si="22"/>
        <v>40000</v>
      </c>
      <c r="AD8" s="3"/>
      <c r="AE8" s="3"/>
      <c r="AF8" s="3"/>
      <c r="AG8" s="26">
        <v>10</v>
      </c>
      <c r="AH8" s="3">
        <f t="shared" si="23"/>
        <v>20000</v>
      </c>
    </row>
    <row r="9" spans="1:34" outlineLevel="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13"/>
        <v>3000</v>
      </c>
      <c r="J9" s="26">
        <v>2</v>
      </c>
      <c r="K9" s="3">
        <f t="shared" si="14"/>
        <v>2000</v>
      </c>
      <c r="L9" s="26">
        <v>0</v>
      </c>
      <c r="M9" s="3">
        <f t="shared" si="15"/>
        <v>0</v>
      </c>
      <c r="N9" s="26">
        <v>0</v>
      </c>
      <c r="O9" s="3">
        <f t="shared" si="16"/>
        <v>0</v>
      </c>
      <c r="P9" s="26">
        <v>0</v>
      </c>
      <c r="Q9" s="3">
        <f t="shared" si="17"/>
        <v>0</v>
      </c>
      <c r="R9" s="26">
        <v>0</v>
      </c>
      <c r="S9" s="3"/>
      <c r="T9" s="26">
        <v>20</v>
      </c>
      <c r="U9" s="3">
        <f t="shared" si="18"/>
        <v>20000</v>
      </c>
      <c r="V9" s="1">
        <v>16</v>
      </c>
      <c r="W9" s="3">
        <f t="shared" si="19"/>
        <v>16000</v>
      </c>
      <c r="X9" s="1">
        <v>12</v>
      </c>
      <c r="Y9" s="3">
        <f t="shared" si="20"/>
        <v>12000</v>
      </c>
      <c r="Z9" s="1">
        <v>9</v>
      </c>
      <c r="AA9" s="3">
        <f t="shared" si="21"/>
        <v>9000</v>
      </c>
      <c r="AB9" s="1">
        <v>9</v>
      </c>
      <c r="AC9" s="3">
        <f t="shared" si="22"/>
        <v>9000</v>
      </c>
      <c r="AD9" s="3"/>
      <c r="AE9" s="3"/>
      <c r="AF9" s="3"/>
      <c r="AG9" s="26">
        <v>0</v>
      </c>
      <c r="AH9" s="3">
        <f t="shared" si="23"/>
        <v>0</v>
      </c>
    </row>
    <row r="10" spans="1:34" outlineLevel="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13"/>
        <v>19000</v>
      </c>
      <c r="J10" s="26">
        <v>37</v>
      </c>
      <c r="K10" s="3">
        <f t="shared" si="14"/>
        <v>18500</v>
      </c>
      <c r="L10" s="26">
        <v>36</v>
      </c>
      <c r="M10" s="3">
        <f t="shared" si="15"/>
        <v>18000</v>
      </c>
      <c r="N10" s="26">
        <v>36</v>
      </c>
      <c r="O10" s="3">
        <f t="shared" si="16"/>
        <v>18000</v>
      </c>
      <c r="P10" s="26">
        <v>36</v>
      </c>
      <c r="Q10" s="3">
        <f t="shared" si="17"/>
        <v>18000</v>
      </c>
      <c r="R10" s="26">
        <v>36</v>
      </c>
      <c r="S10" s="3"/>
      <c r="T10" s="26">
        <v>40</v>
      </c>
      <c r="U10" s="3">
        <f t="shared" si="18"/>
        <v>20000</v>
      </c>
      <c r="V10" s="1">
        <v>45</v>
      </c>
      <c r="W10" s="3">
        <f t="shared" si="19"/>
        <v>22500</v>
      </c>
      <c r="X10" s="1">
        <v>31</v>
      </c>
      <c r="Y10" s="3">
        <f t="shared" si="20"/>
        <v>15500</v>
      </c>
      <c r="Z10" s="1">
        <v>20</v>
      </c>
      <c r="AA10" s="3">
        <f t="shared" si="21"/>
        <v>10000</v>
      </c>
      <c r="AB10" s="1">
        <v>20</v>
      </c>
      <c r="AC10" s="3">
        <f t="shared" si="22"/>
        <v>10000</v>
      </c>
      <c r="AD10" s="3"/>
      <c r="AE10" s="3"/>
      <c r="AF10" s="3"/>
      <c r="AG10" s="26">
        <v>36</v>
      </c>
      <c r="AH10" s="3">
        <f t="shared" si="23"/>
        <v>18000</v>
      </c>
    </row>
    <row r="11" spans="1:34" outlineLevel="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13"/>
        <v>12400</v>
      </c>
      <c r="J11" s="26">
        <v>62</v>
      </c>
      <c r="K11" s="3">
        <f t="shared" si="14"/>
        <v>12400</v>
      </c>
      <c r="L11" s="26">
        <v>68</v>
      </c>
      <c r="M11" s="3">
        <f t="shared" si="15"/>
        <v>13600</v>
      </c>
      <c r="N11" s="26">
        <v>68</v>
      </c>
      <c r="O11" s="3">
        <f t="shared" si="16"/>
        <v>13600</v>
      </c>
      <c r="P11" s="26">
        <v>81</v>
      </c>
      <c r="Q11" s="3">
        <f t="shared" si="17"/>
        <v>16200</v>
      </c>
      <c r="R11" s="26">
        <v>81</v>
      </c>
      <c r="S11" s="3"/>
      <c r="T11" s="26">
        <v>3</v>
      </c>
      <c r="U11" s="3">
        <f t="shared" si="18"/>
        <v>600</v>
      </c>
      <c r="V11" s="1">
        <v>5</v>
      </c>
      <c r="W11" s="3">
        <f t="shared" si="19"/>
        <v>1000</v>
      </c>
      <c r="X11" s="1">
        <v>4</v>
      </c>
      <c r="Y11" s="3">
        <f t="shared" si="20"/>
        <v>800</v>
      </c>
      <c r="Z11" s="1">
        <v>4</v>
      </c>
      <c r="AA11" s="3">
        <f t="shared" si="21"/>
        <v>800</v>
      </c>
      <c r="AB11" s="1">
        <v>4</v>
      </c>
      <c r="AC11" s="3">
        <f t="shared" si="22"/>
        <v>800</v>
      </c>
      <c r="AD11" s="3"/>
      <c r="AE11" s="3"/>
      <c r="AF11" s="3"/>
      <c r="AG11" s="26">
        <v>81</v>
      </c>
      <c r="AH11" s="3">
        <f t="shared" si="23"/>
        <v>16200</v>
      </c>
    </row>
    <row r="12" spans="1:34" outlineLevel="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13"/>
        <v>5100</v>
      </c>
      <c r="J12" s="26">
        <v>48</v>
      </c>
      <c r="K12" s="3">
        <f t="shared" si="14"/>
        <v>4800</v>
      </c>
      <c r="L12" s="26">
        <v>63</v>
      </c>
      <c r="M12" s="3">
        <f t="shared" si="15"/>
        <v>6300</v>
      </c>
      <c r="N12" s="26">
        <v>63</v>
      </c>
      <c r="O12" s="3">
        <f t="shared" si="16"/>
        <v>6300</v>
      </c>
      <c r="P12" s="26">
        <v>77</v>
      </c>
      <c r="Q12" s="3">
        <f t="shared" si="17"/>
        <v>7700</v>
      </c>
      <c r="R12" s="26">
        <v>77</v>
      </c>
      <c r="S12" s="3"/>
      <c r="T12" s="26">
        <v>9</v>
      </c>
      <c r="U12" s="3">
        <f t="shared" si="18"/>
        <v>900</v>
      </c>
      <c r="V12" s="1">
        <v>11</v>
      </c>
      <c r="W12" s="3">
        <f t="shared" si="19"/>
        <v>1100</v>
      </c>
      <c r="X12" s="1">
        <v>13</v>
      </c>
      <c r="Y12" s="3">
        <f t="shared" si="20"/>
        <v>1300</v>
      </c>
      <c r="Z12" s="1">
        <v>13</v>
      </c>
      <c r="AA12" s="3">
        <f t="shared" si="21"/>
        <v>1300</v>
      </c>
      <c r="AB12" s="1">
        <v>13</v>
      </c>
      <c r="AC12" s="3">
        <f t="shared" si="22"/>
        <v>1300</v>
      </c>
      <c r="AD12" s="3"/>
      <c r="AE12" s="3"/>
      <c r="AF12" s="3"/>
      <c r="AG12" s="26">
        <v>77</v>
      </c>
      <c r="AH12" s="3">
        <f t="shared" si="23"/>
        <v>7700</v>
      </c>
    </row>
    <row r="13" spans="1:34" ht="15.75" outlineLevel="1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13"/>
        <v>500</v>
      </c>
      <c r="J13" s="26">
        <v>10</v>
      </c>
      <c r="K13" s="28">
        <f t="shared" si="14"/>
        <v>500</v>
      </c>
      <c r="L13" s="26">
        <v>10</v>
      </c>
      <c r="M13" s="28">
        <f t="shared" si="15"/>
        <v>500</v>
      </c>
      <c r="N13" s="26">
        <v>10</v>
      </c>
      <c r="O13" s="28">
        <f t="shared" si="16"/>
        <v>500</v>
      </c>
      <c r="P13" s="26">
        <v>14</v>
      </c>
      <c r="Q13" s="28">
        <f t="shared" si="17"/>
        <v>700</v>
      </c>
      <c r="R13" s="26">
        <v>14</v>
      </c>
      <c r="S13" s="28"/>
      <c r="T13" s="26">
        <v>9</v>
      </c>
      <c r="U13" s="28">
        <f t="shared" si="18"/>
        <v>450</v>
      </c>
      <c r="V13" s="1">
        <v>9</v>
      </c>
      <c r="W13" s="28">
        <f t="shared" si="19"/>
        <v>450</v>
      </c>
      <c r="X13" s="1">
        <v>8</v>
      </c>
      <c r="Y13" s="28">
        <f t="shared" si="20"/>
        <v>400</v>
      </c>
      <c r="Z13" s="1">
        <v>11</v>
      </c>
      <c r="AA13" s="28">
        <f t="shared" si="21"/>
        <v>550</v>
      </c>
      <c r="AB13" s="1">
        <v>11</v>
      </c>
      <c r="AC13" s="28">
        <f t="shared" si="22"/>
        <v>550</v>
      </c>
      <c r="AD13" s="59"/>
      <c r="AE13" s="59"/>
      <c r="AF13" s="59"/>
      <c r="AG13" s="26">
        <v>14</v>
      </c>
      <c r="AH13" s="28">
        <f t="shared" si="23"/>
        <v>700</v>
      </c>
    </row>
    <row r="14" spans="1:3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141650</v>
      </c>
      <c r="AD14" s="17"/>
      <c r="AE14" s="17"/>
      <c r="AF14" s="17"/>
      <c r="AH14" s="69">
        <f>SUM(AH3:AH13)</f>
        <v>187600</v>
      </c>
    </row>
    <row r="15" spans="1:34" x14ac:dyDescent="0.25">
      <c r="E15" s="18">
        <f>+SUM('historial de venta'!G32:G37)</f>
        <v>76000</v>
      </c>
      <c r="U15">
        <v>324300</v>
      </c>
      <c r="AD15" s="13"/>
      <c r="AE15" s="13"/>
      <c r="AF15" s="13"/>
    </row>
    <row r="16" spans="1:3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D16" s="13"/>
      <c r="AE16" s="13"/>
      <c r="AF16" s="13"/>
    </row>
    <row r="17" spans="1:32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13"/>
      <c r="AE17" s="13"/>
      <c r="AF17" s="13"/>
    </row>
    <row r="18" spans="1:32" x14ac:dyDescent="0.25">
      <c r="A18" s="19" t="s">
        <v>139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+Q22</f>
        <v>201400</v>
      </c>
      <c r="U18" s="68">
        <f>+S22</f>
        <v>252000</v>
      </c>
      <c r="W18" s="19">
        <f>+U22</f>
        <v>103550</v>
      </c>
      <c r="Y18" s="19">
        <f>+W22</f>
        <v>179050</v>
      </c>
      <c r="AA18" s="19">
        <f>$Y$14</f>
        <v>86000</v>
      </c>
      <c r="AC18" s="19">
        <f>+AA22-AC19</f>
        <v>127700</v>
      </c>
      <c r="AD18" s="13"/>
      <c r="AE18" s="13"/>
      <c r="AF18" s="13"/>
    </row>
    <row r="19" spans="1:32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+U24</f>
        <v>17400</v>
      </c>
      <c r="Y19" s="67"/>
      <c r="AA19" s="67">
        <v>75050</v>
      </c>
      <c r="AC19" s="67"/>
      <c r="AD19" s="13"/>
      <c r="AE19" s="13"/>
      <c r="AF19" s="13"/>
    </row>
    <row r="20" spans="1:32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31"/>
      <c r="AD20" s="13"/>
      <c r="AE20" s="13"/>
      <c r="AF20" s="13"/>
    </row>
    <row r="21" spans="1:32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50">
        <f>10000+20000+26850+100000</f>
        <v>156850</v>
      </c>
      <c r="AC21" s="50"/>
      <c r="AD21" s="13"/>
      <c r="AE21" s="13"/>
      <c r="AF21" s="13"/>
    </row>
    <row r="22" spans="1:32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201400</v>
      </c>
      <c r="S22" s="13">
        <f>+SUM(S18:S20)-S21</f>
        <v>252000</v>
      </c>
      <c r="U22" s="13">
        <f>+SUM(U18:U20)-U21</f>
        <v>103550</v>
      </c>
      <c r="W22" s="13">
        <f>+SUM(W18:W20)-W21</f>
        <v>179050</v>
      </c>
      <c r="Y22" s="13">
        <f>+SUM(Y18:Y20)-Y21</f>
        <v>179050</v>
      </c>
      <c r="AA22" s="13">
        <f>+SUM(AA18:AA20)-AA21</f>
        <v>127700</v>
      </c>
      <c r="AC22" s="13">
        <f>+SUM(AC18:AC20)-AC21</f>
        <v>127700</v>
      </c>
      <c r="AD22" s="13"/>
      <c r="AE22" s="13"/>
      <c r="AF22" s="13"/>
    </row>
    <row r="24" spans="1:32" x14ac:dyDescent="0.25">
      <c r="A24" s="57" t="s">
        <v>198</v>
      </c>
      <c r="C24" s="58">
        <f>C14-C22</f>
        <v>0</v>
      </c>
      <c r="D24" s="58"/>
      <c r="E24" s="58">
        <f>E14-E22</f>
        <v>-76000</v>
      </c>
      <c r="F24" s="58"/>
      <c r="G24" s="58">
        <f>G14-G22</f>
        <v>-432900</v>
      </c>
      <c r="H24" s="58"/>
      <c r="I24" s="58">
        <f>I14-I22</f>
        <v>-27900</v>
      </c>
      <c r="J24" s="58"/>
      <c r="K24" s="58">
        <f>K14-K22</f>
        <v>177100</v>
      </c>
      <c r="L24" s="58"/>
      <c r="M24" s="58">
        <f>M14-M22</f>
        <v>6300</v>
      </c>
      <c r="N24" s="58"/>
      <c r="O24" s="58">
        <f>O14-O22</f>
        <v>0</v>
      </c>
      <c r="P24" s="58"/>
      <c r="Q24" s="58">
        <f>Q14-Q22</f>
        <v>-13800</v>
      </c>
      <c r="R24" s="58"/>
      <c r="S24" s="58">
        <f>S14-S22</f>
        <v>-252000</v>
      </c>
      <c r="T24" s="58"/>
      <c r="U24" s="58">
        <f>U14-U22</f>
        <v>17400</v>
      </c>
      <c r="V24" s="58"/>
      <c r="W24" s="58">
        <f>W14-W22</f>
        <v>-4000</v>
      </c>
      <c r="X24" s="58"/>
      <c r="Y24" s="58">
        <f>Y14-Y22</f>
        <v>-93050</v>
      </c>
      <c r="Z24" s="58"/>
      <c r="AA24" s="58">
        <f>AA14-AA22</f>
        <v>13950</v>
      </c>
      <c r="AB24" s="58"/>
      <c r="AC24" s="58">
        <f>AC14-AC22</f>
        <v>13950</v>
      </c>
      <c r="AD24" s="58"/>
      <c r="AE24" s="58"/>
      <c r="AF24" s="58"/>
    </row>
    <row r="27" spans="1:32" x14ac:dyDescent="0.25">
      <c r="W27">
        <v>75050</v>
      </c>
      <c r="Y27">
        <v>75050</v>
      </c>
      <c r="AA27">
        <v>75050</v>
      </c>
      <c r="AC27">
        <v>75050</v>
      </c>
    </row>
    <row r="30" spans="1:32" x14ac:dyDescent="0.25">
      <c r="I30" s="29"/>
      <c r="K30" s="29"/>
      <c r="M30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>
      <selection activeCell="C11" sqref="A11:XFD13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259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257</v>
      </c>
      <c r="C10" s="72" t="s">
        <v>258</v>
      </c>
      <c r="D10" t="s">
        <v>260</v>
      </c>
    </row>
    <row r="11" spans="1:4" x14ac:dyDescent="0.25">
      <c r="A11" t="s">
        <v>266</v>
      </c>
      <c r="C11" t="s">
        <v>265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2:G22"/>
  <sheetViews>
    <sheetView topLeftCell="A4" zoomScale="115" zoomScaleNormal="115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K43"/>
  <sheetViews>
    <sheetView zoomScale="115" zoomScaleNormal="115" workbookViewId="0">
      <pane ySplit="2" topLeftCell="A38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466650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9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271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270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269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268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267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276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275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274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273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272</v>
      </c>
      <c r="K37" s="13">
        <f>+SUM(D33:D37)</f>
        <v>131500</v>
      </c>
    </row>
    <row r="38" spans="1:11" x14ac:dyDescent="0.25">
      <c r="A38" s="2">
        <v>46119</v>
      </c>
      <c r="B38" s="2" t="str">
        <f t="shared" si="3"/>
        <v>mar</v>
      </c>
      <c r="D38" s="3">
        <v>28000</v>
      </c>
      <c r="E38" s="3" t="s">
        <v>223</v>
      </c>
      <c r="F38" s="32" t="s">
        <v>142</v>
      </c>
      <c r="G38" t="s">
        <v>277</v>
      </c>
    </row>
    <row r="39" spans="1:11" x14ac:dyDescent="0.25">
      <c r="A39" s="2">
        <v>46119</v>
      </c>
      <c r="B39" s="2" t="str">
        <f t="shared" si="3"/>
        <v>mar</v>
      </c>
      <c r="D39" s="3">
        <v>43000</v>
      </c>
      <c r="E39" s="3" t="s">
        <v>223</v>
      </c>
      <c r="F39" s="32" t="s">
        <v>142</v>
      </c>
      <c r="G39" t="s">
        <v>278</v>
      </c>
    </row>
    <row r="40" spans="1:11" x14ac:dyDescent="0.25">
      <c r="A40" s="2">
        <v>46119</v>
      </c>
      <c r="B40" s="2" t="str">
        <f t="shared" ref="B40" si="4">+TEXT(A40,"ddd")</f>
        <v>mar</v>
      </c>
      <c r="C40" t="s">
        <v>279</v>
      </c>
      <c r="D40" s="16">
        <v>16000</v>
      </c>
      <c r="E40" s="3" t="s">
        <v>223</v>
      </c>
      <c r="F40" s="32" t="s">
        <v>142</v>
      </c>
      <c r="G40" s="1" t="s">
        <v>143</v>
      </c>
    </row>
    <row r="43" spans="1:11" x14ac:dyDescent="0.25">
      <c r="D43" s="3">
        <v>95000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292</v>
      </c>
      <c r="B2" s="73" t="s">
        <v>286</v>
      </c>
      <c r="C2" s="73" t="s">
        <v>287</v>
      </c>
      <c r="D2" s="73" t="s">
        <v>3</v>
      </c>
      <c r="E2" s="73"/>
      <c r="F2" s="74" t="s">
        <v>290</v>
      </c>
      <c r="G2" s="74" t="s">
        <v>291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280</v>
      </c>
      <c r="B4" s="75"/>
      <c r="C4" s="75"/>
      <c r="D4" s="75" t="s">
        <v>280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281</v>
      </c>
      <c r="E5" s="75" t="s">
        <v>282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281</v>
      </c>
      <c r="E6" s="75" t="s">
        <v>283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299</v>
      </c>
      <c r="E9" s="75"/>
      <c r="F9" s="78">
        <v>-22000</v>
      </c>
      <c r="G9" s="75"/>
    </row>
    <row r="10" spans="1:10" x14ac:dyDescent="0.25">
      <c r="A10" s="75" t="s">
        <v>288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288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288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288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288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289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289</v>
      </c>
      <c r="B17" s="75"/>
      <c r="C17" s="75"/>
      <c r="D17" s="75" t="s">
        <v>294</v>
      </c>
      <c r="E17" s="75"/>
      <c r="F17" s="76"/>
      <c r="G17" s="79">
        <v>28000</v>
      </c>
    </row>
    <row r="18" spans="1:7" x14ac:dyDescent="0.25">
      <c r="A18" s="75" t="s">
        <v>288</v>
      </c>
      <c r="B18" s="75"/>
      <c r="C18" s="75"/>
      <c r="D18" s="75" t="s">
        <v>297</v>
      </c>
      <c r="E18" s="75"/>
      <c r="F18" s="78">
        <v>15000</v>
      </c>
      <c r="G18" s="77"/>
    </row>
    <row r="19" spans="1:7" x14ac:dyDescent="0.25">
      <c r="A19" s="75" t="s">
        <v>288</v>
      </c>
      <c r="B19" s="75"/>
      <c r="C19" s="75"/>
      <c r="D19" s="75" t="s">
        <v>295</v>
      </c>
      <c r="E19" s="75"/>
      <c r="F19" s="78">
        <v>60000</v>
      </c>
      <c r="G19" s="77"/>
    </row>
    <row r="20" spans="1:7" x14ac:dyDescent="0.25">
      <c r="A20" s="75" t="s">
        <v>288</v>
      </c>
      <c r="B20" s="75"/>
      <c r="C20" s="75"/>
      <c r="D20" s="75" t="s">
        <v>296</v>
      </c>
      <c r="E20" s="75"/>
      <c r="F20" s="78">
        <v>12000</v>
      </c>
      <c r="G20" s="77"/>
    </row>
    <row r="21" spans="1:7" x14ac:dyDescent="0.25">
      <c r="A21" s="75" t="s">
        <v>289</v>
      </c>
      <c r="B21" s="75"/>
      <c r="C21" s="75"/>
      <c r="D21" s="75" t="s">
        <v>293</v>
      </c>
      <c r="E21" s="75"/>
      <c r="F21" s="76"/>
      <c r="G21" s="79">
        <v>43000</v>
      </c>
    </row>
    <row r="22" spans="1:7" x14ac:dyDescent="0.25">
      <c r="A22" s="75" t="s">
        <v>288</v>
      </c>
      <c r="D22" s="75" t="s">
        <v>298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C23"/>
  <sheetViews>
    <sheetView zoomScale="145" zoomScaleNormal="145" workbookViewId="0">
      <pane ySplit="2" topLeftCell="A15" activePane="bottomLeft" state="frozen"/>
      <selection pane="bottomLeft" activeCell="C22" sqref="C21:C22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301</v>
      </c>
      <c r="C21" s="58">
        <v>129000</v>
      </c>
    </row>
    <row r="22" spans="1:3" x14ac:dyDescent="0.25">
      <c r="A22" s="2">
        <v>46120</v>
      </c>
      <c r="B22" t="s">
        <v>300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D13"/>
  <sheetViews>
    <sheetView workbookViewId="0">
      <selection activeCell="C13" sqref="C13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</cols>
  <sheetData>
    <row r="1" spans="1:4" x14ac:dyDescent="0.25">
      <c r="B1" s="70">
        <f>+SUM(B2:B1048576)</f>
        <v>-581250</v>
      </c>
      <c r="C1" t="s">
        <v>310</v>
      </c>
    </row>
    <row r="2" spans="1:4" x14ac:dyDescent="0.25">
      <c r="A2" t="s">
        <v>109</v>
      </c>
      <c r="B2" s="58">
        <v>1300000</v>
      </c>
      <c r="C2" t="s">
        <v>309</v>
      </c>
    </row>
    <row r="3" spans="1:4" x14ac:dyDescent="0.25">
      <c r="A3" t="s">
        <v>302</v>
      </c>
      <c r="B3" s="58">
        <v>-1350000</v>
      </c>
      <c r="C3" t="s">
        <v>308</v>
      </c>
    </row>
    <row r="4" spans="1:4" x14ac:dyDescent="0.25">
      <c r="A4" s="1" t="s">
        <v>303</v>
      </c>
      <c r="B4" s="58">
        <v>-400000</v>
      </c>
      <c r="C4" t="s">
        <v>308</v>
      </c>
    </row>
    <row r="5" spans="1:4" x14ac:dyDescent="0.25">
      <c r="A5" t="s">
        <v>304</v>
      </c>
      <c r="B5" s="58">
        <f>-500000/2</f>
        <v>-250000</v>
      </c>
      <c r="C5" t="s">
        <v>308</v>
      </c>
    </row>
    <row r="6" spans="1:4" x14ac:dyDescent="0.25">
      <c r="A6" t="s">
        <v>305</v>
      </c>
      <c r="B6" s="58">
        <f>-180000/2</f>
        <v>-90000</v>
      </c>
      <c r="C6" t="s">
        <v>308</v>
      </c>
    </row>
    <row r="7" spans="1:4" x14ac:dyDescent="0.25">
      <c r="A7" t="s">
        <v>306</v>
      </c>
      <c r="B7" s="58">
        <v>-30000</v>
      </c>
      <c r="C7" t="s">
        <v>308</v>
      </c>
    </row>
    <row r="8" spans="1:4" x14ac:dyDescent="0.25">
      <c r="A8" t="s">
        <v>307</v>
      </c>
      <c r="B8" s="58">
        <f>((550-185)*3500)/2</f>
        <v>638750</v>
      </c>
      <c r="C8" t="s">
        <v>308</v>
      </c>
    </row>
    <row r="9" spans="1:4" x14ac:dyDescent="0.25">
      <c r="A9" t="s">
        <v>112</v>
      </c>
      <c r="B9" s="58">
        <f>-800000/2</f>
        <v>-400000</v>
      </c>
      <c r="C9" t="s">
        <v>308</v>
      </c>
    </row>
    <row r="10" spans="1:4" x14ac:dyDescent="0.25">
      <c r="A10" t="s">
        <v>307</v>
      </c>
      <c r="D10" t="s">
        <v>311</v>
      </c>
    </row>
    <row r="13" spans="1:4" x14ac:dyDescent="0.25">
      <c r="C13" s="81">
        <f>715*3500</f>
        <v>2502500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C3:H15"/>
  <sheetViews>
    <sheetView tabSelected="1" workbookViewId="0">
      <selection activeCell="D7" sqref="D7"/>
    </sheetView>
  </sheetViews>
  <sheetFormatPr baseColWidth="10" defaultRowHeight="15" x14ac:dyDescent="0.25"/>
  <cols>
    <col min="3" max="3" width="45.140625" bestFit="1" customWidth="1"/>
  </cols>
  <sheetData>
    <row r="3" spans="3:8" x14ac:dyDescent="0.25">
      <c r="C3" t="s">
        <v>247</v>
      </c>
    </row>
    <row r="4" spans="3:8" x14ac:dyDescent="0.25">
      <c r="C4" t="s">
        <v>248</v>
      </c>
    </row>
    <row r="5" spans="3:8" x14ac:dyDescent="0.25">
      <c r="C5" t="s">
        <v>249</v>
      </c>
    </row>
    <row r="6" spans="3:8" x14ac:dyDescent="0.25">
      <c r="C6" t="s">
        <v>250</v>
      </c>
    </row>
    <row r="7" spans="3:8" x14ac:dyDescent="0.25">
      <c r="C7" t="s">
        <v>251</v>
      </c>
      <c r="G7" t="s">
        <v>265</v>
      </c>
      <c r="H7" t="s">
        <v>266</v>
      </c>
    </row>
    <row r="8" spans="3:8" x14ac:dyDescent="0.25">
      <c r="C8" t="s">
        <v>252</v>
      </c>
    </row>
    <row r="9" spans="3:8" x14ac:dyDescent="0.25">
      <c r="C9" t="s">
        <v>253</v>
      </c>
      <c r="F9">
        <f>22400+7450</f>
        <v>29850</v>
      </c>
    </row>
    <row r="10" spans="3:8" x14ac:dyDescent="0.25">
      <c r="C10" t="s">
        <v>254</v>
      </c>
    </row>
    <row r="11" spans="3:8" x14ac:dyDescent="0.25">
      <c r="C11" t="s">
        <v>255</v>
      </c>
    </row>
    <row r="12" spans="3:8" x14ac:dyDescent="0.25">
      <c r="C12" t="s">
        <v>261</v>
      </c>
    </row>
    <row r="13" spans="3:8" x14ac:dyDescent="0.25">
      <c r="C13" t="s">
        <v>262</v>
      </c>
    </row>
    <row r="14" spans="3:8" x14ac:dyDescent="0.25">
      <c r="C14" t="s">
        <v>263</v>
      </c>
    </row>
    <row r="15" spans="3:8" x14ac:dyDescent="0.25">
      <c r="C15" t="s">
        <v>264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chorizo</vt:lpstr>
      <vt:lpstr>choriboni</vt:lpstr>
      <vt:lpstr>Arqueo de Caja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2026-03-09T12:44:39Z</dcterms:modified>
</cp:coreProperties>
</file>