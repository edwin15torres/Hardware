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612" firstSheet="1" activeTab="2"/>
  </bookViews>
  <sheets>
    <sheet name="chorizo" sheetId="3" state="hidden" r:id="rId1"/>
    <sheet name="choriboni" sheetId="4" r:id="rId2"/>
    <sheet name="Arqueo de Caja" sheetId="9" r:id="rId3"/>
    <sheet name="Registros" sheetId="31" r:id="rId4"/>
    <sheet name="DevOps" sheetId="21" r:id="rId5"/>
    <sheet name="Extracto" sheetId="10" r:id="rId6"/>
    <sheet name="Clientes" sheetId="24" r:id="rId7"/>
    <sheet name="Empaques" sheetId="25" r:id="rId8"/>
    <sheet name="proveedores" sheetId="7" state="hidden" r:id="rId9"/>
    <sheet name="informe" sheetId="6" state="hidden" r:id="rId10"/>
    <sheet name="Costos" sheetId="8" state="hidden" r:id="rId11"/>
    <sheet name="Inventario" sheetId="27" r:id="rId12"/>
    <sheet name="Reporte" sheetId="11" r:id="rId13"/>
    <sheet name="Rappi" sheetId="26" r:id="rId14"/>
    <sheet name="7-MARZO" sheetId="22" state="hidden" r:id="rId15"/>
    <sheet name="Prestamos" sheetId="12" r:id="rId16"/>
    <sheet name="maquina" sheetId="23" r:id="rId17"/>
    <sheet name="Informe ventas" sheetId="13" state="hidden" r:id="rId18"/>
    <sheet name="historial de venta" sheetId="14" state="hidden" r:id="rId19"/>
  </sheets>
  <definedNames>
    <definedName name="_xlnm._FilterDatabase" localSheetId="1" hidden="1">choriboni!$B$17:$I$69</definedName>
    <definedName name="_xlnm._FilterDatabase" localSheetId="5" hidden="1">Extracto!$A$5:$M$65</definedName>
  </definedNames>
  <calcPr calcId="162913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" i="9" l="1"/>
  <c r="AM13" i="9"/>
  <c r="AM12" i="9"/>
  <c r="AM11" i="9"/>
  <c r="AM10" i="9"/>
  <c r="AM9" i="9"/>
  <c r="AM8" i="9"/>
  <c r="AM7" i="9"/>
  <c r="AM6" i="9"/>
  <c r="AM5" i="9"/>
  <c r="AM4" i="9"/>
  <c r="AM3" i="9"/>
  <c r="AM23" i="9"/>
  <c r="AM18" i="9"/>
  <c r="AM27" i="9"/>
  <c r="AM1" i="9"/>
  <c r="AM17" i="9" s="1"/>
  <c r="AK20" i="9"/>
  <c r="AK23" i="9" s="1"/>
  <c r="AK27" i="9"/>
  <c r="AK18" i="9"/>
  <c r="AK14" i="9"/>
  <c r="AK1" i="9"/>
  <c r="AK17" i="9" s="1"/>
  <c r="E2" i="31"/>
  <c r="C13" i="31"/>
  <c r="C9" i="31"/>
  <c r="C10" i="31"/>
  <c r="C7" i="31"/>
  <c r="E27" i="31"/>
  <c r="AM14" i="9" l="1"/>
  <c r="AM25" i="9"/>
  <c r="AK25" i="9"/>
  <c r="B66" i="10"/>
  <c r="B65" i="10"/>
  <c r="B64" i="10"/>
  <c r="B63" i="10"/>
  <c r="B62" i="10"/>
  <c r="B61" i="10"/>
  <c r="AI21" i="9"/>
  <c r="AI22" i="9"/>
  <c r="C1" i="27"/>
  <c r="B60" i="10" l="1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R9" i="9"/>
  <c r="AR14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I14" i="9" l="1"/>
  <c r="AG14" i="9"/>
  <c r="AE14" i="9"/>
  <c r="AI18" i="9" l="1"/>
  <c r="AI23" i="9" s="1"/>
  <c r="AI25" i="9" s="1"/>
  <c r="AE23" i="9"/>
  <c r="AG18" i="9" l="1"/>
  <c r="AG23" i="9" s="1"/>
  <c r="AG25" i="9" s="1"/>
  <c r="B48" i="10"/>
  <c r="B45" i="10"/>
  <c r="B44" i="10"/>
  <c r="B43" i="10"/>
  <c r="B42" i="10"/>
  <c r="B47" i="10"/>
  <c r="B46" i="10"/>
  <c r="B41" i="10"/>
  <c r="B40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G6" i="25"/>
  <c r="E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A25" i="9"/>
  <c r="AC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AT13" i="9"/>
  <c r="AT12" i="9"/>
  <c r="AT11" i="9"/>
  <c r="AT10" i="9"/>
  <c r="AT9" i="9"/>
  <c r="AT8" i="9"/>
  <c r="AT7" i="9"/>
  <c r="AT6" i="9"/>
  <c r="AT5" i="9"/>
  <c r="AT4" i="9"/>
  <c r="AT3" i="9"/>
  <c r="S21" i="9"/>
  <c r="U1" i="9"/>
  <c r="U17" i="9" s="1"/>
  <c r="S1" i="9"/>
  <c r="S17" i="9" s="1"/>
  <c r="Q1" i="9"/>
  <c r="Q17" i="9" s="1"/>
  <c r="O1" i="9"/>
  <c r="O17" i="9" s="1"/>
  <c r="AT14" i="9" l="1"/>
  <c r="U13" i="9" l="1"/>
  <c r="U12" i="9"/>
  <c r="U11" i="9"/>
  <c r="U10" i="9"/>
  <c r="U9" i="9"/>
  <c r="U8" i="9"/>
  <c r="U7" i="9"/>
  <c r="U6" i="9"/>
  <c r="U14" i="9" s="1"/>
  <c r="B29" i="10" l="1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>aguacate + cubirtos
120 o 130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6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6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<sst xmlns="http://schemas.openxmlformats.org/spreadsheetml/2006/main" count="998" uniqueCount="404">
  <si>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</si>
  <si>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</si>
  <si>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</si>
  <si>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</si>
  <si>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</si>
  <si>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</si>
  <si>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</si>
  <si>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</si>
  <si>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</si>
  <si>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</si>
  <si>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</si>
  <si>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</si>
  <si>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</si>
  <si>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</si>
  <si>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</si>
  <si>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</si>
  <si>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</si>
  <si>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</si>
  <si>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</si>
  <si>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</si>
  <si>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</si>
  <si>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</si>
  <si>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</si>
  <si>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</si>
  <si>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</si>
  <si>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</si>
  <si>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</si>
  <si>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</si>
  <si>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</si>
  <si>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</si>
  <si>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</si>
  <si>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</si>
  <si>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</si>
  <si>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</si>
  <si>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</si>
  <si>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</si>
  <si>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</si>
  <si>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</si>
  <si>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</si>
  <si>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</si>
  <si>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</si>
  <si>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</si>
  <si>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</si>
  <si>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</si>
  <si>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</si>
  <si>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</si>
  <si>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</si>
  <si>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</si>
  <si>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</si>
  <si>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</si>
  <si>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</si>
  <si>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</si>
  <si>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</si>
  <si>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</si>
  <si>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</si>
  <si>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</si>
  <si>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</si>
  <si>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</si>
  <si>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</si>
  <si>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</si>
  <si>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</si>
  <si>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</si>
  <si>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</si>
  <si>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</si>
  <si>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</si>
  <si>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</si>
  <si>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</si>
  <si>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</si>
  <si>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</si>
  <si>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</si>
  <si>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</si>
  <si>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</si>
  <si>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</si>
  <si>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</si>
  <si>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</si>
  <si>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</si>
  <si>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</si>
  <si>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</si>
  <si>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</si>
  <si>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</si>
  <si>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</si>
  <si>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</si>
  <si>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</si>
  <si>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</si>
  <si>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</si>
  <si>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</si>
  <si>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</si>
  <si>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</si>
  <si>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</si>
  <si>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</si>
  <si>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</si>
  <si>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</si>
  <si>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</si>
  <si>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</si>
  <si>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</si>
  <si>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</si>
  <si>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</si>
  <si>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</si>
  <si>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</si>
  <si>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</si>
  <si>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</si>
  <si>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</si>
  <si>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</si>
  <si>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</si>
  <si>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</si>
  <si>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</si>
  <si>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</si>
  <si>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</si>
  <si>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</si>
  <si>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</si>
  <si>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</si>
  <si>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</si>
  <si>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</si>
  <si>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</si>
  <si>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</si>
  <si>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</si>
  <si>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</si>
  <si>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</si>
  <si>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</si>
  <si>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</si>
  <si>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</si>
  <si>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</si>
  <si>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</si>
  <si>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</si>
  <si>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</si>
  <si>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</si>
  <si>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</si>
  <si>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</si>
  <si>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</si>
  <si>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</si>
  <si>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</si>
  <si>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</si>
  <si>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</si>
  <si>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</si>
  <si>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</si>
  <si>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</si>
  <si>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</si>
  <si>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</si>
  <si>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</si>
  <si>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</si>
  <si>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</si>
  <si>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</si>
  <si>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</si>
  <si>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</si>
  <si>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</si>
  <si>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</si>
  <si>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</si>
  <si>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</si>
  <si>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</si>
  <si>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</si>
  <si>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</si>
  <si>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</si>
  <si>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</si>
  <si>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</si>
  <si>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</si>
  <si>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</si>
  <si>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</si>
  <si>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</si>
  <si>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</si>
  <si>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</si>
  <si>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</si>
  <si>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</si>
  <si>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</si>
  <si>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</si>
  <si>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</si>
  <si>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</si>
  <si>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</si>
  <si>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</si>
  <si>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</si>
  <si>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</si>
  <si>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</si>
  <si>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</si>
  <si>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</si>
  <si>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</si>
  <si>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</si>
  <si>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</si>
  <si>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</si>
  <si>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</si>
  <si>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</si>
  <si>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</si>
  <si>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</si>
  <si>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</si>
  <si>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</si>
  <si>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</si>
  <si>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</si>
  <si>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</si>
  <si>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</si>
  <si>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</si>
  <si>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</si>
  <si>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</si>
  <si>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</si>
  <si>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</si>
  <si>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</si>
  <si>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</si>
  <si>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</si>
  <si>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</si>
  <si>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</si>
  <si>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</si>
  <si>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</si>
  <si>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</si>
  <si>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</si>
  <si>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</si>
  <si>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</si>
  <si>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</si>
  <si>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</si>
  <si>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</si>
  <si>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</si>
  <si>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</si>
  <si>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</si>
  <si>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</si>
  <si>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</si>
  <si>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</si>
  <si>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</si>
  <si>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</si>
  <si>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</si>
  <si>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</si>
  <si>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</si>
  <si>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</si>
  <si>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</si>
  <si>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</si>
  <si>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</si>
  <si>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</si>
  <si>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</si>
  <si>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</si>
  <si>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</si>
  <si>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</si>
  <si>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</si>
  <si>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</si>
  <si>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</si>
  <si>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</si>
  <si>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</si>
  <si>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</si>
  <si>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</si>
  <si>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</si>
  <si>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</si>
  <si>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</si>
  <si>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</si>
  <si>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</si>
  <si>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</si>
  <si>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</si>
  <si>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</si>
  <si>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</si>
  <si>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</si>
  <si>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</si>
  <si>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</si>
  <si>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</si>
  <si>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</si>
  <si>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</si>
  <si>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</si>
  <si>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</si>
  <si>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</si>
  <si>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</si>
  <si>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</si>
  <si>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</si>
  <si>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</si>
  <si>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</si>
  <si>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</si>
  <si>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</si>
  <si>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</si>
  <si>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</si>
  <si>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</si>
  <si>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</si>
  <si>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</si>
  <si>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</si>
  <si>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</si>
  <si>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</si>
  <si>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</si>
  <si>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</si>
  <si>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</si>
  <si>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</si>
  <si>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</si>
  <si>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</si>
  <si>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</si>
  <si>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</si>
  <si>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</si>
  <si>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</si>
  <si>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</si>
  <si>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</si>
  <si>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</si>
  <si>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</si>
  <si>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</si>
  <si>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</si>
  <si>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</si>
  <si>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</si>
  <si>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</si>
  <si>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</si>
  <si>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</si>
  <si>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</si>
  <si>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</si>
  <si>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</si>
  <si>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</si>
  <si>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</si>
  <si>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</si>
  <si>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</si>
  <si>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</si>
  <si>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</si>
  <si>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</si>
  <si>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</si>
  <si>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</si>
  <si>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</si>
  <si>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</si>
  <si>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</si>
  <si>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</si>
  <si>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</si>
  <si>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</si>
  <si>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</si>
  <si>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</si>
  <si>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</si>
  <si>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</si>
  <si>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</si>
  <si>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</si>
  <si>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</si>
  <si>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</si>
  <si>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</si>
  <si>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</si>
  <si>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</si>
  <si>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</si>
  <si>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</si>
  <si>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</si>
  <si>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</si>
  <si>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</si>
  <si>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</si>
  <si>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</si>
  <si>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</si>
  <si>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</si>
  <si>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</si>
  <si>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</si>
  <si>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</si>
  <si>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</si>
  <si>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</si>
  <si>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</si>
  <si>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</si>
  <si>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</si>
  <si>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</si>
  <si>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</si>
  <si>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</si>
  <si>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</si>
  <si>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</si>
  <si>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</si>
  <si>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</si>
  <si>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</si>
  <si>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</si>
  <si>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</si>
  <si>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</si>
  <si>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</si>
  <si>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</si>
  <si>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</si>
  <si>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</si>
  <si>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</si>
  <si>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</si>
  <si>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</si>
  <si>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</si>
  <si>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</si>
  <si>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</si>
  <si>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</si>
  <si>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</si>
  <si>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</si>
  <si>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</si>
  <si>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</si>
  <si>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</si>
  <si>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</si>
  <si>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</si>
  <si>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</si>
  <si>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</si>
  <si>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</si>
  <si>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</si>
  <si>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</si>
  <si>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</si>
  <si>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</si>
  <si>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</si>
  <si>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</si>
  <si>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</si>
  <si>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</si>
  <si>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</si>
  <si>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</si>
  <si>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</si>
  <si>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</si>
  <si>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</si>
  <si>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</si>
  <si>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</si>
  <si>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</si>
  <si>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</si>
  <si>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</si>
  <si>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</si>
  <si>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</si>
  <si>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</si>
  <si>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</si>
  <si>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</si>
  <si>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Como cajerio, quiero filtrar el medio de pago de las facturas y egresos para facilizar la conciliación bancaria</t>
  </si>
  <si>
    <t>HU39: Filtrar Medio de pago</t>
  </si>
  <si>
    <t>Nequi_</t>
  </si>
  <si>
    <t>Agregar la categoria "Cuenta por pagar"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</si>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</sst>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  <xf numFmtId="0" fontId="0" fillId="0" borderId="0" xfId="0" applyFill="1"/>
    <xf numFmtId="17" fontId="0" fillId="0" borderId="0" xfId="0" applyNumberForma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T31"/>
  <sheetViews>
    <sheetView showGridLines="0" tabSelected="1" topLeftCell="A7" zoomScaleNormal="100" workbookViewId="0">
      <selection activeCell="AM14" sqref="AM14"/>
    </sheetView>
  </sheetViews>
  <sheetFormatPr baseColWidth="10" defaultRowHeight="15" outlineLevelRow="1" outlineLevelCol="1" x14ac:dyDescent="0.25"/>
  <cols>
    <col min="1" max="1" width="15" style="3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0" hidden="1" customWidth="1"/>
    <col min="32" max="32" width="3.140625" hidden="1" customWidth="1" collapsed="1"/>
    <col min="33" max="33" width="0" hidden="1" customWidth="1"/>
    <col min="34" max="34" width="3.140625" bestFit="1" customWidth="1" collapsed="1"/>
    <col min="36" max="36" width="3.140625" bestFit="1" customWidth="1" collapsed="1"/>
    <col min="38" max="38" width="3.140625" bestFit="1" customWidth="1" collapsed="1"/>
    <col min="45" max="46" width="11.42578125" customWidth="1"/>
  </cols>
  <sheetData>
    <row r="1" spans="1:46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</row>
    <row r="2" spans="1:46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S2" s="44" t="s">
        <v>137</v>
      </c>
      <c r="AT2" s="45">
        <v>46083</v>
      </c>
    </row>
    <row r="3" spans="1:46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S3" s="26">
        <v>0</v>
      </c>
      <c r="AT3" s="3">
        <f>+$A3*AS3</f>
        <v>0</v>
      </c>
    </row>
    <row r="4" spans="1:46" outlineLevel="1" x14ac:dyDescent="0.25">
      <c r="A4" s="27">
        <v>50000</v>
      </c>
      <c r="B4" s="26">
        <v>1</v>
      </c>
      <c r="C4" s="3">
        <f t="shared" ref="C4:C13" si="4">+A4*B4</f>
        <v>50000</v>
      </c>
      <c r="D4" s="26">
        <v>1</v>
      </c>
      <c r="E4" s="3">
        <f t="shared" ref="E4:E13" si="5">+$A4*D4</f>
        <v>50000</v>
      </c>
      <c r="F4" s="26">
        <v>1</v>
      </c>
      <c r="G4" s="3"/>
      <c r="H4" s="26">
        <v>0</v>
      </c>
      <c r="I4" s="3">
        <f t="shared" ref="I4" si="6">+$A4*H4</f>
        <v>0</v>
      </c>
      <c r="J4" s="26">
        <v>2</v>
      </c>
      <c r="K4" s="3">
        <f t="shared" ref="K4" si="7">+$A4*J4</f>
        <v>100000</v>
      </c>
      <c r="L4" s="26">
        <v>0</v>
      </c>
      <c r="M4" s="3">
        <f t="shared" ref="M4" si="8">+$A4*L4</f>
        <v>0</v>
      </c>
      <c r="N4" s="26">
        <v>0</v>
      </c>
      <c r="O4" s="3">
        <f t="shared" ref="O4" si="9">+$A4*N4</f>
        <v>0</v>
      </c>
      <c r="P4" s="26">
        <v>1</v>
      </c>
      <c r="Q4" s="3">
        <f t="shared" ref="Q4" si="10">+$A4*P4</f>
        <v>50000</v>
      </c>
      <c r="R4" s="26">
        <v>1</v>
      </c>
      <c r="S4" s="3"/>
      <c r="T4" s="26">
        <v>0</v>
      </c>
      <c r="U4" s="3">
        <f t="shared" ref="U4:U5" si="11">+$A4*T4</f>
        <v>0</v>
      </c>
      <c r="V4" s="1">
        <v>1</v>
      </c>
      <c r="W4" s="3">
        <f t="shared" ref="W4:W5" si="12">+$A4*V4</f>
        <v>50000</v>
      </c>
      <c r="X4" s="1">
        <v>0</v>
      </c>
      <c r="Y4" s="3">
        <f t="shared" ref="Y4:Y5" si="13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R4" s="91">
        <v>20500</v>
      </c>
      <c r="AS4" s="26">
        <v>1</v>
      </c>
      <c r="AT4" s="3">
        <f>+$A4*AS4</f>
        <v>50000</v>
      </c>
    </row>
    <row r="5" spans="1:46" outlineLevel="1" x14ac:dyDescent="0.25">
      <c r="A5" s="27">
        <v>20000</v>
      </c>
      <c r="B5" s="26">
        <v>4</v>
      </c>
      <c r="C5" s="3">
        <f t="shared" si="4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1"/>
        <v>0</v>
      </c>
      <c r="V5" s="1">
        <v>0</v>
      </c>
      <c r="W5" s="3">
        <f t="shared" si="12"/>
        <v>0</v>
      </c>
      <c r="X5" s="1">
        <v>0</v>
      </c>
      <c r="Y5" s="3">
        <f t="shared" si="13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R5" s="91">
        <v>55800</v>
      </c>
      <c r="AS5" s="26">
        <v>1</v>
      </c>
      <c r="AT5" s="3">
        <f>+$A5*AS5</f>
        <v>20000</v>
      </c>
    </row>
    <row r="6" spans="1:46" outlineLevel="1" x14ac:dyDescent="0.25">
      <c r="A6" s="27">
        <v>10000</v>
      </c>
      <c r="B6" s="26">
        <v>2</v>
      </c>
      <c r="C6" s="3">
        <f t="shared" si="4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3</v>
      </c>
      <c r="AM6" s="3">
        <f t="shared" si="3"/>
        <v>30000</v>
      </c>
      <c r="AR6" s="91">
        <v>43800</v>
      </c>
      <c r="AS6" s="26">
        <v>4</v>
      </c>
      <c r="AT6" s="3">
        <f>+$A6*AS6</f>
        <v>40000</v>
      </c>
    </row>
    <row r="7" spans="1:46" outlineLevel="1" x14ac:dyDescent="0.25">
      <c r="A7" s="27">
        <v>5000</v>
      </c>
      <c r="B7" s="26">
        <v>2</v>
      </c>
      <c r="C7" s="3">
        <f t="shared" si="4"/>
        <v>10000</v>
      </c>
      <c r="D7" s="26">
        <v>4</v>
      </c>
      <c r="E7" s="3">
        <f t="shared" si="5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9</v>
      </c>
      <c r="AM7" s="3">
        <f t="shared" si="3"/>
        <v>45000</v>
      </c>
      <c r="AR7" s="81">
        <v>40000</v>
      </c>
      <c r="AS7" s="26">
        <v>3</v>
      </c>
      <c r="AT7" s="3">
        <f>+$A7*AS7</f>
        <v>15000</v>
      </c>
    </row>
    <row r="8" spans="1:46" ht="15.75" outlineLevel="1" thickBot="1" x14ac:dyDescent="0.3">
      <c r="A8" s="27">
        <v>2000</v>
      </c>
      <c r="B8" s="26">
        <v>4</v>
      </c>
      <c r="C8" s="3">
        <f t="shared" si="4"/>
        <v>8000</v>
      </c>
      <c r="D8" s="26">
        <v>5</v>
      </c>
      <c r="E8" s="3">
        <f t="shared" si="5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24</v>
      </c>
      <c r="AM8" s="3">
        <f t="shared" si="3"/>
        <v>48000</v>
      </c>
      <c r="AR8" s="90">
        <v>100000</v>
      </c>
      <c r="AS8" s="26">
        <v>10</v>
      </c>
      <c r="AT8" s="3">
        <f>+$A8*AS8</f>
        <v>20000</v>
      </c>
    </row>
    <row r="9" spans="1:46" ht="15.75" outlineLevel="1" thickTop="1" x14ac:dyDescent="0.25">
      <c r="A9" s="27">
        <v>1000</v>
      </c>
      <c r="B9" s="26">
        <v>7</v>
      </c>
      <c r="C9" s="3">
        <f t="shared" si="4"/>
        <v>7000</v>
      </c>
      <c r="D9" s="26">
        <v>8</v>
      </c>
      <c r="E9" s="3">
        <f t="shared" si="5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R9" s="29">
        <f>+SUM(AR4:AR8)</f>
        <v>260100</v>
      </c>
      <c r="AS9" s="26">
        <v>0</v>
      </c>
      <c r="AT9" s="3">
        <f>+$A9*AS9</f>
        <v>0</v>
      </c>
    </row>
    <row r="10" spans="1:46" outlineLevel="1" x14ac:dyDescent="0.25">
      <c r="A10" s="27">
        <v>500</v>
      </c>
      <c r="B10" s="26">
        <v>31</v>
      </c>
      <c r="C10" s="3">
        <f t="shared" si="4"/>
        <v>15500</v>
      </c>
      <c r="D10" s="26">
        <v>32</v>
      </c>
      <c r="E10" s="3">
        <f t="shared" si="5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S10" s="26">
        <v>36</v>
      </c>
      <c r="AT10" s="3">
        <f>+$A10*AS10</f>
        <v>18000</v>
      </c>
    </row>
    <row r="11" spans="1:46" outlineLevel="1" x14ac:dyDescent="0.25">
      <c r="A11" s="27">
        <v>200</v>
      </c>
      <c r="B11" s="26">
        <v>54</v>
      </c>
      <c r="C11" s="3">
        <f t="shared" si="4"/>
        <v>10800</v>
      </c>
      <c r="D11" s="26">
        <v>56</v>
      </c>
      <c r="E11" s="3">
        <f t="shared" si="5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S11" s="26">
        <v>81</v>
      </c>
      <c r="AT11" s="3">
        <f>+$A11*AS11</f>
        <v>16200</v>
      </c>
    </row>
    <row r="12" spans="1:46" outlineLevel="1" x14ac:dyDescent="0.25">
      <c r="A12" s="27">
        <v>100</v>
      </c>
      <c r="B12" s="26">
        <v>38</v>
      </c>
      <c r="C12" s="3">
        <f t="shared" si="4"/>
        <v>3800</v>
      </c>
      <c r="D12" s="26">
        <v>39</v>
      </c>
      <c r="E12" s="3">
        <f t="shared" si="5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R12" s="81">
        <v>55800</v>
      </c>
      <c r="AS12" s="26">
        <v>77</v>
      </c>
      <c r="AT12" s="3">
        <f>+$A12*AS12</f>
        <v>7700</v>
      </c>
    </row>
    <row r="13" spans="1:46" ht="15.75" outlineLevel="1" thickBot="1" x14ac:dyDescent="0.3">
      <c r="A13" s="27">
        <v>50</v>
      </c>
      <c r="B13" s="26">
        <v>10</v>
      </c>
      <c r="C13" s="28">
        <f t="shared" si="4"/>
        <v>500</v>
      </c>
      <c r="D13" s="26">
        <v>10</v>
      </c>
      <c r="E13" s="28">
        <f t="shared" si="5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R13" s="90">
        <v>43800</v>
      </c>
      <c r="AS13" s="26">
        <v>14</v>
      </c>
      <c r="AT13" s="28">
        <f>+$A13*AS13</f>
        <v>700</v>
      </c>
    </row>
    <row r="14" spans="1:46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200350</v>
      </c>
      <c r="AR14" s="81">
        <f>+SUM(AR12:AR13)</f>
        <v>99600</v>
      </c>
      <c r="AT14" s="69">
        <f>SUM(AT3:AT13)</f>
        <v>187600</v>
      </c>
    </row>
    <row r="15" spans="1:46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</row>
    <row r="16" spans="1:46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</row>
    <row r="17" spans="1:39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</row>
    <row r="18" spans="1:39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</row>
    <row r="19" spans="1:39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</row>
    <row r="20" spans="1:3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67000</v>
      </c>
      <c r="AK20" s="67">
        <f>Registros!$C$13</f>
        <v>132500</v>
      </c>
      <c r="AM20" s="67">
        <v>271000</v>
      </c>
    </row>
    <row r="21" spans="1:3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</row>
    <row r="22" spans="1:39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</row>
    <row r="23" spans="1:39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101400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</row>
    <row r="25" spans="1:39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64100</v>
      </c>
    </row>
    <row r="27" spans="1:39" x14ac:dyDescent="0.25">
      <c r="A27" s="19" t="s">
        <v>330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</f>
        <v>44950</v>
      </c>
    </row>
    <row r="28" spans="1:39" x14ac:dyDescent="0.25">
      <c r="A28" s="19" t="s">
        <v>331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</row>
    <row r="31" spans="1:39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C13" sqref="C13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100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403</v>
      </c>
      <c r="F4" t="s">
        <v>401</v>
      </c>
    </row>
    <row r="5" spans="1:7" x14ac:dyDescent="0.25">
      <c r="A5" s="1">
        <v>2</v>
      </c>
      <c r="B5" s="1" t="s">
        <v>393</v>
      </c>
      <c r="C5" s="91">
        <v>16000</v>
      </c>
      <c r="D5" t="s">
        <v>403</v>
      </c>
      <c r="F5" t="s">
        <v>402</v>
      </c>
    </row>
    <row r="6" spans="1:7" x14ac:dyDescent="0.25">
      <c r="A6" s="1">
        <v>2</v>
      </c>
      <c r="B6" s="1" t="s">
        <v>396</v>
      </c>
      <c r="C6" s="91">
        <v>6000</v>
      </c>
      <c r="D6">
        <v>3</v>
      </c>
    </row>
    <row r="7" spans="1:7" x14ac:dyDescent="0.25">
      <c r="A7">
        <v>3</v>
      </c>
      <c r="B7" t="s">
        <v>400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393</v>
      </c>
      <c r="C8" s="91">
        <v>24000</v>
      </c>
    </row>
    <row r="9" spans="1:7" x14ac:dyDescent="0.25">
      <c r="A9" s="1">
        <v>3</v>
      </c>
      <c r="B9" s="1" t="s">
        <v>396</v>
      </c>
      <c r="C9" s="91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400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90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100">
        <v>41699</v>
      </c>
    </row>
    <row r="19" spans="1:5" x14ac:dyDescent="0.25">
      <c r="A19" s="99">
        <v>2</v>
      </c>
      <c r="B19" s="99" t="s">
        <v>393</v>
      </c>
      <c r="C19" s="99">
        <v>16000</v>
      </c>
    </row>
    <row r="20" spans="1:5" x14ac:dyDescent="0.25">
      <c r="A20" s="99">
        <v>2</v>
      </c>
      <c r="B20" s="99" t="s">
        <v>396</v>
      </c>
      <c r="C20" s="99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395</v>
      </c>
      <c r="C22" s="1">
        <v>3000</v>
      </c>
    </row>
    <row r="23" spans="1:5" x14ac:dyDescent="0.25">
      <c r="A23">
        <v>2</v>
      </c>
      <c r="B23" t="s">
        <v>397</v>
      </c>
      <c r="C23">
        <v>9000</v>
      </c>
    </row>
    <row r="24" spans="1:5" x14ac:dyDescent="0.25">
      <c r="A24" s="1">
        <v>2</v>
      </c>
      <c r="B24" s="1" t="s">
        <v>393</v>
      </c>
      <c r="C24" s="1">
        <v>16000</v>
      </c>
    </row>
    <row r="25" spans="1:5" x14ac:dyDescent="0.25">
      <c r="A25" s="1">
        <v>2</v>
      </c>
      <c r="B25" s="1" t="s">
        <v>396</v>
      </c>
      <c r="C25" s="1">
        <v>6000</v>
      </c>
    </row>
    <row r="27" spans="1:5" x14ac:dyDescent="0.25">
      <c r="A27">
        <v>1</v>
      </c>
      <c r="B27" t="s">
        <v>394</v>
      </c>
      <c r="C27">
        <v>37000</v>
      </c>
      <c r="D27" t="s">
        <v>398</v>
      </c>
      <c r="E27">
        <f>30+7</f>
        <v>37</v>
      </c>
    </row>
    <row r="28" spans="1:5" x14ac:dyDescent="0.25">
      <c r="A28" s="1">
        <v>3</v>
      </c>
      <c r="B28" s="1" t="s">
        <v>393</v>
      </c>
      <c r="C28" s="1">
        <v>24000</v>
      </c>
    </row>
    <row r="29" spans="1:5" x14ac:dyDescent="0.25">
      <c r="A29" s="1">
        <v>1</v>
      </c>
      <c r="B29" s="1" t="s">
        <v>392</v>
      </c>
      <c r="C29" s="1">
        <v>15000</v>
      </c>
    </row>
    <row r="30" spans="1:5" x14ac:dyDescent="0.25">
      <c r="A30" s="1">
        <v>1</v>
      </c>
      <c r="B30" s="1" t="s">
        <v>395</v>
      </c>
      <c r="C30" s="1">
        <v>3000</v>
      </c>
    </row>
    <row r="31" spans="1:5" x14ac:dyDescent="0.25">
      <c r="B31" t="s">
        <v>394</v>
      </c>
      <c r="C31" s="1">
        <v>23000</v>
      </c>
      <c r="D31" t="s">
        <v>399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395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4"/>
  <sheetViews>
    <sheetView zoomScale="130" zoomScaleNormal="130" workbookViewId="0">
      <pane ySplit="2" topLeftCell="A7" activePane="bottomLeft" state="frozen"/>
      <selection pane="bottomLeft" activeCell="D6" sqref="D6:D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6" ht="21" x14ac:dyDescent="0.35">
      <c r="B1" s="84" t="s">
        <v>352</v>
      </c>
      <c r="C1" s="22"/>
    </row>
    <row r="2" spans="1:6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6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6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6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6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6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6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6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6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6" x14ac:dyDescent="0.25">
      <c r="A11" s="85">
        <v>46093</v>
      </c>
      <c r="B11" s="83" t="s">
        <v>389</v>
      </c>
      <c r="C11" s="86"/>
      <c r="D11" s="83" t="s">
        <v>387</v>
      </c>
      <c r="E11" s="93" t="s">
        <v>388</v>
      </c>
    </row>
    <row r="12" spans="1:6" x14ac:dyDescent="0.25">
      <c r="A12" s="85"/>
      <c r="B12" s="97" t="s">
        <v>370</v>
      </c>
      <c r="C12" s="86"/>
      <c r="D12" s="83"/>
      <c r="E12" s="93"/>
    </row>
    <row r="13" spans="1:6" x14ac:dyDescent="0.25">
      <c r="A13" s="85"/>
      <c r="B13" s="85" t="s">
        <v>391</v>
      </c>
      <c r="C13" s="85"/>
      <c r="D13" s="85"/>
      <c r="E13" s="85"/>
      <c r="F13" s="85"/>
    </row>
    <row r="14" spans="1:6" ht="45" x14ac:dyDescent="0.25">
      <c r="A14" s="85"/>
      <c r="B14" s="97" t="s">
        <v>369</v>
      </c>
      <c r="C14" s="86"/>
      <c r="D14" s="83"/>
      <c r="E14" s="93"/>
    </row>
    <row r="15" spans="1:6" x14ac:dyDescent="0.25">
      <c r="A15" s="85"/>
      <c r="B15" s="97" t="s">
        <v>371</v>
      </c>
      <c r="C15" s="86"/>
      <c r="D15" s="83"/>
      <c r="E15" s="93"/>
    </row>
    <row r="16" spans="1:6" x14ac:dyDescent="0.25">
      <c r="A16" s="85"/>
      <c r="B16" s="98" t="s">
        <v>372</v>
      </c>
      <c r="C16" s="94" t="s">
        <v>306</v>
      </c>
      <c r="D16" s="83"/>
      <c r="E16" s="93"/>
    </row>
    <row r="17" spans="1:5" x14ac:dyDescent="0.25">
      <c r="A17" s="85"/>
      <c r="B17" s="98" t="s">
        <v>382</v>
      </c>
      <c r="C17" s="94"/>
      <c r="D17" s="83"/>
      <c r="E17" s="93"/>
    </row>
    <row r="18" spans="1:5" x14ac:dyDescent="0.25">
      <c r="A18" s="83"/>
      <c r="B18" s="83" t="s">
        <v>245</v>
      </c>
      <c r="C18" s="94" t="s">
        <v>306</v>
      </c>
      <c r="D18" s="83"/>
      <c r="E18" s="93"/>
    </row>
    <row r="19" spans="1:5" x14ac:dyDescent="0.25">
      <c r="A19" s="83"/>
      <c r="B19" s="83" t="s">
        <v>244</v>
      </c>
      <c r="C19" s="94" t="s">
        <v>306</v>
      </c>
      <c r="D19" s="83"/>
      <c r="E19" s="93"/>
    </row>
    <row r="20" spans="1:5" x14ac:dyDescent="0.25">
      <c r="A20" s="83"/>
      <c r="B20" s="83" t="s">
        <v>246</v>
      </c>
      <c r="C20" s="94" t="s">
        <v>306</v>
      </c>
      <c r="D20" s="83"/>
      <c r="E20" s="93"/>
    </row>
    <row r="21" spans="1:5" x14ac:dyDescent="0.25">
      <c r="A21" s="83"/>
      <c r="B21" s="83" t="s">
        <v>247</v>
      </c>
      <c r="C21" s="94" t="s">
        <v>306</v>
      </c>
      <c r="D21" s="83"/>
      <c r="E21" s="93"/>
    </row>
    <row r="22" spans="1:5" x14ac:dyDescent="0.25">
      <c r="A22" s="83"/>
      <c r="B22" s="83" t="s">
        <v>248</v>
      </c>
      <c r="C22" s="94" t="s">
        <v>306</v>
      </c>
      <c r="D22" s="83"/>
      <c r="E22" s="93"/>
    </row>
    <row r="23" spans="1:5" x14ac:dyDescent="0.25">
      <c r="A23" s="83"/>
      <c r="B23" s="83" t="s">
        <v>254</v>
      </c>
      <c r="C23" s="94" t="s">
        <v>306</v>
      </c>
      <c r="D23" s="83"/>
      <c r="E23" s="93"/>
    </row>
    <row r="24" spans="1:5" x14ac:dyDescent="0.25">
      <c r="A24" s="83"/>
      <c r="B24" s="83" t="s">
        <v>255</v>
      </c>
      <c r="C24" s="94" t="s">
        <v>306</v>
      </c>
      <c r="D24" s="83"/>
      <c r="E24" s="9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66"/>
  <sheetViews>
    <sheetView zoomScale="115" zoomScaleNormal="115" workbookViewId="0">
      <pane ySplit="5" topLeftCell="A54" activePane="bottomLeft" state="frozen"/>
      <selection activeCell="C1" sqref="C1"/>
      <selection pane="bottomLeft" activeCell="H60" sqref="H60"/>
    </sheetView>
  </sheetViews>
  <sheetFormatPr baseColWidth="10" defaultColWidth="9.140625" defaultRowHeight="15" x14ac:dyDescent="0.25"/>
  <cols>
    <col min="1" max="1" width="10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7" max="7" width="11.7109375" style="3" bestFit="1" customWidth="1"/>
    <col min="9" max="9" width="30.42578125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13000</v>
      </c>
      <c r="B1">
        <v>354650</v>
      </c>
      <c r="D1" s="3">
        <f>+SUMIF($H$6:$H$1048576,H1,$D$6:$D$1048576)</f>
        <v>341650</v>
      </c>
      <c r="H1" s="32" t="s">
        <v>142</v>
      </c>
    </row>
    <row r="2" spans="1:10" ht="15.75" thickBot="1" x14ac:dyDescent="0.3">
      <c r="D2" s="28">
        <f>+SUMIF($H$6:$H$1048576,H2,$D$6:$D$1048576)</f>
        <v>105000</v>
      </c>
      <c r="H2" s="33" t="s">
        <v>147</v>
      </c>
    </row>
    <row r="3" spans="1:10" ht="15.75" thickTop="1" x14ac:dyDescent="0.25">
      <c r="D3" s="3">
        <f>+SUM(D6:D1048576)</f>
        <v>529650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3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222</v>
      </c>
      <c r="F61" s="16"/>
      <c r="G61" s="16" t="s">
        <v>383</v>
      </c>
      <c r="H61" s="32" t="s">
        <v>390</v>
      </c>
    </row>
    <row r="62" spans="1:9" x14ac:dyDescent="0.25">
      <c r="A62" s="2">
        <v>46093</v>
      </c>
      <c r="B62" s="2" t="str">
        <f t="shared" si="7"/>
        <v>jue</v>
      </c>
      <c r="D62" s="3">
        <v>11000</v>
      </c>
      <c r="E62" s="3" t="s">
        <v>222</v>
      </c>
      <c r="F62" s="96" t="s">
        <v>385</v>
      </c>
      <c r="H62" s="32" t="s">
        <v>142</v>
      </c>
      <c r="I62" t="s">
        <v>353</v>
      </c>
    </row>
    <row r="63" spans="1:9" x14ac:dyDescent="0.25">
      <c r="A63" s="2">
        <v>46093</v>
      </c>
      <c r="B63" s="2" t="str">
        <f t="shared" si="7"/>
        <v>jue</v>
      </c>
      <c r="D63" s="3">
        <v>24000</v>
      </c>
      <c r="E63" s="3" t="s">
        <v>222</v>
      </c>
      <c r="F63" s="96" t="s">
        <v>386</v>
      </c>
      <c r="H63" s="32" t="s">
        <v>142</v>
      </c>
      <c r="I63" t="s">
        <v>379</v>
      </c>
    </row>
    <row r="64" spans="1:9" x14ac:dyDescent="0.25">
      <c r="A64" s="2">
        <v>46093</v>
      </c>
      <c r="B64" s="2" t="str">
        <f t="shared" ref="B64:B66" si="8">+TEXT(A64,"ddd")</f>
        <v>jue</v>
      </c>
      <c r="D64" s="3">
        <v>24000</v>
      </c>
      <c r="E64" s="3" t="s">
        <v>222</v>
      </c>
      <c r="H64" s="32" t="s">
        <v>142</v>
      </c>
      <c r="I64" t="s">
        <v>380</v>
      </c>
    </row>
    <row r="65" spans="1:9" x14ac:dyDescent="0.25">
      <c r="A65" s="2">
        <v>46093</v>
      </c>
      <c r="B65" s="2" t="str">
        <f t="shared" si="8"/>
        <v>jue</v>
      </c>
      <c r="D65" s="3">
        <v>11000</v>
      </c>
      <c r="E65" s="3" t="s">
        <v>222</v>
      </c>
      <c r="H65" s="32" t="s">
        <v>142</v>
      </c>
      <c r="I65" t="s">
        <v>381</v>
      </c>
    </row>
    <row r="66" spans="1:9" x14ac:dyDescent="0.25">
      <c r="A66" s="15">
        <v>46094</v>
      </c>
      <c r="B66" s="15" t="str">
        <f t="shared" si="8"/>
        <v>vie</v>
      </c>
      <c r="C66" s="1"/>
      <c r="D66" s="16">
        <v>16000</v>
      </c>
      <c r="E66" s="16" t="s">
        <v>222</v>
      </c>
      <c r="F66" s="16"/>
      <c r="G66" s="16" t="s">
        <v>383</v>
      </c>
      <c r="H66" s="32" t="s">
        <v>390</v>
      </c>
    </row>
  </sheetData>
  <autoFilter ref="A5:M65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G13"/>
  <sheetViews>
    <sheetView zoomScale="85" zoomScaleNormal="85" workbookViewId="0">
      <selection activeCell="C14" sqref="C14:E14"/>
    </sheetView>
  </sheetViews>
  <sheetFormatPr baseColWidth="10" defaultRowHeight="15" x14ac:dyDescent="0.25"/>
  <cols>
    <col min="3" max="3" width="21" bestFit="1" customWidth="1"/>
    <col min="4" max="4" width="6.7109375" bestFit="1" customWidth="1"/>
    <col min="5" max="5" width="8.140625" bestFit="1" customWidth="1"/>
  </cols>
  <sheetData>
    <row r="1" spans="3:7" x14ac:dyDescent="0.25">
      <c r="C1" s="26" t="s">
        <v>315</v>
      </c>
    </row>
    <row r="2" spans="3:7" x14ac:dyDescent="0.25">
      <c r="C2" t="s">
        <v>311</v>
      </c>
      <c r="D2">
        <v>10000</v>
      </c>
      <c r="E2">
        <f>+D2*4</f>
        <v>40000</v>
      </c>
    </row>
    <row r="3" spans="3:7" x14ac:dyDescent="0.25">
      <c r="C3" t="s">
        <v>312</v>
      </c>
    </row>
    <row r="4" spans="3:7" x14ac:dyDescent="0.25">
      <c r="C4" t="s">
        <v>313</v>
      </c>
    </row>
    <row r="5" spans="3:7" x14ac:dyDescent="0.25">
      <c r="C5" s="88" t="s">
        <v>314</v>
      </c>
      <c r="D5" s="88"/>
      <c r="E5" s="88"/>
    </row>
    <row r="6" spans="3:7" x14ac:dyDescent="0.25">
      <c r="G6">
        <f>100000-16000</f>
        <v>84000</v>
      </c>
    </row>
    <row r="9" spans="3:7" x14ac:dyDescent="0.25">
      <c r="C9" t="s">
        <v>231</v>
      </c>
      <c r="D9" t="s">
        <v>234</v>
      </c>
    </row>
    <row r="10" spans="3:7" x14ac:dyDescent="0.25">
      <c r="C10" t="s">
        <v>232</v>
      </c>
      <c r="D10" t="s">
        <v>233</v>
      </c>
    </row>
    <row r="13" spans="3:7" x14ac:dyDescent="0.25">
      <c r="C13" t="s">
        <v>315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chorizo</vt:lpstr>
      <vt:lpstr>choriboni</vt:lpstr>
      <vt:lpstr>Arqueo de Caja</vt:lpstr>
      <vt:lpstr>Registros</vt:lpstr>
      <vt:lpstr>DevOps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2026-03-15T00:47:51Z</dcterms:modified>
</cp:coreProperties>
</file>