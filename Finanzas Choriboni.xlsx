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6" activeTab="10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21-mar" sheetId="39" r:id="rId6"/>
    <sheet name="25 marzo" sheetId="40" r:id="rId7"/>
    <sheet name="Gas" sheetId="32" state="hidden" r:id="rId8"/>
    <sheet name="Registros" sheetId="31" state="hidden" r:id="rId9"/>
    <sheet name="DevOps" sheetId="21" r:id="rId10"/>
    <sheet name="MP" sheetId="37" r:id="rId11"/>
    <sheet name="MP2" sheetId="38" r:id="rId12"/>
    <sheet name="Hoja2" sheetId="36" state="hidden" r:id="rId13"/>
    <sheet name="Clientes" sheetId="24" state="hidden" r:id="rId14"/>
    <sheet name="Empaques" sheetId="25" r:id="rId15"/>
    <sheet name="proveedores" sheetId="7" state="hidden" r:id="rId16"/>
    <sheet name="informe" sheetId="6" state="hidden" r:id="rId17"/>
    <sheet name="Costos" sheetId="8" state="hidden" r:id="rId18"/>
    <sheet name="Inventario" sheetId="27" state="hidden" r:id="rId19"/>
    <sheet name="Reporte" sheetId="11" r:id="rId20"/>
    <sheet name="Rappi" sheetId="26" r:id="rId21"/>
    <sheet name="7-MARZO" sheetId="22" state="hidden" r:id="rId22"/>
    <sheet name="Prestamos" sheetId="12" r:id="rId23"/>
    <sheet name="maquina" sheetId="23" r:id="rId24"/>
    <sheet name="Informe ventas" sheetId="13" state="hidden" r:id="rId25"/>
    <sheet name="historial de venta" sheetId="14" state="hidden" r:id="rId26"/>
  </sheets>
  <definedNames>
    <definedName name="_xlnm._FilterDatabase" localSheetId="1" hidden="1">choriboni!$B$17:$I$69</definedName>
    <definedName name="_xlnm._FilterDatabase" localSheetId="9" hidden="1">DevOps!$B$2:$F$44</definedName>
    <definedName name="_xlnm._FilterDatabase" localSheetId="4" hidden="1">Extracto!$A$5:$M$86</definedName>
    <definedName name="_xlnm._FilterDatabase" localSheetId="11" hidden="1">'MP2'!$A$3:$AK$52</definedName>
  </definedNames>
  <calcPr calcId="162913"/>
  <pivotCaches>
    <pivotCache cacheId="0" r:id="rId27"/>
    <pivotCache cacheId="1" r:id="rId28"/>
    <pivotCache cacheId="2" r:id="rId29"/>
    <pivotCache cacheId="3" r:id="rId30"/>
    <pivotCache cacheId="4" r:id="rId31"/>
    <pivotCache cacheId="5" r:id="rId3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2" l="1"/>
  <c r="I23" i="37"/>
  <c r="K22" i="37"/>
  <c r="J22" i="37"/>
  <c r="I22" i="37"/>
  <c r="I20" i="37"/>
  <c r="F22" i="37"/>
  <c r="BE36" i="9"/>
  <c r="BG18" i="9"/>
  <c r="BG2" i="9"/>
  <c r="BG39" i="9"/>
  <c r="BG34" i="9"/>
  <c r="BG32" i="9"/>
  <c r="BG36" i="9"/>
  <c r="BG13" i="9"/>
  <c r="BG12" i="9"/>
  <c r="BG11" i="9"/>
  <c r="BG10" i="9"/>
  <c r="BG9" i="9"/>
  <c r="BG8" i="9"/>
  <c r="BG7" i="9"/>
  <c r="BG6" i="9"/>
  <c r="BG5" i="9"/>
  <c r="BG4" i="9"/>
  <c r="BG3" i="9"/>
  <c r="BG1" i="9"/>
  <c r="BG17" i="9" s="1"/>
  <c r="BE20" i="9"/>
  <c r="BE19" i="9"/>
  <c r="BA16" i="9"/>
  <c r="BE23" i="9"/>
  <c r="BE25" i="9" s="1"/>
  <c r="BC15" i="9"/>
  <c r="C1" i="39"/>
  <c r="C4" i="39"/>
  <c r="B117" i="10"/>
  <c r="B116" i="10"/>
  <c r="B115" i="10"/>
  <c r="B114" i="10"/>
  <c r="B113" i="10"/>
  <c r="BG23" i="9" l="1"/>
  <c r="BG14" i="9"/>
  <c r="BG25" i="9" s="1"/>
  <c r="C15" i="39"/>
  <c r="C9" i="39"/>
  <c r="C8" i="39"/>
  <c r="D39" i="38" l="1"/>
  <c r="BE18" i="9"/>
  <c r="BE39" i="9"/>
  <c r="BE34" i="9"/>
  <c r="BE13" i="9"/>
  <c r="BE12" i="9"/>
  <c r="BE11" i="9"/>
  <c r="BE10" i="9"/>
  <c r="BE9" i="9"/>
  <c r="BE8" i="9"/>
  <c r="BE7" i="9"/>
  <c r="BE6" i="9"/>
  <c r="BE5" i="9"/>
  <c r="BE4" i="9"/>
  <c r="BE3" i="9"/>
  <c r="BE2" i="9"/>
  <c r="BE1" i="9"/>
  <c r="BE17" i="9" s="1"/>
  <c r="BE14" i="9" l="1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5" i="37"/>
  <c r="J15" i="37" s="1"/>
  <c r="I15" i="37"/>
  <c r="K15" i="37" s="1"/>
  <c r="I6" i="37"/>
  <c r="C16" i="23"/>
  <c r="J16" i="37"/>
  <c r="I16" i="37"/>
  <c r="K16" i="37" s="1"/>
  <c r="L16" i="37" s="1"/>
  <c r="M16" i="37" s="1"/>
  <c r="N16" i="37" s="1"/>
  <c r="B5" i="23"/>
  <c r="B6" i="23"/>
  <c r="B8" i="23"/>
  <c r="B9" i="23"/>
  <c r="D8" i="23"/>
  <c r="F11" i="23"/>
  <c r="F10" i="23"/>
  <c r="F8" i="23"/>
  <c r="F7" i="23"/>
  <c r="F4" i="23"/>
  <c r="P6" i="37"/>
  <c r="Q6" i="37"/>
  <c r="V9" i="37"/>
  <c r="V10" i="37"/>
  <c r="V8" i="37"/>
  <c r="V7" i="37"/>
  <c r="BA18" i="9"/>
  <c r="BC39" i="9"/>
  <c r="BA39" i="9"/>
  <c r="BC36" i="9"/>
  <c r="BC34" i="9"/>
  <c r="BC13" i="9"/>
  <c r="BC12" i="9"/>
  <c r="BC11" i="9"/>
  <c r="BC10" i="9"/>
  <c r="BC9" i="9"/>
  <c r="BC8" i="9"/>
  <c r="BC7" i="9"/>
  <c r="BC6" i="9"/>
  <c r="BC5" i="9"/>
  <c r="BC4" i="9"/>
  <c r="BC3" i="9"/>
  <c r="BC2" i="9"/>
  <c r="BC1" i="9"/>
  <c r="BC17" i="9" s="1"/>
  <c r="BA36" i="9"/>
  <c r="BA34" i="9"/>
  <c r="BA32" i="9"/>
  <c r="BA23" i="9"/>
  <c r="BA13" i="9"/>
  <c r="BA12" i="9"/>
  <c r="BA11" i="9"/>
  <c r="BA10" i="9"/>
  <c r="BA9" i="9"/>
  <c r="BA8" i="9"/>
  <c r="BA7" i="9"/>
  <c r="BA6" i="9"/>
  <c r="BA5" i="9"/>
  <c r="BA4" i="9"/>
  <c r="BA3" i="9"/>
  <c r="BA2" i="9"/>
  <c r="BA1" i="9" s="1"/>
  <c r="BA17" i="9" s="1"/>
  <c r="AY36" i="9"/>
  <c r="B95" i="10"/>
  <c r="AY31" i="9"/>
  <c r="B112" i="10"/>
  <c r="AY21" i="9"/>
  <c r="B111" i="10"/>
  <c r="B110" i="10"/>
  <c r="AY13" i="9"/>
  <c r="AY12" i="9"/>
  <c r="AY11" i="9"/>
  <c r="AY10" i="9"/>
  <c r="AY9" i="9"/>
  <c r="AY8" i="9"/>
  <c r="AY7" i="9"/>
  <c r="AY6" i="9"/>
  <c r="AY5" i="9"/>
  <c r="AY4" i="9"/>
  <c r="AY3" i="9"/>
  <c r="AY14" i="9" s="1"/>
  <c r="B109" i="10"/>
  <c r="AW36" i="9"/>
  <c r="E16" i="38" l="1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32" i="9"/>
  <c r="BE32" i="9" s="1"/>
  <c r="BC14" i="9"/>
  <c r="BA14" i="9"/>
  <c r="B107" i="10"/>
  <c r="B106" i="10"/>
  <c r="B101" i="10"/>
  <c r="D107" i="10"/>
  <c r="B105" i="10"/>
  <c r="B104" i="10"/>
  <c r="B103" i="10"/>
  <c r="B102" i="10"/>
  <c r="B100" i="10"/>
  <c r="B99" i="10"/>
  <c r="B98" i="10"/>
  <c r="B97" i="10"/>
  <c r="B108" i="10"/>
  <c r="B96" i="10"/>
  <c r="BA25" i="9" l="1"/>
  <c r="BC18" i="9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AY25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19" i="37"/>
  <c r="J19" i="37"/>
  <c r="J20" i="37"/>
  <c r="I18" i="37"/>
  <c r="J18" i="37"/>
  <c r="Q16" i="37"/>
  <c r="J17" i="37"/>
  <c r="Q17" i="37" s="1"/>
  <c r="I17" i="37"/>
  <c r="Q18" i="37" l="1"/>
  <c r="Q19" i="37"/>
  <c r="Q20" i="37"/>
  <c r="K19" i="37"/>
  <c r="L19" i="37" s="1"/>
  <c r="M19" i="37" s="1"/>
  <c r="N19" i="37" s="1"/>
  <c r="K17" i="37"/>
  <c r="L17" i="37" s="1"/>
  <c r="M17" i="37" s="1"/>
  <c r="N17" i="37" s="1"/>
  <c r="K20" i="37"/>
  <c r="L20" i="37" s="1"/>
  <c r="M20" i="37" s="1"/>
  <c r="N20" i="37" s="1"/>
  <c r="K7" i="37"/>
  <c r="K8" i="37"/>
  <c r="K10" i="37"/>
  <c r="K9" i="37"/>
  <c r="P9" i="37" s="1"/>
  <c r="K18" i="37"/>
  <c r="L18" i="37" s="1"/>
  <c r="M18" i="37" s="1"/>
  <c r="N18" i="37" s="1"/>
  <c r="AU30" i="9"/>
  <c r="P16" i="37" l="1"/>
  <c r="S16" i="37"/>
  <c r="P20" i="37"/>
  <c r="S20" i="37"/>
  <c r="P17" i="37"/>
  <c r="S17" i="37"/>
  <c r="P18" i="37"/>
  <c r="S18" i="37"/>
  <c r="P19" i="37"/>
  <c r="S19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S21" i="37" l="1"/>
  <c r="S26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AY1" i="9" s="1"/>
  <c r="AY17" i="9" s="1"/>
  <c r="D4" i="34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8" i="9" l="1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AI32" i="9" l="1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41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C1" i="23" s="1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E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E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9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F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<sst xmlns="http://schemas.openxmlformats.org/spreadsheetml/2006/main" count="1463" uniqueCount="641">
  <si>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</si>
  <si>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</si>
  <si>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</si>
  <si>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</si>
  <si>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</si>
  <si>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</si>
  <si>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</si>
  <si>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</si>
  <si>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</si>
  <si>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</si>
  <si>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</si>
  <si>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</si>
  <si>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</si>
  <si>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</si>
  <si>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</si>
  <si>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</si>
  <si>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</si>
  <si>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</si>
  <si>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</si>
  <si>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</si>
  <si>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</si>
  <si>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</si>
  <si>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</si>
  <si>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</si>
  <si>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</si>
  <si>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</si>
  <si>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</si>
  <si>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</si>
  <si>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</si>
  <si>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</si>
  <si>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</si>
  <si>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</si>
  <si>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</si>
  <si>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</si>
  <si>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</si>
  <si>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</si>
  <si>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</si>
  <si>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</si>
  <si>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</si>
  <si>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</si>
  <si>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</si>
  <si>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</si>
  <si>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</si>
  <si>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</si>
  <si>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</si>
  <si>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</si>
  <si>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</si>
  <si>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</si>
  <si>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</si>
  <si>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</si>
  <si>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</si>
  <si>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</si>
  <si>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</si>
  <si>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</si>
  <si>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</si>
  <si>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</si>
  <si>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</si>
  <si>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</si>
  <si>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</si>
  <si>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</si>
  <si>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</si>
  <si>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</si>
  <si>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</si>
  <si>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</si>
  <si>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</si>
  <si>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</si>
  <si>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</si>
  <si>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</si>
  <si>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</si>
  <si>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</si>
  <si>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</si>
  <si>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</si>
  <si>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</si>
  <si>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</si>
  <si>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</si>
  <si>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</si>
  <si>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</si>
  <si>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</si>
  <si>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</si>
  <si>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</si>
  <si>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</si>
  <si>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</si>
  <si>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</si>
  <si>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</si>
  <si>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</si>
  <si>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</si>
  <si>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</si>
  <si>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</si>
  <si>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</si>
  <si>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</si>
  <si>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</si>
  <si>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</si>
  <si>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</si>
  <si>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</si>
  <si>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</si>
  <si>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</si>
  <si>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</si>
  <si>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</si>
  <si>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</si>
  <si>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</si>
  <si>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</si>
  <si>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</si>
  <si>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</si>
  <si>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</si>
  <si>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</si>
  <si>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</si>
  <si>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</si>
  <si>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</si>
  <si>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</si>
  <si>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</si>
  <si>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</si>
  <si>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</si>
  <si>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</si>
  <si>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</si>
  <si>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</si>
  <si>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</si>
  <si>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</si>
  <si>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</si>
  <si>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</si>
  <si>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</si>
  <si>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</si>
  <si>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</si>
  <si>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</si>
  <si>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</si>
  <si>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</si>
  <si>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</si>
  <si>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</si>
  <si>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</si>
  <si>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</si>
  <si>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</si>
  <si>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</si>
  <si>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</si>
  <si>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</si>
  <si>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</si>
  <si>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</si>
  <si>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</si>
  <si>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</si>
  <si>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</si>
  <si>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</si>
  <si>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</si>
  <si>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</si>
  <si>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</si>
  <si>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</si>
  <si>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</si>
  <si>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</si>
  <si>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</si>
  <si>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</si>
  <si>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</si>
  <si>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</si>
  <si>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</si>
  <si>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</si>
  <si>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</si>
  <si>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</si>
  <si>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</si>
  <si>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</si>
  <si>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</si>
  <si>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</si>
  <si>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</si>
  <si>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</si>
  <si>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</si>
  <si>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</si>
  <si>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</si>
  <si>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</si>
  <si>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</si>
  <si>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</si>
  <si>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</si>
  <si>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</si>
  <si>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</si>
  <si>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</si>
  <si>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</si>
  <si>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</si>
  <si>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</si>
  <si>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</si>
  <si>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</si>
  <si>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</si>
  <si>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</si>
  <si>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</si>
  <si>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</si>
  <si>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</si>
  <si>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</si>
  <si>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</si>
  <si>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</si>
  <si>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</si>
  <si>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</si>
  <si>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</si>
  <si>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</si>
  <si>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</si>
  <si>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</si>
  <si>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</si>
  <si>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</si>
  <si>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</si>
  <si>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</si>
  <si>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</si>
  <si>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</si>
  <si>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</si>
  <si>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</si>
  <si>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</si>
  <si>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</si>
  <si>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</si>
  <si>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</si>
  <si>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</si>
  <si>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</si>
  <si>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</si>
  <si>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</si>
  <si>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</si>
  <si>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</si>
  <si>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</si>
  <si>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</si>
  <si>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</si>
  <si>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</si>
  <si>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</si>
  <si>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</si>
  <si>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</si>
  <si>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</si>
  <si>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</si>
  <si>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</si>
  <si>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</si>
  <si>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</si>
  <si>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</si>
  <si>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</si>
  <si>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</si>
  <si>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</si>
  <si>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</si>
  <si>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</si>
  <si>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</si>
  <si>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</si>
  <si>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</si>
  <si>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</si>
  <si>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</si>
  <si>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</si>
  <si>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</si>
  <si>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</si>
  <si>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</si>
  <si>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</si>
  <si>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</si>
  <si>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</si>
  <si>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</si>
  <si>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</si>
  <si>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</si>
  <si>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</si>
  <si>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</si>
  <si>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</si>
  <si>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</si>
  <si>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</si>
  <si>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</si>
  <si>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</si>
  <si>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</si>
  <si>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</si>
  <si>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</si>
  <si>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</si>
  <si>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</si>
  <si>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</si>
  <si>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</si>
  <si>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</si>
  <si>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</si>
  <si>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</si>
  <si>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</si>
  <si>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</si>
  <si>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</si>
  <si>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</si>
  <si>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</si>
  <si>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</si>
  <si>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</si>
  <si>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</si>
  <si>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</si>
  <si>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</si>
  <si>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</si>
  <si>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</si>
  <si>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</si>
  <si>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</si>
  <si>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</si>
  <si>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</si>
  <si>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</si>
  <si>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</si>
  <si>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</si>
  <si>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</si>
  <si>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</si>
  <si>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</si>
  <si>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</si>
  <si>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</si>
  <si>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</si>
  <si>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</si>
  <si>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</si>
  <si>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</si>
  <si>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</si>
  <si>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</si>
  <si>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</si>
  <si>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</si>
  <si>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</si>
  <si>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</si>
  <si>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</si>
  <si>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</si>
  <si>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</si>
  <si>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</si>
  <si>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</si>
  <si>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</si>
  <si>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</si>
  <si>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</si>
  <si>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</si>
  <si>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</si>
  <si>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</si>
  <si>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</si>
  <si>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</si>
  <si>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</si>
  <si>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</si>
  <si>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</si>
  <si>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</si>
  <si>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</si>
  <si>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</si>
  <si>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</si>
  <si>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</si>
  <si>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</si>
  <si>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</si>
  <si>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</si>
  <si>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</si>
  <si>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</si>
  <si>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</si>
  <si>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</si>
  <si>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</si>
  <si>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</si>
  <si>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</si>
  <si>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</si>
  <si>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</si>
  <si>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</si>
  <si>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</si>
  <si>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</si>
  <si>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</si>
  <si>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</si>
  <si>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</si>
  <si>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</si>
  <si>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</si>
  <si>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</si>
  <si>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</si>
  <si>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</si>
  <si>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</si>
  <si>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</si>
  <si>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</si>
  <si>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</si>
  <si>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</si>
  <si>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</si>
  <si>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</si>
  <si>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</si>
  <si>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</si>
  <si>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</si>
  <si>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</si>
  <si>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</si>
  <si>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</si>
  <si>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</si>
  <si>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</si>
  <si>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</si>
  <si>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</si>
  <si>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</si>
  <si>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</si>
  <si>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</si>
  <si>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</si>
  <si>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</si>
  <si>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</si>
  <si>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</si>
  <si>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</si>
  <si>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</si>
  <si>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</si>
  <si>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</si>
  <si>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</si>
  <si>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</si>
  <si>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</si>
  <si>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</si>
  <si>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</si>
  <si>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</si>
  <si>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</si>
  <si>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</si>
  <si>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</si>
  <si>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</si>
  <si>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</si>
  <si>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</si>
  <si>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</si>
  <si>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</si>
  <si>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</si>
  <si>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</si>
  <si>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</si>
  <si>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</si>
  <si>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</si>
  <si>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</si>
  <si>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</si>
  <si>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</si>
  <si>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</si>
  <si>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</si>
  <si>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</si>
  <si>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</si>
  <si>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</si>
  <si>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</si>
  <si>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</si>
  <si>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</si>
  <si>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</si>
  <si>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</si>
  <si>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</si>
  <si>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</si>
  <si>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</si>
  <si>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</si>
  <si>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</si>
  <si>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</si>
  <si>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</si>
  <si>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</si>
  <si>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</si>
  <si>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</si>
  <si>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</si>
  <si>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</si>
  <si>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</si>
  <si>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</si>
  <si>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</si>
  <si>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</si>
  <si>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</si>
  <si>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</si>
  <si>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</si>
  <si>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</si>
  <si>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</si>
  <si>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</si>
  <si>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</si>
  <si>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</si>
  <si>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</si>
  <si>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</si>
  <si>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</si>
  <si>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</si>
  <si>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</si>
  <si>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</si>
  <si>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</si>
  <si>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</si>
  <si>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</si>
  <si>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</si>
  <si>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</si>
  <si>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</si>
  <si>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</si>
  <si>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</si>
  <si>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</si>
  <si>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</si>
  <si>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</si>
  <si>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</si>
  <si>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</si>
  <si>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</si>
  <si>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</si>
  <si>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</si>
  <si>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</si>
  <si>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</si>
  <si>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</si>
  <si>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</si>
  <si>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</si>
  <si>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</si>
  <si>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</si>
  <si>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</si>
  <si>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</si>
  <si>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</si>
  <si>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</si>
  <si>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</si>
  <si>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</si>
  <si>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</si>
  <si>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</si>
  <si>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</si>
  <si>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</si>
  <si>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</si>
  <si>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</si>
  <si>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</si>
  <si>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</si>
  <si>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</si>
  <si>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</si>
  <si>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</si>
  <si>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</si>
  <si>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</si>
  <si>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</si>
  <si>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</si>
  <si>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</si>
  <si>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</si>
  <si>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</si>
  <si>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</si>
  <si>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</si>
  <si>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</si>
  <si>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</si>
  <si>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</si>
  <si>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</si>
  <si>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</si>
  <si>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</si>
  <si>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</si>
  <si>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</si>
  <si>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</si>
  <si>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</si>
  <si>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</si>
  <si>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</si>
  <si>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</si>
  <si>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</si>
  <si>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</si>
  <si>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</si>
  <si>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</si>
  <si>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</si>
  <si>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</si>
  <si>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</si>
  <si>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</si>
  <si>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</si>
  <si>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</si>
  <si>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</si>
  <si>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</si>
  <si>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</si>
  <si>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</si>
  <si>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</si>
  <si>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</si>
  <si>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</si>
  <si>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</si>
  <si>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</si>
  <si>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</si>
  <si>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</si>
  <si>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</si>
  <si>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</si>
  <si>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</si>
  <si>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</si>
  <si>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</si>
  <si>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</si>
  <si>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</si>
  <si>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</si>
  <si>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</si>
  <si>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</si>
  <si>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</si>
  <si>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</si>
  <si>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</si>
  <si>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</si>
  <si>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</si>
  <si>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</si>
  <si>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</si>
  <si>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</si>
  <si>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</si>
  <si>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</si>
  <si>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</si>
  <si>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</si>
  <si>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</si>
  <si>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</si>
  <si>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</si>
  <si>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</si>
  <si>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</si>
  <si>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</si>
  <si>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</si>
  <si>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</si>
  <si>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</si>
  <si>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</si>
  <si>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</si>
  <si>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</si>
  <si>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</si>
  <si>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</si>
  <si>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</si>
  <si>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</si>
  <si>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</si>
  <si>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</si>
  <si>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</si>
  <si>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</si>
  <si>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Valor de venta en facturas y valor venta al generar</t>
  </si>
  <si>
    <t>Agregar "Cantidad"</t>
  </si>
  <si>
    <t>Color por default "AMARILLO" en facuto</t>
  </si>
  <si>
    <t>Relacionar materia prima con producto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</si>
  <si>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</si>
  <si>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</si>
  <si>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</si>
  <si>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</si>
  <si>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</si>
  <si>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</si>
  <si>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</si>
  <si>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</si>
  <si>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</si>
  <si>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</si>
  <si>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</si>
  <si>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</si>
  <si>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</si>
  <si>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</si>
  <si>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</si>
  <si>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</si>
  <si>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</si>
  <si>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</si>
  <si>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</si>
  <si>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</si>
  <si>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</si>
  <si>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</si>
  <si>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</si>
  <si>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</si>
  <si>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</si>
  <si>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</si>
  <si>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</si>
  <si>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</si>
  <si>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</si>
  <si>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</si>
  <si>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</si>
  <si>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</si>
  <si>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</si>
  <si>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</si>
  <si>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</si>
  <si>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</si>
  <si>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</si>
  <si>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</si>
  <si>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</si>
  <si>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</si>
  <si>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</si>
  <si>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</si>
  <si>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</si>
  <si>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</si>
  <si>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</si>
  <si>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</si>
  <si>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</si>
  <si>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</si>
  <si>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</si>
  <si>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</si>
  <si>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</si>
  <si>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</si>
  <si>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</si>
  <si>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</si>
  <si>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</si>
  <si>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</si>
  <si>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</si>
  <si>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</si>
  <si>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</si>
  <si>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</si>
  <si>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</si>
  <si>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</si>
  <si>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</si>
  <si>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</si>
  <si>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</si>
  <si>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</si>
  <si>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</si>
  <si>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</si>
  <si>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</si>
  <si>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</si>
  <si>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</si>
  <si>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</si>
  <si>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</si>
  <si>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</si>
  <si>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</si>
  <si>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3 chorizos crudos</t>
  </si>
  <si>
    <t>1 chorizo + gaseosa</t>
  </si>
  <si>
    <t xml:space="preserve">1 chorizo </t>
  </si>
  <si>
    <t>Picada</t>
  </si>
  <si>
    <t>2 chorizos</t>
  </si>
  <si>
    <t>2 chorizos +  gaseosa</t>
  </si>
  <si>
    <t>1 picada</t>
  </si>
  <si>
    <t>kilos</t>
  </si>
  <si>
    <t>entrada</t>
  </si>
  <si>
    <t>25 de marzo</t>
  </si>
  <si>
    <t>Paca</t>
  </si>
  <si>
    <t>CERVEZA CENTRAL</t>
  </si>
  <si>
    <t>3 pagas de cerveza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</si>
</sst>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NumberFormat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0" fontId="16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onnections" Target="connections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3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6.xml"/><Relationship Id="rId37" Type="http://schemas.openxmlformats.org/officeDocument/2006/relationships/sheetMetadata" Target="metadata.xml"/><Relationship Id="rId40" Type="http://schemas.openxmlformats.org/officeDocument/2006/relationships/customXml" Target="../customXml/item1.xml"/><Relationship Id="rId45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2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5.xml"/><Relationship Id="rId44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pivotCacheDefinition" Target="pivotCache/pivotCacheDefinition4.xml"/><Relationship Id="rId35" Type="http://schemas.openxmlformats.org/officeDocument/2006/relationships/styles" Target="styles.xml"/><Relationship Id="rId43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fieldPosition="0">
        <references count="1">
          <reference field="4294967294" count="1">
            <x v="1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8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13" priority="19" operator="containsText" text="Patrimonio">
      <formula>NOT(ISERROR(SEARCH("Patrimonio",C1)))</formula>
    </cfRule>
    <cfRule type="containsText" dxfId="12" priority="20" operator="containsText" text="Por Pagar">
      <formula>NOT(ISERROR(SEARCH("Por Pagar",C1)))</formula>
    </cfRule>
  </conditionalFormatting>
  <conditionalFormatting sqref="D5:E1048576">
    <cfRule type="containsText" dxfId="11" priority="1" operator="containsText" text="Patrimonio">
      <formula>NOT(ISERROR(SEARCH("Patrimonio",D5)))</formula>
    </cfRule>
    <cfRule type="containsText" dxfId="10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415</v>
      </c>
      <c r="D1" t="s">
        <v>414</v>
      </c>
      <c r="E1" t="s">
        <v>416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384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384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G43"/>
  <sheetViews>
    <sheetView showGridLines="0" zoomScaleNormal="100" workbookViewId="0">
      <pane xSplit="1" ySplit="2" topLeftCell="BD24" activePane="bottomRight" state="frozen"/>
      <selection pane="topRight" activeCell="B1" sqref="B1"/>
      <selection pane="bottomLeft" activeCell="A3" sqref="A3"/>
      <selection pane="bottomRight" activeCell="BI29" sqref="BI29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hidden="1" customWidth="1" collapsed="1"/>
    <col min="45" max="45" width="0" hidden="1" customWidth="1"/>
    <col min="46" max="46" width="3.140625" hidden="1" customWidth="1" collapsed="1"/>
    <col min="47" max="47" width="0" hidden="1" customWidth="1"/>
    <col min="48" max="48" width="3.140625" hidden="1" customWidth="1" collapsed="1"/>
    <col min="49" max="49" width="0" hidden="1" customWidth="1"/>
    <col min="50" max="50" width="3.140625" hidden="1" customWidth="1" collapsed="1"/>
    <col min="51" max="51" width="13" hidden="1" customWidth="1"/>
    <col min="52" max="52" width="3.140625" hidden="1" customWidth="1" collapsed="1"/>
    <col min="53" max="53" width="0" hidden="1" customWidth="1"/>
    <col min="54" max="54" width="3.140625" hidden="1" customWidth="1" collapsed="1"/>
    <col min="55" max="55" width="13" hidden="1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</cols>
  <sheetData>
    <row r="1" spans="1:59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  <c r="AX1" s="41"/>
      <c r="AY1" s="41" t="str">
        <f>+TEXT(AY2,"ddd")</f>
        <v>vie</v>
      </c>
      <c r="AZ1" s="41"/>
      <c r="BA1" s="41" t="str">
        <f>+TEXT(BA2,"ddd")</f>
        <v>sáb</v>
      </c>
      <c r="BB1" s="41"/>
      <c r="BC1" s="41" t="str">
        <f>+TEXT(BC2,"ddd")</f>
        <v>dom</v>
      </c>
      <c r="BD1" s="41"/>
      <c r="BE1" s="41" t="str">
        <f>+TEXT(BE2,"ddd")</f>
        <v>lun</v>
      </c>
      <c r="BF1" s="41"/>
      <c r="BG1" s="41" t="str">
        <f>+TEXT(BG2,"ddd")</f>
        <v>mié</v>
      </c>
    </row>
    <row r="2" spans="1:59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  <c r="AX2" s="44" t="s">
        <v>137</v>
      </c>
      <c r="AY2" s="45">
        <f>+AW2+1</f>
        <v>46101</v>
      </c>
      <c r="AZ2" s="44" t="s">
        <v>137</v>
      </c>
      <c r="BA2" s="45">
        <f>+AY2+1</f>
        <v>46102</v>
      </c>
      <c r="BB2" s="44" t="s">
        <v>137</v>
      </c>
      <c r="BC2" s="45">
        <f>+BA2+1</f>
        <v>46103</v>
      </c>
      <c r="BD2" s="44" t="s">
        <v>137</v>
      </c>
      <c r="BE2" s="45">
        <f>+BC2+1</f>
        <v>46104</v>
      </c>
      <c r="BF2" s="44" t="s">
        <v>137</v>
      </c>
      <c r="BG2" s="45">
        <f>+BE2+2</f>
        <v>46106</v>
      </c>
    </row>
    <row r="3" spans="1:59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</row>
    <row r="4" spans="1:59" outlineLevel="1" x14ac:dyDescent="0.25">
      <c r="A4" s="27">
        <v>50000</v>
      </c>
      <c r="B4" s="26">
        <v>1</v>
      </c>
      <c r="C4" s="3">
        <f t="shared" ref="C4:C13" si="14">+A4*B4</f>
        <v>50000</v>
      </c>
      <c r="D4" s="26">
        <v>1</v>
      </c>
      <c r="E4" s="3">
        <f t="shared" ref="E4:E13" si="15">+$A4*D4</f>
        <v>50000</v>
      </c>
      <c r="F4" s="26">
        <v>1</v>
      </c>
      <c r="G4" s="3"/>
      <c r="H4" s="26">
        <v>0</v>
      </c>
      <c r="I4" s="3">
        <f t="shared" ref="I4" si="16">+$A4*H4</f>
        <v>0</v>
      </c>
      <c r="J4" s="26">
        <v>2</v>
      </c>
      <c r="K4" s="3">
        <f t="shared" ref="K4" si="17">+$A4*J4</f>
        <v>100000</v>
      </c>
      <c r="L4" s="26">
        <v>0</v>
      </c>
      <c r="M4" s="3">
        <f t="shared" ref="M4" si="18">+$A4*L4</f>
        <v>0</v>
      </c>
      <c r="N4" s="26">
        <v>0</v>
      </c>
      <c r="O4" s="3">
        <f t="shared" ref="O4" si="19">+$A4*N4</f>
        <v>0</v>
      </c>
      <c r="P4" s="26">
        <v>1</v>
      </c>
      <c r="Q4" s="3">
        <f t="shared" ref="Q4" si="20">+$A4*P4</f>
        <v>50000</v>
      </c>
      <c r="R4" s="26">
        <v>1</v>
      </c>
      <c r="S4" s="3"/>
      <c r="T4" s="26">
        <v>0</v>
      </c>
      <c r="U4" s="3">
        <f t="shared" ref="U4:U5" si="21">+$A4*T4</f>
        <v>0</v>
      </c>
      <c r="V4" s="1">
        <v>1</v>
      </c>
      <c r="W4" s="3">
        <f t="shared" ref="W4:W5" si="22">+$A4*V4</f>
        <v>50000</v>
      </c>
      <c r="X4" s="1">
        <v>0</v>
      </c>
      <c r="Y4" s="3">
        <f t="shared" ref="Y4:Y5" si="23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</row>
    <row r="5" spans="1:59" outlineLevel="1" x14ac:dyDescent="0.25">
      <c r="A5" s="27">
        <v>20000</v>
      </c>
      <c r="B5" s="26">
        <v>4</v>
      </c>
      <c r="C5" s="3">
        <f t="shared" si="14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21"/>
        <v>0</v>
      </c>
      <c r="V5" s="1">
        <v>0</v>
      </c>
      <c r="W5" s="3">
        <f t="shared" si="22"/>
        <v>0</v>
      </c>
      <c r="X5" s="1">
        <v>0</v>
      </c>
      <c r="Y5" s="3">
        <f t="shared" si="23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4</v>
      </c>
      <c r="BE5" s="3">
        <f t="shared" si="12"/>
        <v>80000</v>
      </c>
      <c r="BF5" s="1">
        <v>0</v>
      </c>
      <c r="BG5" s="3">
        <f t="shared" si="13"/>
        <v>0</v>
      </c>
    </row>
    <row r="6" spans="1:59" outlineLevel="1" x14ac:dyDescent="0.25">
      <c r="A6" s="27">
        <v>10000</v>
      </c>
      <c r="B6" s="26">
        <v>2</v>
      </c>
      <c r="C6" s="3">
        <f t="shared" si="14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6</v>
      </c>
      <c r="BE6" s="3">
        <f t="shared" si="12"/>
        <v>60000</v>
      </c>
      <c r="BF6" s="1">
        <v>0</v>
      </c>
      <c r="BG6" s="3">
        <f t="shared" si="13"/>
        <v>0</v>
      </c>
    </row>
    <row r="7" spans="1:59" outlineLevel="1" x14ac:dyDescent="0.25">
      <c r="A7" s="27">
        <v>5000</v>
      </c>
      <c r="B7" s="26">
        <v>2</v>
      </c>
      <c r="C7" s="3">
        <f t="shared" si="14"/>
        <v>10000</v>
      </c>
      <c r="D7" s="26">
        <v>4</v>
      </c>
      <c r="E7" s="3">
        <f t="shared" si="15"/>
        <v>20000</v>
      </c>
      <c r="F7" s="26">
        <v>4</v>
      </c>
      <c r="G7" s="3"/>
      <c r="H7" s="26">
        <v>6</v>
      </c>
      <c r="I7" s="3">
        <f t="shared" ref="I7:I13" si="24">+$A7*H7</f>
        <v>30000</v>
      </c>
      <c r="J7" s="26">
        <v>5</v>
      </c>
      <c r="K7" s="3">
        <f t="shared" ref="K7:K13" si="25">+$A7*J7</f>
        <v>25000</v>
      </c>
      <c r="L7" s="26">
        <v>5</v>
      </c>
      <c r="M7" s="3">
        <f t="shared" ref="M7:M13" si="26">+$A7*L7</f>
        <v>25000</v>
      </c>
      <c r="N7" s="26">
        <v>5</v>
      </c>
      <c r="O7" s="3">
        <f t="shared" ref="O7:O13" si="27">+$A7*N7</f>
        <v>25000</v>
      </c>
      <c r="P7" s="26">
        <v>3</v>
      </c>
      <c r="Q7" s="3">
        <f t="shared" ref="Q7:Q13" si="28">+$A7*P7</f>
        <v>15000</v>
      </c>
      <c r="R7" s="26">
        <v>3</v>
      </c>
      <c r="S7" s="3"/>
      <c r="T7" s="26">
        <v>3</v>
      </c>
      <c r="U7" s="3">
        <f t="shared" ref="U7:U13" si="29">+$A7*T7</f>
        <v>15000</v>
      </c>
      <c r="V7" s="1">
        <v>4</v>
      </c>
      <c r="W7" s="3">
        <f t="shared" ref="W7:W13" si="30">+$A7*V7</f>
        <v>20000</v>
      </c>
      <c r="X7" s="1">
        <v>0</v>
      </c>
      <c r="Y7" s="3">
        <f t="shared" ref="Y7:Y13" si="31">+$A7*X7</f>
        <v>0</v>
      </c>
      <c r="Z7" s="1">
        <v>0</v>
      </c>
      <c r="AA7" s="3">
        <f t="shared" ref="AA7:AC13" si="32">+$A7*Z7</f>
        <v>0</v>
      </c>
      <c r="AB7" s="1">
        <v>3</v>
      </c>
      <c r="AC7" s="3">
        <f t="shared" si="3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1</v>
      </c>
      <c r="BE7" s="3">
        <f t="shared" si="12"/>
        <v>5000</v>
      </c>
      <c r="BF7" s="1">
        <v>0</v>
      </c>
      <c r="BG7" s="3">
        <f t="shared" si="13"/>
        <v>0</v>
      </c>
    </row>
    <row r="8" spans="1:59" outlineLevel="1" x14ac:dyDescent="0.25">
      <c r="A8" s="27">
        <v>2000</v>
      </c>
      <c r="B8" s="26">
        <v>4</v>
      </c>
      <c r="C8" s="3">
        <f t="shared" si="14"/>
        <v>8000</v>
      </c>
      <c r="D8" s="26">
        <v>5</v>
      </c>
      <c r="E8" s="3">
        <f t="shared" si="15"/>
        <v>10000</v>
      </c>
      <c r="F8" s="26">
        <v>5</v>
      </c>
      <c r="G8" s="3"/>
      <c r="H8" s="26">
        <v>12</v>
      </c>
      <c r="I8" s="3">
        <f t="shared" si="24"/>
        <v>24000</v>
      </c>
      <c r="J8" s="26">
        <v>17</v>
      </c>
      <c r="K8" s="3">
        <f t="shared" si="25"/>
        <v>34000</v>
      </c>
      <c r="L8" s="26">
        <v>14</v>
      </c>
      <c r="M8" s="3">
        <f t="shared" si="26"/>
        <v>28000</v>
      </c>
      <c r="N8" s="26">
        <v>14</v>
      </c>
      <c r="O8" s="3">
        <f t="shared" si="27"/>
        <v>28000</v>
      </c>
      <c r="P8" s="26">
        <v>10</v>
      </c>
      <c r="Q8" s="3">
        <f t="shared" si="28"/>
        <v>20000</v>
      </c>
      <c r="R8" s="26">
        <v>10</v>
      </c>
      <c r="S8" s="3"/>
      <c r="T8" s="26">
        <v>12</v>
      </c>
      <c r="U8" s="3">
        <f t="shared" si="29"/>
        <v>24000</v>
      </c>
      <c r="V8" s="1">
        <v>22</v>
      </c>
      <c r="W8" s="3">
        <f t="shared" si="30"/>
        <v>44000</v>
      </c>
      <c r="X8" s="1">
        <v>23</v>
      </c>
      <c r="Y8" s="3">
        <f t="shared" si="31"/>
        <v>46000</v>
      </c>
      <c r="Z8" s="1">
        <v>20</v>
      </c>
      <c r="AA8" s="3">
        <f t="shared" si="32"/>
        <v>40000</v>
      </c>
      <c r="AB8" s="1">
        <v>25</v>
      </c>
      <c r="AC8" s="3">
        <f t="shared" si="3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18</v>
      </c>
      <c r="BE8" s="3">
        <f t="shared" si="12"/>
        <v>36000</v>
      </c>
      <c r="BF8" s="1">
        <v>0</v>
      </c>
      <c r="BG8" s="3">
        <f t="shared" si="13"/>
        <v>0</v>
      </c>
    </row>
    <row r="9" spans="1:59" outlineLevel="1" x14ac:dyDescent="0.25">
      <c r="A9" s="27">
        <v>1000</v>
      </c>
      <c r="B9" s="26">
        <v>7</v>
      </c>
      <c r="C9" s="3">
        <f t="shared" si="14"/>
        <v>7000</v>
      </c>
      <c r="D9" s="26">
        <v>8</v>
      </c>
      <c r="E9" s="3">
        <f t="shared" si="15"/>
        <v>8000</v>
      </c>
      <c r="F9" s="26">
        <v>8</v>
      </c>
      <c r="G9" s="3"/>
      <c r="H9" s="26">
        <v>3</v>
      </c>
      <c r="I9" s="3">
        <f t="shared" si="24"/>
        <v>3000</v>
      </c>
      <c r="J9" s="26">
        <v>2</v>
      </c>
      <c r="K9" s="3">
        <f t="shared" si="25"/>
        <v>2000</v>
      </c>
      <c r="L9" s="26">
        <v>0</v>
      </c>
      <c r="M9" s="3">
        <f t="shared" si="26"/>
        <v>0</v>
      </c>
      <c r="N9" s="26">
        <v>0</v>
      </c>
      <c r="O9" s="3">
        <f t="shared" si="27"/>
        <v>0</v>
      </c>
      <c r="P9" s="26">
        <v>0</v>
      </c>
      <c r="Q9" s="3">
        <f t="shared" si="28"/>
        <v>0</v>
      </c>
      <c r="R9" s="26">
        <v>0</v>
      </c>
      <c r="S9" s="3"/>
      <c r="T9" s="26">
        <v>20</v>
      </c>
      <c r="U9" s="3">
        <f t="shared" si="29"/>
        <v>20000</v>
      </c>
      <c r="V9" s="1">
        <v>16</v>
      </c>
      <c r="W9" s="3">
        <f t="shared" si="30"/>
        <v>16000</v>
      </c>
      <c r="X9" s="1">
        <v>12</v>
      </c>
      <c r="Y9" s="3">
        <f t="shared" si="31"/>
        <v>12000</v>
      </c>
      <c r="Z9" s="1">
        <v>9</v>
      </c>
      <c r="AA9" s="3">
        <f t="shared" si="32"/>
        <v>9000</v>
      </c>
      <c r="AB9" s="1">
        <v>6</v>
      </c>
      <c r="AC9" s="3">
        <f t="shared" si="3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6</v>
      </c>
      <c r="BE9" s="3">
        <f t="shared" si="12"/>
        <v>6000</v>
      </c>
      <c r="BF9" s="1">
        <v>0</v>
      </c>
      <c r="BG9" s="3">
        <f t="shared" si="13"/>
        <v>0</v>
      </c>
    </row>
    <row r="10" spans="1:59" outlineLevel="1" x14ac:dyDescent="0.25">
      <c r="A10" s="27">
        <v>500</v>
      </c>
      <c r="B10" s="26">
        <v>31</v>
      </c>
      <c r="C10" s="3">
        <f t="shared" si="14"/>
        <v>15500</v>
      </c>
      <c r="D10" s="26">
        <v>32</v>
      </c>
      <c r="E10" s="3">
        <f t="shared" si="15"/>
        <v>16000</v>
      </c>
      <c r="F10" s="26">
        <v>32</v>
      </c>
      <c r="G10" s="3"/>
      <c r="H10" s="26">
        <v>38</v>
      </c>
      <c r="I10" s="3">
        <f t="shared" si="24"/>
        <v>19000</v>
      </c>
      <c r="J10" s="26">
        <v>37</v>
      </c>
      <c r="K10" s="3">
        <f t="shared" si="25"/>
        <v>18500</v>
      </c>
      <c r="L10" s="26">
        <v>36</v>
      </c>
      <c r="M10" s="3">
        <f t="shared" si="26"/>
        <v>18000</v>
      </c>
      <c r="N10" s="26">
        <v>36</v>
      </c>
      <c r="O10" s="3">
        <f t="shared" si="27"/>
        <v>18000</v>
      </c>
      <c r="P10" s="26">
        <v>36</v>
      </c>
      <c r="Q10" s="3">
        <f t="shared" si="28"/>
        <v>18000</v>
      </c>
      <c r="R10" s="26">
        <v>36</v>
      </c>
      <c r="S10" s="3"/>
      <c r="T10" s="26">
        <v>40</v>
      </c>
      <c r="U10" s="3">
        <f t="shared" si="29"/>
        <v>20000</v>
      </c>
      <c r="V10" s="1">
        <v>45</v>
      </c>
      <c r="W10" s="3">
        <f t="shared" si="30"/>
        <v>22500</v>
      </c>
      <c r="X10" s="1">
        <v>31</v>
      </c>
      <c r="Y10" s="3">
        <f t="shared" si="31"/>
        <v>15500</v>
      </c>
      <c r="Z10" s="1">
        <v>20</v>
      </c>
      <c r="AA10" s="3">
        <f t="shared" si="32"/>
        <v>10000</v>
      </c>
      <c r="AB10" s="1">
        <v>21</v>
      </c>
      <c r="AC10" s="3">
        <f t="shared" si="3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49</v>
      </c>
      <c r="BE10" s="3">
        <f t="shared" si="12"/>
        <v>24500</v>
      </c>
      <c r="BF10" s="1">
        <v>0</v>
      </c>
      <c r="BG10" s="3">
        <f t="shared" si="13"/>
        <v>0</v>
      </c>
    </row>
    <row r="11" spans="1:59" outlineLevel="1" x14ac:dyDescent="0.25">
      <c r="A11" s="27">
        <v>200</v>
      </c>
      <c r="B11" s="26">
        <v>54</v>
      </c>
      <c r="C11" s="3">
        <f t="shared" si="14"/>
        <v>10800</v>
      </c>
      <c r="D11" s="26">
        <v>56</v>
      </c>
      <c r="E11" s="3">
        <f t="shared" si="15"/>
        <v>11200</v>
      </c>
      <c r="F11" s="26">
        <v>56</v>
      </c>
      <c r="G11" s="3"/>
      <c r="H11" s="26">
        <v>62</v>
      </c>
      <c r="I11" s="3">
        <f t="shared" si="24"/>
        <v>12400</v>
      </c>
      <c r="J11" s="26">
        <v>62</v>
      </c>
      <c r="K11" s="3">
        <f t="shared" si="25"/>
        <v>12400</v>
      </c>
      <c r="L11" s="26">
        <v>68</v>
      </c>
      <c r="M11" s="3">
        <f t="shared" si="26"/>
        <v>13600</v>
      </c>
      <c r="N11" s="26">
        <v>68</v>
      </c>
      <c r="O11" s="3">
        <f t="shared" si="27"/>
        <v>13600</v>
      </c>
      <c r="P11" s="26">
        <v>81</v>
      </c>
      <c r="Q11" s="3">
        <f t="shared" si="28"/>
        <v>16200</v>
      </c>
      <c r="R11" s="26">
        <v>81</v>
      </c>
      <c r="S11" s="3"/>
      <c r="T11" s="26">
        <v>3</v>
      </c>
      <c r="U11" s="3">
        <f t="shared" si="29"/>
        <v>600</v>
      </c>
      <c r="V11" s="1">
        <v>5</v>
      </c>
      <c r="W11" s="3">
        <f t="shared" si="30"/>
        <v>1000</v>
      </c>
      <c r="X11" s="1">
        <v>4</v>
      </c>
      <c r="Y11" s="3">
        <f t="shared" si="31"/>
        <v>800</v>
      </c>
      <c r="Z11" s="1">
        <v>4</v>
      </c>
      <c r="AA11" s="3">
        <f t="shared" si="32"/>
        <v>800</v>
      </c>
      <c r="AB11" s="1">
        <v>7</v>
      </c>
      <c r="AC11" s="3">
        <f t="shared" si="3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9</v>
      </c>
      <c r="BE11" s="3">
        <f t="shared" si="12"/>
        <v>1800</v>
      </c>
      <c r="BF11" s="1">
        <v>0</v>
      </c>
      <c r="BG11" s="3">
        <f t="shared" si="13"/>
        <v>0</v>
      </c>
    </row>
    <row r="12" spans="1:59" outlineLevel="1" x14ac:dyDescent="0.25">
      <c r="A12" s="27">
        <v>100</v>
      </c>
      <c r="B12" s="26">
        <v>38</v>
      </c>
      <c r="C12" s="3">
        <f t="shared" si="14"/>
        <v>3800</v>
      </c>
      <c r="D12" s="26">
        <v>39</v>
      </c>
      <c r="E12" s="3">
        <f t="shared" si="15"/>
        <v>3900</v>
      </c>
      <c r="F12" s="26">
        <v>39</v>
      </c>
      <c r="G12" s="3"/>
      <c r="H12" s="26">
        <v>51</v>
      </c>
      <c r="I12" s="3">
        <f t="shared" si="24"/>
        <v>5100</v>
      </c>
      <c r="J12" s="26">
        <v>48</v>
      </c>
      <c r="K12" s="3">
        <f t="shared" si="25"/>
        <v>4800</v>
      </c>
      <c r="L12" s="26">
        <v>63</v>
      </c>
      <c r="M12" s="3">
        <f t="shared" si="26"/>
        <v>6300</v>
      </c>
      <c r="N12" s="26">
        <v>63</v>
      </c>
      <c r="O12" s="3">
        <f t="shared" si="27"/>
        <v>6300</v>
      </c>
      <c r="P12" s="26">
        <v>77</v>
      </c>
      <c r="Q12" s="3">
        <f t="shared" si="28"/>
        <v>7700</v>
      </c>
      <c r="R12" s="26">
        <v>77</v>
      </c>
      <c r="S12" s="3"/>
      <c r="T12" s="26">
        <v>9</v>
      </c>
      <c r="U12" s="3">
        <f t="shared" si="29"/>
        <v>900</v>
      </c>
      <c r="V12" s="1">
        <v>11</v>
      </c>
      <c r="W12" s="3">
        <f t="shared" si="30"/>
        <v>1100</v>
      </c>
      <c r="X12" s="1">
        <v>13</v>
      </c>
      <c r="Y12" s="3">
        <f t="shared" si="31"/>
        <v>1300</v>
      </c>
      <c r="Z12" s="1">
        <v>13</v>
      </c>
      <c r="AA12" s="3">
        <f t="shared" si="32"/>
        <v>1300</v>
      </c>
      <c r="AB12" s="1">
        <v>14</v>
      </c>
      <c r="AC12" s="3">
        <f t="shared" si="3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13</v>
      </c>
      <c r="BE12" s="3">
        <f t="shared" si="12"/>
        <v>1300</v>
      </c>
      <c r="BF12" s="1">
        <v>0</v>
      </c>
      <c r="BG12" s="3">
        <f t="shared" si="13"/>
        <v>0</v>
      </c>
    </row>
    <row r="13" spans="1:59" ht="15.75" outlineLevel="1" thickBot="1" x14ac:dyDescent="0.3">
      <c r="A13" s="27">
        <v>50</v>
      </c>
      <c r="B13" s="26">
        <v>10</v>
      </c>
      <c r="C13" s="28">
        <f t="shared" si="14"/>
        <v>500</v>
      </c>
      <c r="D13" s="26">
        <v>10</v>
      </c>
      <c r="E13" s="28">
        <f t="shared" si="15"/>
        <v>500</v>
      </c>
      <c r="F13" s="26">
        <v>10</v>
      </c>
      <c r="G13" s="28"/>
      <c r="H13" s="26">
        <v>10</v>
      </c>
      <c r="I13" s="28">
        <f t="shared" si="24"/>
        <v>500</v>
      </c>
      <c r="J13" s="26">
        <v>10</v>
      </c>
      <c r="K13" s="28">
        <f t="shared" si="25"/>
        <v>500</v>
      </c>
      <c r="L13" s="26">
        <v>10</v>
      </c>
      <c r="M13" s="28">
        <f t="shared" si="26"/>
        <v>500</v>
      </c>
      <c r="N13" s="26">
        <v>10</v>
      </c>
      <c r="O13" s="28">
        <f t="shared" si="27"/>
        <v>500</v>
      </c>
      <c r="P13" s="26">
        <v>14</v>
      </c>
      <c r="Q13" s="28">
        <f t="shared" si="28"/>
        <v>700</v>
      </c>
      <c r="R13" s="26">
        <v>14</v>
      </c>
      <c r="S13" s="28"/>
      <c r="T13" s="26">
        <v>9</v>
      </c>
      <c r="U13" s="28">
        <f t="shared" si="29"/>
        <v>450</v>
      </c>
      <c r="V13" s="1">
        <v>9</v>
      </c>
      <c r="W13" s="28">
        <f t="shared" si="30"/>
        <v>450</v>
      </c>
      <c r="X13" s="1">
        <v>8</v>
      </c>
      <c r="Y13" s="28">
        <f t="shared" si="31"/>
        <v>400</v>
      </c>
      <c r="Z13" s="1">
        <v>11</v>
      </c>
      <c r="AA13" s="28">
        <f t="shared" si="32"/>
        <v>550</v>
      </c>
      <c r="AB13" s="1">
        <v>9</v>
      </c>
      <c r="AC13" s="28">
        <f t="shared" si="3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  <c r="AX13" s="1">
        <v>12</v>
      </c>
      <c r="AY13" s="28">
        <f t="shared" si="9"/>
        <v>600</v>
      </c>
      <c r="AZ13" s="1">
        <v>12</v>
      </c>
      <c r="BA13" s="28">
        <f t="shared" si="10"/>
        <v>600</v>
      </c>
      <c r="BB13" s="1">
        <v>0</v>
      </c>
      <c r="BC13" s="28">
        <f t="shared" si="11"/>
        <v>0</v>
      </c>
      <c r="BD13" s="1">
        <v>12</v>
      </c>
      <c r="BE13" s="28">
        <f t="shared" si="12"/>
        <v>600</v>
      </c>
      <c r="BF13" s="1">
        <v>0</v>
      </c>
      <c r="BG13" s="28">
        <f t="shared" si="13"/>
        <v>0</v>
      </c>
    </row>
    <row r="14" spans="1:59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331200</v>
      </c>
      <c r="AY14" s="17">
        <f>SUM(AY3:AY13)</f>
        <v>108200</v>
      </c>
      <c r="BA14" s="17">
        <f>SUM(BA3:BA13)</f>
        <v>144700</v>
      </c>
      <c r="BC14" s="17">
        <f>SUM(BC3:BC13)</f>
        <v>0</v>
      </c>
      <c r="BE14" s="17">
        <f>SUM(BE3:BE13)</f>
        <v>215200</v>
      </c>
      <c r="BG14" s="17">
        <f>SUM(BG3:BG13)</f>
        <v>0</v>
      </c>
    </row>
    <row r="15" spans="1:59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  <c r="BC15" s="13">
        <f>+BA14-BE18</f>
        <v>36500</v>
      </c>
    </row>
    <row r="16" spans="1:59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BA16" s="13">
        <f>+BA18+BC15</f>
        <v>144700</v>
      </c>
    </row>
    <row r="17" spans="1:59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X17" s="47"/>
      <c r="AY17" s="48" t="str">
        <f>+AY1</f>
        <v>vie</v>
      </c>
      <c r="AZ17" s="47"/>
      <c r="BA17" s="48" t="str">
        <f>+BA1</f>
        <v>sáb</v>
      </c>
      <c r="BB17" s="47"/>
      <c r="BC17" s="48" t="str">
        <f>+BC1</f>
        <v>dom</v>
      </c>
      <c r="BD17" s="47"/>
      <c r="BE17" s="48" t="str">
        <f>+BE1</f>
        <v>lun</v>
      </c>
      <c r="BF17" s="47"/>
      <c r="BG17" s="48" t="str">
        <f>+BG1</f>
        <v>mié</v>
      </c>
    </row>
    <row r="18" spans="1:59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Y18" s="19">
        <f>+AW14</f>
        <v>331200</v>
      </c>
      <c r="BA18" s="19">
        <f>+AY23</f>
        <v>108200</v>
      </c>
      <c r="BC18" s="19">
        <f>+BA14</f>
        <v>144700</v>
      </c>
      <c r="BE18" s="19">
        <f>+BA18</f>
        <v>108200</v>
      </c>
      <c r="BG18" s="19">
        <f>$BE$14</f>
        <v>215200</v>
      </c>
    </row>
    <row r="19" spans="1:59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  <c r="AY19" s="66">
        <v>-230000</v>
      </c>
      <c r="BA19" s="66"/>
      <c r="BC19" s="66"/>
      <c r="BE19" s="3">
        <f>'21-mar'!$C$4+1800</f>
        <v>38300</v>
      </c>
      <c r="BG19" s="3"/>
    </row>
    <row r="20" spans="1:5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  <c r="AY20" s="66">
        <v>107000</v>
      </c>
      <c r="BA20" s="91">
        <v>130000</v>
      </c>
      <c r="BC20" s="66"/>
      <c r="BE20" s="91">
        <f>130700+8000</f>
        <v>138700</v>
      </c>
      <c r="BG20" s="3"/>
    </row>
    <row r="21" spans="1:5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  <c r="AY21" s="66">
        <f>30000+70000</f>
        <v>100000</v>
      </c>
      <c r="BA21" s="66"/>
      <c r="BC21" s="66"/>
      <c r="BE21" s="66">
        <v>70000</v>
      </c>
      <c r="BG21" s="3"/>
    </row>
    <row r="22" spans="1:59" ht="16.5" thickTop="1" thickBot="1" x14ac:dyDescent="0.3">
      <c r="A22" s="19" t="s">
        <v>307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  <c r="AY22" s="50">
        <v>0</v>
      </c>
      <c r="BA22" s="50">
        <v>0</v>
      </c>
      <c r="BC22" s="50">
        <v>0</v>
      </c>
      <c r="BE22" s="50">
        <v>0</v>
      </c>
      <c r="BG22" s="50">
        <v>0</v>
      </c>
    </row>
    <row r="23" spans="1:59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  <c r="AY23" s="13">
        <f>+SUM(AY18:AY20)-SUM(AY21:AY22)</f>
        <v>108200</v>
      </c>
      <c r="BA23" s="13">
        <f>+SUM(BA18:BA20)-SUM(BA21:BA22)</f>
        <v>238200</v>
      </c>
      <c r="BC23" s="13">
        <f>+SUM(BC18:BC20)-SUM(BC21:BC22)</f>
        <v>144700</v>
      </c>
      <c r="BE23" s="13">
        <f>+SUM(BE18:BE20)-SUM(BE21:BE22)</f>
        <v>215200</v>
      </c>
      <c r="BG23" s="13">
        <f>+SUM(BG18:BG20)-SUM(BG21:BG22)</f>
        <v>215200</v>
      </c>
    </row>
    <row r="25" spans="1:59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0</v>
      </c>
      <c r="AX25" s="58"/>
      <c r="AY25" s="58">
        <f>AY14-AY23</f>
        <v>0</v>
      </c>
      <c r="AZ25" s="58"/>
      <c r="BA25" s="58">
        <f>BA14-BA23</f>
        <v>-93500</v>
      </c>
      <c r="BB25" s="58"/>
      <c r="BC25" s="58">
        <f>BC14-BC23</f>
        <v>-144700</v>
      </c>
      <c r="BD25" s="58"/>
      <c r="BE25" s="58">
        <f>BE14-BE23</f>
        <v>0</v>
      </c>
      <c r="BF25" s="58"/>
      <c r="BG25" s="58">
        <f>BG14-BG23</f>
        <v>-215200</v>
      </c>
    </row>
    <row r="26" spans="1:59" x14ac:dyDescent="0.25">
      <c r="A26"/>
    </row>
    <row r="27" spans="1:59" x14ac:dyDescent="0.25">
      <c r="A27" s="19" t="s">
        <v>327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  <c r="AY27" s="66">
        <v>0</v>
      </c>
      <c r="BA27" s="66">
        <v>0</v>
      </c>
      <c r="BC27" s="66">
        <v>0</v>
      </c>
      <c r="BE27" s="66">
        <v>0</v>
      </c>
      <c r="BG27" s="66">
        <v>0</v>
      </c>
    </row>
    <row r="28" spans="1:59" x14ac:dyDescent="0.25">
      <c r="A28" s="19" t="s">
        <v>326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  <c r="AY28" s="66">
        <v>0</v>
      </c>
      <c r="BA28" s="66">
        <v>0</v>
      </c>
      <c r="BC28" s="66">
        <v>0</v>
      </c>
      <c r="BE28" s="66">
        <v>0</v>
      </c>
      <c r="BG28" s="66">
        <v>0</v>
      </c>
    </row>
    <row r="30" spans="1:59" x14ac:dyDescent="0.25">
      <c r="A30" s="89" t="s">
        <v>548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169800</v>
      </c>
      <c r="AX30" s="3"/>
      <c r="AY30" s="89">
        <v>65700</v>
      </c>
      <c r="AZ30" s="3"/>
      <c r="BA30" s="89">
        <v>11000</v>
      </c>
      <c r="BB30" s="3"/>
      <c r="BC30" s="89">
        <v>0</v>
      </c>
      <c r="BD30" s="3"/>
      <c r="BE30" s="89">
        <v>129000</v>
      </c>
      <c r="BF30" s="3"/>
      <c r="BG30" s="89">
        <v>129000</v>
      </c>
    </row>
    <row r="31" spans="1:59" x14ac:dyDescent="0.25">
      <c r="A31" s="89" t="s">
        <v>558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/>
      <c r="AF31" s="3"/>
      <c r="AG31" s="89"/>
      <c r="AH31" s="3"/>
      <c r="AI31" s="89"/>
      <c r="AJ31" s="3"/>
      <c r="AK31" s="89"/>
      <c r="AL31" s="3"/>
      <c r="AM31" s="89"/>
      <c r="AN31" s="3"/>
      <c r="AO31" s="89"/>
      <c r="AP31" s="3"/>
      <c r="AQ31" s="89"/>
      <c r="AR31" s="3"/>
      <c r="AS31" s="89"/>
      <c r="AT31" s="3"/>
      <c r="AU31" s="89"/>
      <c r="AV31" s="3"/>
      <c r="AW31" s="89">
        <v>-454000</v>
      </c>
      <c r="AX31" s="3"/>
      <c r="AY31" s="89">
        <f>230000-21000</f>
        <v>209000</v>
      </c>
      <c r="AZ31" s="3"/>
      <c r="BA31" s="89">
        <v>0</v>
      </c>
      <c r="BB31" s="3"/>
      <c r="BC31" s="89">
        <v>0</v>
      </c>
      <c r="BD31" s="3"/>
      <c r="BE31" s="89">
        <v>0</v>
      </c>
      <c r="BF31" s="3"/>
      <c r="BG31" s="89">
        <v>0</v>
      </c>
    </row>
    <row r="32" spans="1:59" x14ac:dyDescent="0.25">
      <c r="A32" s="89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9">
        <f>+AE30</f>
        <v>134650</v>
      </c>
      <c r="AF32" s="3"/>
      <c r="AG32" s="89">
        <f>+AG30+AE32</f>
        <v>247650</v>
      </c>
      <c r="AH32" s="3"/>
      <c r="AI32" s="89">
        <f>+AI30+AG32</f>
        <v>341650</v>
      </c>
      <c r="AJ32" s="3"/>
      <c r="AK32" s="89">
        <f>+AK30+AI32</f>
        <v>341650</v>
      </c>
      <c r="AL32" s="3"/>
      <c r="AM32" s="89">
        <f>+AM30+AK32</f>
        <v>434650</v>
      </c>
      <c r="AN32" s="3"/>
      <c r="AO32" s="89">
        <f>+AO30+AM32</f>
        <v>489650</v>
      </c>
      <c r="AP32" s="3"/>
      <c r="AQ32" s="89">
        <f>+AQ30+AO32</f>
        <v>510650</v>
      </c>
      <c r="AR32" s="3"/>
      <c r="AS32" s="89">
        <f>+AS30+AQ32-(40000+20000)</f>
        <v>528650</v>
      </c>
      <c r="AT32" s="3"/>
      <c r="AU32" s="89">
        <f>+AS32+AS27-40000-40000+AU30</f>
        <v>716100</v>
      </c>
      <c r="AV32" s="3"/>
      <c r="AW32" s="89">
        <f>+AU32+SUM(AW30:AW31)</f>
        <v>431900</v>
      </c>
      <c r="AX32" s="3"/>
      <c r="AY32" s="89">
        <f>+AW32+SUM(AY30:AY31)</f>
        <v>706600</v>
      </c>
      <c r="AZ32" s="3"/>
      <c r="BA32" s="89">
        <f>+AY32+SUM(BA30:BA31)</f>
        <v>717600</v>
      </c>
      <c r="BB32" s="3"/>
      <c r="BC32" s="89">
        <f>+BA32+SUM(BC30:BC31)</f>
        <v>717600</v>
      </c>
      <c r="BD32" s="3"/>
      <c r="BE32" s="89">
        <f>+BC32+SUM(BE30:BE31)</f>
        <v>846600</v>
      </c>
      <c r="BF32" s="3"/>
      <c r="BG32" s="89">
        <f>+BE32+SUM(BG30:BG31)</f>
        <v>975600</v>
      </c>
    </row>
    <row r="33" spans="1:59" x14ac:dyDescent="0.25">
      <c r="A33" s="90" t="s">
        <v>393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22000+1000</f>
        <v>23000</v>
      </c>
      <c r="AH33" s="3"/>
      <c r="AI33" s="90">
        <v>82000</v>
      </c>
      <c r="AJ33" s="3"/>
      <c r="AK33" s="90">
        <v>0</v>
      </c>
      <c r="AL33" s="3"/>
      <c r="AM33" s="90">
        <f>23000</f>
        <v>23000</v>
      </c>
      <c r="AN33" s="3"/>
      <c r="AO33" s="90">
        <v>0</v>
      </c>
      <c r="AP33" s="3"/>
      <c r="AQ33" s="90">
        <v>0</v>
      </c>
      <c r="AR33" s="3"/>
      <c r="AS33" s="90">
        <f>15000+8000</f>
        <v>23000</v>
      </c>
      <c r="AT33" s="3"/>
      <c r="AU33" s="90">
        <v>0</v>
      </c>
      <c r="AV33" s="3"/>
      <c r="AW33" s="90">
        <v>11000</v>
      </c>
      <c r="AX33" s="3"/>
      <c r="AY33" s="90">
        <v>0</v>
      </c>
      <c r="AZ33" s="3"/>
      <c r="BA33" s="90">
        <v>0</v>
      </c>
      <c r="BB33" s="3"/>
      <c r="BC33" s="90">
        <v>0</v>
      </c>
      <c r="BD33" s="3"/>
      <c r="BE33" s="90">
        <v>27000</v>
      </c>
      <c r="BF33" s="3"/>
      <c r="BG33" s="90">
        <v>27000</v>
      </c>
    </row>
    <row r="34" spans="1:59" x14ac:dyDescent="0.25">
      <c r="A34" s="90" t="s">
        <v>403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90">
        <v>0</v>
      </c>
      <c r="AF34" s="3"/>
      <c r="AG34" s="90">
        <f>+AG33</f>
        <v>23000</v>
      </c>
      <c r="AH34" s="3"/>
      <c r="AI34" s="90">
        <f>+AI33+AG34</f>
        <v>105000</v>
      </c>
      <c r="AJ34" s="3"/>
      <c r="AK34" s="90">
        <f>+AK33+AI34</f>
        <v>105000</v>
      </c>
      <c r="AL34" s="3"/>
      <c r="AM34" s="90">
        <f>+AM33+AK34</f>
        <v>128000</v>
      </c>
      <c r="AN34" s="3"/>
      <c r="AO34" s="90">
        <f>+AO33+AM34</f>
        <v>128000</v>
      </c>
      <c r="AP34" s="3"/>
      <c r="AQ34" s="90">
        <f>+AQ33+AO34</f>
        <v>128000</v>
      </c>
      <c r="AR34" s="3"/>
      <c r="AS34" s="90">
        <f>+AS33+AQ34</f>
        <v>151000</v>
      </c>
      <c r="AT34" s="3"/>
      <c r="AU34" s="90">
        <f>+AU33+AS34</f>
        <v>151000</v>
      </c>
      <c r="AV34" s="3"/>
      <c r="AW34" s="90">
        <f>+AW33+AU34</f>
        <v>162000</v>
      </c>
      <c r="AX34" s="3"/>
      <c r="AY34" s="90">
        <f>+AY33+AW34</f>
        <v>162000</v>
      </c>
      <c r="AZ34" s="3"/>
      <c r="BA34" s="90">
        <f>+BA33+AY34</f>
        <v>162000</v>
      </c>
      <c r="BB34" s="3"/>
      <c r="BC34" s="90">
        <f>+BC33+BA34</f>
        <v>162000</v>
      </c>
      <c r="BD34" s="3"/>
      <c r="BE34" s="90">
        <f>+BE33+BC34</f>
        <v>189000</v>
      </c>
      <c r="BF34" s="3"/>
      <c r="BG34" s="90">
        <f>+BG33+BE34</f>
        <v>216000</v>
      </c>
    </row>
    <row r="36" spans="1:59" x14ac:dyDescent="0.25">
      <c r="A36" s="76" t="s">
        <v>138</v>
      </c>
      <c r="AW36" s="116">
        <f>+AW20+AW30+AW33</f>
        <v>388500</v>
      </c>
      <c r="AY36" s="116">
        <f>+AY20+AY30+AY33</f>
        <v>172700</v>
      </c>
      <c r="BA36" s="116">
        <f>+BA20+BA30+BA33</f>
        <v>141000</v>
      </c>
      <c r="BC36" s="116">
        <f>+BC20+BC30+BC33</f>
        <v>0</v>
      </c>
      <c r="BE36" s="116">
        <f>+BE20+BE30+BE33</f>
        <v>294700</v>
      </c>
      <c r="BG36" s="116">
        <f>+BG20+BG30+BG33</f>
        <v>156000</v>
      </c>
    </row>
    <row r="38" spans="1:59" x14ac:dyDescent="0.25">
      <c r="A38" s="16" t="s">
        <v>405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9"/>
      <c r="AH38" s="3"/>
      <c r="AI38" s="89">
        <v>24000</v>
      </c>
      <c r="AJ38" s="3"/>
      <c r="AK38" s="89">
        <f>16000+AI38</f>
        <v>40000</v>
      </c>
      <c r="AL38" s="3"/>
      <c r="AM38" s="16">
        <f>8000*5</f>
        <v>40000</v>
      </c>
      <c r="AN38" s="3"/>
      <c r="AO38" s="89"/>
      <c r="AP38" s="3"/>
      <c r="AQ38" s="16">
        <f>16000+AM38</f>
        <v>56000</v>
      </c>
      <c r="AR38" s="3"/>
      <c r="AS38" s="89"/>
      <c r="AT38" s="3"/>
      <c r="AU38" s="89"/>
      <c r="AV38" s="3"/>
      <c r="AW38" s="89"/>
      <c r="AX38" s="3"/>
      <c r="AY38" s="89"/>
      <c r="AZ38" s="3"/>
      <c r="BA38" s="89"/>
      <c r="BB38" s="3"/>
      <c r="BC38" s="89"/>
      <c r="BD38" s="3"/>
      <c r="BE38" s="89"/>
      <c r="BF38" s="3"/>
      <c r="BG38" s="89"/>
    </row>
    <row r="39" spans="1:59" x14ac:dyDescent="0.25">
      <c r="A39" s="16" t="s">
        <v>401</v>
      </c>
      <c r="AY39" s="3">
        <v>423300</v>
      </c>
      <c r="BA39" s="13">
        <f>+AY39</f>
        <v>423300</v>
      </c>
      <c r="BC39" s="13">
        <f>+BA39</f>
        <v>423300</v>
      </c>
      <c r="BE39" s="13">
        <f>+BC39</f>
        <v>423300</v>
      </c>
      <c r="BG39" s="13">
        <f>+BE39</f>
        <v>423300</v>
      </c>
    </row>
    <row r="41" spans="1:59" x14ac:dyDescent="0.25">
      <c r="AM41" s="13">
        <f>+SUM(AM23,AM27,AM32,AM34)</f>
        <v>843850</v>
      </c>
    </row>
    <row r="43" spans="1:59" x14ac:dyDescent="0.25">
      <c r="AM43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117"/>
  <sheetViews>
    <sheetView zoomScale="115" zoomScaleNormal="115" workbookViewId="0">
      <pane ySplit="5" topLeftCell="A110" activePane="bottomLeft" state="frozen"/>
      <selection activeCell="C1" sqref="C1"/>
      <selection pane="bottomLeft" activeCell="D118" sqref="D118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844600</v>
      </c>
    </row>
    <row r="2" spans="1:10" ht="15.75" thickBot="1" x14ac:dyDescent="0.3">
      <c r="C2" s="33" t="s">
        <v>147</v>
      </c>
      <c r="D2" s="28">
        <f>+SUMIF($H$6:$H$1048576,C2,$D$6:$D$1048576)</f>
        <v>162000</v>
      </c>
    </row>
    <row r="3" spans="1:10" ht="15.75" thickTop="1" x14ac:dyDescent="0.25">
      <c r="D3" s="3">
        <f>+SUM(D6:D1048576)</f>
        <v>1049600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376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0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0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0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0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0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0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1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314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358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360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359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361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315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349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350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351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348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352</v>
      </c>
    </row>
    <row r="52" spans="1:9" x14ac:dyDescent="0.25">
      <c r="A52" s="2">
        <v>46092</v>
      </c>
      <c r="B52" s="2" t="str">
        <f t="shared" si="6"/>
        <v>mié</v>
      </c>
      <c r="D52" s="112">
        <v>24000</v>
      </c>
      <c r="E52" s="3" t="s">
        <v>222</v>
      </c>
      <c r="H52" s="32" t="s">
        <v>142</v>
      </c>
      <c r="I52" t="s">
        <v>353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348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354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357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355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356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363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377</v>
      </c>
      <c r="H61" s="32" t="s">
        <v>142</v>
      </c>
      <c r="I61" t="s">
        <v>348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378</v>
      </c>
      <c r="H62" s="32" t="s">
        <v>142</v>
      </c>
      <c r="I62" t="s">
        <v>372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402</v>
      </c>
      <c r="H63" s="32" t="s">
        <v>142</v>
      </c>
      <c r="I63" t="s">
        <v>373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374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363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400</v>
      </c>
      <c r="H66" s="32" t="s">
        <v>142</v>
      </c>
      <c r="I66" t="s">
        <v>394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399</v>
      </c>
      <c r="H67" s="32" t="s">
        <v>142</v>
      </c>
      <c r="I67" t="s">
        <v>395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396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398</v>
      </c>
      <c r="H69" s="32" t="s">
        <v>142</v>
      </c>
      <c r="I69" t="s">
        <v>397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397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417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418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419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420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421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422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423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424</v>
      </c>
      <c r="H80" s="32" t="s">
        <v>142</v>
      </c>
      <c r="I80" t="s">
        <v>425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431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436</v>
      </c>
      <c r="G82" s="16" t="s">
        <v>375</v>
      </c>
      <c r="H82" s="32" t="s">
        <v>142</v>
      </c>
      <c r="I82" s="16" t="s">
        <v>433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436</v>
      </c>
      <c r="G83" s="16" t="s">
        <v>375</v>
      </c>
      <c r="H83" s="32" t="s">
        <v>142</v>
      </c>
      <c r="I83" s="16" t="s">
        <v>434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424</v>
      </c>
      <c r="H84" s="32" t="s">
        <v>142</v>
      </c>
      <c r="I84" t="s">
        <v>430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424</v>
      </c>
      <c r="H85" s="32" t="s">
        <v>142</v>
      </c>
      <c r="I85" t="s">
        <v>432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435</v>
      </c>
      <c r="G86" s="16" t="s">
        <v>375</v>
      </c>
      <c r="H86" s="32" t="s">
        <v>142</v>
      </c>
      <c r="I86" s="16" t="s">
        <v>433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424</v>
      </c>
      <c r="H87" s="32" t="s">
        <v>142</v>
      </c>
      <c r="I87" s="16" t="s">
        <v>446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1">
        <f>+-8500-6000</f>
        <v>-14500</v>
      </c>
      <c r="E88" s="3" t="s">
        <v>424</v>
      </c>
      <c r="H88" s="32" t="s">
        <v>142</v>
      </c>
      <c r="I88" s="16" t="s">
        <v>447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:B95" si="19">+TEXT(A93,"ddd")</f>
        <v>mié</v>
      </c>
      <c r="D93" s="111">
        <v>-50000</v>
      </c>
      <c r="E93" s="3" t="s">
        <v>424</v>
      </c>
      <c r="H93" s="32" t="s">
        <v>142</v>
      </c>
      <c r="I93" t="s">
        <v>450</v>
      </c>
    </row>
    <row r="94" spans="1:9" x14ac:dyDescent="0.25">
      <c r="A94" s="2"/>
      <c r="B94" s="2"/>
      <c r="D94" s="111"/>
      <c r="H94" s="3"/>
    </row>
    <row r="95" spans="1:9" x14ac:dyDescent="0.25">
      <c r="A95" s="2">
        <v>46100</v>
      </c>
      <c r="B95" s="2" t="str">
        <f t="shared" si="19"/>
        <v>jue</v>
      </c>
      <c r="D95" s="58">
        <v>11000</v>
      </c>
      <c r="E95" s="3" t="s">
        <v>222</v>
      </c>
      <c r="H95" s="33" t="s">
        <v>147</v>
      </c>
    </row>
    <row r="96" spans="1:9" x14ac:dyDescent="0.25">
      <c r="A96" s="2">
        <v>46100</v>
      </c>
      <c r="B96" s="2" t="str">
        <f t="shared" ref="B96" si="20">+TEXT(A96,"ddd")</f>
        <v>jue</v>
      </c>
      <c r="D96" s="58">
        <v>8000</v>
      </c>
      <c r="E96" s="3" t="s">
        <v>222</v>
      </c>
      <c r="F96" s="114">
        <v>268</v>
      </c>
      <c r="H96" s="32" t="s">
        <v>142</v>
      </c>
      <c r="I96" t="s">
        <v>523</v>
      </c>
    </row>
    <row r="97" spans="1:9" x14ac:dyDescent="0.25">
      <c r="A97" s="2">
        <v>46100</v>
      </c>
      <c r="B97" s="2" t="str">
        <f t="shared" ref="B97:B104" si="21">+TEXT(A97,"ddd")</f>
        <v>jue</v>
      </c>
      <c r="D97" s="58">
        <v>14000</v>
      </c>
      <c r="E97" s="3" t="s">
        <v>222</v>
      </c>
      <c r="F97" s="115">
        <v>270</v>
      </c>
      <c r="H97" s="32" t="s">
        <v>142</v>
      </c>
      <c r="I97" t="s">
        <v>524</v>
      </c>
    </row>
    <row r="98" spans="1:9" x14ac:dyDescent="0.25">
      <c r="A98" s="2">
        <v>46100</v>
      </c>
      <c r="B98" s="2" t="str">
        <f t="shared" si="21"/>
        <v>jue</v>
      </c>
      <c r="D98" s="58">
        <v>8000</v>
      </c>
      <c r="E98" s="3" t="s">
        <v>222</v>
      </c>
      <c r="F98" s="115">
        <v>270</v>
      </c>
      <c r="H98" s="32" t="s">
        <v>142</v>
      </c>
      <c r="I98" t="s">
        <v>524</v>
      </c>
    </row>
    <row r="99" spans="1:9" x14ac:dyDescent="0.25">
      <c r="A99" s="2">
        <v>46100</v>
      </c>
      <c r="B99" s="2" t="str">
        <f t="shared" si="21"/>
        <v>jue</v>
      </c>
      <c r="D99" s="58">
        <v>30000</v>
      </c>
      <c r="E99" s="3" t="s">
        <v>222</v>
      </c>
      <c r="F99" s="114">
        <v>271</v>
      </c>
      <c r="H99" s="32" t="s">
        <v>142</v>
      </c>
      <c r="I99" t="s">
        <v>525</v>
      </c>
    </row>
    <row r="100" spans="1:9" x14ac:dyDescent="0.25">
      <c r="A100" s="2">
        <v>46100</v>
      </c>
      <c r="B100" s="2" t="str">
        <f t="shared" si="21"/>
        <v>jue</v>
      </c>
      <c r="D100" s="58">
        <v>19000</v>
      </c>
      <c r="E100" s="3" t="s">
        <v>222</v>
      </c>
      <c r="F100" s="113">
        <v>272</v>
      </c>
      <c r="H100" s="32" t="s">
        <v>142</v>
      </c>
      <c r="I100" t="s">
        <v>526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58">
        <v>16000</v>
      </c>
      <c r="E101" s="3" t="s">
        <v>222</v>
      </c>
      <c r="F101" s="114">
        <v>278</v>
      </c>
      <c r="H101" s="32" t="s">
        <v>142</v>
      </c>
      <c r="I101" t="s">
        <v>527</v>
      </c>
    </row>
    <row r="102" spans="1:9" x14ac:dyDescent="0.25">
      <c r="A102" s="2">
        <v>46100</v>
      </c>
      <c r="B102" s="2" t="str">
        <f t="shared" si="21"/>
        <v>jue</v>
      </c>
      <c r="D102" s="58">
        <v>16000</v>
      </c>
      <c r="E102" s="3" t="s">
        <v>222</v>
      </c>
      <c r="F102" s="113">
        <v>279</v>
      </c>
      <c r="H102" s="32" t="s">
        <v>142</v>
      </c>
      <c r="I102" t="s">
        <v>528</v>
      </c>
    </row>
    <row r="103" spans="1:9" x14ac:dyDescent="0.25">
      <c r="A103" s="2">
        <v>46100</v>
      </c>
      <c r="B103" s="2" t="str">
        <f t="shared" si="21"/>
        <v>jue</v>
      </c>
      <c r="D103" s="58">
        <v>2800</v>
      </c>
      <c r="E103" s="3" t="s">
        <v>222</v>
      </c>
      <c r="F103" s="114">
        <v>286</v>
      </c>
      <c r="H103" s="32" t="s">
        <v>142</v>
      </c>
      <c r="I103" t="s">
        <v>524</v>
      </c>
    </row>
    <row r="104" spans="1:9" x14ac:dyDescent="0.25">
      <c r="A104" s="2">
        <v>46100</v>
      </c>
      <c r="B104" s="2" t="str">
        <f t="shared" si="21"/>
        <v>jue</v>
      </c>
      <c r="C104" s="34">
        <v>0.79166666666666663</v>
      </c>
      <c r="D104" s="69">
        <v>8000</v>
      </c>
      <c r="E104" s="3" t="s">
        <v>222</v>
      </c>
      <c r="F104" s="114">
        <v>282</v>
      </c>
      <c r="H104" s="32" t="s">
        <v>142</v>
      </c>
      <c r="I104" t="s">
        <v>529</v>
      </c>
    </row>
    <row r="105" spans="1:9" x14ac:dyDescent="0.25">
      <c r="A105" s="2">
        <v>46100</v>
      </c>
      <c r="B105" s="2" t="str">
        <f t="shared" ref="B105" si="23">+TEXT(A105,"ddd")</f>
        <v>jue</v>
      </c>
      <c r="D105" s="58">
        <v>40000</v>
      </c>
      <c r="E105" s="3" t="s">
        <v>222</v>
      </c>
      <c r="F105" s="113">
        <v>285</v>
      </c>
      <c r="H105" s="32" t="s">
        <v>142</v>
      </c>
      <c r="I105" t="s">
        <v>530</v>
      </c>
    </row>
    <row r="106" spans="1:9" x14ac:dyDescent="0.25">
      <c r="A106" s="2">
        <v>46100</v>
      </c>
      <c r="B106" s="2" t="str">
        <f t="shared" ref="B106:B107" si="24">+TEXT(A106,"ddd")</f>
        <v>jue</v>
      </c>
      <c r="C106" s="34">
        <v>0.84930555555555554</v>
      </c>
      <c r="D106" s="69">
        <v>8000</v>
      </c>
      <c r="E106" s="3" t="s">
        <v>222</v>
      </c>
      <c r="H106" s="32" t="s">
        <v>142</v>
      </c>
      <c r="I106" t="s">
        <v>532</v>
      </c>
    </row>
    <row r="107" spans="1:9" x14ac:dyDescent="0.25">
      <c r="A107" s="2">
        <v>46100</v>
      </c>
      <c r="B107" s="2" t="str">
        <f t="shared" si="24"/>
        <v>jue</v>
      </c>
      <c r="D107" s="58">
        <f>-40000-10000</f>
        <v>-50000</v>
      </c>
      <c r="E107" s="3" t="s">
        <v>424</v>
      </c>
      <c r="H107" s="32" t="s">
        <v>142</v>
      </c>
      <c r="I107" t="s">
        <v>413</v>
      </c>
    </row>
    <row r="108" spans="1:9" x14ac:dyDescent="0.25">
      <c r="A108" s="2">
        <v>46100</v>
      </c>
      <c r="B108" s="2" t="str">
        <f t="shared" ref="B108:B112" si="25">+TEXT(A108,"ddd")</f>
        <v>jue</v>
      </c>
      <c r="D108" s="58">
        <v>-404000</v>
      </c>
      <c r="E108" s="3" t="s">
        <v>222</v>
      </c>
      <c r="H108" s="32" t="s">
        <v>142</v>
      </c>
      <c r="I108" t="s">
        <v>531</v>
      </c>
    </row>
    <row r="109" spans="1:9" x14ac:dyDescent="0.25">
      <c r="A109" s="2">
        <v>46101</v>
      </c>
      <c r="B109" s="2" t="str">
        <f t="shared" si="25"/>
        <v>vie</v>
      </c>
      <c r="D109" s="58">
        <v>33000</v>
      </c>
      <c r="E109" s="3" t="s">
        <v>222</v>
      </c>
      <c r="H109" s="32" t="s">
        <v>142</v>
      </c>
      <c r="I109" t="s">
        <v>554</v>
      </c>
    </row>
    <row r="110" spans="1:9" x14ac:dyDescent="0.25">
      <c r="A110" s="2">
        <v>46101</v>
      </c>
      <c r="B110" s="2" t="str">
        <f t="shared" si="25"/>
        <v>vie</v>
      </c>
      <c r="D110" s="58">
        <v>32700</v>
      </c>
      <c r="E110" s="3" t="s">
        <v>222</v>
      </c>
      <c r="H110" s="32" t="s">
        <v>142</v>
      </c>
      <c r="I110" t="s">
        <v>553</v>
      </c>
    </row>
    <row r="111" spans="1:9" x14ac:dyDescent="0.25">
      <c r="A111" s="2">
        <v>46101</v>
      </c>
      <c r="B111" s="2" t="str">
        <f t="shared" si="25"/>
        <v>vie</v>
      </c>
      <c r="D111" s="58">
        <v>230000</v>
      </c>
      <c r="E111" s="3" t="s">
        <v>555</v>
      </c>
      <c r="H111" s="32" t="s">
        <v>142</v>
      </c>
      <c r="I111" t="s">
        <v>556</v>
      </c>
    </row>
    <row r="112" spans="1:9" x14ac:dyDescent="0.25">
      <c r="A112" s="2">
        <v>46101</v>
      </c>
      <c r="B112" s="2" t="str">
        <f t="shared" si="25"/>
        <v>vie</v>
      </c>
      <c r="D112" s="58">
        <v>-21000</v>
      </c>
      <c r="E112" s="3" t="s">
        <v>424</v>
      </c>
      <c r="H112" s="32" t="s">
        <v>142</v>
      </c>
      <c r="I112" t="s">
        <v>557</v>
      </c>
    </row>
    <row r="113" spans="1:9" x14ac:dyDescent="0.25">
      <c r="A113" s="2">
        <v>46102</v>
      </c>
      <c r="B113" s="2" t="str">
        <f>+TEXT(A113,"ddd")</f>
        <v>sáb</v>
      </c>
      <c r="D113" s="58">
        <v>11000</v>
      </c>
      <c r="E113" s="3" t="s">
        <v>222</v>
      </c>
      <c r="H113" s="32" t="s">
        <v>142</v>
      </c>
      <c r="I113" t="s">
        <v>595</v>
      </c>
    </row>
    <row r="114" spans="1:9" x14ac:dyDescent="0.25">
      <c r="A114" s="2">
        <v>46105</v>
      </c>
      <c r="B114" s="2" t="str">
        <f>+TEXT(A114,"ddd")</f>
        <v>mar</v>
      </c>
      <c r="D114" s="58">
        <v>13000</v>
      </c>
      <c r="E114" s="3" t="s">
        <v>222</v>
      </c>
      <c r="H114" s="32" t="s">
        <v>142</v>
      </c>
    </row>
    <row r="115" spans="1:9" x14ac:dyDescent="0.25">
      <c r="A115" s="2">
        <v>46105</v>
      </c>
      <c r="B115" s="2" t="str">
        <f t="shared" ref="B115:B117" si="26">+TEXT(A115,"ddd")</f>
        <v>mar</v>
      </c>
      <c r="D115" s="58">
        <v>10000</v>
      </c>
      <c r="E115" s="3" t="s">
        <v>222</v>
      </c>
      <c r="H115" s="32" t="s">
        <v>142</v>
      </c>
    </row>
    <row r="116" spans="1:9" x14ac:dyDescent="0.25">
      <c r="A116" s="2">
        <v>46105</v>
      </c>
      <c r="B116" s="2" t="str">
        <f t="shared" si="26"/>
        <v>mar</v>
      </c>
      <c r="D116" s="58">
        <v>16000</v>
      </c>
      <c r="E116" s="3" t="s">
        <v>222</v>
      </c>
      <c r="H116" s="32" t="s">
        <v>142</v>
      </c>
    </row>
    <row r="117" spans="1:9" x14ac:dyDescent="0.25">
      <c r="A117" s="2">
        <v>46105</v>
      </c>
      <c r="B117" s="2" t="str">
        <f t="shared" si="26"/>
        <v>mar</v>
      </c>
      <c r="D117" s="58">
        <v>88000</v>
      </c>
      <c r="E117" s="3" t="s">
        <v>222</v>
      </c>
      <c r="H117" s="32" t="s">
        <v>142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workbookViewId="0">
      <selection activeCell="F4" sqref="F4"/>
    </sheetView>
  </sheetViews>
  <sheetFormatPr baseColWidth="10" defaultRowHeight="15" x14ac:dyDescent="0.25"/>
  <cols>
    <col min="2" max="2" width="19.140625" bestFit="1" customWidth="1"/>
    <col min="3" max="3" width="11.42578125" style="80"/>
  </cols>
  <sheetData>
    <row r="1" spans="2:6" x14ac:dyDescent="0.25">
      <c r="B1" t="s">
        <v>138</v>
      </c>
      <c r="C1" s="80">
        <f>+SUM(C8,C10:C17)</f>
        <v>126500</v>
      </c>
      <c r="D1" t="s">
        <v>277</v>
      </c>
    </row>
    <row r="2" spans="2:6" x14ac:dyDescent="0.25">
      <c r="B2" t="s">
        <v>413</v>
      </c>
      <c r="C2" s="80">
        <v>20000</v>
      </c>
    </row>
    <row r="3" spans="2:6" x14ac:dyDescent="0.25">
      <c r="B3" t="s">
        <v>269</v>
      </c>
      <c r="C3" s="80">
        <v>70000</v>
      </c>
      <c r="F3" t="s">
        <v>203</v>
      </c>
    </row>
    <row r="4" spans="2:6" x14ac:dyDescent="0.25">
      <c r="C4" s="86">
        <f>+C1-SUM(C2:C3)</f>
        <v>36500</v>
      </c>
    </row>
    <row r="8" spans="2:6" x14ac:dyDescent="0.25">
      <c r="B8" t="s">
        <v>628</v>
      </c>
      <c r="C8" s="80">
        <f>4500*3</f>
        <v>13500</v>
      </c>
      <c r="D8" t="s">
        <v>277</v>
      </c>
      <c r="F8">
        <v>1600</v>
      </c>
    </row>
    <row r="9" spans="2:6" x14ac:dyDescent="0.25">
      <c r="B9" t="s">
        <v>629</v>
      </c>
      <c r="C9" s="80">
        <f>8000+300</f>
        <v>8300</v>
      </c>
      <c r="D9" t="s">
        <v>278</v>
      </c>
    </row>
    <row r="10" spans="2:6" x14ac:dyDescent="0.25">
      <c r="B10" t="s">
        <v>630</v>
      </c>
      <c r="C10" s="80">
        <v>8000</v>
      </c>
      <c r="D10" t="s">
        <v>277</v>
      </c>
    </row>
    <row r="11" spans="2:6" x14ac:dyDescent="0.25">
      <c r="B11" t="s">
        <v>629</v>
      </c>
      <c r="C11" s="80">
        <v>11000</v>
      </c>
      <c r="D11" t="s">
        <v>277</v>
      </c>
    </row>
    <row r="12" spans="2:6" x14ac:dyDescent="0.25">
      <c r="B12" s="1" t="s">
        <v>631</v>
      </c>
      <c r="C12" s="80">
        <v>15000</v>
      </c>
      <c r="D12" t="s">
        <v>277</v>
      </c>
    </row>
    <row r="13" spans="2:6" x14ac:dyDescent="0.25">
      <c r="B13" t="s">
        <v>296</v>
      </c>
      <c r="C13" s="80">
        <v>8000</v>
      </c>
      <c r="D13" t="s">
        <v>277</v>
      </c>
    </row>
    <row r="14" spans="2:6" x14ac:dyDescent="0.25">
      <c r="B14" t="s">
        <v>632</v>
      </c>
      <c r="C14" s="80">
        <v>16000</v>
      </c>
      <c r="D14" t="s">
        <v>277</v>
      </c>
    </row>
    <row r="15" spans="2:6" x14ac:dyDescent="0.25">
      <c r="B15" t="s">
        <v>633</v>
      </c>
      <c r="C15" s="80">
        <f>8000*2+3000</f>
        <v>19000</v>
      </c>
      <c r="D15" t="s">
        <v>277</v>
      </c>
    </row>
    <row r="16" spans="2:6" x14ac:dyDescent="0.25">
      <c r="B16" t="s">
        <v>632</v>
      </c>
      <c r="C16" s="80">
        <v>16000</v>
      </c>
      <c r="D16" t="s">
        <v>277</v>
      </c>
    </row>
    <row r="17" spans="2:4" x14ac:dyDescent="0.25">
      <c r="B17" t="s">
        <v>634</v>
      </c>
      <c r="C17" s="80">
        <v>20000</v>
      </c>
      <c r="D17" t="s">
        <v>277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4"/>
  <sheetViews>
    <sheetView workbookViewId="0">
      <selection activeCell="D3" sqref="D3"/>
    </sheetView>
  </sheetViews>
  <sheetFormatPr baseColWidth="10" defaultRowHeight="15" x14ac:dyDescent="0.25"/>
  <sheetData>
    <row r="2" spans="3:7" x14ac:dyDescent="0.25">
      <c r="D2" t="s">
        <v>637</v>
      </c>
    </row>
    <row r="3" spans="3:7" x14ac:dyDescent="0.25">
      <c r="E3" t="s">
        <v>635</v>
      </c>
    </row>
    <row r="4" spans="3:7" x14ac:dyDescent="0.25">
      <c r="C4" t="s">
        <v>251</v>
      </c>
      <c r="D4">
        <v>106500</v>
      </c>
      <c r="E4">
        <v>6.66</v>
      </c>
      <c r="F4" t="s">
        <v>635</v>
      </c>
      <c r="G4" t="s">
        <v>636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410</v>
      </c>
      <c r="C10" s="16">
        <v>116300</v>
      </c>
      <c r="D10" t="s">
        <v>411</v>
      </c>
    </row>
    <row r="11" spans="1:8" x14ac:dyDescent="0.25">
      <c r="B11" t="s">
        <v>408</v>
      </c>
      <c r="C11" s="3">
        <v>17400</v>
      </c>
    </row>
    <row r="12" spans="1:8" x14ac:dyDescent="0.25">
      <c r="B12" t="s">
        <v>409</v>
      </c>
      <c r="C12" s="3">
        <v>8000</v>
      </c>
    </row>
    <row r="13" spans="1:8" x14ac:dyDescent="0.25">
      <c r="B13" t="s">
        <v>412</v>
      </c>
      <c r="C13" s="3">
        <v>72150</v>
      </c>
      <c r="D13" s="13">
        <f>+C13+C14</f>
        <v>79650</v>
      </c>
    </row>
    <row r="14" spans="1:8" x14ac:dyDescent="0.25">
      <c r="B14" t="s">
        <v>412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392</v>
      </c>
      <c r="F4" t="s">
        <v>390</v>
      </c>
    </row>
    <row r="5" spans="1:7" x14ac:dyDescent="0.25">
      <c r="A5" s="1">
        <v>2</v>
      </c>
      <c r="B5" s="1" t="s">
        <v>382</v>
      </c>
      <c r="C5" s="86">
        <v>16000</v>
      </c>
      <c r="D5" t="s">
        <v>392</v>
      </c>
      <c r="F5" t="s">
        <v>391</v>
      </c>
    </row>
    <row r="6" spans="1:7" x14ac:dyDescent="0.25">
      <c r="A6" s="1">
        <v>2</v>
      </c>
      <c r="B6" s="1" t="s">
        <v>385</v>
      </c>
      <c r="C6" s="86">
        <v>6000</v>
      </c>
      <c r="D6">
        <v>3</v>
      </c>
    </row>
    <row r="7" spans="1:7" x14ac:dyDescent="0.25">
      <c r="A7">
        <v>3</v>
      </c>
      <c r="B7" t="s">
        <v>389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382</v>
      </c>
      <c r="C8" s="86">
        <v>24000</v>
      </c>
    </row>
    <row r="9" spans="1:7" x14ac:dyDescent="0.25">
      <c r="A9" s="1">
        <v>3</v>
      </c>
      <c r="B9" s="1" t="s">
        <v>385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389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382</v>
      </c>
      <c r="C19">
        <v>16000</v>
      </c>
    </row>
    <row r="20" spans="1:5" x14ac:dyDescent="0.25">
      <c r="A20">
        <v>2</v>
      </c>
      <c r="B20" t="s">
        <v>385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384</v>
      </c>
      <c r="C22" s="1">
        <v>3000</v>
      </c>
    </row>
    <row r="23" spans="1:5" x14ac:dyDescent="0.25">
      <c r="A23">
        <v>2</v>
      </c>
      <c r="B23" t="s">
        <v>386</v>
      </c>
      <c r="C23">
        <v>9000</v>
      </c>
    </row>
    <row r="24" spans="1:5" x14ac:dyDescent="0.25">
      <c r="A24" s="1">
        <v>2</v>
      </c>
      <c r="B24" s="1" t="s">
        <v>382</v>
      </c>
      <c r="C24" s="1">
        <v>16000</v>
      </c>
    </row>
    <row r="25" spans="1:5" x14ac:dyDescent="0.25">
      <c r="A25" s="1">
        <v>2</v>
      </c>
      <c r="B25" s="1" t="s">
        <v>385</v>
      </c>
      <c r="C25" s="1">
        <v>6000</v>
      </c>
    </row>
    <row r="27" spans="1:5" x14ac:dyDescent="0.25">
      <c r="A27">
        <v>1</v>
      </c>
      <c r="B27" t="s">
        <v>383</v>
      </c>
      <c r="C27">
        <v>37000</v>
      </c>
      <c r="D27" t="s">
        <v>387</v>
      </c>
      <c r="E27">
        <f>30+7</f>
        <v>37</v>
      </c>
    </row>
    <row r="28" spans="1:5" x14ac:dyDescent="0.25">
      <c r="A28" s="1">
        <v>3</v>
      </c>
      <c r="B28" s="1" t="s">
        <v>382</v>
      </c>
      <c r="C28" s="1">
        <v>24000</v>
      </c>
    </row>
    <row r="29" spans="1:5" x14ac:dyDescent="0.25">
      <c r="A29" s="1">
        <v>1</v>
      </c>
      <c r="B29" s="1" t="s">
        <v>381</v>
      </c>
      <c r="C29" s="1">
        <v>15000</v>
      </c>
    </row>
    <row r="30" spans="1:5" x14ac:dyDescent="0.25">
      <c r="A30" s="1">
        <v>1</v>
      </c>
      <c r="B30" s="1" t="s">
        <v>384</v>
      </c>
      <c r="C30" s="1">
        <v>3000</v>
      </c>
    </row>
    <row r="31" spans="1:5" x14ac:dyDescent="0.25">
      <c r="B31" t="s">
        <v>383</v>
      </c>
      <c r="C31" s="1">
        <v>23000</v>
      </c>
      <c r="D31" t="s">
        <v>388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384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F44"/>
  <sheetViews>
    <sheetView showGridLines="0" zoomScale="115" zoomScaleNormal="115" workbookViewId="0">
      <pane ySplit="2" topLeftCell="A3" activePane="bottomLeft" state="frozen"/>
      <selection pane="bottomLeft" activeCell="C19" sqref="C19"/>
    </sheetView>
  </sheetViews>
  <sheetFormatPr baseColWidth="10" defaultRowHeight="15" x14ac:dyDescent="0.25"/>
  <cols>
    <col min="1" max="1" width="1.42578125" customWidth="1"/>
    <col min="2" max="2" width="8.140625" style="94" bestFit="1" customWidth="1"/>
    <col min="3" max="3" width="53.85546875" style="94" bestFit="1" customWidth="1"/>
    <col min="4" max="4" width="11" style="120" bestFit="1" customWidth="1"/>
    <col min="5" max="5" width="9.42578125" style="94" bestFit="1" customWidth="1"/>
    <col min="6" max="6" width="70.85546875" style="95" bestFit="1" customWidth="1"/>
  </cols>
  <sheetData>
    <row r="1" spans="2:6" ht="33.75" x14ac:dyDescent="0.25">
      <c r="B1" s="147" t="s">
        <v>347</v>
      </c>
      <c r="C1" s="147"/>
      <c r="D1" s="147"/>
      <c r="E1" s="147"/>
      <c r="F1" s="147"/>
    </row>
    <row r="2" spans="2:6" x14ac:dyDescent="0.25">
      <c r="B2" s="96" t="s">
        <v>5</v>
      </c>
      <c r="C2" s="96" t="s">
        <v>330</v>
      </c>
      <c r="D2" s="117" t="s">
        <v>303</v>
      </c>
      <c r="E2" s="96" t="s">
        <v>346</v>
      </c>
      <c r="F2" s="97" t="s">
        <v>300</v>
      </c>
    </row>
    <row r="3" spans="2:6" ht="30" x14ac:dyDescent="0.25">
      <c r="B3" s="121">
        <v>46090</v>
      </c>
      <c r="C3" s="98" t="s">
        <v>449</v>
      </c>
      <c r="D3" s="118" t="s">
        <v>304</v>
      </c>
      <c r="E3" s="98" t="s">
        <v>301</v>
      </c>
      <c r="F3" s="99" t="s">
        <v>302</v>
      </c>
    </row>
    <row r="4" spans="2:6" ht="30" x14ac:dyDescent="0.25">
      <c r="B4" s="121">
        <v>46090</v>
      </c>
      <c r="C4" s="98" t="s">
        <v>448</v>
      </c>
      <c r="D4" s="118" t="s">
        <v>304</v>
      </c>
      <c r="E4" s="98" t="s">
        <v>305</v>
      </c>
      <c r="F4" s="99" t="s">
        <v>306</v>
      </c>
    </row>
    <row r="5" spans="2:6" ht="30" x14ac:dyDescent="0.25">
      <c r="B5" s="121">
        <v>46093</v>
      </c>
      <c r="C5" s="98" t="s">
        <v>333</v>
      </c>
      <c r="D5" s="118" t="s">
        <v>304</v>
      </c>
      <c r="E5" s="98" t="s">
        <v>331</v>
      </c>
      <c r="F5" s="99" t="s">
        <v>332</v>
      </c>
    </row>
    <row r="6" spans="2:6" ht="60" customHeight="1" x14ac:dyDescent="0.25">
      <c r="B6" s="121">
        <v>46093</v>
      </c>
      <c r="C6" s="98" t="s">
        <v>336</v>
      </c>
      <c r="D6" s="118" t="s">
        <v>304</v>
      </c>
      <c r="E6" s="98" t="s">
        <v>334</v>
      </c>
      <c r="F6" s="99" t="s">
        <v>335</v>
      </c>
    </row>
    <row r="7" spans="2:6" ht="30" x14ac:dyDescent="0.25">
      <c r="B7" s="121">
        <v>46093</v>
      </c>
      <c r="C7" s="98" t="s">
        <v>337</v>
      </c>
      <c r="D7" s="118" t="s">
        <v>304</v>
      </c>
      <c r="E7" s="98" t="s">
        <v>339</v>
      </c>
      <c r="F7" s="99" t="s">
        <v>338</v>
      </c>
    </row>
    <row r="8" spans="2:6" ht="30" x14ac:dyDescent="0.25">
      <c r="B8" s="121">
        <v>46093</v>
      </c>
      <c r="C8" s="98" t="s">
        <v>343</v>
      </c>
      <c r="D8" s="118" t="s">
        <v>304</v>
      </c>
      <c r="E8" s="98" t="s">
        <v>340</v>
      </c>
      <c r="F8" s="99" t="s">
        <v>341</v>
      </c>
    </row>
    <row r="9" spans="2:6" ht="45" x14ac:dyDescent="0.25">
      <c r="B9" s="121">
        <v>46093</v>
      </c>
      <c r="C9" s="98" t="s">
        <v>344</v>
      </c>
      <c r="D9" s="118" t="s">
        <v>304</v>
      </c>
      <c r="E9" s="98" t="s">
        <v>342</v>
      </c>
      <c r="F9" s="99" t="s">
        <v>345</v>
      </c>
    </row>
    <row r="10" spans="2:6" x14ac:dyDescent="0.25">
      <c r="B10" s="121">
        <v>46093</v>
      </c>
      <c r="C10" s="98" t="s">
        <v>370</v>
      </c>
      <c r="D10" s="118" t="s">
        <v>304</v>
      </c>
      <c r="E10" s="98" t="s">
        <v>371</v>
      </c>
      <c r="F10" s="99" t="s">
        <v>362</v>
      </c>
    </row>
    <row r="11" spans="2:6" ht="30" x14ac:dyDescent="0.25">
      <c r="B11" s="121">
        <v>46093</v>
      </c>
      <c r="C11" s="98" t="s">
        <v>380</v>
      </c>
      <c r="D11" s="118" t="s">
        <v>304</v>
      </c>
      <c r="E11" s="98" t="s">
        <v>379</v>
      </c>
      <c r="F11" s="99" t="s">
        <v>427</v>
      </c>
    </row>
    <row r="12" spans="2:6" ht="30" x14ac:dyDescent="0.25">
      <c r="B12" s="121">
        <v>46099</v>
      </c>
      <c r="C12" s="98" t="s">
        <v>428</v>
      </c>
      <c r="D12" s="118" t="s">
        <v>304</v>
      </c>
      <c r="E12" s="98" t="s">
        <v>426</v>
      </c>
      <c r="F12" s="99" t="s">
        <v>429</v>
      </c>
    </row>
    <row r="13" spans="2:6" ht="30" x14ac:dyDescent="0.25">
      <c r="B13" s="121">
        <v>46099</v>
      </c>
      <c r="C13" s="98" t="s">
        <v>438</v>
      </c>
      <c r="D13" s="118" t="s">
        <v>304</v>
      </c>
      <c r="E13" s="98" t="s">
        <v>437</v>
      </c>
      <c r="F13" s="99" t="s">
        <v>364</v>
      </c>
    </row>
    <row r="14" spans="2:6" ht="30" x14ac:dyDescent="0.25">
      <c r="B14" s="121">
        <v>46100</v>
      </c>
      <c r="C14" s="98" t="s">
        <v>451</v>
      </c>
      <c r="D14" s="118" t="s">
        <v>304</v>
      </c>
      <c r="E14" s="98" t="s">
        <v>439</v>
      </c>
      <c r="F14" s="99" t="s">
        <v>452</v>
      </c>
    </row>
    <row r="15" spans="2:6" ht="30" x14ac:dyDescent="0.25">
      <c r="B15" s="121">
        <v>46100</v>
      </c>
      <c r="C15" s="98" t="s">
        <v>453</v>
      </c>
      <c r="D15" s="118" t="s">
        <v>304</v>
      </c>
      <c r="E15" s="98" t="s">
        <v>437</v>
      </c>
      <c r="F15" s="99" t="s">
        <v>364</v>
      </c>
    </row>
    <row r="16" spans="2:6" ht="30" x14ac:dyDescent="0.25">
      <c r="B16" s="121">
        <v>46100</v>
      </c>
      <c r="C16" s="98" t="s">
        <v>456</v>
      </c>
      <c r="D16" s="118" t="s">
        <v>304</v>
      </c>
      <c r="E16" s="98" t="s">
        <v>455</v>
      </c>
      <c r="F16" s="100" t="s">
        <v>454</v>
      </c>
    </row>
    <row r="17" spans="2:6" ht="30" x14ac:dyDescent="0.25">
      <c r="B17" s="121">
        <v>46100</v>
      </c>
      <c r="C17" s="98" t="s">
        <v>459</v>
      </c>
      <c r="D17" s="118" t="s">
        <v>304</v>
      </c>
      <c r="E17" s="98" t="s">
        <v>545</v>
      </c>
      <c r="F17" s="99" t="s">
        <v>458</v>
      </c>
    </row>
    <row r="18" spans="2:6" ht="30" x14ac:dyDescent="0.25">
      <c r="B18" s="121">
        <v>46100</v>
      </c>
      <c r="C18" s="98" t="s">
        <v>522</v>
      </c>
      <c r="D18" s="118" t="s">
        <v>304</v>
      </c>
      <c r="E18" s="98" t="s">
        <v>520</v>
      </c>
      <c r="F18" s="99" t="s">
        <v>521</v>
      </c>
    </row>
    <row r="19" spans="2:6" ht="30" x14ac:dyDescent="0.25">
      <c r="B19" s="121">
        <v>46100</v>
      </c>
      <c r="C19" s="98" t="s">
        <v>534</v>
      </c>
      <c r="D19" s="118" t="s">
        <v>304</v>
      </c>
      <c r="E19" s="98" t="s">
        <v>533</v>
      </c>
      <c r="F19" s="99" t="s">
        <v>535</v>
      </c>
    </row>
    <row r="20" spans="2:6" ht="30" x14ac:dyDescent="0.25">
      <c r="B20" s="121">
        <v>46101</v>
      </c>
      <c r="C20" s="98" t="s">
        <v>538</v>
      </c>
      <c r="D20" s="118" t="s">
        <v>304</v>
      </c>
      <c r="E20" s="98" t="s">
        <v>536</v>
      </c>
      <c r="F20" s="99" t="s">
        <v>537</v>
      </c>
    </row>
    <row r="21" spans="2:6" ht="45" x14ac:dyDescent="0.25">
      <c r="B21" s="121">
        <v>46101</v>
      </c>
      <c r="C21" s="98" t="s">
        <v>541</v>
      </c>
      <c r="D21" s="118" t="s">
        <v>304</v>
      </c>
      <c r="E21" s="98" t="s">
        <v>540</v>
      </c>
      <c r="F21" s="99" t="s">
        <v>542</v>
      </c>
    </row>
    <row r="22" spans="2:6" ht="45" x14ac:dyDescent="0.25">
      <c r="B22" s="121">
        <v>46101</v>
      </c>
      <c r="C22" s="98" t="s">
        <v>544</v>
      </c>
      <c r="D22" s="118" t="s">
        <v>304</v>
      </c>
      <c r="E22" s="98" t="s">
        <v>543</v>
      </c>
      <c r="F22" s="99" t="s">
        <v>542</v>
      </c>
    </row>
    <row r="23" spans="2:6" x14ac:dyDescent="0.25">
      <c r="B23" s="121">
        <v>46101</v>
      </c>
      <c r="C23" s="98" t="s">
        <v>546</v>
      </c>
      <c r="D23" s="118" t="s">
        <v>304</v>
      </c>
      <c r="E23" s="98" t="s">
        <v>457</v>
      </c>
      <c r="F23" s="99" t="s">
        <v>547</v>
      </c>
    </row>
    <row r="24" spans="2:6" ht="30" x14ac:dyDescent="0.25">
      <c r="B24" s="121">
        <v>46102</v>
      </c>
      <c r="C24" s="98" t="s">
        <v>572</v>
      </c>
      <c r="D24" s="118" t="s">
        <v>304</v>
      </c>
      <c r="E24" s="98" t="s">
        <v>570</v>
      </c>
      <c r="F24" s="99" t="s">
        <v>571</v>
      </c>
    </row>
    <row r="25" spans="2:6" ht="30" x14ac:dyDescent="0.25">
      <c r="B25" s="121">
        <v>46102</v>
      </c>
      <c r="C25" s="98" t="s">
        <v>574</v>
      </c>
      <c r="D25" s="118" t="s">
        <v>304</v>
      </c>
      <c r="E25" s="98" t="s">
        <v>573</v>
      </c>
      <c r="F25" s="99" t="s">
        <v>579</v>
      </c>
    </row>
    <row r="26" spans="2:6" x14ac:dyDescent="0.25">
      <c r="B26" s="121">
        <v>46102</v>
      </c>
      <c r="C26" s="98" t="s">
        <v>577</v>
      </c>
      <c r="D26" s="118" t="s">
        <v>304</v>
      </c>
      <c r="E26" s="98" t="s">
        <v>575</v>
      </c>
      <c r="F26" s="98" t="s">
        <v>576</v>
      </c>
    </row>
    <row r="27" spans="2:6" x14ac:dyDescent="0.25">
      <c r="B27" s="121">
        <v>46102</v>
      </c>
      <c r="C27" s="98" t="s">
        <v>583</v>
      </c>
      <c r="D27" s="118" t="s">
        <v>304</v>
      </c>
      <c r="E27" s="98" t="s">
        <v>578</v>
      </c>
      <c r="F27" s="98" t="s">
        <v>581</v>
      </c>
    </row>
    <row r="28" spans="2:6" x14ac:dyDescent="0.25">
      <c r="B28" s="121">
        <v>46102</v>
      </c>
      <c r="C28" s="98" t="s">
        <v>584</v>
      </c>
      <c r="D28" s="118" t="s">
        <v>304</v>
      </c>
      <c r="E28" s="98" t="s">
        <v>580</v>
      </c>
      <c r="F28" s="98" t="s">
        <v>582</v>
      </c>
    </row>
    <row r="29" spans="2:6" x14ac:dyDescent="0.25">
      <c r="B29" s="121">
        <v>46102</v>
      </c>
      <c r="C29" s="98" t="s">
        <v>593</v>
      </c>
      <c r="D29" s="118" t="s">
        <v>304</v>
      </c>
      <c r="E29" s="98" t="s">
        <v>592</v>
      </c>
      <c r="F29" s="98" t="s">
        <v>594</v>
      </c>
    </row>
    <row r="30" spans="2:6" ht="30" x14ac:dyDescent="0.25">
      <c r="B30" s="121">
        <v>46104</v>
      </c>
      <c r="C30" s="98" t="s">
        <v>597</v>
      </c>
      <c r="D30" s="118" t="s">
        <v>304</v>
      </c>
      <c r="E30" s="98" t="s">
        <v>596</v>
      </c>
      <c r="F30" s="99" t="s">
        <v>600</v>
      </c>
    </row>
    <row r="31" spans="2:6" x14ac:dyDescent="0.25">
      <c r="B31" s="121">
        <v>46104</v>
      </c>
      <c r="C31" s="98" t="s">
        <v>598</v>
      </c>
      <c r="D31" s="118" t="s">
        <v>304</v>
      </c>
      <c r="E31" s="98" t="s">
        <v>599</v>
      </c>
      <c r="F31" s="98" t="s">
        <v>601</v>
      </c>
    </row>
    <row r="32" spans="2:6" x14ac:dyDescent="0.25">
      <c r="B32" s="121"/>
      <c r="C32" s="100"/>
      <c r="D32" s="119" t="s">
        <v>303</v>
      </c>
      <c r="E32" s="98"/>
      <c r="F32" s="100" t="s">
        <v>551</v>
      </c>
    </row>
    <row r="33" spans="2:6" x14ac:dyDescent="0.25">
      <c r="B33" s="121"/>
      <c r="C33" s="98"/>
      <c r="D33" s="118"/>
      <c r="E33" s="98"/>
      <c r="F33" s="100" t="s">
        <v>549</v>
      </c>
    </row>
    <row r="34" spans="2:6" x14ac:dyDescent="0.25">
      <c r="B34" s="121"/>
      <c r="C34" s="100"/>
      <c r="D34" s="119" t="s">
        <v>303</v>
      </c>
      <c r="E34" s="98"/>
      <c r="F34" s="100" t="s">
        <v>559</v>
      </c>
    </row>
    <row r="35" spans="2:6" x14ac:dyDescent="0.25">
      <c r="B35" s="121"/>
      <c r="C35" s="100"/>
      <c r="D35" s="119" t="s">
        <v>303</v>
      </c>
      <c r="E35" s="98"/>
      <c r="F35" s="100" t="s">
        <v>550</v>
      </c>
    </row>
    <row r="36" spans="2:6" x14ac:dyDescent="0.25">
      <c r="B36" s="121"/>
      <c r="C36" s="100"/>
      <c r="D36" s="119" t="s">
        <v>303</v>
      </c>
      <c r="E36" s="98"/>
      <c r="F36" s="100" t="s">
        <v>552</v>
      </c>
    </row>
    <row r="37" spans="2:6" x14ac:dyDescent="0.25">
      <c r="B37" s="121"/>
      <c r="C37" s="100" t="s">
        <v>365</v>
      </c>
      <c r="D37" s="119" t="s">
        <v>303</v>
      </c>
      <c r="E37" s="98"/>
      <c r="F37" s="100" t="s">
        <v>365</v>
      </c>
    </row>
    <row r="38" spans="2:6" x14ac:dyDescent="0.25">
      <c r="B38" s="122"/>
      <c r="C38" s="98" t="s">
        <v>245</v>
      </c>
      <c r="D38" s="119" t="s">
        <v>303</v>
      </c>
      <c r="E38" s="98"/>
      <c r="F38" s="98" t="s">
        <v>245</v>
      </c>
    </row>
    <row r="39" spans="2:6" x14ac:dyDescent="0.25">
      <c r="B39" s="122"/>
      <c r="C39" s="98" t="s">
        <v>244</v>
      </c>
      <c r="D39" s="119" t="s">
        <v>303</v>
      </c>
      <c r="E39" s="98"/>
      <c r="F39" s="98" t="s">
        <v>244</v>
      </c>
    </row>
    <row r="40" spans="2:6" x14ac:dyDescent="0.25">
      <c r="B40" s="122"/>
      <c r="C40" s="98" t="s">
        <v>539</v>
      </c>
      <c r="D40" s="119" t="s">
        <v>303</v>
      </c>
      <c r="E40" s="98"/>
      <c r="F40" s="98"/>
    </row>
    <row r="41" spans="2:6" x14ac:dyDescent="0.25">
      <c r="B41" s="122"/>
      <c r="C41" s="98" t="s">
        <v>246</v>
      </c>
      <c r="D41" s="119" t="s">
        <v>303</v>
      </c>
      <c r="E41" s="98"/>
      <c r="F41" s="98" t="s">
        <v>246</v>
      </c>
    </row>
    <row r="42" spans="2:6" x14ac:dyDescent="0.25">
      <c r="B42" s="122"/>
      <c r="C42" s="98" t="s">
        <v>247</v>
      </c>
      <c r="D42" s="119" t="s">
        <v>303</v>
      </c>
      <c r="E42" s="98"/>
      <c r="F42" s="98" t="s">
        <v>247</v>
      </c>
    </row>
    <row r="43" spans="2:6" x14ac:dyDescent="0.25">
      <c r="B43" s="122"/>
      <c r="C43" s="98" t="s">
        <v>253</v>
      </c>
      <c r="D43" s="119" t="s">
        <v>303</v>
      </c>
      <c r="E43" s="98"/>
      <c r="F43" s="98" t="s">
        <v>253</v>
      </c>
    </row>
    <row r="44" spans="2:6" x14ac:dyDescent="0.25">
      <c r="B44" s="122"/>
      <c r="C44" s="98" t="s">
        <v>254</v>
      </c>
      <c r="D44" s="119" t="s">
        <v>303</v>
      </c>
      <c r="E44" s="98"/>
      <c r="F44" s="98" t="s">
        <v>254</v>
      </c>
    </row>
  </sheetData>
  <autoFilter ref="B2:F44"/>
  <mergeCells count="1">
    <mergeCell ref="B1:F1"/>
  </mergeCells>
  <conditionalFormatting sqref="E3:E44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Y71"/>
  <sheetViews>
    <sheetView showGridLines="0" tabSelected="1" topLeftCell="H1" zoomScale="85" zoomScaleNormal="85" workbookViewId="0">
      <selection activeCell="J13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40" customWidth="1" outlineLevel="1"/>
    <col min="7" max="7" width="18.5703125" style="41" customWidth="1" outlineLevel="1"/>
    <col min="8" max="8" width="18.140625" style="40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460</v>
      </c>
    </row>
    <row r="2" spans="2:25" x14ac:dyDescent="0.25">
      <c r="D2" t="s">
        <v>461</v>
      </c>
      <c r="F2" s="40">
        <v>3400</v>
      </c>
    </row>
    <row r="4" spans="2:25" x14ac:dyDescent="0.25">
      <c r="F4" s="101"/>
      <c r="J4" s="102" t="s">
        <v>473</v>
      </c>
    </row>
    <row r="5" spans="2:25" x14ac:dyDescent="0.25">
      <c r="B5" s="102" t="s">
        <v>5</v>
      </c>
      <c r="C5" s="102" t="s">
        <v>560</v>
      </c>
      <c r="D5" s="102" t="s">
        <v>185</v>
      </c>
      <c r="E5" s="102" t="s">
        <v>460</v>
      </c>
      <c r="F5" s="105" t="s">
        <v>462</v>
      </c>
      <c r="G5" s="107" t="s">
        <v>464</v>
      </c>
      <c r="H5" s="103" t="s">
        <v>463</v>
      </c>
      <c r="I5" s="102" t="s">
        <v>465</v>
      </c>
      <c r="J5" s="102" t="s">
        <v>466</v>
      </c>
      <c r="K5" s="104" t="s">
        <v>467</v>
      </c>
      <c r="O5" t="s">
        <v>563</v>
      </c>
      <c r="P5" t="s">
        <v>564</v>
      </c>
      <c r="Q5" s="3" t="s">
        <v>565</v>
      </c>
      <c r="S5" s="102" t="s">
        <v>474</v>
      </c>
    </row>
    <row r="6" spans="2:25" x14ac:dyDescent="0.25">
      <c r="B6" s="65">
        <v>46076</v>
      </c>
      <c r="C6" s="65" t="s">
        <v>562</v>
      </c>
      <c r="D6" s="1" t="s">
        <v>191</v>
      </c>
      <c r="E6" s="1"/>
      <c r="F6" s="127"/>
      <c r="G6" s="128"/>
      <c r="H6" s="129"/>
      <c r="I6" s="16">
        <f>+J6*K6</f>
        <v>1277500</v>
      </c>
      <c r="J6" s="1">
        <v>365</v>
      </c>
      <c r="K6" s="16">
        <v>3500</v>
      </c>
      <c r="O6">
        <v>7000</v>
      </c>
      <c r="P6" s="13">
        <f>+O6-K6</f>
        <v>3500</v>
      </c>
      <c r="Q6" s="3">
        <f>+J6*O6</f>
        <v>2555000</v>
      </c>
    </row>
    <row r="7" spans="2:25" x14ac:dyDescent="0.25">
      <c r="B7" s="56">
        <v>46073</v>
      </c>
      <c r="C7" s="56" t="s">
        <v>561</v>
      </c>
      <c r="D7" s="22" t="s">
        <v>472</v>
      </c>
      <c r="F7" s="106">
        <v>30</v>
      </c>
      <c r="G7" s="109">
        <v>6</v>
      </c>
      <c r="H7" s="108">
        <v>36000</v>
      </c>
      <c r="I7" s="130">
        <f>+H7*G7</f>
        <v>216000</v>
      </c>
      <c r="J7">
        <f>+F7*G7</f>
        <v>180</v>
      </c>
      <c r="K7" s="132">
        <f>+I7/J7</f>
        <v>1200</v>
      </c>
      <c r="O7">
        <v>3000</v>
      </c>
      <c r="P7" s="13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13">
        <f>+V7*K7</f>
        <v>39600</v>
      </c>
    </row>
    <row r="8" spans="2:25" x14ac:dyDescent="0.25">
      <c r="B8" s="56">
        <v>46073</v>
      </c>
      <c r="C8" s="56" t="s">
        <v>561</v>
      </c>
      <c r="D8" s="125" t="s">
        <v>468</v>
      </c>
      <c r="F8" s="106">
        <v>30</v>
      </c>
      <c r="G8" s="109">
        <v>3</v>
      </c>
      <c r="H8" s="108">
        <v>35000</v>
      </c>
      <c r="I8" s="3">
        <f>+H8*G8</f>
        <v>105000</v>
      </c>
      <c r="J8">
        <f>+F8*G8</f>
        <v>90</v>
      </c>
      <c r="K8" s="132">
        <f>+I8/J8</f>
        <v>1166.6666666666667</v>
      </c>
      <c r="O8">
        <v>3000</v>
      </c>
      <c r="P8" s="13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13">
        <f>+V8*K8</f>
        <v>40833.333333333336</v>
      </c>
    </row>
    <row r="9" spans="2:25" x14ac:dyDescent="0.25">
      <c r="B9" s="56">
        <v>46073</v>
      </c>
      <c r="C9" s="56" t="s">
        <v>561</v>
      </c>
      <c r="D9" s="124" t="s">
        <v>470</v>
      </c>
      <c r="F9" s="106">
        <v>12</v>
      </c>
      <c r="G9" s="109">
        <v>2</v>
      </c>
      <c r="H9" s="108">
        <v>29000</v>
      </c>
      <c r="I9" s="3">
        <f>+H9*G9</f>
        <v>58000</v>
      </c>
      <c r="J9">
        <f>+F9*G9</f>
        <v>24</v>
      </c>
      <c r="K9" s="132">
        <f t="shared" ref="K9:K10" si="0">+I9/J9</f>
        <v>2416.6666666666665</v>
      </c>
      <c r="O9">
        <v>4500</v>
      </c>
      <c r="P9" s="13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13">
        <f>+V9*K9</f>
        <v>29000</v>
      </c>
      <c r="Y9" s="13">
        <f>+SUM(W9:W10)</f>
        <v>37250</v>
      </c>
    </row>
    <row r="10" spans="2:25" x14ac:dyDescent="0.25">
      <c r="B10" s="56">
        <v>46073</v>
      </c>
      <c r="C10" s="56" t="s">
        <v>561</v>
      </c>
      <c r="D10" s="123" t="s">
        <v>469</v>
      </c>
      <c r="F10" s="106">
        <v>24</v>
      </c>
      <c r="G10" s="109">
        <v>1</v>
      </c>
      <c r="H10" s="108">
        <v>33000</v>
      </c>
      <c r="I10" s="3">
        <f>+H10*G10</f>
        <v>33000</v>
      </c>
      <c r="J10">
        <f>+F10*G10</f>
        <v>24</v>
      </c>
      <c r="K10" s="132">
        <f t="shared" si="0"/>
        <v>1375</v>
      </c>
      <c r="O10">
        <v>3000</v>
      </c>
      <c r="P10" s="13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13">
        <f>+V10*K10</f>
        <v>8250</v>
      </c>
    </row>
    <row r="11" spans="2:25" x14ac:dyDescent="0.25">
      <c r="B11" s="56">
        <v>46077</v>
      </c>
      <c r="C11" s="56" t="s">
        <v>562</v>
      </c>
      <c r="D11" t="s">
        <v>566</v>
      </c>
      <c r="F11" s="106"/>
      <c r="G11" s="109"/>
      <c r="H11" s="108"/>
      <c r="J11">
        <v>50</v>
      </c>
      <c r="K11" s="76"/>
      <c r="P11" s="13"/>
    </row>
    <row r="12" spans="2:25" x14ac:dyDescent="0.25">
      <c r="B12" s="56">
        <v>46089</v>
      </c>
      <c r="C12" s="56" t="s">
        <v>562</v>
      </c>
      <c r="D12" t="s">
        <v>191</v>
      </c>
      <c r="F12" s="106"/>
      <c r="G12" s="109"/>
      <c r="H12" s="108"/>
      <c r="J12">
        <v>500</v>
      </c>
      <c r="K12" s="76">
        <v>3500</v>
      </c>
      <c r="P12" s="13"/>
    </row>
    <row r="13" spans="2:25" x14ac:dyDescent="0.25">
      <c r="B13" s="56">
        <v>46106</v>
      </c>
      <c r="C13" s="56" t="s">
        <v>562</v>
      </c>
      <c r="D13" t="s">
        <v>191</v>
      </c>
      <c r="F13" s="106"/>
      <c r="G13" s="109"/>
      <c r="H13" s="108"/>
      <c r="J13">
        <v>230</v>
      </c>
      <c r="K13" s="76">
        <v>3500</v>
      </c>
      <c r="P13" s="13"/>
    </row>
    <row r="14" spans="2:25" x14ac:dyDescent="0.25">
      <c r="B14" s="65">
        <v>46089</v>
      </c>
      <c r="C14" s="65" t="s">
        <v>562</v>
      </c>
      <c r="D14" s="1" t="s">
        <v>567</v>
      </c>
      <c r="E14" s="1"/>
      <c r="F14" s="127"/>
      <c r="G14" s="128"/>
      <c r="H14" s="129"/>
      <c r="I14" s="16"/>
      <c r="J14" s="1">
        <v>100</v>
      </c>
      <c r="K14" s="16"/>
      <c r="P14" s="13"/>
    </row>
    <row r="15" spans="2:25" x14ac:dyDescent="0.25">
      <c r="B15" s="56">
        <v>46112</v>
      </c>
      <c r="C15" s="56" t="s">
        <v>562</v>
      </c>
      <c r="D15" t="s">
        <v>568</v>
      </c>
      <c r="E15" t="s">
        <v>569</v>
      </c>
      <c r="F15" s="106">
        <f>+(250)/3</f>
        <v>83.333333333333329</v>
      </c>
      <c r="G15" s="109">
        <v>2</v>
      </c>
      <c r="H15" s="108">
        <v>70000</v>
      </c>
      <c r="I15" s="3">
        <f t="shared" ref="I15:I19" si="2">+H15*G15</f>
        <v>140000</v>
      </c>
      <c r="J15">
        <f>(F15*G15)</f>
        <v>166.66666666666666</v>
      </c>
      <c r="K15" s="133">
        <f>+I15/J15</f>
        <v>840</v>
      </c>
      <c r="P15" s="13"/>
    </row>
    <row r="16" spans="2:25" x14ac:dyDescent="0.25">
      <c r="B16" s="56">
        <v>46100</v>
      </c>
      <c r="C16" s="56" t="s">
        <v>561</v>
      </c>
      <c r="D16" s="22" t="s">
        <v>472</v>
      </c>
      <c r="F16" s="106">
        <v>30</v>
      </c>
      <c r="G16" s="109">
        <v>5</v>
      </c>
      <c r="H16" s="108">
        <v>36000</v>
      </c>
      <c r="I16" s="3">
        <f t="shared" si="2"/>
        <v>180000</v>
      </c>
      <c r="J16">
        <f>+F16*G16</f>
        <v>150</v>
      </c>
      <c r="K16" s="133">
        <f>+I16/J16</f>
        <v>1200</v>
      </c>
      <c r="L16" s="3">
        <f>+ROUND(K16,2)</f>
        <v>1200</v>
      </c>
      <c r="M16" s="3">
        <f>+J16*L16</f>
        <v>180000</v>
      </c>
      <c r="N16" s="3">
        <f>+I16-M16</f>
        <v>0</v>
      </c>
      <c r="O16">
        <v>3000</v>
      </c>
      <c r="P16" s="13">
        <f>+O16-K16</f>
        <v>1800</v>
      </c>
      <c r="Q16" s="3">
        <f>+J16*O16</f>
        <v>450000</v>
      </c>
      <c r="S16">
        <f>+K16*J16</f>
        <v>180000</v>
      </c>
    </row>
    <row r="17" spans="2:19" x14ac:dyDescent="0.25">
      <c r="B17" s="56">
        <v>46100</v>
      </c>
      <c r="C17" s="56" t="s">
        <v>561</v>
      </c>
      <c r="D17" t="s">
        <v>471</v>
      </c>
      <c r="F17" s="106">
        <v>12</v>
      </c>
      <c r="G17" s="109">
        <v>2</v>
      </c>
      <c r="H17" s="108">
        <v>15000</v>
      </c>
      <c r="I17" s="3">
        <f t="shared" si="2"/>
        <v>30000</v>
      </c>
      <c r="J17">
        <f>+F17*G17</f>
        <v>24</v>
      </c>
      <c r="K17" s="133">
        <f>+I17/J17</f>
        <v>1250</v>
      </c>
      <c r="L17" s="3">
        <f t="shared" ref="L17:L20" si="3">+ROUND(K17,2)</f>
        <v>1250</v>
      </c>
      <c r="M17" s="3">
        <f t="shared" ref="M17:M20" si="4">+J17*L17</f>
        <v>30000</v>
      </c>
      <c r="N17" s="3">
        <f t="shared" ref="N17:N20" si="5">+I17-M17</f>
        <v>0</v>
      </c>
      <c r="O17">
        <v>3200</v>
      </c>
      <c r="P17" s="13">
        <f>+O17-K17</f>
        <v>1950</v>
      </c>
      <c r="Q17" s="3">
        <f>+J17*O17</f>
        <v>76800</v>
      </c>
      <c r="S17">
        <f>+K17*J17</f>
        <v>30000</v>
      </c>
    </row>
    <row r="18" spans="2:19" x14ac:dyDescent="0.25">
      <c r="B18" s="56">
        <v>46100</v>
      </c>
      <c r="C18" s="56" t="s">
        <v>561</v>
      </c>
      <c r="D18" s="125" t="s">
        <v>468</v>
      </c>
      <c r="F18" s="106">
        <v>30</v>
      </c>
      <c r="G18" s="109">
        <v>3</v>
      </c>
      <c r="H18" s="108">
        <v>34000</v>
      </c>
      <c r="I18" s="3">
        <f t="shared" si="2"/>
        <v>102000</v>
      </c>
      <c r="J18">
        <f>+F18*G18</f>
        <v>90</v>
      </c>
      <c r="K18" s="133">
        <f>+I18/J18</f>
        <v>1133.3333333333333</v>
      </c>
      <c r="L18" s="3">
        <f t="shared" si="3"/>
        <v>1133.33</v>
      </c>
      <c r="M18" s="3">
        <f t="shared" si="4"/>
        <v>101999.7</v>
      </c>
      <c r="N18" s="3">
        <f t="shared" si="5"/>
        <v>0.30000000000291038</v>
      </c>
      <c r="O18">
        <v>3000</v>
      </c>
      <c r="P18" s="13">
        <f>+O18-K18</f>
        <v>1866.6666666666667</v>
      </c>
      <c r="Q18" s="3">
        <f>+J18*O18</f>
        <v>270000</v>
      </c>
      <c r="S18">
        <f>+K18*J18</f>
        <v>102000</v>
      </c>
    </row>
    <row r="19" spans="2:19" x14ac:dyDescent="0.25">
      <c r="B19" s="56">
        <v>46100</v>
      </c>
      <c r="C19" s="56" t="s">
        <v>561</v>
      </c>
      <c r="D19" s="124" t="s">
        <v>470</v>
      </c>
      <c r="F19" s="106">
        <v>12</v>
      </c>
      <c r="G19" s="109">
        <v>2</v>
      </c>
      <c r="H19" s="108">
        <v>29000</v>
      </c>
      <c r="I19" s="3">
        <f t="shared" si="2"/>
        <v>58000</v>
      </c>
      <c r="J19">
        <f>+F19*G19</f>
        <v>24</v>
      </c>
      <c r="K19" s="134">
        <f t="shared" ref="K19:K22" si="6">+I19/J19</f>
        <v>2416.6666666666665</v>
      </c>
      <c r="L19" s="3">
        <f t="shared" si="3"/>
        <v>2416.67</v>
      </c>
      <c r="M19" s="3">
        <f t="shared" si="4"/>
        <v>58000.08</v>
      </c>
      <c r="N19" s="3">
        <f t="shared" si="5"/>
        <v>-8.000000000174623E-2</v>
      </c>
      <c r="O19">
        <v>4500</v>
      </c>
      <c r="P19" s="13">
        <f>+O19-K19</f>
        <v>2083.3333333333335</v>
      </c>
      <c r="Q19" s="3">
        <f>+J19*O19</f>
        <v>108000</v>
      </c>
      <c r="S19" s="131">
        <f>+K19*J19</f>
        <v>58000</v>
      </c>
    </row>
    <row r="20" spans="2:19" x14ac:dyDescent="0.25">
      <c r="B20" s="56">
        <v>46100</v>
      </c>
      <c r="C20" s="56" t="s">
        <v>561</v>
      </c>
      <c r="D20" s="123" t="s">
        <v>469</v>
      </c>
      <c r="F20" s="106">
        <v>24</v>
      </c>
      <c r="G20" s="109">
        <v>1</v>
      </c>
      <c r="H20" s="108">
        <v>34000</v>
      </c>
      <c r="I20" s="3">
        <f>+H20*G20</f>
        <v>34000</v>
      </c>
      <c r="J20">
        <f>+F20*G20</f>
        <v>24</v>
      </c>
      <c r="K20" s="133">
        <f t="shared" si="6"/>
        <v>1416.6666666666667</v>
      </c>
      <c r="L20" s="3">
        <f t="shared" si="3"/>
        <v>1416.67</v>
      </c>
      <c r="M20" s="3">
        <f t="shared" si="4"/>
        <v>34000.080000000002</v>
      </c>
      <c r="N20" s="3">
        <f t="shared" si="5"/>
        <v>-8.000000000174623E-2</v>
      </c>
      <c r="O20">
        <v>3000</v>
      </c>
      <c r="P20" s="13">
        <f>+O20-K20</f>
        <v>1583.3333333333333</v>
      </c>
      <c r="Q20" s="3">
        <f>+J20*O20</f>
        <v>72000</v>
      </c>
      <c r="S20">
        <f>+K20*J20</f>
        <v>34000</v>
      </c>
    </row>
    <row r="21" spans="2:19" x14ac:dyDescent="0.25">
      <c r="B21" s="56"/>
      <c r="C21" s="56"/>
      <c r="F21" s="106"/>
      <c r="G21" s="109"/>
      <c r="H21" s="108"/>
      <c r="S21">
        <f>+SUM(S16:S20)</f>
        <v>404000</v>
      </c>
    </row>
    <row r="22" spans="2:19" x14ac:dyDescent="0.25">
      <c r="B22" s="56">
        <v>46102</v>
      </c>
      <c r="C22" s="56" t="s">
        <v>561</v>
      </c>
      <c r="D22" t="s">
        <v>639</v>
      </c>
      <c r="E22" t="s">
        <v>638</v>
      </c>
      <c r="F22" s="109">
        <f>6*4</f>
        <v>24</v>
      </c>
      <c r="G22" s="109">
        <v>1</v>
      </c>
      <c r="H22" s="108">
        <v>38000</v>
      </c>
      <c r="I22" s="3">
        <f>+H22*G22</f>
        <v>38000</v>
      </c>
      <c r="J22">
        <f>+F22*G22</f>
        <v>24</v>
      </c>
      <c r="K22" s="133">
        <f t="shared" si="6"/>
        <v>1583.3333333333333</v>
      </c>
    </row>
    <row r="23" spans="2:19" x14ac:dyDescent="0.25">
      <c r="B23" s="56"/>
      <c r="C23" s="56"/>
      <c r="F23" s="106"/>
      <c r="G23" s="109"/>
      <c r="H23" s="108"/>
      <c r="I23" s="3">
        <f>+I22*3</f>
        <v>114000</v>
      </c>
    </row>
    <row r="24" spans="2:19" x14ac:dyDescent="0.25">
      <c r="B24" s="56"/>
      <c r="C24" s="56"/>
      <c r="F24" s="106"/>
      <c r="G24" s="109"/>
      <c r="H24" s="108"/>
    </row>
    <row r="25" spans="2:19" x14ac:dyDescent="0.25">
      <c r="B25" s="56" t="s">
        <v>603</v>
      </c>
      <c r="C25" s="56"/>
      <c r="F25" s="106"/>
      <c r="G25" s="109"/>
      <c r="H25" s="108"/>
    </row>
    <row r="26" spans="2:19" x14ac:dyDescent="0.25">
      <c r="B26" s="56" t="s">
        <v>602</v>
      </c>
      <c r="C26" s="56"/>
      <c r="F26" s="106"/>
      <c r="G26" s="109"/>
      <c r="H26" s="108"/>
      <c r="S26" t="e">
        <f>+#REF!-S21</f>
        <v>#REF!</v>
      </c>
    </row>
    <row r="27" spans="2:19" x14ac:dyDescent="0.25">
      <c r="B27" s="34">
        <v>0.66666666666666663</v>
      </c>
      <c r="C27" s="34"/>
      <c r="D27" t="s">
        <v>472</v>
      </c>
      <c r="F27" s="106"/>
      <c r="G27" s="109"/>
      <c r="H27" s="108"/>
      <c r="J27" s="1">
        <v>25</v>
      </c>
    </row>
    <row r="28" spans="2:19" x14ac:dyDescent="0.25">
      <c r="D28" t="s">
        <v>468</v>
      </c>
      <c r="F28" s="106"/>
      <c r="G28" s="109"/>
      <c r="H28" s="108"/>
      <c r="J28">
        <v>11</v>
      </c>
    </row>
    <row r="29" spans="2:19" x14ac:dyDescent="0.25">
      <c r="D29" t="s">
        <v>469</v>
      </c>
      <c r="F29" s="106"/>
      <c r="G29" s="109"/>
      <c r="H29" s="108"/>
      <c r="J29" s="1">
        <v>6</v>
      </c>
    </row>
    <row r="30" spans="2:19" x14ac:dyDescent="0.25">
      <c r="F30" s="106"/>
      <c r="G30" s="109"/>
      <c r="H30" s="108"/>
    </row>
    <row r="31" spans="2:19" x14ac:dyDescent="0.25">
      <c r="F31" s="101"/>
    </row>
    <row r="32" spans="2:19" x14ac:dyDescent="0.25">
      <c r="F32" s="101"/>
    </row>
    <row r="33" spans="6:6" x14ac:dyDescent="0.25">
      <c r="F33" s="101"/>
    </row>
    <row r="34" spans="6:6" x14ac:dyDescent="0.25">
      <c r="F34" s="101"/>
    </row>
    <row r="35" spans="6:6" x14ac:dyDescent="0.25">
      <c r="F35" s="101"/>
    </row>
    <row r="36" spans="6:6" x14ac:dyDescent="0.25">
      <c r="F36" s="101"/>
    </row>
    <row r="37" spans="6:6" x14ac:dyDescent="0.25">
      <c r="F37" s="101"/>
    </row>
    <row r="38" spans="6:6" x14ac:dyDescent="0.25">
      <c r="F38" s="101"/>
    </row>
    <row r="39" spans="6:6" x14ac:dyDescent="0.25">
      <c r="F39" s="101"/>
    </row>
    <row r="40" spans="6:6" x14ac:dyDescent="0.25">
      <c r="F40" s="101"/>
    </row>
    <row r="41" spans="6:6" x14ac:dyDescent="0.25">
      <c r="F41" s="101"/>
    </row>
    <row r="42" spans="6:6" x14ac:dyDescent="0.25">
      <c r="F42" s="101"/>
    </row>
    <row r="43" spans="6:6" x14ac:dyDescent="0.25">
      <c r="F43" s="101"/>
    </row>
    <row r="44" spans="6:6" x14ac:dyDescent="0.25">
      <c r="F44" s="101"/>
    </row>
    <row r="45" spans="6:6" x14ac:dyDescent="0.25">
      <c r="F45" s="101"/>
    </row>
    <row r="46" spans="6:6" x14ac:dyDescent="0.25">
      <c r="F46" s="101"/>
    </row>
    <row r="47" spans="6:6" x14ac:dyDescent="0.25">
      <c r="F47" s="101"/>
    </row>
    <row r="48" spans="6:6" x14ac:dyDescent="0.25">
      <c r="F48" s="101"/>
    </row>
    <row r="49" spans="6:6" x14ac:dyDescent="0.25">
      <c r="F49" s="101"/>
    </row>
    <row r="50" spans="6:6" x14ac:dyDescent="0.25">
      <c r="F50" s="101"/>
    </row>
    <row r="51" spans="6:6" x14ac:dyDescent="0.25">
      <c r="F51" s="101"/>
    </row>
    <row r="52" spans="6:6" x14ac:dyDescent="0.25">
      <c r="F52" s="101"/>
    </row>
    <row r="53" spans="6:6" x14ac:dyDescent="0.25">
      <c r="F53" s="101"/>
    </row>
    <row r="54" spans="6:6" x14ac:dyDescent="0.25">
      <c r="F54" s="101"/>
    </row>
    <row r="55" spans="6:6" x14ac:dyDescent="0.25">
      <c r="F55" s="101"/>
    </row>
    <row r="56" spans="6:6" x14ac:dyDescent="0.25">
      <c r="F56" s="101"/>
    </row>
    <row r="57" spans="6:6" x14ac:dyDescent="0.25">
      <c r="F57" s="101"/>
    </row>
    <row r="58" spans="6:6" x14ac:dyDescent="0.25">
      <c r="F58" s="101"/>
    </row>
    <row r="59" spans="6:6" x14ac:dyDescent="0.25">
      <c r="F59" s="101"/>
    </row>
    <row r="60" spans="6:6" x14ac:dyDescent="0.25">
      <c r="F60" s="101"/>
    </row>
    <row r="61" spans="6:6" x14ac:dyDescent="0.25">
      <c r="F61" s="101"/>
    </row>
    <row r="62" spans="6:6" x14ac:dyDescent="0.25">
      <c r="F62" s="101"/>
    </row>
    <row r="63" spans="6:6" x14ac:dyDescent="0.25">
      <c r="F63" s="101"/>
    </row>
    <row r="64" spans="6:6" x14ac:dyDescent="0.25">
      <c r="F64" s="101"/>
    </row>
    <row r="65" spans="6:6" x14ac:dyDescent="0.25">
      <c r="F65" s="101"/>
    </row>
    <row r="66" spans="6:6" x14ac:dyDescent="0.25">
      <c r="F66" s="101"/>
    </row>
    <row r="67" spans="6:6" x14ac:dyDescent="0.25">
      <c r="F67" s="101"/>
    </row>
    <row r="68" spans="6:6" x14ac:dyDescent="0.25">
      <c r="F68" s="101"/>
    </row>
    <row r="69" spans="6:6" x14ac:dyDescent="0.25">
      <c r="F69" s="101"/>
    </row>
    <row r="70" spans="6:6" x14ac:dyDescent="0.25">
      <c r="F70" s="101"/>
    </row>
    <row r="71" spans="6:6" x14ac:dyDescent="0.25">
      <c r="F71" s="10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40" bestFit="1" customWidth="1"/>
    <col min="7" max="7" width="13.140625" style="41" bestFit="1" customWidth="1"/>
    <col min="8" max="19" width="11.140625" style="41" customWidth="1"/>
    <col min="20" max="23" width="18" style="41" customWidth="1"/>
    <col min="24" max="24" width="13.85546875" style="41" bestFit="1" customWidth="1"/>
    <col min="25" max="25" width="11.5703125" style="41" bestFit="1" customWidth="1"/>
    <col min="26" max="26" width="11" style="41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40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43">
        <v>1416.67</v>
      </c>
      <c r="AD2" s="3">
        <v>1200</v>
      </c>
      <c r="AE2" s="3">
        <v>1200</v>
      </c>
      <c r="AF2" s="3">
        <v>1250</v>
      </c>
      <c r="AG2" s="143">
        <v>2416.67</v>
      </c>
      <c r="AH2" s="143">
        <v>1133.33</v>
      </c>
      <c r="AI2" s="143">
        <v>1133.33</v>
      </c>
    </row>
    <row r="3" spans="1:37" s="95" customFormat="1" ht="45" x14ac:dyDescent="0.25">
      <c r="A3" s="142" t="s">
        <v>604</v>
      </c>
      <c r="B3" s="136" t="s">
        <v>185</v>
      </c>
      <c r="C3" s="137" t="s">
        <v>605</v>
      </c>
      <c r="D3" s="138" t="s">
        <v>617</v>
      </c>
      <c r="E3" s="139" t="s">
        <v>610</v>
      </c>
      <c r="F3" s="144" t="s">
        <v>611</v>
      </c>
      <c r="G3" s="140" t="s">
        <v>296</v>
      </c>
      <c r="H3" s="141" t="s">
        <v>615</v>
      </c>
      <c r="I3" s="141" t="s">
        <v>626</v>
      </c>
      <c r="J3" s="141" t="s">
        <v>627</v>
      </c>
      <c r="K3" s="141" t="s">
        <v>620</v>
      </c>
      <c r="L3" s="141" t="s">
        <v>625</v>
      </c>
      <c r="M3" s="141" t="s">
        <v>624</v>
      </c>
      <c r="N3" s="141" t="s">
        <v>623</v>
      </c>
      <c r="O3" s="141" t="s">
        <v>622</v>
      </c>
      <c r="P3" s="141" t="s">
        <v>621</v>
      </c>
      <c r="Q3" s="141" t="s">
        <v>619</v>
      </c>
      <c r="R3" s="141" t="s">
        <v>616</v>
      </c>
      <c r="S3" s="141" t="s">
        <v>618</v>
      </c>
      <c r="T3" s="141" t="s">
        <v>566</v>
      </c>
      <c r="U3" s="141" t="s">
        <v>493</v>
      </c>
      <c r="V3" s="141" t="s">
        <v>309</v>
      </c>
      <c r="W3" s="141" t="s">
        <v>614</v>
      </c>
      <c r="X3" s="140" t="s">
        <v>609</v>
      </c>
      <c r="Y3" s="141" t="s">
        <v>612</v>
      </c>
      <c r="Z3" s="141" t="s">
        <v>613</v>
      </c>
      <c r="AA3" s="146" t="s">
        <v>516</v>
      </c>
      <c r="AB3" s="146" t="s">
        <v>517</v>
      </c>
      <c r="AC3" s="95" t="s">
        <v>478</v>
      </c>
      <c r="AD3" s="95" t="s">
        <v>476</v>
      </c>
      <c r="AE3" s="95" t="s">
        <v>606</v>
      </c>
      <c r="AF3" s="95" t="s">
        <v>519</v>
      </c>
      <c r="AG3" s="95" t="s">
        <v>481</v>
      </c>
      <c r="AH3" s="95" t="s">
        <v>607</v>
      </c>
      <c r="AI3" s="95" t="s">
        <v>477</v>
      </c>
    </row>
    <row r="4" spans="1:37" x14ac:dyDescent="0.25">
      <c r="A4" s="41">
        <v>1</v>
      </c>
      <c r="B4" t="s">
        <v>475</v>
      </c>
      <c r="C4" s="27">
        <v>8000</v>
      </c>
      <c r="D4" s="135">
        <f t="shared" ref="D4:D51" si="0">+SUMPRODUCT(G4:AI4,G$2:AI$2)</f>
        <v>4340</v>
      </c>
      <c r="E4" s="3">
        <f>+C4-D4</f>
        <v>3660</v>
      </c>
      <c r="F4" s="145">
        <f>1-D4/C4</f>
        <v>0.45750000000000002</v>
      </c>
      <c r="G4" s="41">
        <v>1</v>
      </c>
      <c r="H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1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/>
      <c r="AK4" s="41"/>
    </row>
    <row r="5" spans="1:37" x14ac:dyDescent="0.25">
      <c r="A5" s="41">
        <v>39</v>
      </c>
      <c r="B5" t="s">
        <v>511</v>
      </c>
      <c r="C5" s="27">
        <v>7000</v>
      </c>
      <c r="D5" s="135">
        <f t="shared" si="0"/>
        <v>3500</v>
      </c>
      <c r="E5" s="3">
        <f t="shared" ref="E5:E7" si="1">+C5-D5</f>
        <v>3500</v>
      </c>
      <c r="F5" s="145">
        <f t="shared" ref="F5:F7" si="2">1-D5/C5</f>
        <v>0.5</v>
      </c>
      <c r="G5" s="41">
        <v>1</v>
      </c>
      <c r="H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/>
      <c r="AK5" s="41"/>
    </row>
    <row r="6" spans="1:37" x14ac:dyDescent="0.25">
      <c r="A6" s="41">
        <v>19</v>
      </c>
      <c r="B6" t="s">
        <v>492</v>
      </c>
      <c r="C6" s="27">
        <v>25000</v>
      </c>
      <c r="D6" s="135">
        <f t="shared" si="0"/>
        <v>7440</v>
      </c>
      <c r="E6" s="3">
        <f t="shared" si="1"/>
        <v>17560</v>
      </c>
      <c r="F6" s="145">
        <f t="shared" si="2"/>
        <v>0.70240000000000002</v>
      </c>
      <c r="G6" s="41">
        <v>1</v>
      </c>
      <c r="H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1</v>
      </c>
      <c r="Y6" s="41">
        <v>1</v>
      </c>
      <c r="Z6" s="41">
        <v>1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/>
      <c r="AK6" s="41"/>
    </row>
    <row r="7" spans="1:37" x14ac:dyDescent="0.25">
      <c r="A7" s="41">
        <v>24</v>
      </c>
      <c r="B7" t="s">
        <v>497</v>
      </c>
      <c r="C7" s="27">
        <v>30000</v>
      </c>
      <c r="D7" s="135">
        <f t="shared" si="0"/>
        <v>7440</v>
      </c>
      <c r="E7" s="3">
        <f t="shared" si="1"/>
        <v>22560</v>
      </c>
      <c r="F7" s="145">
        <f t="shared" si="2"/>
        <v>0.752</v>
      </c>
      <c r="G7" s="41">
        <v>1</v>
      </c>
      <c r="H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1</v>
      </c>
      <c r="Y7" s="41">
        <v>1</v>
      </c>
      <c r="Z7" s="41">
        <v>1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/>
      <c r="AK7" s="41"/>
    </row>
    <row r="8" spans="1:37" x14ac:dyDescent="0.25">
      <c r="A8" s="41">
        <v>29</v>
      </c>
      <c r="B8" t="s">
        <v>502</v>
      </c>
      <c r="C8" s="27">
        <v>35000</v>
      </c>
      <c r="D8" s="135">
        <f t="shared" si="0"/>
        <v>7440</v>
      </c>
      <c r="E8" s="3">
        <f>+C8-D8</f>
        <v>27560</v>
      </c>
      <c r="F8" s="145">
        <f>1-D8/C8</f>
        <v>0.78742857142857137</v>
      </c>
      <c r="G8" s="41">
        <v>1</v>
      </c>
      <c r="H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1</v>
      </c>
      <c r="Y8" s="41">
        <v>1</v>
      </c>
      <c r="Z8" s="41">
        <v>1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/>
      <c r="AK8" s="41"/>
    </row>
    <row r="9" spans="1:37" x14ac:dyDescent="0.25">
      <c r="A9" s="41">
        <v>44</v>
      </c>
      <c r="B9" t="s">
        <v>516</v>
      </c>
      <c r="C9" s="27">
        <v>4500</v>
      </c>
      <c r="D9" s="135">
        <f t="shared" si="0"/>
        <v>2800</v>
      </c>
      <c r="E9" s="3">
        <f t="shared" ref="E9:E50" si="3">+C9-D9</f>
        <v>1700</v>
      </c>
      <c r="F9" s="145">
        <f t="shared" ref="F9:F50" si="4">1-D9/C9</f>
        <v>0.37777777777777777</v>
      </c>
      <c r="G9" s="41">
        <v>0</v>
      </c>
      <c r="H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1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/>
      <c r="AK9" s="41"/>
    </row>
    <row r="10" spans="1:37" x14ac:dyDescent="0.25">
      <c r="A10" s="41">
        <v>45</v>
      </c>
      <c r="B10" t="s">
        <v>517</v>
      </c>
      <c r="C10" s="27">
        <v>6000</v>
      </c>
      <c r="D10" s="135">
        <f t="shared" si="0"/>
        <v>3200</v>
      </c>
      <c r="E10" s="3">
        <f>+C10-D10</f>
        <v>2800</v>
      </c>
      <c r="F10" s="145">
        <f>1-D10/C10</f>
        <v>0.46666666666666667</v>
      </c>
      <c r="G10" s="41">
        <v>0</v>
      </c>
      <c r="H10" s="41">
        <v>0</v>
      </c>
      <c r="Q10" s="41">
        <v>0</v>
      </c>
      <c r="R10" s="41">
        <v>0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v>0</v>
      </c>
      <c r="Y10" s="41">
        <v>0</v>
      </c>
      <c r="Z10" s="41">
        <v>0</v>
      </c>
      <c r="AA10" s="41">
        <v>0</v>
      </c>
      <c r="AB10" s="41">
        <v>1</v>
      </c>
      <c r="AC10" s="41">
        <v>0</v>
      </c>
      <c r="AD10" s="41">
        <v>0</v>
      </c>
      <c r="AE10" s="41">
        <v>0</v>
      </c>
      <c r="AF10" s="41">
        <v>0</v>
      </c>
      <c r="AG10" s="41">
        <v>0</v>
      </c>
      <c r="AH10" s="41">
        <v>0</v>
      </c>
      <c r="AI10" s="41">
        <v>0</v>
      </c>
      <c r="AJ10" s="41"/>
      <c r="AK10" s="41"/>
    </row>
    <row r="11" spans="1:37" x14ac:dyDescent="0.25">
      <c r="A11" s="41">
        <v>4</v>
      </c>
      <c r="B11" t="s">
        <v>478</v>
      </c>
      <c r="C11" s="27">
        <v>3500</v>
      </c>
      <c r="D11" s="135">
        <f t="shared" si="0"/>
        <v>1416.67</v>
      </c>
      <c r="E11" s="3">
        <f t="shared" si="3"/>
        <v>2083.33</v>
      </c>
      <c r="F11" s="145">
        <f t="shared" si="4"/>
        <v>0.5952371428571428</v>
      </c>
      <c r="G11" s="41">
        <v>0</v>
      </c>
      <c r="H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  <c r="AB11" s="41">
        <v>0</v>
      </c>
      <c r="AC11" s="41">
        <v>1</v>
      </c>
      <c r="AD11" s="41">
        <v>0</v>
      </c>
      <c r="AE11" s="41">
        <v>0</v>
      </c>
      <c r="AF11" s="41">
        <v>0</v>
      </c>
      <c r="AG11" s="41">
        <v>0</v>
      </c>
      <c r="AH11" s="41">
        <v>0</v>
      </c>
      <c r="AI11" s="41">
        <v>0</v>
      </c>
      <c r="AJ11" s="41"/>
      <c r="AK11" s="41"/>
    </row>
    <row r="12" spans="1:37" x14ac:dyDescent="0.25">
      <c r="A12" s="41">
        <v>2</v>
      </c>
      <c r="B12" t="s">
        <v>476</v>
      </c>
      <c r="C12" s="27">
        <v>3000</v>
      </c>
      <c r="D12" s="135">
        <f t="shared" si="0"/>
        <v>1200</v>
      </c>
      <c r="E12" s="3">
        <f t="shared" si="3"/>
        <v>1800</v>
      </c>
      <c r="F12" s="145">
        <f t="shared" si="4"/>
        <v>0.6</v>
      </c>
      <c r="G12" s="41">
        <v>0</v>
      </c>
      <c r="H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1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/>
      <c r="AK12" s="41"/>
    </row>
    <row r="13" spans="1:37" x14ac:dyDescent="0.25">
      <c r="A13" s="41">
        <v>49</v>
      </c>
      <c r="B13" t="s">
        <v>606</v>
      </c>
      <c r="C13" s="30">
        <v>1200</v>
      </c>
      <c r="D13" s="135">
        <f t="shared" si="0"/>
        <v>1200</v>
      </c>
      <c r="E13" s="3">
        <f>+C13-D13</f>
        <v>0</v>
      </c>
      <c r="F13" s="145">
        <f t="shared" si="4"/>
        <v>0</v>
      </c>
      <c r="G13" s="41">
        <v>0</v>
      </c>
      <c r="H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1</v>
      </c>
      <c r="AF13" s="41">
        <v>0</v>
      </c>
      <c r="AG13" s="41">
        <v>0</v>
      </c>
      <c r="AH13" s="41">
        <v>0</v>
      </c>
      <c r="AI13" s="41">
        <v>0</v>
      </c>
      <c r="AJ13" s="41"/>
      <c r="AK13" s="41"/>
    </row>
    <row r="14" spans="1:37" x14ac:dyDescent="0.25">
      <c r="A14" s="41">
        <v>48</v>
      </c>
      <c r="B14" t="s">
        <v>519</v>
      </c>
      <c r="C14" s="27">
        <v>3200</v>
      </c>
      <c r="D14" s="135">
        <f t="shared" si="0"/>
        <v>1250</v>
      </c>
      <c r="E14" s="3">
        <f t="shared" si="3"/>
        <v>1950</v>
      </c>
      <c r="F14" s="145">
        <f t="shared" si="4"/>
        <v>0.609375</v>
      </c>
      <c r="G14" s="41">
        <v>0</v>
      </c>
      <c r="H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  <c r="AB14" s="41">
        <v>0</v>
      </c>
      <c r="AC14" s="41">
        <v>0</v>
      </c>
      <c r="AD14" s="41">
        <v>0</v>
      </c>
      <c r="AE14" s="41">
        <v>0</v>
      </c>
      <c r="AF14" s="41">
        <v>1</v>
      </c>
      <c r="AG14" s="41">
        <v>0</v>
      </c>
      <c r="AH14" s="41">
        <v>0</v>
      </c>
      <c r="AI14" s="41">
        <v>0</v>
      </c>
      <c r="AJ14" s="41"/>
      <c r="AK14" s="41"/>
    </row>
    <row r="15" spans="1:37" x14ac:dyDescent="0.25">
      <c r="A15" s="41">
        <v>7</v>
      </c>
      <c r="B15" t="s">
        <v>481</v>
      </c>
      <c r="C15" s="27">
        <v>4500</v>
      </c>
      <c r="D15" s="135">
        <f t="shared" si="0"/>
        <v>2416.67</v>
      </c>
      <c r="E15" s="3">
        <f t="shared" si="3"/>
        <v>2083.33</v>
      </c>
      <c r="F15" s="145">
        <f t="shared" si="4"/>
        <v>0.46296222222222216</v>
      </c>
      <c r="G15" s="41">
        <v>0</v>
      </c>
      <c r="H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  <c r="AB15" s="41">
        <v>0</v>
      </c>
      <c r="AC15" s="41">
        <v>0</v>
      </c>
      <c r="AD15" s="41">
        <v>0</v>
      </c>
      <c r="AE15" s="41">
        <v>0</v>
      </c>
      <c r="AF15" s="41">
        <v>0</v>
      </c>
      <c r="AG15" s="41">
        <v>1</v>
      </c>
      <c r="AH15" s="41">
        <v>0</v>
      </c>
      <c r="AI15" s="41">
        <v>0</v>
      </c>
      <c r="AJ15" s="41"/>
      <c r="AK15" s="41"/>
    </row>
    <row r="16" spans="1:37" x14ac:dyDescent="0.25">
      <c r="A16" s="41">
        <v>50</v>
      </c>
      <c r="B16" t="s">
        <v>607</v>
      </c>
      <c r="C16" s="30">
        <v>3000</v>
      </c>
      <c r="D16" s="135">
        <f t="shared" si="0"/>
        <v>1133.33</v>
      </c>
      <c r="E16" s="3">
        <f t="shared" si="3"/>
        <v>1866.67</v>
      </c>
      <c r="F16" s="145">
        <f t="shared" si="4"/>
        <v>0.62222333333333335</v>
      </c>
      <c r="G16" s="41">
        <v>0</v>
      </c>
      <c r="H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1">
        <v>0</v>
      </c>
      <c r="AF16" s="41">
        <v>0</v>
      </c>
      <c r="AG16" s="41">
        <v>0</v>
      </c>
      <c r="AH16" s="41">
        <v>1</v>
      </c>
      <c r="AI16" s="41">
        <v>0</v>
      </c>
      <c r="AJ16" s="41"/>
      <c r="AK16" s="41"/>
    </row>
    <row r="17" spans="1:37" x14ac:dyDescent="0.25">
      <c r="A17" s="41">
        <v>3</v>
      </c>
      <c r="B17" t="s">
        <v>477</v>
      </c>
      <c r="C17" s="27">
        <v>3000</v>
      </c>
      <c r="D17" s="135">
        <f t="shared" si="0"/>
        <v>1133.33</v>
      </c>
      <c r="E17" s="3">
        <f t="shared" si="3"/>
        <v>1866.67</v>
      </c>
      <c r="F17" s="145">
        <f t="shared" si="4"/>
        <v>0.62222333333333335</v>
      </c>
      <c r="G17" s="41">
        <v>0</v>
      </c>
      <c r="H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  <c r="AB17" s="41">
        <v>0</v>
      </c>
      <c r="AC17" s="41">
        <v>0</v>
      </c>
      <c r="AD17" s="41">
        <v>0</v>
      </c>
      <c r="AE17" s="41">
        <v>0</v>
      </c>
      <c r="AF17" s="41">
        <v>0</v>
      </c>
      <c r="AG17" s="41">
        <v>0</v>
      </c>
      <c r="AH17" s="41">
        <v>0</v>
      </c>
      <c r="AI17" s="41">
        <v>1</v>
      </c>
      <c r="AJ17" s="41"/>
      <c r="AK17" s="41"/>
    </row>
    <row r="18" spans="1:37" x14ac:dyDescent="0.25">
      <c r="A18" s="41">
        <v>42</v>
      </c>
      <c r="B18" t="s">
        <v>514</v>
      </c>
      <c r="C18" s="27">
        <v>20000</v>
      </c>
      <c r="D18" s="135">
        <f t="shared" si="0"/>
        <v>15600</v>
      </c>
      <c r="E18" s="3">
        <f t="shared" si="3"/>
        <v>4400</v>
      </c>
      <c r="F18" s="145">
        <f t="shared" si="4"/>
        <v>0.21999999999999997</v>
      </c>
      <c r="G18" s="41">
        <v>0</v>
      </c>
      <c r="H18" s="41">
        <v>0</v>
      </c>
      <c r="I18" s="41">
        <v>1</v>
      </c>
      <c r="J18" s="41">
        <v>0</v>
      </c>
      <c r="K18" s="41">
        <v>0</v>
      </c>
      <c r="L18" s="41">
        <v>0</v>
      </c>
      <c r="M18" s="41">
        <v>0</v>
      </c>
      <c r="N18" s="41">
        <v>0</v>
      </c>
      <c r="O18" s="41">
        <v>0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1</v>
      </c>
      <c r="W18" s="41">
        <v>0</v>
      </c>
      <c r="X18" s="41">
        <v>0</v>
      </c>
      <c r="Y18" s="41">
        <v>1</v>
      </c>
      <c r="Z18" s="41">
        <v>0</v>
      </c>
      <c r="AA18" s="41">
        <v>0</v>
      </c>
      <c r="AB18" s="41">
        <v>0</v>
      </c>
      <c r="AC18" s="41">
        <v>0</v>
      </c>
      <c r="AD18" s="41">
        <v>0</v>
      </c>
      <c r="AE18" s="41">
        <v>0</v>
      </c>
      <c r="AF18" s="41">
        <v>0</v>
      </c>
      <c r="AG18" s="41">
        <v>0</v>
      </c>
      <c r="AH18" s="41">
        <v>0</v>
      </c>
      <c r="AI18" s="41">
        <v>0</v>
      </c>
      <c r="AJ18" s="41"/>
      <c r="AK18" s="41"/>
    </row>
    <row r="19" spans="1:37" x14ac:dyDescent="0.25">
      <c r="A19" s="41">
        <v>33</v>
      </c>
      <c r="B19" t="s">
        <v>506</v>
      </c>
      <c r="C19" s="27">
        <v>40000</v>
      </c>
      <c r="D19" s="135">
        <f t="shared" si="0"/>
        <v>21600</v>
      </c>
      <c r="E19" s="3">
        <f t="shared" si="3"/>
        <v>18400</v>
      </c>
      <c r="F19" s="145">
        <f t="shared" si="4"/>
        <v>0.45999999999999996</v>
      </c>
      <c r="G19" s="41">
        <v>0</v>
      </c>
      <c r="H19" s="41">
        <v>0</v>
      </c>
      <c r="I19" s="41">
        <v>0</v>
      </c>
      <c r="J19" s="41">
        <v>1</v>
      </c>
      <c r="K19" s="41">
        <v>0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v>0</v>
      </c>
      <c r="S19" s="41">
        <v>0</v>
      </c>
      <c r="T19" s="41">
        <v>0</v>
      </c>
      <c r="U19" s="41">
        <v>0</v>
      </c>
      <c r="V19" s="41">
        <v>1</v>
      </c>
      <c r="W19" s="41">
        <v>0</v>
      </c>
      <c r="X19" s="41">
        <v>0</v>
      </c>
      <c r="Y19" s="41">
        <v>1</v>
      </c>
      <c r="Z19" s="41">
        <v>0</v>
      </c>
      <c r="AA19" s="41">
        <v>0</v>
      </c>
      <c r="AB19" s="41">
        <v>0</v>
      </c>
      <c r="AC19" s="41">
        <v>0</v>
      </c>
      <c r="AD19" s="41">
        <v>0</v>
      </c>
      <c r="AE19" s="41">
        <v>0</v>
      </c>
      <c r="AF19" s="41">
        <v>0</v>
      </c>
      <c r="AG19" s="41">
        <v>0</v>
      </c>
      <c r="AH19" s="41">
        <v>0</v>
      </c>
      <c r="AI19" s="41">
        <v>0</v>
      </c>
      <c r="AJ19" s="41"/>
      <c r="AK19" s="41"/>
    </row>
    <row r="20" spans="1:37" x14ac:dyDescent="0.25">
      <c r="A20" s="41">
        <v>41</v>
      </c>
      <c r="B20" t="s">
        <v>513</v>
      </c>
      <c r="C20" s="27">
        <v>23000</v>
      </c>
      <c r="D20" s="135">
        <f t="shared" si="0"/>
        <v>15600</v>
      </c>
      <c r="E20" s="3">
        <f t="shared" si="3"/>
        <v>7400</v>
      </c>
      <c r="F20" s="145">
        <f t="shared" si="4"/>
        <v>0.32173913043478264</v>
      </c>
      <c r="G20" s="41">
        <v>0</v>
      </c>
      <c r="H20" s="41">
        <v>0</v>
      </c>
      <c r="I20" s="41">
        <v>1</v>
      </c>
      <c r="J20" s="41">
        <v>0</v>
      </c>
      <c r="K20" s="41">
        <v>0</v>
      </c>
      <c r="L20" s="41">
        <v>0</v>
      </c>
      <c r="M20" s="41">
        <v>0</v>
      </c>
      <c r="N20" s="41">
        <v>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1</v>
      </c>
      <c r="W20" s="41">
        <v>0</v>
      </c>
      <c r="X20" s="41">
        <v>0</v>
      </c>
      <c r="Y20" s="41">
        <v>1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/>
      <c r="AK20" s="41"/>
    </row>
    <row r="21" spans="1:37" x14ac:dyDescent="0.25">
      <c r="A21" s="41">
        <v>11</v>
      </c>
      <c r="B21" t="s">
        <v>485</v>
      </c>
      <c r="C21" s="27">
        <v>30000</v>
      </c>
      <c r="D21" s="135">
        <f t="shared" si="0"/>
        <v>22600</v>
      </c>
      <c r="E21" s="3">
        <f t="shared" si="3"/>
        <v>7400</v>
      </c>
      <c r="F21" s="145">
        <f t="shared" si="4"/>
        <v>0.2466666666666667</v>
      </c>
      <c r="G21" s="41">
        <v>0</v>
      </c>
      <c r="H21" s="41">
        <v>0</v>
      </c>
      <c r="I21" s="41">
        <v>0</v>
      </c>
      <c r="J21" s="41">
        <v>0</v>
      </c>
      <c r="K21" s="41">
        <v>0</v>
      </c>
      <c r="L21" s="41">
        <v>0</v>
      </c>
      <c r="M21" s="41">
        <v>1</v>
      </c>
      <c r="N21" s="41">
        <v>0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1</v>
      </c>
      <c r="W21" s="41">
        <v>0</v>
      </c>
      <c r="X21" s="41">
        <v>0</v>
      </c>
      <c r="Y21" s="41">
        <v>1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41">
        <v>0</v>
      </c>
      <c r="AH21" s="41">
        <v>0</v>
      </c>
      <c r="AI21" s="41">
        <v>0</v>
      </c>
      <c r="AJ21" s="41"/>
      <c r="AK21" s="41"/>
    </row>
    <row r="22" spans="1:37" x14ac:dyDescent="0.25">
      <c r="A22" s="41">
        <v>27</v>
      </c>
      <c r="B22" t="s">
        <v>500</v>
      </c>
      <c r="C22" s="27">
        <v>50000</v>
      </c>
      <c r="D22" s="135">
        <f t="shared" si="0"/>
        <v>28600</v>
      </c>
      <c r="E22" s="3">
        <f t="shared" si="3"/>
        <v>21400</v>
      </c>
      <c r="F22" s="145">
        <f t="shared" si="4"/>
        <v>0.42800000000000005</v>
      </c>
      <c r="G22" s="41">
        <v>0</v>
      </c>
      <c r="H22" s="41">
        <v>0</v>
      </c>
      <c r="I22" s="41">
        <v>0</v>
      </c>
      <c r="J22" s="41">
        <v>0</v>
      </c>
      <c r="K22" s="41">
        <v>0</v>
      </c>
      <c r="L22" s="41">
        <v>0</v>
      </c>
      <c r="M22" s="41">
        <v>0</v>
      </c>
      <c r="N22" s="41">
        <v>0</v>
      </c>
      <c r="O22" s="41">
        <v>0</v>
      </c>
      <c r="P22" s="41">
        <v>1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1</v>
      </c>
      <c r="W22" s="41">
        <v>0</v>
      </c>
      <c r="X22" s="41">
        <v>0</v>
      </c>
      <c r="Y22" s="41">
        <v>1</v>
      </c>
      <c r="Z22" s="41">
        <v>0</v>
      </c>
      <c r="AA22" s="41">
        <v>0</v>
      </c>
      <c r="AB22" s="41">
        <v>0</v>
      </c>
      <c r="AC22" s="41">
        <v>0</v>
      </c>
      <c r="AD22" s="41">
        <v>0</v>
      </c>
      <c r="AE22" s="41">
        <v>0</v>
      </c>
      <c r="AF22" s="41">
        <v>0</v>
      </c>
      <c r="AG22" s="41">
        <v>0</v>
      </c>
      <c r="AH22" s="41">
        <v>0</v>
      </c>
      <c r="AI22" s="41">
        <v>0</v>
      </c>
      <c r="AJ22" s="41"/>
      <c r="AK22" s="41"/>
    </row>
    <row r="23" spans="1:37" x14ac:dyDescent="0.25">
      <c r="A23" s="41">
        <v>14</v>
      </c>
      <c r="B23" t="s">
        <v>488</v>
      </c>
      <c r="C23" s="27">
        <v>25000</v>
      </c>
      <c r="D23" s="135">
        <f t="shared" si="0"/>
        <v>15600</v>
      </c>
      <c r="E23" s="3">
        <f t="shared" si="3"/>
        <v>9400</v>
      </c>
      <c r="F23" s="145">
        <f t="shared" si="4"/>
        <v>0.376</v>
      </c>
      <c r="G23" s="41">
        <v>0</v>
      </c>
      <c r="H23" s="41">
        <v>0</v>
      </c>
      <c r="I23" s="41">
        <v>0</v>
      </c>
      <c r="J23" s="41">
        <v>0</v>
      </c>
      <c r="K23" s="41">
        <v>1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1</v>
      </c>
      <c r="W23" s="41">
        <v>0</v>
      </c>
      <c r="X23" s="41">
        <v>0</v>
      </c>
      <c r="Y23" s="41">
        <v>1</v>
      </c>
      <c r="Z23" s="41">
        <v>0</v>
      </c>
      <c r="AA23" s="41">
        <v>0</v>
      </c>
      <c r="AB23" s="41">
        <v>0</v>
      </c>
      <c r="AC23" s="41">
        <v>0</v>
      </c>
      <c r="AD23" s="41">
        <v>0</v>
      </c>
      <c r="AE23" s="41">
        <v>0</v>
      </c>
      <c r="AF23" s="41">
        <v>0</v>
      </c>
      <c r="AG23" s="41">
        <v>0</v>
      </c>
      <c r="AH23" s="41">
        <v>0</v>
      </c>
      <c r="AI23" s="41">
        <v>0</v>
      </c>
      <c r="AJ23" s="41"/>
      <c r="AK23" s="41"/>
    </row>
    <row r="24" spans="1:37" x14ac:dyDescent="0.25">
      <c r="A24" s="41">
        <v>12</v>
      </c>
      <c r="B24" t="s">
        <v>486</v>
      </c>
      <c r="C24" s="27">
        <v>25000</v>
      </c>
      <c r="D24" s="135">
        <f t="shared" si="0"/>
        <v>19600</v>
      </c>
      <c r="E24" s="3">
        <f t="shared" si="3"/>
        <v>5400</v>
      </c>
      <c r="F24" s="145">
        <f t="shared" si="4"/>
        <v>0.21599999999999997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41">
        <v>1</v>
      </c>
      <c r="M24" s="41">
        <v>0</v>
      </c>
      <c r="N24" s="41">
        <v>0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1</v>
      </c>
      <c r="W24" s="41">
        <v>0</v>
      </c>
      <c r="X24" s="41">
        <v>0</v>
      </c>
      <c r="Y24" s="41">
        <v>1</v>
      </c>
      <c r="Z24" s="41">
        <v>0</v>
      </c>
      <c r="AA24" s="41">
        <v>0</v>
      </c>
      <c r="AB24" s="41">
        <v>0</v>
      </c>
      <c r="AC24" s="41">
        <v>0</v>
      </c>
      <c r="AD24" s="41">
        <v>0</v>
      </c>
      <c r="AE24" s="41">
        <v>0</v>
      </c>
      <c r="AF24" s="41">
        <v>0</v>
      </c>
      <c r="AG24" s="41">
        <v>0</v>
      </c>
      <c r="AH24" s="41">
        <v>0</v>
      </c>
      <c r="AI24" s="41">
        <v>0</v>
      </c>
      <c r="AJ24" s="41"/>
      <c r="AK24" s="41"/>
    </row>
    <row r="25" spans="1:37" x14ac:dyDescent="0.25">
      <c r="A25" s="41">
        <v>40</v>
      </c>
      <c r="B25" t="s">
        <v>512</v>
      </c>
      <c r="C25" s="27">
        <v>15000</v>
      </c>
      <c r="D25" s="135">
        <f t="shared" si="0"/>
        <v>14000</v>
      </c>
      <c r="E25" s="3">
        <f t="shared" si="3"/>
        <v>1000</v>
      </c>
      <c r="F25" s="145">
        <f t="shared" si="4"/>
        <v>6.6666666666666652E-2</v>
      </c>
      <c r="G25" s="41">
        <v>0</v>
      </c>
      <c r="H25" s="41">
        <v>0</v>
      </c>
      <c r="I25" s="41">
        <v>0</v>
      </c>
      <c r="J25" s="41">
        <v>0</v>
      </c>
      <c r="K25" s="41">
        <v>0</v>
      </c>
      <c r="L25" s="41">
        <v>0</v>
      </c>
      <c r="M25" s="41">
        <v>0</v>
      </c>
      <c r="N25" s="41">
        <v>1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1</v>
      </c>
      <c r="W25" s="41">
        <v>0</v>
      </c>
      <c r="X25" s="41">
        <v>0</v>
      </c>
      <c r="Y25" s="41">
        <v>0</v>
      </c>
      <c r="Z25" s="41">
        <v>0</v>
      </c>
      <c r="AA25" s="41">
        <v>0</v>
      </c>
      <c r="AB25" s="41">
        <v>0</v>
      </c>
      <c r="AC25" s="41">
        <v>0</v>
      </c>
      <c r="AD25" s="41">
        <v>0</v>
      </c>
      <c r="AE25" s="41">
        <v>0</v>
      </c>
      <c r="AF25" s="41">
        <v>0</v>
      </c>
      <c r="AG25" s="41">
        <v>0</v>
      </c>
      <c r="AH25" s="41">
        <v>0</v>
      </c>
      <c r="AI25" s="41">
        <v>0</v>
      </c>
      <c r="AJ25" s="41"/>
      <c r="AK25" s="41"/>
    </row>
    <row r="26" spans="1:37" x14ac:dyDescent="0.25">
      <c r="A26" s="41">
        <v>46</v>
      </c>
      <c r="B26" t="s">
        <v>518</v>
      </c>
      <c r="C26" s="27">
        <v>30000</v>
      </c>
      <c r="D26" s="135">
        <f t="shared" si="0"/>
        <v>15600</v>
      </c>
      <c r="E26" s="3">
        <f t="shared" si="3"/>
        <v>14400</v>
      </c>
      <c r="F26" s="145">
        <f t="shared" si="4"/>
        <v>0.48</v>
      </c>
      <c r="G26" s="41">
        <v>0</v>
      </c>
      <c r="H26" s="41">
        <v>0</v>
      </c>
      <c r="I26" s="41">
        <v>0</v>
      </c>
      <c r="J26" s="41">
        <v>0</v>
      </c>
      <c r="K26" s="41">
        <v>1</v>
      </c>
      <c r="L26" s="41">
        <v>0</v>
      </c>
      <c r="M26" s="41">
        <v>0</v>
      </c>
      <c r="N26" s="41">
        <v>0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1</v>
      </c>
      <c r="W26" s="41">
        <v>0</v>
      </c>
      <c r="X26" s="41">
        <v>0</v>
      </c>
      <c r="Y26" s="41">
        <v>1</v>
      </c>
      <c r="Z26" s="41">
        <v>0</v>
      </c>
      <c r="AA26" s="41">
        <v>0</v>
      </c>
      <c r="AB26" s="41">
        <v>0</v>
      </c>
      <c r="AC26" s="41">
        <v>0</v>
      </c>
      <c r="AD26" s="41">
        <v>0</v>
      </c>
      <c r="AE26" s="41">
        <v>0</v>
      </c>
      <c r="AF26" s="41">
        <v>0</v>
      </c>
      <c r="AG26" s="41">
        <v>0</v>
      </c>
      <c r="AH26" s="41">
        <v>0</v>
      </c>
      <c r="AI26" s="41">
        <v>0</v>
      </c>
      <c r="AJ26" s="41"/>
      <c r="AK26" s="41"/>
    </row>
    <row r="27" spans="1:37" x14ac:dyDescent="0.25">
      <c r="A27" s="41">
        <v>13</v>
      </c>
      <c r="B27" t="s">
        <v>487</v>
      </c>
      <c r="C27" s="27">
        <v>25000</v>
      </c>
      <c r="D27" s="135">
        <f t="shared" si="0"/>
        <v>12600</v>
      </c>
      <c r="E27" s="3">
        <f t="shared" si="3"/>
        <v>12400</v>
      </c>
      <c r="F27" s="145">
        <f t="shared" si="4"/>
        <v>0.496</v>
      </c>
      <c r="G27" s="41">
        <v>0</v>
      </c>
      <c r="H27" s="41">
        <v>0</v>
      </c>
      <c r="I27" s="41">
        <v>0</v>
      </c>
      <c r="J27" s="41">
        <v>0</v>
      </c>
      <c r="K27" s="41">
        <v>0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1</v>
      </c>
      <c r="R27" s="41">
        <v>0</v>
      </c>
      <c r="S27" s="41">
        <v>0</v>
      </c>
      <c r="T27" s="41">
        <v>0</v>
      </c>
      <c r="U27" s="41">
        <v>0</v>
      </c>
      <c r="V27" s="41">
        <v>1</v>
      </c>
      <c r="W27" s="41">
        <v>0</v>
      </c>
      <c r="X27" s="41">
        <v>0</v>
      </c>
      <c r="Y27" s="41">
        <v>1</v>
      </c>
      <c r="Z27" s="41">
        <v>0</v>
      </c>
      <c r="AA27" s="41">
        <v>0</v>
      </c>
      <c r="AB27" s="41">
        <v>0</v>
      </c>
      <c r="AC27" s="41">
        <v>0</v>
      </c>
      <c r="AD27" s="41">
        <v>0</v>
      </c>
      <c r="AE27" s="41">
        <v>0</v>
      </c>
      <c r="AF27" s="41">
        <v>0</v>
      </c>
      <c r="AG27" s="41">
        <v>0</v>
      </c>
      <c r="AH27" s="41">
        <v>0</v>
      </c>
      <c r="AI27" s="41">
        <v>0</v>
      </c>
      <c r="AJ27" s="41"/>
      <c r="AK27" s="41"/>
    </row>
    <row r="28" spans="1:37" x14ac:dyDescent="0.25">
      <c r="A28" s="41">
        <v>15</v>
      </c>
      <c r="B28" t="s">
        <v>489</v>
      </c>
      <c r="C28" s="27">
        <v>25000</v>
      </c>
      <c r="D28" s="135">
        <f t="shared" si="0"/>
        <v>2600</v>
      </c>
      <c r="E28" s="3">
        <f t="shared" si="3"/>
        <v>22400</v>
      </c>
      <c r="F28" s="145">
        <f t="shared" si="4"/>
        <v>0.89600000000000002</v>
      </c>
      <c r="G28" s="41">
        <v>0</v>
      </c>
      <c r="H28" s="41">
        <v>0</v>
      </c>
      <c r="I28" s="41">
        <v>0</v>
      </c>
      <c r="J28" s="41">
        <v>0</v>
      </c>
      <c r="K28" s="41">
        <v>0</v>
      </c>
      <c r="L28" s="41">
        <v>0</v>
      </c>
      <c r="M28" s="41">
        <v>0</v>
      </c>
      <c r="N28" s="41">
        <v>0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1</v>
      </c>
      <c r="W28" s="41">
        <v>0</v>
      </c>
      <c r="X28" s="41">
        <v>0</v>
      </c>
      <c r="Y28" s="41">
        <v>1</v>
      </c>
      <c r="Z28" s="41">
        <v>0</v>
      </c>
      <c r="AA28" s="41">
        <v>0</v>
      </c>
      <c r="AB28" s="41">
        <v>0</v>
      </c>
      <c r="AC28" s="41">
        <v>0</v>
      </c>
      <c r="AD28" s="41">
        <v>0</v>
      </c>
      <c r="AE28" s="41">
        <v>0</v>
      </c>
      <c r="AF28" s="41">
        <v>0</v>
      </c>
      <c r="AG28" s="41">
        <v>0</v>
      </c>
      <c r="AH28" s="41">
        <v>0</v>
      </c>
      <c r="AI28" s="41">
        <v>0</v>
      </c>
      <c r="AJ28" s="41"/>
      <c r="AK28" s="41"/>
    </row>
    <row r="29" spans="1:37" x14ac:dyDescent="0.25">
      <c r="A29" s="41">
        <v>26</v>
      </c>
      <c r="B29" t="s">
        <v>499</v>
      </c>
      <c r="C29" s="27">
        <v>10000</v>
      </c>
      <c r="D29" s="135">
        <f t="shared" si="0"/>
        <v>3900</v>
      </c>
      <c r="E29" s="3">
        <f t="shared" si="3"/>
        <v>6100</v>
      </c>
      <c r="F29" s="145">
        <f t="shared" si="4"/>
        <v>0.61</v>
      </c>
      <c r="G29" s="41">
        <v>1</v>
      </c>
      <c r="H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1</v>
      </c>
      <c r="X29" s="41">
        <v>0</v>
      </c>
      <c r="Y29" s="41">
        <v>0</v>
      </c>
      <c r="Z29" s="41">
        <v>0</v>
      </c>
      <c r="AA29" s="41">
        <v>0</v>
      </c>
      <c r="AB29" s="41">
        <v>0</v>
      </c>
      <c r="AC29" s="41">
        <v>0</v>
      </c>
      <c r="AD29" s="41">
        <v>0</v>
      </c>
      <c r="AE29" s="41">
        <v>0</v>
      </c>
      <c r="AF29" s="41">
        <v>0</v>
      </c>
      <c r="AG29" s="41">
        <v>0</v>
      </c>
      <c r="AH29" s="41">
        <v>0</v>
      </c>
      <c r="AI29" s="41">
        <v>0</v>
      </c>
      <c r="AJ29" s="41"/>
      <c r="AK29" s="41"/>
    </row>
    <row r="30" spans="1:37" x14ac:dyDescent="0.25">
      <c r="A30" s="41">
        <v>9</v>
      </c>
      <c r="B30" t="s">
        <v>483</v>
      </c>
      <c r="C30" s="27">
        <v>20000</v>
      </c>
      <c r="D30" s="135">
        <f t="shared" si="0"/>
        <v>8500</v>
      </c>
      <c r="E30" s="3">
        <f t="shared" si="3"/>
        <v>11500</v>
      </c>
      <c r="F30" s="145">
        <f t="shared" si="4"/>
        <v>0.57499999999999996</v>
      </c>
      <c r="G30" s="41">
        <v>1</v>
      </c>
      <c r="H30" s="41">
        <v>0</v>
      </c>
      <c r="Q30" s="41">
        <v>0</v>
      </c>
      <c r="R30" s="41">
        <v>0</v>
      </c>
      <c r="S30" s="41">
        <v>0</v>
      </c>
      <c r="T30" s="41">
        <v>1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>
        <v>0</v>
      </c>
      <c r="AA30" s="41">
        <v>0</v>
      </c>
      <c r="AB30" s="41">
        <v>0</v>
      </c>
      <c r="AC30" s="41">
        <v>0</v>
      </c>
      <c r="AD30" s="41">
        <v>0</v>
      </c>
      <c r="AE30" s="41">
        <v>0</v>
      </c>
      <c r="AF30" s="41">
        <v>0</v>
      </c>
      <c r="AG30" s="41">
        <v>0</v>
      </c>
      <c r="AH30" s="41">
        <v>0</v>
      </c>
      <c r="AI30" s="41">
        <v>0</v>
      </c>
      <c r="AJ30" s="41"/>
      <c r="AK30" s="41"/>
    </row>
    <row r="31" spans="1:37" x14ac:dyDescent="0.25">
      <c r="A31" s="41">
        <v>10</v>
      </c>
      <c r="B31" t="s">
        <v>484</v>
      </c>
      <c r="C31" s="27">
        <v>25000</v>
      </c>
      <c r="D31" s="135">
        <f t="shared" si="0"/>
        <v>10500</v>
      </c>
      <c r="E31" s="3">
        <f t="shared" si="3"/>
        <v>14500</v>
      </c>
      <c r="F31" s="145">
        <f t="shared" si="4"/>
        <v>0.58000000000000007</v>
      </c>
      <c r="G31" s="41">
        <v>1</v>
      </c>
      <c r="H31" s="41">
        <v>0</v>
      </c>
      <c r="Q31" s="41">
        <v>0</v>
      </c>
      <c r="R31" s="41">
        <v>0</v>
      </c>
      <c r="S31" s="41">
        <v>0</v>
      </c>
      <c r="T31" s="41">
        <v>1</v>
      </c>
      <c r="U31" s="41">
        <v>0</v>
      </c>
      <c r="V31" s="41">
        <v>1</v>
      </c>
      <c r="W31" s="41">
        <v>0</v>
      </c>
      <c r="X31" s="41">
        <v>0</v>
      </c>
      <c r="Y31" s="41">
        <v>0</v>
      </c>
      <c r="Z31" s="41">
        <v>0</v>
      </c>
      <c r="AA31" s="41">
        <v>0</v>
      </c>
      <c r="AB31" s="41">
        <v>0</v>
      </c>
      <c r="AC31" s="41">
        <v>0</v>
      </c>
      <c r="AD31" s="41">
        <v>0</v>
      </c>
      <c r="AE31" s="41">
        <v>0</v>
      </c>
      <c r="AF31" s="41">
        <v>0</v>
      </c>
      <c r="AG31" s="41">
        <v>0</v>
      </c>
      <c r="AH31" s="41">
        <v>0</v>
      </c>
      <c r="AI31" s="41">
        <v>0</v>
      </c>
      <c r="AJ31" s="41"/>
      <c r="AK31" s="41"/>
    </row>
    <row r="32" spans="1:37" x14ac:dyDescent="0.25">
      <c r="A32" s="41">
        <v>38</v>
      </c>
      <c r="B32" t="s">
        <v>510</v>
      </c>
      <c r="C32" s="27">
        <v>27000</v>
      </c>
      <c r="D32" s="135">
        <f t="shared" si="0"/>
        <v>10500</v>
      </c>
      <c r="E32" s="3">
        <f t="shared" si="3"/>
        <v>16500</v>
      </c>
      <c r="F32" s="145">
        <f t="shared" si="4"/>
        <v>0.61111111111111116</v>
      </c>
      <c r="G32" s="41">
        <v>1</v>
      </c>
      <c r="H32" s="41">
        <v>0</v>
      </c>
      <c r="Q32" s="41">
        <v>0</v>
      </c>
      <c r="R32" s="41">
        <v>0</v>
      </c>
      <c r="S32" s="41">
        <v>0</v>
      </c>
      <c r="T32" s="41">
        <v>1</v>
      </c>
      <c r="U32" s="41">
        <v>0</v>
      </c>
      <c r="V32" s="41">
        <v>1</v>
      </c>
      <c r="W32" s="41">
        <v>0</v>
      </c>
      <c r="X32" s="41">
        <v>0</v>
      </c>
      <c r="Y32" s="41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1">
        <v>0</v>
      </c>
      <c r="AF32" s="41">
        <v>0</v>
      </c>
      <c r="AG32" s="41">
        <v>0</v>
      </c>
      <c r="AH32" s="41">
        <v>0</v>
      </c>
      <c r="AI32" s="41">
        <v>0</v>
      </c>
      <c r="AJ32" s="41"/>
      <c r="AK32" s="41"/>
    </row>
    <row r="33" spans="1:37" x14ac:dyDescent="0.25">
      <c r="A33" s="41">
        <v>6</v>
      </c>
      <c r="B33" t="s">
        <v>480</v>
      </c>
      <c r="C33" s="27">
        <v>22000</v>
      </c>
      <c r="D33" s="135">
        <f t="shared" si="0"/>
        <v>10500</v>
      </c>
      <c r="E33" s="3">
        <f t="shared" si="3"/>
        <v>11500</v>
      </c>
      <c r="F33" s="145">
        <f t="shared" si="4"/>
        <v>0.52272727272727271</v>
      </c>
      <c r="G33" s="41">
        <v>1</v>
      </c>
      <c r="H33" s="41">
        <v>0</v>
      </c>
      <c r="Q33" s="41">
        <v>0</v>
      </c>
      <c r="R33" s="41">
        <v>0</v>
      </c>
      <c r="S33" s="41">
        <v>0</v>
      </c>
      <c r="T33" s="41">
        <v>1</v>
      </c>
      <c r="U33" s="41">
        <v>0</v>
      </c>
      <c r="V33" s="41">
        <v>1</v>
      </c>
      <c r="W33" s="41">
        <v>0</v>
      </c>
      <c r="X33" s="41">
        <v>0</v>
      </c>
      <c r="Y33" s="41">
        <v>0</v>
      </c>
      <c r="Z33" s="41">
        <v>0</v>
      </c>
      <c r="AA33" s="41">
        <v>0</v>
      </c>
      <c r="AB33" s="41">
        <v>0</v>
      </c>
      <c r="AC33" s="41">
        <v>0</v>
      </c>
      <c r="AD33" s="41">
        <v>0</v>
      </c>
      <c r="AE33" s="41">
        <v>0</v>
      </c>
      <c r="AF33" s="41">
        <v>0</v>
      </c>
      <c r="AG33" s="41">
        <v>0</v>
      </c>
      <c r="AH33" s="41">
        <v>0</v>
      </c>
      <c r="AI33" s="41">
        <v>0</v>
      </c>
      <c r="AJ33" s="41"/>
      <c r="AK33" s="41"/>
    </row>
    <row r="34" spans="1:37" x14ac:dyDescent="0.25">
      <c r="A34" s="41">
        <v>5</v>
      </c>
      <c r="B34" t="s">
        <v>479</v>
      </c>
      <c r="C34" s="27">
        <v>17000</v>
      </c>
      <c r="D34" s="135">
        <f t="shared" si="0"/>
        <v>8500</v>
      </c>
      <c r="E34" s="3">
        <f t="shared" si="3"/>
        <v>8500</v>
      </c>
      <c r="F34" s="145">
        <f t="shared" si="4"/>
        <v>0.5</v>
      </c>
      <c r="G34" s="41">
        <v>1</v>
      </c>
      <c r="H34" s="41">
        <v>0</v>
      </c>
      <c r="Q34" s="41">
        <v>0</v>
      </c>
      <c r="R34" s="41">
        <v>0</v>
      </c>
      <c r="S34" s="41">
        <v>0</v>
      </c>
      <c r="T34" s="41">
        <v>1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>
        <v>0</v>
      </c>
      <c r="AA34" s="41">
        <v>0</v>
      </c>
      <c r="AB34" s="41">
        <v>0</v>
      </c>
      <c r="AC34" s="41">
        <v>0</v>
      </c>
      <c r="AD34" s="41">
        <v>0</v>
      </c>
      <c r="AE34" s="41">
        <v>0</v>
      </c>
      <c r="AF34" s="41">
        <v>0</v>
      </c>
      <c r="AG34" s="41">
        <v>0</v>
      </c>
      <c r="AH34" s="41">
        <v>0</v>
      </c>
      <c r="AI34" s="41">
        <v>0</v>
      </c>
      <c r="AJ34" s="41"/>
      <c r="AK34" s="41"/>
    </row>
    <row r="35" spans="1:37" x14ac:dyDescent="0.25">
      <c r="A35" s="41">
        <v>37</v>
      </c>
      <c r="B35" t="s">
        <v>509</v>
      </c>
      <c r="C35" s="27">
        <v>1000000</v>
      </c>
      <c r="D35" s="135">
        <f t="shared" si="0"/>
        <v>2000</v>
      </c>
      <c r="E35" s="3">
        <f t="shared" si="3"/>
        <v>998000</v>
      </c>
      <c r="F35" s="145">
        <f t="shared" si="4"/>
        <v>0.998</v>
      </c>
      <c r="G35" s="41">
        <v>0</v>
      </c>
      <c r="H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0</v>
      </c>
      <c r="V35" s="41">
        <v>1</v>
      </c>
      <c r="W35" s="41">
        <v>0</v>
      </c>
      <c r="X35" s="41">
        <v>0</v>
      </c>
      <c r="Y35" s="41">
        <v>0</v>
      </c>
      <c r="Z35" s="41">
        <v>0</v>
      </c>
      <c r="AA35" s="41">
        <v>0</v>
      </c>
      <c r="AB35" s="41">
        <v>0</v>
      </c>
      <c r="AC35" s="41">
        <v>0</v>
      </c>
      <c r="AD35" s="41">
        <v>0</v>
      </c>
      <c r="AE35" s="41">
        <v>0</v>
      </c>
      <c r="AF35" s="41">
        <v>0</v>
      </c>
      <c r="AG35" s="41">
        <v>0</v>
      </c>
      <c r="AH35" s="41">
        <v>0</v>
      </c>
      <c r="AI35" s="41">
        <v>0</v>
      </c>
      <c r="AJ35" s="41"/>
      <c r="AK35" s="41"/>
    </row>
    <row r="36" spans="1:37" x14ac:dyDescent="0.25">
      <c r="A36" s="41">
        <v>30</v>
      </c>
      <c r="B36" t="s">
        <v>503</v>
      </c>
      <c r="C36" s="27">
        <v>2000</v>
      </c>
      <c r="D36" s="135">
        <f t="shared" si="0"/>
        <v>0</v>
      </c>
      <c r="E36" s="3">
        <f t="shared" si="3"/>
        <v>2000</v>
      </c>
      <c r="F36" s="145">
        <f t="shared" si="4"/>
        <v>1</v>
      </c>
      <c r="G36" s="41">
        <v>0</v>
      </c>
      <c r="H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  <c r="AC36" s="41">
        <v>0</v>
      </c>
      <c r="AD36" s="41">
        <v>0</v>
      </c>
      <c r="AE36" s="41">
        <v>0</v>
      </c>
      <c r="AF36" s="41">
        <v>0</v>
      </c>
      <c r="AG36" s="41">
        <v>0</v>
      </c>
      <c r="AH36" s="41">
        <v>0</v>
      </c>
      <c r="AI36" s="41">
        <v>0</v>
      </c>
      <c r="AJ36" s="41"/>
      <c r="AK36" s="41"/>
    </row>
    <row r="37" spans="1:37" x14ac:dyDescent="0.25">
      <c r="A37" s="41">
        <v>31</v>
      </c>
      <c r="B37" t="s">
        <v>504</v>
      </c>
      <c r="C37" s="27">
        <v>15000</v>
      </c>
      <c r="D37" s="135">
        <f t="shared" si="0"/>
        <v>0</v>
      </c>
      <c r="E37" s="3">
        <f t="shared" si="3"/>
        <v>15000</v>
      </c>
      <c r="F37" s="145">
        <f t="shared" si="4"/>
        <v>1</v>
      </c>
      <c r="G37" s="41">
        <v>0</v>
      </c>
      <c r="H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  <c r="AC37" s="41">
        <v>0</v>
      </c>
      <c r="AD37" s="41">
        <v>0</v>
      </c>
      <c r="AE37" s="41">
        <v>0</v>
      </c>
      <c r="AF37" s="41">
        <v>0</v>
      </c>
      <c r="AG37" s="41">
        <v>0</v>
      </c>
      <c r="AH37" s="41">
        <v>0</v>
      </c>
      <c r="AI37" s="41">
        <v>0</v>
      </c>
      <c r="AJ37" s="41"/>
      <c r="AK37" s="41"/>
    </row>
    <row r="38" spans="1:37" x14ac:dyDescent="0.25">
      <c r="A38" s="41">
        <v>35</v>
      </c>
      <c r="B38" t="s">
        <v>507</v>
      </c>
      <c r="C38" s="27">
        <v>30000</v>
      </c>
      <c r="D38" s="135">
        <f t="shared" si="0"/>
        <v>17940</v>
      </c>
      <c r="E38" s="3">
        <f t="shared" si="3"/>
        <v>12060</v>
      </c>
      <c r="F38" s="145">
        <f t="shared" si="4"/>
        <v>0.40200000000000002</v>
      </c>
      <c r="G38" s="41">
        <v>1</v>
      </c>
      <c r="H38" s="41">
        <v>0</v>
      </c>
      <c r="I38" s="41">
        <v>1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1</v>
      </c>
      <c r="Y38" s="41">
        <v>1</v>
      </c>
      <c r="Z38" s="41">
        <v>0</v>
      </c>
      <c r="AA38" s="41">
        <v>0</v>
      </c>
      <c r="AB38" s="41">
        <v>0</v>
      </c>
      <c r="AC38" s="41">
        <v>0</v>
      </c>
      <c r="AD38" s="41">
        <v>0</v>
      </c>
      <c r="AE38" s="41">
        <v>0</v>
      </c>
      <c r="AF38" s="41">
        <v>0</v>
      </c>
      <c r="AG38" s="41">
        <v>0</v>
      </c>
      <c r="AH38" s="41">
        <v>0</v>
      </c>
      <c r="AI38" s="41">
        <v>0</v>
      </c>
      <c r="AJ38" s="41"/>
      <c r="AK38" s="41"/>
    </row>
    <row r="39" spans="1:37" x14ac:dyDescent="0.25">
      <c r="A39" s="41">
        <v>18</v>
      </c>
      <c r="B39" t="s">
        <v>491</v>
      </c>
      <c r="C39" s="27">
        <v>35000</v>
      </c>
      <c r="D39" s="135">
        <f t="shared" si="0"/>
        <v>17940</v>
      </c>
      <c r="E39" s="3">
        <f t="shared" si="3"/>
        <v>17060</v>
      </c>
      <c r="F39" s="145">
        <f t="shared" si="4"/>
        <v>0.48742857142857143</v>
      </c>
      <c r="G39" s="41">
        <v>1</v>
      </c>
      <c r="H39" s="41">
        <v>0</v>
      </c>
      <c r="I39" s="41">
        <v>1</v>
      </c>
      <c r="Q39" s="41"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1</v>
      </c>
      <c r="Y39" s="41">
        <v>1</v>
      </c>
      <c r="Z39" s="41">
        <v>0</v>
      </c>
      <c r="AA39" s="41">
        <v>0</v>
      </c>
      <c r="AB39" s="41">
        <v>0</v>
      </c>
      <c r="AC39" s="41">
        <v>0</v>
      </c>
      <c r="AD39" s="41">
        <v>0</v>
      </c>
      <c r="AE39" s="41">
        <v>0</v>
      </c>
      <c r="AF39" s="41">
        <v>0</v>
      </c>
      <c r="AG39" s="41">
        <v>0</v>
      </c>
      <c r="AH39" s="41">
        <v>0</v>
      </c>
      <c r="AI39" s="41">
        <v>0</v>
      </c>
      <c r="AJ39" s="41"/>
      <c r="AK39" s="41"/>
    </row>
    <row r="40" spans="1:37" x14ac:dyDescent="0.25">
      <c r="A40" s="41">
        <v>23</v>
      </c>
      <c r="B40" t="s">
        <v>496</v>
      </c>
      <c r="C40" s="27">
        <v>40000</v>
      </c>
      <c r="D40" s="135">
        <f t="shared" si="0"/>
        <v>17940</v>
      </c>
      <c r="E40" s="3">
        <f t="shared" si="3"/>
        <v>22060</v>
      </c>
      <c r="F40" s="145">
        <f t="shared" si="4"/>
        <v>0.55149999999999999</v>
      </c>
      <c r="G40" s="41">
        <v>1</v>
      </c>
      <c r="H40" s="41">
        <v>0</v>
      </c>
      <c r="I40" s="41">
        <v>1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0</v>
      </c>
      <c r="W40" s="41">
        <v>0</v>
      </c>
      <c r="X40" s="41">
        <v>1</v>
      </c>
      <c r="Y40" s="41">
        <v>1</v>
      </c>
      <c r="Z40" s="41">
        <v>0</v>
      </c>
      <c r="AA40" s="41">
        <v>0</v>
      </c>
      <c r="AB40" s="41">
        <v>0</v>
      </c>
      <c r="AC40" s="41">
        <v>0</v>
      </c>
      <c r="AD40" s="41">
        <v>0</v>
      </c>
      <c r="AE40" s="41">
        <v>0</v>
      </c>
      <c r="AF40" s="41">
        <v>0</v>
      </c>
      <c r="AG40" s="41">
        <v>0</v>
      </c>
      <c r="AH40" s="41">
        <v>0</v>
      </c>
      <c r="AI40" s="41">
        <v>0</v>
      </c>
      <c r="AJ40" s="41"/>
      <c r="AK40" s="41"/>
    </row>
    <row r="41" spans="1:37" x14ac:dyDescent="0.25">
      <c r="A41" s="41">
        <v>21</v>
      </c>
      <c r="B41" t="s">
        <v>494</v>
      </c>
      <c r="C41" s="27">
        <v>48000</v>
      </c>
      <c r="D41" s="135">
        <f t="shared" si="0"/>
        <v>17940</v>
      </c>
      <c r="E41" s="3">
        <f t="shared" si="3"/>
        <v>30060</v>
      </c>
      <c r="F41" s="145">
        <f t="shared" si="4"/>
        <v>0.62624999999999997</v>
      </c>
      <c r="G41" s="41">
        <v>1</v>
      </c>
      <c r="H41" s="41">
        <v>0</v>
      </c>
      <c r="I41" s="41">
        <v>1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1</v>
      </c>
      <c r="Y41" s="41">
        <v>1</v>
      </c>
      <c r="Z41" s="41">
        <v>0</v>
      </c>
      <c r="AA41" s="41">
        <v>0</v>
      </c>
      <c r="AB41" s="41">
        <v>0</v>
      </c>
      <c r="AC41" s="41">
        <v>0</v>
      </c>
      <c r="AD41" s="41">
        <v>0</v>
      </c>
      <c r="AE41" s="41">
        <v>0</v>
      </c>
      <c r="AF41" s="41">
        <v>0</v>
      </c>
      <c r="AG41" s="41">
        <v>0</v>
      </c>
      <c r="AH41" s="41">
        <v>0</v>
      </c>
      <c r="AI41" s="41">
        <v>0</v>
      </c>
      <c r="AJ41" s="41"/>
      <c r="AK41" s="41"/>
    </row>
    <row r="42" spans="1:37" x14ac:dyDescent="0.25">
      <c r="A42" s="41">
        <v>43</v>
      </c>
      <c r="B42" t="s">
        <v>515</v>
      </c>
      <c r="C42" s="27">
        <v>50000</v>
      </c>
      <c r="D42" s="135">
        <f t="shared" si="0"/>
        <v>17940</v>
      </c>
      <c r="E42" s="3">
        <f t="shared" si="3"/>
        <v>32060</v>
      </c>
      <c r="F42" s="145">
        <f t="shared" si="4"/>
        <v>0.64119999999999999</v>
      </c>
      <c r="G42" s="41">
        <v>1</v>
      </c>
      <c r="H42" s="41">
        <v>0</v>
      </c>
      <c r="I42" s="41">
        <v>1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1</v>
      </c>
      <c r="Y42" s="41">
        <v>1</v>
      </c>
      <c r="Z42" s="41">
        <v>0</v>
      </c>
      <c r="AA42" s="41">
        <v>0</v>
      </c>
      <c r="AB42" s="41">
        <v>0</v>
      </c>
      <c r="AC42" s="41">
        <v>0</v>
      </c>
      <c r="AD42" s="41">
        <v>0</v>
      </c>
      <c r="AE42" s="41">
        <v>0</v>
      </c>
      <c r="AF42" s="41">
        <v>0</v>
      </c>
      <c r="AG42" s="41">
        <v>0</v>
      </c>
      <c r="AH42" s="41">
        <v>0</v>
      </c>
      <c r="AI42" s="41">
        <v>0</v>
      </c>
      <c r="AJ42" s="41"/>
      <c r="AK42" s="41"/>
    </row>
    <row r="43" spans="1:37" x14ac:dyDescent="0.25">
      <c r="A43" s="41">
        <v>32</v>
      </c>
      <c r="B43" t="s">
        <v>505</v>
      </c>
      <c r="C43" s="27">
        <v>60000</v>
      </c>
      <c r="D43" s="135">
        <f t="shared" si="0"/>
        <v>36940</v>
      </c>
      <c r="E43" s="3">
        <f t="shared" si="3"/>
        <v>23060</v>
      </c>
      <c r="F43" s="145">
        <f t="shared" si="4"/>
        <v>0.3843333333333333</v>
      </c>
      <c r="G43" s="41">
        <v>1</v>
      </c>
      <c r="H43" s="41">
        <v>0</v>
      </c>
      <c r="I43" s="41">
        <v>1</v>
      </c>
      <c r="J43" s="41">
        <v>1</v>
      </c>
      <c r="Q43" s="41">
        <v>0</v>
      </c>
      <c r="R43" s="41">
        <v>0</v>
      </c>
      <c r="S43" s="41">
        <v>0</v>
      </c>
      <c r="T43" s="41">
        <v>0</v>
      </c>
      <c r="U43" s="41">
        <v>0</v>
      </c>
      <c r="V43" s="41">
        <v>0</v>
      </c>
      <c r="W43" s="41">
        <v>0</v>
      </c>
      <c r="X43" s="41">
        <v>1</v>
      </c>
      <c r="Y43" s="41">
        <v>1</v>
      </c>
      <c r="Z43" s="41">
        <v>0</v>
      </c>
      <c r="AA43" s="41">
        <v>0</v>
      </c>
      <c r="AB43" s="41">
        <v>0</v>
      </c>
      <c r="AC43" s="41">
        <v>0</v>
      </c>
      <c r="AD43" s="41">
        <v>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/>
      <c r="AK43" s="41"/>
    </row>
    <row r="44" spans="1:37" x14ac:dyDescent="0.25">
      <c r="A44" s="41">
        <v>22</v>
      </c>
      <c r="B44" t="s">
        <v>495</v>
      </c>
      <c r="C44" s="27">
        <v>70000</v>
      </c>
      <c r="D44" s="135">
        <f t="shared" si="0"/>
        <v>36940</v>
      </c>
      <c r="E44" s="3">
        <f t="shared" si="3"/>
        <v>33060</v>
      </c>
      <c r="F44" s="145">
        <f t="shared" si="4"/>
        <v>0.47228571428571431</v>
      </c>
      <c r="G44" s="41">
        <v>1</v>
      </c>
      <c r="H44" s="41">
        <v>0</v>
      </c>
      <c r="I44" s="41">
        <v>1</v>
      </c>
      <c r="J44" s="41">
        <v>1</v>
      </c>
      <c r="Q44" s="41">
        <v>0</v>
      </c>
      <c r="R44" s="41">
        <v>0</v>
      </c>
      <c r="S44" s="41">
        <v>0</v>
      </c>
      <c r="T44" s="41">
        <v>0</v>
      </c>
      <c r="U44" s="41">
        <v>0</v>
      </c>
      <c r="V44" s="41">
        <v>0</v>
      </c>
      <c r="W44" s="41">
        <v>0</v>
      </c>
      <c r="X44" s="41">
        <v>1</v>
      </c>
      <c r="Y44" s="41">
        <v>1</v>
      </c>
      <c r="Z44" s="41">
        <v>0</v>
      </c>
      <c r="AA44" s="41">
        <v>0</v>
      </c>
      <c r="AB44" s="41">
        <v>0</v>
      </c>
      <c r="AC44" s="41">
        <v>0</v>
      </c>
      <c r="AD44" s="41">
        <v>0</v>
      </c>
      <c r="AE44" s="41">
        <v>0</v>
      </c>
      <c r="AF44" s="41">
        <v>0</v>
      </c>
      <c r="AG44" s="41">
        <v>0</v>
      </c>
      <c r="AH44" s="41">
        <v>0</v>
      </c>
      <c r="AI44" s="41">
        <v>0</v>
      </c>
      <c r="AJ44" s="41"/>
      <c r="AK44" s="41"/>
    </row>
    <row r="45" spans="1:37" x14ac:dyDescent="0.25">
      <c r="A45" s="41">
        <v>28</v>
      </c>
      <c r="B45" t="s">
        <v>501</v>
      </c>
      <c r="C45" s="27">
        <v>5000</v>
      </c>
      <c r="D45" s="135">
        <f t="shared" si="0"/>
        <v>0</v>
      </c>
      <c r="E45" s="3">
        <f t="shared" si="3"/>
        <v>5000</v>
      </c>
      <c r="F45" s="145">
        <f t="shared" si="4"/>
        <v>1</v>
      </c>
      <c r="G45" s="41">
        <v>0</v>
      </c>
      <c r="H45" s="41">
        <v>0</v>
      </c>
      <c r="Q45" s="41">
        <v>0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  <c r="Y45" s="41">
        <v>0</v>
      </c>
      <c r="Z45" s="41">
        <v>0</v>
      </c>
      <c r="AA45" s="41">
        <v>0</v>
      </c>
      <c r="AB45" s="41">
        <v>0</v>
      </c>
      <c r="AC45" s="41">
        <v>0</v>
      </c>
      <c r="AD45" s="41">
        <v>0</v>
      </c>
      <c r="AE45" s="41">
        <v>0</v>
      </c>
      <c r="AF45" s="41">
        <v>0</v>
      </c>
      <c r="AG45" s="41">
        <v>0</v>
      </c>
      <c r="AH45" s="41">
        <v>0</v>
      </c>
      <c r="AI45" s="41">
        <v>0</v>
      </c>
      <c r="AJ45" s="41"/>
      <c r="AK45" s="41"/>
    </row>
    <row r="46" spans="1:37" x14ac:dyDescent="0.25">
      <c r="A46" s="41">
        <v>20</v>
      </c>
      <c r="B46" t="s">
        <v>493</v>
      </c>
      <c r="C46" s="27">
        <v>2000</v>
      </c>
      <c r="D46" s="135">
        <f t="shared" si="0"/>
        <v>800</v>
      </c>
      <c r="E46" s="3">
        <f t="shared" si="3"/>
        <v>1200</v>
      </c>
      <c r="F46" s="145">
        <f t="shared" si="4"/>
        <v>0.6</v>
      </c>
      <c r="G46" s="41">
        <v>0</v>
      </c>
      <c r="H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1</v>
      </c>
      <c r="V46" s="41">
        <v>0</v>
      </c>
      <c r="W46" s="41">
        <v>0</v>
      </c>
      <c r="X46" s="41">
        <v>0</v>
      </c>
      <c r="Y46" s="41">
        <v>0</v>
      </c>
      <c r="Z46" s="41">
        <v>0</v>
      </c>
      <c r="AA46" s="41">
        <v>0</v>
      </c>
      <c r="AB46" s="41">
        <v>0</v>
      </c>
      <c r="AC46" s="41">
        <v>0</v>
      </c>
      <c r="AD46" s="41">
        <v>0</v>
      </c>
      <c r="AE46" s="41">
        <v>0</v>
      </c>
      <c r="AF46" s="41">
        <v>0</v>
      </c>
      <c r="AG46" s="41">
        <v>0</v>
      </c>
      <c r="AH46" s="41">
        <v>0</v>
      </c>
      <c r="AI46" s="41">
        <v>0</v>
      </c>
      <c r="AJ46" s="41"/>
      <c r="AK46" s="41"/>
    </row>
    <row r="47" spans="1:37" x14ac:dyDescent="0.25">
      <c r="A47" s="41">
        <v>47</v>
      </c>
      <c r="B47" t="s">
        <v>608</v>
      </c>
      <c r="C47" s="10">
        <v>3500</v>
      </c>
      <c r="D47" s="135">
        <f t="shared" si="0"/>
        <v>3500</v>
      </c>
      <c r="E47" s="3">
        <f t="shared" si="3"/>
        <v>0</v>
      </c>
      <c r="F47" s="145">
        <f t="shared" si="4"/>
        <v>0</v>
      </c>
      <c r="G47" s="41">
        <v>1</v>
      </c>
      <c r="H47" s="41">
        <v>0</v>
      </c>
      <c r="Q47" s="41">
        <v>0</v>
      </c>
      <c r="R47" s="41">
        <v>0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  <c r="Y47" s="41">
        <v>0</v>
      </c>
      <c r="Z47" s="41">
        <v>0</v>
      </c>
      <c r="AA47" s="41">
        <v>0</v>
      </c>
      <c r="AB47" s="41">
        <v>0</v>
      </c>
      <c r="AC47" s="41">
        <v>0</v>
      </c>
      <c r="AD47" s="41">
        <v>0</v>
      </c>
      <c r="AE47" s="41">
        <v>0</v>
      </c>
      <c r="AF47" s="41">
        <v>0</v>
      </c>
      <c r="AG47" s="41">
        <v>0</v>
      </c>
      <c r="AH47" s="41">
        <v>0</v>
      </c>
      <c r="AI47" s="41">
        <v>0</v>
      </c>
      <c r="AJ47" s="41"/>
      <c r="AK47" s="41"/>
    </row>
    <row r="48" spans="1:37" x14ac:dyDescent="0.25">
      <c r="A48" s="41">
        <v>17</v>
      </c>
      <c r="B48" t="s">
        <v>490</v>
      </c>
      <c r="C48" s="30">
        <v>4500</v>
      </c>
      <c r="D48" s="135">
        <f t="shared" si="0"/>
        <v>3500</v>
      </c>
      <c r="E48" s="3">
        <f t="shared" si="3"/>
        <v>1000</v>
      </c>
      <c r="F48" s="145">
        <f t="shared" si="4"/>
        <v>0.22222222222222221</v>
      </c>
      <c r="G48" s="41">
        <v>1</v>
      </c>
      <c r="H48" s="41">
        <v>0</v>
      </c>
      <c r="Q48" s="41">
        <v>0</v>
      </c>
      <c r="R48" s="41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1">
        <v>0</v>
      </c>
      <c r="Y48" s="41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1">
        <v>0</v>
      </c>
      <c r="AF48" s="41">
        <v>0</v>
      </c>
      <c r="AG48" s="41">
        <v>0</v>
      </c>
      <c r="AH48" s="41">
        <v>0</v>
      </c>
      <c r="AI48" s="41">
        <v>0</v>
      </c>
      <c r="AJ48" s="41"/>
      <c r="AK48" s="41"/>
    </row>
    <row r="49" spans="1:37" x14ac:dyDescent="0.25">
      <c r="A49" s="41">
        <v>25</v>
      </c>
      <c r="B49" t="s">
        <v>498</v>
      </c>
      <c r="C49" s="30">
        <v>5000</v>
      </c>
      <c r="D49" s="135">
        <f t="shared" si="0"/>
        <v>0</v>
      </c>
      <c r="E49" s="3">
        <f t="shared" si="3"/>
        <v>5000</v>
      </c>
      <c r="F49" s="145">
        <f t="shared" si="4"/>
        <v>1</v>
      </c>
      <c r="G49" s="41">
        <v>0</v>
      </c>
      <c r="H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  <c r="Y49" s="41">
        <v>0</v>
      </c>
      <c r="Z49" s="41">
        <v>0</v>
      </c>
      <c r="AA49" s="41">
        <v>0</v>
      </c>
      <c r="AB49" s="41">
        <v>0</v>
      </c>
      <c r="AC49" s="41">
        <v>0</v>
      </c>
      <c r="AD49" s="41">
        <v>0</v>
      </c>
      <c r="AE49" s="41">
        <v>0</v>
      </c>
      <c r="AF49" s="41">
        <v>0</v>
      </c>
      <c r="AG49" s="41">
        <v>0</v>
      </c>
      <c r="AH49" s="41">
        <v>0</v>
      </c>
      <c r="AI49" s="41">
        <v>0</v>
      </c>
      <c r="AJ49" s="41"/>
      <c r="AK49" s="41"/>
    </row>
    <row r="50" spans="1:37" x14ac:dyDescent="0.25">
      <c r="A50" s="41">
        <v>36</v>
      </c>
      <c r="B50" t="s">
        <v>508</v>
      </c>
      <c r="C50" s="30">
        <v>70000</v>
      </c>
      <c r="D50" s="135">
        <f t="shared" si="0"/>
        <v>0</v>
      </c>
      <c r="E50" s="3">
        <f t="shared" si="3"/>
        <v>70000</v>
      </c>
      <c r="F50" s="145">
        <f t="shared" si="4"/>
        <v>1</v>
      </c>
      <c r="G50" s="41">
        <v>0</v>
      </c>
      <c r="H50" s="41">
        <v>0</v>
      </c>
      <c r="Q50" s="41">
        <v>0</v>
      </c>
      <c r="R50" s="41">
        <v>0</v>
      </c>
      <c r="S50" s="41">
        <v>0</v>
      </c>
      <c r="T50" s="41">
        <v>0</v>
      </c>
      <c r="U50" s="41">
        <v>0</v>
      </c>
      <c r="V50" s="41">
        <v>0</v>
      </c>
      <c r="W50" s="41">
        <v>0</v>
      </c>
      <c r="X50" s="41">
        <v>0</v>
      </c>
      <c r="Y50" s="41">
        <v>0</v>
      </c>
      <c r="Z50" s="41">
        <v>0</v>
      </c>
      <c r="AA50" s="41">
        <v>0</v>
      </c>
      <c r="AB50" s="41">
        <v>0</v>
      </c>
      <c r="AC50" s="41">
        <v>0</v>
      </c>
      <c r="AD50" s="41">
        <v>0</v>
      </c>
      <c r="AE50" s="41">
        <v>0</v>
      </c>
      <c r="AF50" s="41">
        <v>0</v>
      </c>
      <c r="AG50" s="41">
        <v>0</v>
      </c>
      <c r="AH50" s="41">
        <v>0</v>
      </c>
      <c r="AI50" s="41">
        <v>0</v>
      </c>
      <c r="AJ50" s="41"/>
      <c r="AK50" s="41"/>
    </row>
    <row r="51" spans="1:37" x14ac:dyDescent="0.25">
      <c r="A51" s="41">
        <v>8</v>
      </c>
      <c r="B51" t="s">
        <v>482</v>
      </c>
      <c r="C51" s="30">
        <v>1000</v>
      </c>
      <c r="D51" s="135">
        <f t="shared" si="0"/>
        <v>0</v>
      </c>
      <c r="E51" s="3">
        <f t="shared" ref="E51" si="5">+C51-D51</f>
        <v>1000</v>
      </c>
      <c r="F51" s="145">
        <f t="shared" ref="F51" si="6">1-D51/C51</f>
        <v>1</v>
      </c>
      <c r="G51" s="41">
        <v>0</v>
      </c>
      <c r="H51" s="41">
        <v>0</v>
      </c>
      <c r="Q51" s="41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v>0</v>
      </c>
      <c r="AB51" s="41">
        <v>0</v>
      </c>
      <c r="AC51" s="41">
        <v>0</v>
      </c>
      <c r="AD51" s="41">
        <v>0</v>
      </c>
      <c r="AE51" s="41">
        <v>0</v>
      </c>
      <c r="AF51" s="41">
        <v>0</v>
      </c>
      <c r="AG51" s="41">
        <v>0</v>
      </c>
      <c r="AH51" s="41">
        <v>0</v>
      </c>
      <c r="AI51" s="41">
        <v>0</v>
      </c>
      <c r="AJ51" s="41"/>
      <c r="AK51" s="41"/>
    </row>
    <row r="52" spans="1:37" x14ac:dyDescent="0.25">
      <c r="X52" s="41">
        <v>1</v>
      </c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</row>
  </sheetData>
  <autoFilter ref="A3:AK52"/>
  <conditionalFormatting sqref="AA4:AK52 R4:Z51 G4:P51">
    <cfRule type="cellIs" dxfId="7" priority="4" operator="equal">
      <formula>1</formula>
    </cfRule>
  </conditionalFormatting>
  <conditionalFormatting sqref="Q4:Q51">
    <cfRule type="cellIs" dxfId="6" priority="3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I52">
    <cfRule type="cellIs" dxfId="4" priority="1" operator="equal"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440</v>
      </c>
      <c r="F5" t="s">
        <v>442</v>
      </c>
      <c r="G5" t="s">
        <v>443</v>
      </c>
      <c r="H5" t="s">
        <v>441</v>
      </c>
      <c r="I5" t="s">
        <v>444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328</v>
      </c>
      <c r="B1" t="s">
        <v>329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312</v>
      </c>
    </row>
    <row r="2" spans="1:5" x14ac:dyDescent="0.25">
      <c r="A2" t="s">
        <v>308</v>
      </c>
      <c r="B2">
        <v>10000</v>
      </c>
      <c r="C2">
        <f>+B2*4</f>
        <v>40000</v>
      </c>
    </row>
    <row r="3" spans="1:5" x14ac:dyDescent="0.25">
      <c r="A3" t="s">
        <v>309</v>
      </c>
    </row>
    <row r="4" spans="1:5" x14ac:dyDescent="0.25">
      <c r="A4" t="s">
        <v>310</v>
      </c>
    </row>
    <row r="5" spans="1:5" x14ac:dyDescent="0.25">
      <c r="A5" s="83" t="s">
        <v>311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312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406</v>
      </c>
      <c r="B17">
        <v>9000</v>
      </c>
      <c r="C17">
        <v>20</v>
      </c>
      <c r="D17">
        <f>+B17/C17</f>
        <v>450</v>
      </c>
      <c r="E17" t="s">
        <v>407</v>
      </c>
    </row>
    <row r="18" spans="1:5" x14ac:dyDescent="0.25">
      <c r="A18" t="s">
        <v>406</v>
      </c>
      <c r="B18">
        <v>8400</v>
      </c>
      <c r="C18">
        <v>20</v>
      </c>
      <c r="D18">
        <f>+B18/C18</f>
        <v>420</v>
      </c>
      <c r="E18" t="s">
        <v>407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325</v>
      </c>
      <c r="B12" s="1"/>
      <c r="C12" s="1" t="s">
        <v>313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316</v>
      </c>
      <c r="E2" t="s">
        <v>323</v>
      </c>
    </row>
    <row r="3" spans="2:7" x14ac:dyDescent="0.25">
      <c r="B3" t="s">
        <v>317</v>
      </c>
    </row>
    <row r="4" spans="2:7" x14ac:dyDescent="0.25">
      <c r="B4" t="s">
        <v>318</v>
      </c>
    </row>
    <row r="5" spans="2:7" x14ac:dyDescent="0.25">
      <c r="B5" t="s">
        <v>319</v>
      </c>
      <c r="D5">
        <v>7</v>
      </c>
      <c r="E5" t="s">
        <v>322</v>
      </c>
    </row>
    <row r="6" spans="2:7" x14ac:dyDescent="0.25">
      <c r="B6" s="24">
        <v>0</v>
      </c>
      <c r="C6" t="s">
        <v>321</v>
      </c>
      <c r="G6" t="s">
        <v>324</v>
      </c>
    </row>
    <row r="7" spans="2:7" x14ac:dyDescent="0.25">
      <c r="G7">
        <v>26</v>
      </c>
    </row>
    <row r="8" spans="2:7" x14ac:dyDescent="0.25">
      <c r="B8" t="s">
        <v>320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8"/>
  <sheetViews>
    <sheetView zoomScale="145" zoomScaleNormal="145" workbookViewId="0">
      <pane ySplit="2" topLeftCell="A24" activePane="bottomLeft" state="frozen"/>
      <selection pane="bottomLeft" activeCell="B30" sqref="B3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114040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368</v>
      </c>
      <c r="C24" s="58">
        <v>-100000</v>
      </c>
    </row>
    <row r="25" spans="1:4" x14ac:dyDescent="0.25">
      <c r="A25" s="2">
        <v>46124</v>
      </c>
      <c r="B25" t="s">
        <v>367</v>
      </c>
      <c r="C25" s="58">
        <v>23990</v>
      </c>
      <c r="D25" t="s">
        <v>366</v>
      </c>
    </row>
    <row r="26" spans="1:4" x14ac:dyDescent="0.25">
      <c r="A26" s="2">
        <v>46124</v>
      </c>
      <c r="B26" t="s">
        <v>369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  <row r="28" spans="1:4" x14ac:dyDescent="0.25">
      <c r="A28" s="2">
        <v>46137</v>
      </c>
      <c r="B28" s="70" t="s">
        <v>640</v>
      </c>
      <c r="C28" s="58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workbookViewId="0">
      <selection activeCell="A10" sqref="A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tr">
        <f>+IF(B1&gt;0,"Saldo a favor de papá","Saldo a favor a Edwin")</f>
        <v>Saldo a favor a Edwin</v>
      </c>
    </row>
    <row r="2" spans="1:7" x14ac:dyDescent="0.25">
      <c r="A2" t="s">
        <v>109</v>
      </c>
      <c r="B2" s="58">
        <v>1300000</v>
      </c>
      <c r="C2" t="s">
        <v>298</v>
      </c>
      <c r="F2" s="126">
        <v>1600</v>
      </c>
      <c r="G2" t="s">
        <v>585</v>
      </c>
    </row>
    <row r="3" spans="1:7" x14ac:dyDescent="0.25">
      <c r="A3" t="s">
        <v>291</v>
      </c>
      <c r="B3" s="58">
        <v>-1350000</v>
      </c>
      <c r="C3" t="s">
        <v>297</v>
      </c>
      <c r="F3" s="3">
        <v>3700000</v>
      </c>
      <c r="G3" t="s">
        <v>587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  <c r="G4" t="s">
        <v>588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 s="3">
        <v>3500</v>
      </c>
      <c r="G6" t="s">
        <v>586</v>
      </c>
    </row>
    <row r="7" spans="1:7" x14ac:dyDescent="0.25">
      <c r="A7" t="s">
        <v>295</v>
      </c>
      <c r="B7" s="58">
        <v>-30000</v>
      </c>
      <c r="C7" t="s">
        <v>297</v>
      </c>
      <c r="F7" s="3">
        <f>+F6*F2</f>
        <v>5600000</v>
      </c>
      <c r="G7" t="s">
        <v>589</v>
      </c>
    </row>
    <row r="8" spans="1:7" x14ac:dyDescent="0.25">
      <c r="A8" t="s">
        <v>296</v>
      </c>
      <c r="B8" s="69">
        <f>((550-185)*3500)/2</f>
        <v>638750</v>
      </c>
      <c r="C8" t="s">
        <v>297</v>
      </c>
      <c r="D8">
        <f>((550-185))</f>
        <v>365</v>
      </c>
      <c r="F8" s="29">
        <f>+F7-F3</f>
        <v>1900000</v>
      </c>
      <c r="G8" t="s">
        <v>590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B10" s="69"/>
      <c r="D10" t="s">
        <v>299</v>
      </c>
      <c r="E10" t="s">
        <v>0</v>
      </c>
      <c r="F10" s="3">
        <f>7000*F2</f>
        <v>11200000</v>
      </c>
      <c r="G10" t="s">
        <v>591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C6966FDC-54C0-4686-84FA-DB32BA1610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26</vt:i4>
      </vt:variant>
    </vt:vector>
  </HeadingPairs>
  <TitlesOfParts>
    <vt:vector size="26" baseType="lpstr">
      <vt:lpstr>chorizo</vt:lpstr>
      <vt:lpstr>choriboni</vt:lpstr>
      <vt:lpstr>16mar</vt:lpstr>
      <vt:lpstr>Arqueo de Caja</vt:lpstr>
      <vt:lpstr>Extracto</vt:lpstr>
      <vt:lpstr>21-mar</vt:lpstr>
      <vt:lpstr>25 marzo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2026-03-25T22:43:03Z</dcterms:modified>
</cp:coreProperties>
</file>