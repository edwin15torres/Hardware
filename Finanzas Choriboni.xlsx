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E3BE22D5-009E-4851-ACF6-946D17AB7FC6}" xr6:coauthVersionLast="47" xr6:coauthVersionMax="47" xr10:uidLastSave="{00000000-0000-0000-0000-000000000000}"/>
  <bookViews>
    <workbookView xWindow="20370" yWindow="-2070" windowWidth="21840" windowHeight="13140" tabRatio="780" firstSheet="1" activeTab="13" xr2:uid="{00000000-000D-0000-FFFF-FFFF00000000}"/>
  </bookViews>
  <sheets>
    <sheet name="chorizo" sheetId="3" state="hidden" r:id="rId1"/>
    <sheet name="choriboni" sheetId="4" r:id="rId2"/>
    <sheet name="maquina" sheetId="23" r:id="rId3"/>
    <sheet name="costeo" sheetId="41" state="hidden" r:id="rId4"/>
    <sheet name="Arqueo de Caja" sheetId="43" r:id="rId5"/>
    <sheet name="16mar" sheetId="34" state="hidden" r:id="rId6"/>
    <sheet name="Extracto" sheetId="10" r:id="rId7"/>
    <sheet name="Extracto (2)" sheetId="47" state="hidden" r:id="rId8"/>
    <sheet name="Prestamos" sheetId="12" r:id="rId9"/>
    <sheet name="Arqueo de Caja (2)" sheetId="46" state="hidden" r:id="rId10"/>
    <sheet name="25 marzo" sheetId="40" r:id="rId11"/>
    <sheet name="Gas" sheetId="32" state="hidden" r:id="rId12"/>
    <sheet name="Registros" sheetId="31" state="hidden" r:id="rId13"/>
    <sheet name="DevOps" sheetId="21" r:id="rId14"/>
    <sheet name="MP" sheetId="37" r:id="rId15"/>
    <sheet name="MP2" sheetId="38" r:id="rId16"/>
    <sheet name="Hoja2" sheetId="36" state="hidden" r:id="rId17"/>
    <sheet name="Clientes" sheetId="24" state="hidden" r:id="rId18"/>
    <sheet name="Empaques" sheetId="25" r:id="rId19"/>
    <sheet name="proveedores" sheetId="7" r:id="rId20"/>
    <sheet name="informe" sheetId="6" state="hidden" r:id="rId21"/>
    <sheet name="Costos" sheetId="8" state="hidden" r:id="rId22"/>
    <sheet name="Inventario" sheetId="27" state="hidden" r:id="rId23"/>
    <sheet name="Reporte" sheetId="11" r:id="rId24"/>
    <sheet name="Rappi" sheetId="26" r:id="rId25"/>
    <sheet name="7-MARZO" sheetId="22" state="hidden" r:id="rId26"/>
    <sheet name="Informe ventas" sheetId="13" state="hidden" r:id="rId27"/>
    <sheet name="historial de venta" sheetId="14" state="hidden" r:id="rId28"/>
  </sheets>
  <definedNames>
    <definedName name="_xlnm._FilterDatabase" localSheetId="1" hidden="1">choriboni!$C$23:$I$87</definedName>
    <definedName name="_xlnm._FilterDatabase" localSheetId="13" hidden="1">DevOps!$B$2:$F$43</definedName>
    <definedName name="_xlnm._FilterDatabase" localSheetId="6" hidden="1">Extracto!$A$5:$K$129</definedName>
    <definedName name="_xlnm._FilterDatabase" localSheetId="7" hidden="1">'Extracto (2)'!$A$5:$K$128</definedName>
    <definedName name="_xlnm._FilterDatabase" localSheetId="2" hidden="1">maquina!$C$6:$J$15</definedName>
    <definedName name="_xlnm._FilterDatabase" localSheetId="15" hidden="1">'MP2'!$A$3:$AK$52</definedName>
  </definedNames>
  <calcPr calcId="191029"/>
  <pivotCaches>
    <pivotCache cacheId="0" r:id="rId29"/>
    <pivotCache cacheId="1" r:id="rId30"/>
    <pivotCache cacheId="2" r:id="rId31"/>
    <pivotCache cacheId="3" r:id="rId32"/>
    <pivotCache cacheId="4" r:id="rId33"/>
    <pivotCache cacheId="5" r:id="rId3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4" l="1"/>
  <c r="D67" i="4"/>
  <c r="D64" i="4"/>
  <c r="G15" i="4"/>
  <c r="L15" i="4"/>
  <c r="M67" i="4"/>
  <c r="F22" i="23" s="1"/>
  <c r="E23" i="43"/>
  <c r="U21" i="43"/>
  <c r="K21" i="43"/>
  <c r="AW31" i="43"/>
  <c r="AU31" i="43" l="1"/>
  <c r="AK28" i="43"/>
  <c r="U28" i="43"/>
  <c r="S28" i="43"/>
  <c r="Q28" i="43"/>
  <c r="O28" i="43"/>
  <c r="M28" i="43"/>
  <c r="BA31" i="43"/>
  <c r="BA32" i="43"/>
  <c r="S30" i="43"/>
  <c r="D28" i="10"/>
  <c r="B28" i="10"/>
  <c r="S37" i="43"/>
  <c r="E30" i="43"/>
  <c r="C30" i="43"/>
  <c r="B47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D3" i="47" s="1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BI19" i="43"/>
  <c r="BA1" i="43"/>
  <c r="AY31" i="43"/>
  <c r="AW30" i="43"/>
  <c r="AU30" i="43"/>
  <c r="F2" i="34"/>
  <c r="F11" i="34"/>
  <c r="AS37" i="43"/>
  <c r="AS18" i="46"/>
  <c r="AO18" i="46"/>
  <c r="BA14" i="46"/>
  <c r="AY14" i="46"/>
  <c r="AW14" i="46"/>
  <c r="AY18" i="46" s="1"/>
  <c r="AY23" i="46" s="1"/>
  <c r="AY25" i="46" s="1"/>
  <c r="AU14" i="46"/>
  <c r="AS14" i="46"/>
  <c r="AQ21" i="43"/>
  <c r="AM28" i="43"/>
  <c r="AO28" i="43" s="1"/>
  <c r="AQ28" i="43" s="1"/>
  <c r="AS28" i="43" s="1"/>
  <c r="AU28" i="43" s="1"/>
  <c r="AW28" i="43" s="1"/>
  <c r="AY28" i="43" s="1"/>
  <c r="BA28" i="43" s="1"/>
  <c r="AI28" i="43"/>
  <c r="AK37" i="43"/>
  <c r="AG31" i="43"/>
  <c r="AG30" i="43"/>
  <c r="AG37" i="43"/>
  <c r="AC33" i="43"/>
  <c r="AC37" i="43"/>
  <c r="B63" i="10"/>
  <c r="B62" i="10"/>
  <c r="B61" i="10"/>
  <c r="B60" i="10"/>
  <c r="B59" i="10"/>
  <c r="AE27" i="43"/>
  <c r="AE37" i="43"/>
  <c r="AA37" i="43"/>
  <c r="Y2" i="43"/>
  <c r="Y37" i="43"/>
  <c r="Y28" i="43"/>
  <c r="AA28" i="43" s="1"/>
  <c r="Y25" i="43"/>
  <c r="Y1" i="43"/>
  <c r="Y17" i="43" s="1"/>
  <c r="W37" i="43"/>
  <c r="U18" i="46"/>
  <c r="O37" i="43"/>
  <c r="I14" i="43"/>
  <c r="K28" i="43"/>
  <c r="M22" i="43"/>
  <c r="U37" i="43"/>
  <c r="S25" i="46"/>
  <c r="Q37" i="43"/>
  <c r="BE40" i="46"/>
  <c r="BA40" i="46"/>
  <c r="BC40" i="46" s="1"/>
  <c r="BG40" i="46" s="1"/>
  <c r="BI40" i="46" s="1"/>
  <c r="BK40" i="46" s="1"/>
  <c r="AQ39" i="46"/>
  <c r="AM39" i="46"/>
  <c r="AK39" i="46"/>
  <c r="BK36" i="46"/>
  <c r="BI36" i="46"/>
  <c r="BE36" i="46"/>
  <c r="BC36" i="46"/>
  <c r="BA36" i="46"/>
  <c r="AY36" i="46"/>
  <c r="AW36" i="46"/>
  <c r="AS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M33" i="46"/>
  <c r="AG33" i="46"/>
  <c r="AG34" i="46" s="1"/>
  <c r="AI34" i="46" s="1"/>
  <c r="AK34" i="46" s="1"/>
  <c r="AE32" i="46"/>
  <c r="AG32" i="46" s="1"/>
  <c r="AI32" i="46" s="1"/>
  <c r="AK32" i="46" s="1"/>
  <c r="AM32" i="46" s="1"/>
  <c r="G32" i="46"/>
  <c r="I32" i="46" s="1"/>
  <c r="K32" i="46" s="1"/>
  <c r="M32" i="46" s="1"/>
  <c r="E32" i="46"/>
  <c r="C32" i="46"/>
  <c r="BI31" i="46"/>
  <c r="AY31" i="46"/>
  <c r="AU30" i="46"/>
  <c r="AU36" i="46" s="1"/>
  <c r="AQ30" i="46"/>
  <c r="AO30" i="46"/>
  <c r="AO32" i="46" s="1"/>
  <c r="AM30" i="46"/>
  <c r="AE30" i="46"/>
  <c r="C30" i="46"/>
  <c r="C36" i="46" s="1"/>
  <c r="AK27" i="46"/>
  <c r="AM27" i="46" s="1"/>
  <c r="AO27" i="46" s="1"/>
  <c r="AQ27" i="46" s="1"/>
  <c r="AS27" i="46" s="1"/>
  <c r="AU31" i="46" s="1"/>
  <c r="AI27" i="46"/>
  <c r="AG27" i="46"/>
  <c r="AE27" i="46"/>
  <c r="AE23" i="46"/>
  <c r="M23" i="46"/>
  <c r="M37" i="46" s="1"/>
  <c r="AI22" i="46"/>
  <c r="BA21" i="46"/>
  <c r="AY21" i="46"/>
  <c r="AW21" i="46"/>
  <c r="AO21" i="46"/>
  <c r="AM21" i="46"/>
  <c r="AI21" i="46"/>
  <c r="AG21" i="46"/>
  <c r="AA21" i="46"/>
  <c r="W21" i="46"/>
  <c r="U21" i="46"/>
  <c r="S21" i="46"/>
  <c r="M21" i="46"/>
  <c r="K21" i="46"/>
  <c r="I21" i="46"/>
  <c r="G21" i="46"/>
  <c r="C21" i="46"/>
  <c r="C23" i="46" s="1"/>
  <c r="BG20" i="46"/>
  <c r="BG36" i="46" s="1"/>
  <c r="AK20" i="46"/>
  <c r="BG19" i="46"/>
  <c r="AQ19" i="46"/>
  <c r="AW18" i="46"/>
  <c r="AW23" i="46" s="1"/>
  <c r="AO23" i="46"/>
  <c r="AG18" i="46"/>
  <c r="AG23" i="46" s="1"/>
  <c r="BK14" i="46"/>
  <c r="BE14" i="46"/>
  <c r="BC14" i="46"/>
  <c r="AO14" i="46"/>
  <c r="AQ18" i="46" s="1"/>
  <c r="AQ23" i="46" s="1"/>
  <c r="AS23" i="46" s="1"/>
  <c r="AM14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I3" i="46"/>
  <c r="BI14" i="46" s="1"/>
  <c r="BG3" i="46"/>
  <c r="BG14" i="46" s="1"/>
  <c r="BE3" i="46"/>
  <c r="BC3" i="46"/>
  <c r="BA3" i="46"/>
  <c r="AY3" i="46"/>
  <c r="AW3" i="46"/>
  <c r="AU3" i="46"/>
  <c r="AS3" i="46"/>
  <c r="AS25" i="46" s="1"/>
  <c r="AQ3" i="46"/>
  <c r="AQ14" i="46" s="1"/>
  <c r="AO3" i="46"/>
  <c r="AM3" i="46"/>
  <c r="AI3" i="46"/>
  <c r="AI14" i="46" s="1"/>
  <c r="AG3" i="46"/>
  <c r="AG14" i="46" s="1"/>
  <c r="AE3" i="46"/>
  <c r="AE14" i="46" s="1"/>
  <c r="AE25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E14" i="46" s="1"/>
  <c r="C3" i="46"/>
  <c r="C14" i="46" s="1"/>
  <c r="C25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M37" i="43"/>
  <c r="G21" i="43"/>
  <c r="C1" i="43"/>
  <c r="E1" i="43"/>
  <c r="G1" i="43"/>
  <c r="I1" i="43"/>
  <c r="K1" i="43"/>
  <c r="M1" i="43"/>
  <c r="K37" i="43"/>
  <c r="I37" i="43"/>
  <c r="G37" i="43"/>
  <c r="C35" i="43"/>
  <c r="E37" i="43"/>
  <c r="C37" i="43"/>
  <c r="BC41" i="43"/>
  <c r="BE41" i="43" s="1"/>
  <c r="BI41" i="43" s="1"/>
  <c r="BK41" i="43" s="1"/>
  <c r="BM41" i="43" s="1"/>
  <c r="AS40" i="43"/>
  <c r="AO40" i="43"/>
  <c r="AM40" i="43"/>
  <c r="BM37" i="43"/>
  <c r="BK37" i="43"/>
  <c r="BG37" i="43"/>
  <c r="BE37" i="43"/>
  <c r="BC37" i="43"/>
  <c r="BA37" i="43"/>
  <c r="AY37" i="43"/>
  <c r="AU33" i="43"/>
  <c r="AU37" i="43" s="1"/>
  <c r="AO33" i="43"/>
  <c r="AI33" i="43"/>
  <c r="AI35" i="43" s="1"/>
  <c r="AK35" i="43" s="1"/>
  <c r="AM35" i="43" s="1"/>
  <c r="BK31" i="43"/>
  <c r="AW37" i="43"/>
  <c r="AS30" i="43"/>
  <c r="AQ30" i="43"/>
  <c r="AQ37" i="43" s="1"/>
  <c r="AO30" i="43"/>
  <c r="AO37" i="43" s="1"/>
  <c r="AI27" i="43"/>
  <c r="AK27" i="43" s="1"/>
  <c r="AG27" i="43"/>
  <c r="AK22" i="43"/>
  <c r="BC21" i="43"/>
  <c r="BA21" i="43"/>
  <c r="AY21" i="43"/>
  <c r="AO21" i="43"/>
  <c r="AK21" i="43"/>
  <c r="AI21" i="43"/>
  <c r="AC21" i="43"/>
  <c r="W21" i="43"/>
  <c r="S21" i="43"/>
  <c r="M21" i="43"/>
  <c r="I21" i="43"/>
  <c r="C21" i="43"/>
  <c r="C23" i="43" s="1"/>
  <c r="E18" i="43" s="1"/>
  <c r="BI20" i="43"/>
  <c r="BI37" i="43" s="1"/>
  <c r="AM20" i="43"/>
  <c r="AM37" i="43" s="1"/>
  <c r="BI13" i="43"/>
  <c r="BC13" i="43"/>
  <c r="BA13" i="43"/>
  <c r="AY13" i="43"/>
  <c r="AW13" i="43"/>
  <c r="AU13" i="43"/>
  <c r="AQ13" i="43"/>
  <c r="AO13" i="43"/>
  <c r="AK13" i="43"/>
  <c r="AI13" i="43"/>
  <c r="AG13" i="43"/>
  <c r="AE13" i="43"/>
  <c r="AC13" i="43"/>
  <c r="AA13" i="43"/>
  <c r="W13" i="43"/>
  <c r="U13" i="43"/>
  <c r="Q13" i="43"/>
  <c r="M13" i="43"/>
  <c r="K13" i="43"/>
  <c r="I13" i="43"/>
  <c r="E13" i="43"/>
  <c r="C13" i="43"/>
  <c r="BI12" i="43"/>
  <c r="BC12" i="43"/>
  <c r="BA12" i="43"/>
  <c r="AY12" i="43"/>
  <c r="AW12" i="43"/>
  <c r="AU12" i="43"/>
  <c r="AQ12" i="43"/>
  <c r="AO12" i="43"/>
  <c r="AK12" i="43"/>
  <c r="AI12" i="43"/>
  <c r="AG12" i="43"/>
  <c r="AE12" i="43"/>
  <c r="AC12" i="43"/>
  <c r="AA12" i="43"/>
  <c r="W12" i="43"/>
  <c r="U12" i="43"/>
  <c r="Q12" i="43"/>
  <c r="M12" i="43"/>
  <c r="K12" i="43"/>
  <c r="I12" i="43"/>
  <c r="E12" i="43"/>
  <c r="C12" i="43"/>
  <c r="BI11" i="43"/>
  <c r="BC11" i="43"/>
  <c r="BA11" i="43"/>
  <c r="AY11" i="43"/>
  <c r="AW11" i="43"/>
  <c r="AU11" i="43"/>
  <c r="AQ11" i="43"/>
  <c r="AO11" i="43"/>
  <c r="AK11" i="43"/>
  <c r="AI11" i="43"/>
  <c r="AG11" i="43"/>
  <c r="AE11" i="43"/>
  <c r="AC11" i="43"/>
  <c r="AA11" i="43"/>
  <c r="W11" i="43"/>
  <c r="U11" i="43"/>
  <c r="Q11" i="43"/>
  <c r="M11" i="43"/>
  <c r="K11" i="43"/>
  <c r="I11" i="43"/>
  <c r="E11" i="43"/>
  <c r="C11" i="43"/>
  <c r="BI10" i="43"/>
  <c r="BC10" i="43"/>
  <c r="BA10" i="43"/>
  <c r="AY10" i="43"/>
  <c r="AW10" i="43"/>
  <c r="AU10" i="43"/>
  <c r="AQ10" i="43"/>
  <c r="AO10" i="43"/>
  <c r="AK10" i="43"/>
  <c r="AI10" i="43"/>
  <c r="AG10" i="43"/>
  <c r="AE10" i="43"/>
  <c r="AC10" i="43"/>
  <c r="AA10" i="43"/>
  <c r="W10" i="43"/>
  <c r="U10" i="43"/>
  <c r="Q10" i="43"/>
  <c r="M10" i="43"/>
  <c r="K10" i="43"/>
  <c r="I10" i="43"/>
  <c r="E10" i="43"/>
  <c r="C10" i="43"/>
  <c r="BI9" i="43"/>
  <c r="BC9" i="43"/>
  <c r="BA9" i="43"/>
  <c r="AY9" i="43"/>
  <c r="AW9" i="43"/>
  <c r="AU9" i="43"/>
  <c r="AQ9" i="43"/>
  <c r="AO9" i="43"/>
  <c r="AK9" i="43"/>
  <c r="AI9" i="43"/>
  <c r="AG9" i="43"/>
  <c r="AE9" i="43"/>
  <c r="AC9" i="43"/>
  <c r="AA9" i="43"/>
  <c r="W9" i="43"/>
  <c r="U9" i="43"/>
  <c r="Q9" i="43"/>
  <c r="M9" i="43"/>
  <c r="K9" i="43"/>
  <c r="I9" i="43"/>
  <c r="E9" i="43"/>
  <c r="C9" i="43"/>
  <c r="BI8" i="43"/>
  <c r="BC8" i="43"/>
  <c r="BA8" i="43"/>
  <c r="AY8" i="43"/>
  <c r="AW8" i="43"/>
  <c r="AU8" i="43"/>
  <c r="AQ8" i="43"/>
  <c r="AO8" i="43"/>
  <c r="AK8" i="43"/>
  <c r="AI8" i="43"/>
  <c r="AG8" i="43"/>
  <c r="AE8" i="43"/>
  <c r="AC8" i="43"/>
  <c r="AA8" i="43"/>
  <c r="W8" i="43"/>
  <c r="U8" i="43"/>
  <c r="Q8" i="43"/>
  <c r="M8" i="43"/>
  <c r="K8" i="43"/>
  <c r="I8" i="43"/>
  <c r="E8" i="43"/>
  <c r="C8" i="43"/>
  <c r="BI7" i="43"/>
  <c r="BC7" i="43"/>
  <c r="BA7" i="43"/>
  <c r="AY7" i="43"/>
  <c r="AW7" i="43"/>
  <c r="AU7" i="43"/>
  <c r="AQ7" i="43"/>
  <c r="AO7" i="43"/>
  <c r="AK7" i="43"/>
  <c r="AI7" i="43"/>
  <c r="AG7" i="43"/>
  <c r="AE7" i="43"/>
  <c r="AC7" i="43"/>
  <c r="AA7" i="43"/>
  <c r="W7" i="43"/>
  <c r="U7" i="43"/>
  <c r="Q7" i="43"/>
  <c r="M7" i="43"/>
  <c r="K7" i="43"/>
  <c r="I7" i="43"/>
  <c r="E7" i="43"/>
  <c r="C7" i="43"/>
  <c r="BI6" i="43"/>
  <c r="BC6" i="43"/>
  <c r="BA6" i="43"/>
  <c r="AY6" i="43"/>
  <c r="AW6" i="43"/>
  <c r="AU6" i="43"/>
  <c r="AQ6" i="43"/>
  <c r="AO6" i="43"/>
  <c r="AK6" i="43"/>
  <c r="AI6" i="43"/>
  <c r="AG6" i="43"/>
  <c r="AE6" i="43"/>
  <c r="AC6" i="43"/>
  <c r="AA6" i="43"/>
  <c r="W6" i="43"/>
  <c r="U6" i="43"/>
  <c r="Q6" i="43"/>
  <c r="M6" i="43"/>
  <c r="K6" i="43"/>
  <c r="I6" i="43"/>
  <c r="E6" i="43"/>
  <c r="C6" i="43"/>
  <c r="BI5" i="43"/>
  <c r="BC5" i="43"/>
  <c r="BA5" i="43"/>
  <c r="AY5" i="43"/>
  <c r="AW5" i="43"/>
  <c r="AU5" i="43"/>
  <c r="AQ5" i="43"/>
  <c r="AO5" i="43"/>
  <c r="AK5" i="43"/>
  <c r="AI5" i="43"/>
  <c r="AG5" i="43"/>
  <c r="AE5" i="43"/>
  <c r="AC5" i="43"/>
  <c r="AA5" i="43"/>
  <c r="W5" i="43"/>
  <c r="U5" i="43"/>
  <c r="Q5" i="43"/>
  <c r="M5" i="43"/>
  <c r="K5" i="43"/>
  <c r="I5" i="43"/>
  <c r="E5" i="43"/>
  <c r="C5" i="43"/>
  <c r="BI4" i="43"/>
  <c r="BC4" i="43"/>
  <c r="BA4" i="43"/>
  <c r="AY4" i="43"/>
  <c r="AW4" i="43"/>
  <c r="AU4" i="43"/>
  <c r="AQ4" i="43"/>
  <c r="AO4" i="43"/>
  <c r="AK4" i="43"/>
  <c r="AI4" i="43"/>
  <c r="AG4" i="43"/>
  <c r="AE4" i="43"/>
  <c r="AC4" i="43"/>
  <c r="AA4" i="43"/>
  <c r="W4" i="43"/>
  <c r="U4" i="43"/>
  <c r="Q4" i="43"/>
  <c r="M4" i="43"/>
  <c r="K4" i="43"/>
  <c r="I4" i="43"/>
  <c r="E4" i="43"/>
  <c r="C4" i="43"/>
  <c r="BI3" i="43"/>
  <c r="BC3" i="43"/>
  <c r="BA3" i="43"/>
  <c r="AY3" i="43"/>
  <c r="AW3" i="43"/>
  <c r="AU3" i="43"/>
  <c r="AQ3" i="43"/>
  <c r="AO3" i="43"/>
  <c r="AO14" i="43" s="1"/>
  <c r="AK3" i="43"/>
  <c r="AI3" i="43"/>
  <c r="AG3" i="43"/>
  <c r="AE3" i="43"/>
  <c r="Q3" i="43"/>
  <c r="M3" i="43"/>
  <c r="K3" i="43"/>
  <c r="I3" i="43"/>
  <c r="E3" i="43"/>
  <c r="C3" i="43"/>
  <c r="AS2" i="43"/>
  <c r="AU2" i="43" s="1"/>
  <c r="AW2" i="43" s="1"/>
  <c r="AQ1" i="43"/>
  <c r="AQ17" i="43" s="1"/>
  <c r="AO1" i="43"/>
  <c r="AO17" i="43" s="1"/>
  <c r="AM1" i="43"/>
  <c r="AM17" i="43" s="1"/>
  <c r="AK1" i="43"/>
  <c r="AK17" i="43" s="1"/>
  <c r="AI1" i="43"/>
  <c r="AI17" i="43" s="1"/>
  <c r="AG1" i="43"/>
  <c r="AG17" i="43" s="1"/>
  <c r="AE1" i="43"/>
  <c r="AE17" i="43" s="1"/>
  <c r="AC1" i="43"/>
  <c r="AC17" i="43" s="1"/>
  <c r="AA1" i="43"/>
  <c r="AA17" i="43" s="1"/>
  <c r="W1" i="43"/>
  <c r="W17" i="43" s="1"/>
  <c r="U1" i="43"/>
  <c r="U17" i="43" s="1"/>
  <c r="S1" i="43"/>
  <c r="S17" i="43" s="1"/>
  <c r="Q1" i="43"/>
  <c r="Q17" i="43" s="1"/>
  <c r="O1" i="43"/>
  <c r="O17" i="43" s="1"/>
  <c r="M71" i="4"/>
  <c r="F23" i="23" s="1"/>
  <c r="C23" i="23" s="1"/>
  <c r="M64" i="4"/>
  <c r="F21" i="23" s="1"/>
  <c r="C21" i="23" s="1"/>
  <c r="B129" i="10"/>
  <c r="B128" i="10"/>
  <c r="F19" i="23"/>
  <c r="C19" i="23" s="1"/>
  <c r="F18" i="23"/>
  <c r="C18" i="23" s="1"/>
  <c r="G19" i="23"/>
  <c r="G18" i="23"/>
  <c r="C20" i="23"/>
  <c r="B10" i="41"/>
  <c r="B11" i="41" s="1"/>
  <c r="B8" i="41"/>
  <c r="B7" i="41"/>
  <c r="B4" i="41"/>
  <c r="F17" i="23"/>
  <c r="C17" i="23" s="1"/>
  <c r="F16" i="23"/>
  <c r="C16" i="23" s="1"/>
  <c r="C7" i="23"/>
  <c r="D21" i="4"/>
  <c r="L64" i="4"/>
  <c r="D17" i="4"/>
  <c r="H4" i="4"/>
  <c r="I15" i="37"/>
  <c r="F15" i="37"/>
  <c r="J15" i="37" s="1"/>
  <c r="C8" i="23"/>
  <c r="C9" i="23"/>
  <c r="C12" i="23"/>
  <c r="D2" i="47" l="1"/>
  <c r="AI37" i="43"/>
  <c r="C32" i="43"/>
  <c r="AM27" i="43"/>
  <c r="C14" i="43"/>
  <c r="M14" i="43"/>
  <c r="AI14" i="43"/>
  <c r="BA14" i="43"/>
  <c r="BI14" i="43"/>
  <c r="AC14" i="43"/>
  <c r="E14" i="43"/>
  <c r="E25" i="43" s="1"/>
  <c r="Q14" i="43"/>
  <c r="AK14" i="43"/>
  <c r="AU14" i="43"/>
  <c r="BC14" i="43"/>
  <c r="U14" i="43"/>
  <c r="AS1" i="43"/>
  <c r="AS17" i="43" s="1"/>
  <c r="AW14" i="43"/>
  <c r="W14" i="43"/>
  <c r="AG14" i="43"/>
  <c r="AQ14" i="43"/>
  <c r="AY14" i="43"/>
  <c r="AA14" i="43"/>
  <c r="G18" i="43"/>
  <c r="BG41" i="43"/>
  <c r="AK18" i="46"/>
  <c r="AK23" i="46" s="1"/>
  <c r="AM18" i="46" s="1"/>
  <c r="AM23" i="46" s="1"/>
  <c r="AI25" i="46"/>
  <c r="BC18" i="46"/>
  <c r="BI25" i="46"/>
  <c r="AC18" i="46"/>
  <c r="AC23" i="46" s="1"/>
  <c r="AC25" i="46" s="1"/>
  <c r="AK25" i="46"/>
  <c r="BA18" i="46"/>
  <c r="AU2" i="46"/>
  <c r="AS1" i="46"/>
  <c r="AS17" i="46" s="1"/>
  <c r="AM25" i="46"/>
  <c r="M25" i="46"/>
  <c r="O18" i="46"/>
  <c r="AU18" i="46"/>
  <c r="AU23" i="46" s="1"/>
  <c r="AW37" i="46"/>
  <c r="AQ32" i="46"/>
  <c r="AS32" i="46" s="1"/>
  <c r="AU32" i="46" s="1"/>
  <c r="AW32" i="46" s="1"/>
  <c r="AY32" i="46" s="1"/>
  <c r="BA32" i="46" s="1"/>
  <c r="E25" i="46"/>
  <c r="AI18" i="46"/>
  <c r="AI23" i="46" s="1"/>
  <c r="AG25" i="46"/>
  <c r="AQ25" i="46"/>
  <c r="BI18" i="46"/>
  <c r="BI23" i="46" s="1"/>
  <c r="AA18" i="46"/>
  <c r="AA23" i="46" s="1"/>
  <c r="AA25" i="46" s="1"/>
  <c r="AU25" i="46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O25" i="46"/>
  <c r="AW25" i="46"/>
  <c r="AQ1" i="46"/>
  <c r="AQ17" i="46" s="1"/>
  <c r="M16" i="46"/>
  <c r="C38" i="43"/>
  <c r="E35" i="43"/>
  <c r="G35" i="43" s="1"/>
  <c r="I35" i="43" s="1"/>
  <c r="K35" i="43" s="1"/>
  <c r="M35" i="43" s="1"/>
  <c r="O35" i="43" s="1"/>
  <c r="Q35" i="43" s="1"/>
  <c r="S35" i="43" s="1"/>
  <c r="U35" i="43" s="1"/>
  <c r="W35" i="43" s="1"/>
  <c r="Y35" i="43" s="1"/>
  <c r="AA35" i="43" s="1"/>
  <c r="AC35" i="43" s="1"/>
  <c r="AE35" i="43" s="1"/>
  <c r="AO35" i="43"/>
  <c r="AQ35" i="43" s="1"/>
  <c r="AS35" i="43" s="1"/>
  <c r="AU35" i="43" s="1"/>
  <c r="AW35" i="43" s="1"/>
  <c r="AY35" i="43" s="1"/>
  <c r="BA35" i="43" s="1"/>
  <c r="BC35" i="43" s="1"/>
  <c r="AY2" i="43"/>
  <c r="AW1" i="43"/>
  <c r="AW17" i="43" s="1"/>
  <c r="C25" i="43"/>
  <c r="AU1" i="43"/>
  <c r="AU17" i="43" s="1"/>
  <c r="K15" i="37"/>
  <c r="E32" i="43" l="1"/>
  <c r="G32" i="43" s="1"/>
  <c r="I32" i="43" s="1"/>
  <c r="K32" i="43" s="1"/>
  <c r="M32" i="43" s="1"/>
  <c r="O32" i="43" s="1"/>
  <c r="Q32" i="43" s="1"/>
  <c r="S32" i="43" s="1"/>
  <c r="U32" i="43" s="1"/>
  <c r="W32" i="43" s="1"/>
  <c r="Y32" i="43" s="1"/>
  <c r="AA32" i="43" s="1"/>
  <c r="AC32" i="43" s="1"/>
  <c r="AE32" i="43" s="1"/>
  <c r="AG32" i="43" s="1"/>
  <c r="AI32" i="43" s="1"/>
  <c r="AK32" i="43" s="1"/>
  <c r="AM32" i="43" s="1"/>
  <c r="AO32" i="43" s="1"/>
  <c r="AQ32" i="43" s="1"/>
  <c r="AS32" i="43" s="1"/>
  <c r="AU32" i="43" s="1"/>
  <c r="AO27" i="43"/>
  <c r="AQ27" i="43" s="1"/>
  <c r="AS27" i="43" s="1"/>
  <c r="AU27" i="43" s="1"/>
  <c r="BA23" i="46"/>
  <c r="AG35" i="43"/>
  <c r="G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BI37" i="46"/>
  <c r="AS37" i="46"/>
  <c r="AW2" i="46"/>
  <c r="AU1" i="46"/>
  <c r="AU17" i="46" s="1"/>
  <c r="AM42" i="46"/>
  <c r="AU37" i="46"/>
  <c r="E38" i="43"/>
  <c r="BG35" i="43"/>
  <c r="BI35" i="43" s="1"/>
  <c r="BK35" i="43" s="1"/>
  <c r="BM35" i="43" s="1"/>
  <c r="BE35" i="43"/>
  <c r="BA2" i="43"/>
  <c r="AY1" i="43"/>
  <c r="AY17" i="43" s="1"/>
  <c r="B118" i="10"/>
  <c r="B123" i="10"/>
  <c r="B127" i="10"/>
  <c r="B124" i="10"/>
  <c r="B126" i="10"/>
  <c r="B125" i="10"/>
  <c r="C29" i="12"/>
  <c r="I23" i="37"/>
  <c r="I24" i="37" s="1"/>
  <c r="I21" i="37"/>
  <c r="F23" i="37"/>
  <c r="J23" i="37" s="1"/>
  <c r="B122" i="10"/>
  <c r="B121" i="10"/>
  <c r="B120" i="10"/>
  <c r="B119" i="10"/>
  <c r="B117" i="10"/>
  <c r="AW32" i="43" l="1"/>
  <c r="AY32" i="43" s="1"/>
  <c r="BC32" i="43" s="1"/>
  <c r="BG32" i="43" s="1"/>
  <c r="G14" i="43"/>
  <c r="G25" i="43" s="1"/>
  <c r="I18" i="43"/>
  <c r="I23" i="43" s="1"/>
  <c r="K18" i="43" s="1"/>
  <c r="K23" i="43" s="1"/>
  <c r="G38" i="43"/>
  <c r="O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BC2" i="43"/>
  <c r="BA17" i="43"/>
  <c r="K23" i="37"/>
  <c r="BE32" i="43" l="1"/>
  <c r="BI32" i="43"/>
  <c r="BK32" i="43" s="1"/>
  <c r="BM32" i="43" s="1"/>
  <c r="M18" i="43"/>
  <c r="I25" i="43"/>
  <c r="I38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BE2" i="43"/>
  <c r="BC1" i="43"/>
  <c r="BC17" i="43" s="1"/>
  <c r="D39" i="38"/>
  <c r="K14" i="43" l="1"/>
  <c r="K25" i="43" s="1"/>
  <c r="M23" i="43"/>
  <c r="K38" i="43"/>
  <c r="BC2" i="46"/>
  <c r="BA1" i="46"/>
  <c r="BA17" i="46" s="1"/>
  <c r="BG37" i="46"/>
  <c r="BG25" i="46"/>
  <c r="K37" i="46"/>
  <c r="K25" i="46"/>
  <c r="W18" i="46"/>
  <c r="U25" i="46"/>
  <c r="W19" i="46" s="1"/>
  <c r="BE1" i="43"/>
  <c r="BE17" i="43" s="1"/>
  <c r="BG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9" i="38"/>
  <c r="E9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6" i="37"/>
  <c r="J16" i="37" s="1"/>
  <c r="I16" i="37"/>
  <c r="I6" i="37"/>
  <c r="F6" i="23"/>
  <c r="F5" i="23" s="1"/>
  <c r="J17" i="37"/>
  <c r="I17" i="37"/>
  <c r="E10" i="23"/>
  <c r="E11" i="23"/>
  <c r="C11" i="23" s="1"/>
  <c r="E13" i="23"/>
  <c r="C13" i="23" s="1"/>
  <c r="E14" i="23"/>
  <c r="C14" i="23" s="1"/>
  <c r="P6" i="37"/>
  <c r="Q6" i="37"/>
  <c r="V9" i="37"/>
  <c r="V10" i="37"/>
  <c r="V8" i="37"/>
  <c r="V7" i="37"/>
  <c r="B99" i="10"/>
  <c r="B116" i="10"/>
  <c r="B115" i="10"/>
  <c r="B114" i="10"/>
  <c r="B113" i="10"/>
  <c r="M25" i="43" l="1"/>
  <c r="M38" i="43"/>
  <c r="O38" i="43" s="1"/>
  <c r="Q18" i="43"/>
  <c r="Q23" i="43" s="1"/>
  <c r="W23" i="46"/>
  <c r="BE2" i="46"/>
  <c r="BC1" i="46"/>
  <c r="BC17" i="46" s="1"/>
  <c r="BI2" i="43"/>
  <c r="BG1" i="43"/>
  <c r="BG17" i="43" s="1"/>
  <c r="E6" i="23"/>
  <c r="C10" i="23"/>
  <c r="K17" i="37"/>
  <c r="L17" i="37" s="1"/>
  <c r="M17" i="37" s="1"/>
  <c r="N17" i="37" s="1"/>
  <c r="K16" i="37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1" i="10"/>
  <c r="B110" i="10"/>
  <c r="B104" i="10"/>
  <c r="D111" i="10"/>
  <c r="B101" i="10"/>
  <c r="B108" i="10"/>
  <c r="B103" i="10"/>
  <c r="B105" i="10"/>
  <c r="B106" i="10"/>
  <c r="B107" i="10"/>
  <c r="B102" i="10"/>
  <c r="B109" i="10"/>
  <c r="B112" i="10"/>
  <c r="B100" i="10"/>
  <c r="S18" i="43" l="1"/>
  <c r="S23" i="43" s="1"/>
  <c r="Q25" i="43"/>
  <c r="Q38" i="43"/>
  <c r="BG2" i="46"/>
  <c r="BE1" i="46"/>
  <c r="BE17" i="46" s="1"/>
  <c r="Y18" i="46"/>
  <c r="Y23" i="46" s="1"/>
  <c r="Y25" i="46" s="1"/>
  <c r="W25" i="46"/>
  <c r="BK2" i="43"/>
  <c r="BI1" i="43"/>
  <c r="BI17" i="43" s="1"/>
  <c r="U18" i="43" l="1"/>
  <c r="S14" i="43"/>
  <c r="S25" i="43" s="1"/>
  <c r="S38" i="43"/>
  <c r="BI2" i="46"/>
  <c r="BG1" i="46"/>
  <c r="BG17" i="46" s="1"/>
  <c r="BM2" i="43"/>
  <c r="BM1" i="43" s="1"/>
  <c r="BM17" i="43" s="1"/>
  <c r="BK1" i="43"/>
  <c r="BK17" i="43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20" i="37"/>
  <c r="J20" i="37"/>
  <c r="J21" i="37"/>
  <c r="I19" i="37"/>
  <c r="J19" i="37"/>
  <c r="Q17" i="37"/>
  <c r="J18" i="37"/>
  <c r="Q18" i="37" s="1"/>
  <c r="I18" i="37"/>
  <c r="U23" i="43" l="1"/>
  <c r="U25" i="43" s="1"/>
  <c r="BK2" i="46"/>
  <c r="BK1" i="46" s="1"/>
  <c r="BK17" i="46" s="1"/>
  <c r="BI1" i="46"/>
  <c r="BI17" i="46" s="1"/>
  <c r="Q19" i="37"/>
  <c r="Q20" i="37"/>
  <c r="Q21" i="37"/>
  <c r="K20" i="37"/>
  <c r="L20" i="37" s="1"/>
  <c r="M20" i="37" s="1"/>
  <c r="N20" i="37" s="1"/>
  <c r="K18" i="37"/>
  <c r="L18" i="37" s="1"/>
  <c r="M18" i="37" s="1"/>
  <c r="N18" i="37" s="1"/>
  <c r="K21" i="37"/>
  <c r="L21" i="37" s="1"/>
  <c r="M21" i="37" s="1"/>
  <c r="N21" i="37" s="1"/>
  <c r="K7" i="37"/>
  <c r="K8" i="37"/>
  <c r="K10" i="37"/>
  <c r="K9" i="37"/>
  <c r="P9" i="37" s="1"/>
  <c r="K19" i="37"/>
  <c r="L19" i="37" s="1"/>
  <c r="M19" i="37" s="1"/>
  <c r="N19" i="37" s="1"/>
  <c r="W18" i="43" l="1"/>
  <c r="W23" i="43" s="1"/>
  <c r="W25" i="43" s="1"/>
  <c r="U38" i="43"/>
  <c r="P17" i="37"/>
  <c r="S17" i="37"/>
  <c r="P21" i="37"/>
  <c r="S21" i="37"/>
  <c r="P18" i="37"/>
  <c r="S18" i="37"/>
  <c r="P19" i="37"/>
  <c r="S19" i="37"/>
  <c r="P20" i="37"/>
  <c r="S20" i="37"/>
  <c r="P7" i="37"/>
  <c r="S7" i="37"/>
  <c r="S9" i="37"/>
  <c r="P10" i="37"/>
  <c r="S10" i="37"/>
  <c r="P8" i="37"/>
  <c r="S8" i="37"/>
  <c r="W10" i="37"/>
  <c r="W8" i="37"/>
  <c r="W7" i="37"/>
  <c r="W9" i="37"/>
  <c r="B94" i="10"/>
  <c r="B98" i="10"/>
  <c r="B97" i="10"/>
  <c r="B96" i="10"/>
  <c r="B95" i="10"/>
  <c r="D93" i="10"/>
  <c r="B93" i="10"/>
  <c r="B92" i="10"/>
  <c r="W38" i="43" l="1"/>
  <c r="Y38" i="43" s="1"/>
  <c r="AA18" i="43"/>
  <c r="AA23" i="43" s="1"/>
  <c r="AC18" i="43" s="1"/>
  <c r="AC23" i="43" s="1"/>
  <c r="S22" i="37"/>
  <c r="S27" i="37" s="1"/>
  <c r="Y9" i="37"/>
  <c r="F6" i="36"/>
  <c r="G6" i="36" s="1"/>
  <c r="D6" i="36"/>
  <c r="I6" i="36" s="1"/>
  <c r="C6" i="36"/>
  <c r="H6" i="36" s="1"/>
  <c r="B88" i="10"/>
  <c r="D89" i="10"/>
  <c r="I13" i="34"/>
  <c r="B91" i="10"/>
  <c r="B90" i="10"/>
  <c r="B86" i="10"/>
  <c r="AA38" i="43" l="1"/>
  <c r="AA25" i="43"/>
  <c r="AE18" i="43"/>
  <c r="AC25" i="43"/>
  <c r="AE19" i="43" s="1"/>
  <c r="AC38" i="43"/>
  <c r="J6" i="36"/>
  <c r="J7" i="36"/>
  <c r="J9" i="36" s="1"/>
  <c r="AE23" i="43" l="1"/>
  <c r="D85" i="10"/>
  <c r="D1" i="10" s="1"/>
  <c r="BO32" i="43" s="1"/>
  <c r="K7" i="34"/>
  <c r="B85" i="10"/>
  <c r="B80" i="10"/>
  <c r="B79" i="10"/>
  <c r="B84" i="10"/>
  <c r="B83" i="10"/>
  <c r="B82" i="10"/>
  <c r="B81" i="10"/>
  <c r="B78" i="10"/>
  <c r="B77" i="10"/>
  <c r="B76" i="10"/>
  <c r="B75" i="10"/>
  <c r="AE14" i="43" l="1"/>
  <c r="AE25" i="43" s="1"/>
  <c r="AG18" i="43"/>
  <c r="AG23" i="43" s="1"/>
  <c r="AE38" i="43"/>
  <c r="G18" i="34"/>
  <c r="I7" i="34"/>
  <c r="I5" i="34"/>
  <c r="AI18" i="43" l="1"/>
  <c r="AI23" i="43" s="1"/>
  <c r="AK18" i="43" s="1"/>
  <c r="AG38" i="43"/>
  <c r="AG25" i="43"/>
  <c r="AI25" i="43" l="1"/>
  <c r="AK23" i="43"/>
  <c r="AM18" i="43" s="1"/>
  <c r="AM23" i="43" s="1"/>
  <c r="AI38" i="43"/>
  <c r="D4" i="34"/>
  <c r="D2" i="34" s="1"/>
  <c r="AM38" i="43" l="1"/>
  <c r="AM14" i="43"/>
  <c r="AM25" i="43" s="1"/>
  <c r="AO18" i="43"/>
  <c r="AO23" i="43" s="1"/>
  <c r="AK25" i="43"/>
  <c r="AK38" i="43"/>
  <c r="C15" i="32"/>
  <c r="D13" i="32"/>
  <c r="D18" i="25"/>
  <c r="D17" i="25"/>
  <c r="E6" i="32"/>
  <c r="E7" i="32" s="1"/>
  <c r="B4" i="32"/>
  <c r="B5" i="32" s="1"/>
  <c r="A3" i="32"/>
  <c r="AO25" i="43" l="1"/>
  <c r="AQ19" i="43" s="1"/>
  <c r="AO43" i="43"/>
  <c r="AO38" i="43"/>
  <c r="AQ18" i="43"/>
  <c r="B74" i="10"/>
  <c r="B73" i="10"/>
  <c r="B72" i="10"/>
  <c r="B71" i="10"/>
  <c r="B70" i="10"/>
  <c r="AQ23" i="43" l="1"/>
  <c r="AS18" i="43" s="1"/>
  <c r="AS23" i="43" s="1"/>
  <c r="AU18" i="43" s="1"/>
  <c r="AU23" i="43" s="1"/>
  <c r="E2" i="31"/>
  <c r="C9" i="31"/>
  <c r="C10" i="31"/>
  <c r="C7" i="31"/>
  <c r="E27" i="31"/>
  <c r="AU38" i="43" l="1"/>
  <c r="AW18" i="43"/>
  <c r="AW23" i="43" s="1"/>
  <c r="AU25" i="43"/>
  <c r="AQ38" i="43"/>
  <c r="AQ25" i="43"/>
  <c r="AS14" i="43"/>
  <c r="AS25" i="43" s="1"/>
  <c r="AU16" i="43"/>
  <c r="AS38" i="43"/>
  <c r="C13" i="31"/>
  <c r="B89" i="10"/>
  <c r="B69" i="10"/>
  <c r="B68" i="10"/>
  <c r="B67" i="10"/>
  <c r="B66" i="10"/>
  <c r="B87" i="10"/>
  <c r="C1" i="27"/>
  <c r="AW38" i="43" l="1"/>
  <c r="AW25" i="43"/>
  <c r="AY18" i="43"/>
  <c r="AY23" i="43" s="1"/>
  <c r="G6" i="32"/>
  <c r="H6" i="32" s="1"/>
  <c r="B65" i="10"/>
  <c r="B64" i="10"/>
  <c r="B58" i="10"/>
  <c r="B57" i="10"/>
  <c r="B56" i="10"/>
  <c r="B55" i="10"/>
  <c r="B54" i="10"/>
  <c r="B53" i="10"/>
  <c r="B52" i="10"/>
  <c r="B51" i="10"/>
  <c r="B50" i="10"/>
  <c r="AY38" i="43" l="1"/>
  <c r="BA18" i="43"/>
  <c r="BA23" i="43" s="1"/>
  <c r="AY25" i="43"/>
  <c r="G11" i="26"/>
  <c r="D9" i="26"/>
  <c r="BA25" i="43" l="1"/>
  <c r="BC18" i="43"/>
  <c r="BC23" i="43" s="1"/>
  <c r="BA38" i="43"/>
  <c r="B49" i="10"/>
  <c r="B46" i="10"/>
  <c r="B45" i="10"/>
  <c r="B44" i="10"/>
  <c r="B43" i="10"/>
  <c r="B48" i="10"/>
  <c r="B42" i="10"/>
  <c r="B41" i="10"/>
  <c r="BC38" i="43" l="1"/>
  <c r="BC25" i="43"/>
  <c r="BE18" i="43"/>
  <c r="E6" i="25"/>
  <c r="C2" i="25"/>
  <c r="BG18" i="43" l="1"/>
  <c r="BG23" i="43" s="1"/>
  <c r="BE23" i="43"/>
  <c r="BE14" i="43" s="1"/>
  <c r="C23" i="12"/>
  <c r="F22" i="22"/>
  <c r="F12" i="22"/>
  <c r="G16" i="22"/>
  <c r="F15" i="22"/>
  <c r="F14" i="22"/>
  <c r="F13" i="22"/>
  <c r="F11" i="22"/>
  <c r="F10" i="22"/>
  <c r="F5" i="22"/>
  <c r="BI18" i="43" l="1"/>
  <c r="BG14" i="43"/>
  <c r="BG25" i="43" s="1"/>
  <c r="BG38" i="43"/>
  <c r="BE38" i="43"/>
  <c r="BE25" i="43"/>
  <c r="F1" i="22"/>
  <c r="E5" i="23"/>
  <c r="N40" i="10"/>
  <c r="B40" i="10"/>
  <c r="B39" i="10"/>
  <c r="B38" i="10"/>
  <c r="B37" i="10"/>
  <c r="B36" i="10"/>
  <c r="B35" i="10"/>
  <c r="B34" i="10"/>
  <c r="B33" i="10"/>
  <c r="B32" i="10"/>
  <c r="B31" i="10"/>
  <c r="N35" i="10"/>
  <c r="BE15" i="43" l="1"/>
  <c r="BC16" i="43" s="1"/>
  <c r="BI23" i="43"/>
  <c r="H1" i="22"/>
  <c r="I1" i="22" s="1"/>
  <c r="BI38" i="43" l="1"/>
  <c r="BI25" i="43"/>
  <c r="BK18" i="43"/>
  <c r="BK23" i="43" s="1"/>
  <c r="BK14" i="43" s="1"/>
  <c r="N39" i="10"/>
  <c r="BK25" i="43" l="1"/>
  <c r="BK38" i="43"/>
  <c r="BM18" i="43"/>
  <c r="BM23" i="43" s="1"/>
  <c r="B29" i="10"/>
  <c r="B30" i="10"/>
  <c r="B27" i="10"/>
  <c r="B26" i="10"/>
  <c r="D26" i="10"/>
  <c r="C9" i="12"/>
  <c r="C1" i="12" s="1"/>
  <c r="BM14" i="43" l="1"/>
  <c r="BM25" i="43" s="1"/>
  <c r="A1" i="43"/>
  <c r="BM38" i="43"/>
  <c r="D2" i="10"/>
  <c r="D3" i="10"/>
  <c r="D8" i="11" l="1"/>
  <c r="E8" i="11" s="1"/>
  <c r="D9" i="11"/>
  <c r="E9" i="11" s="1"/>
  <c r="B23" i="10"/>
  <c r="B24" i="10"/>
  <c r="B25" i="10"/>
  <c r="B22" i="10" l="1"/>
  <c r="E7" i="11" l="1"/>
  <c r="E6" i="11"/>
  <c r="B21" i="10"/>
  <c r="B20" i="10"/>
  <c r="B19" i="10"/>
  <c r="B18" i="10"/>
  <c r="N6" i="13" l="1"/>
  <c r="G68" i="14" l="1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N36" i="10" l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E2" i="11" l="1"/>
  <c r="F7" i="8" l="1"/>
  <c r="F6" i="8"/>
  <c r="F5" i="8"/>
  <c r="F4" i="8"/>
  <c r="D5" i="8"/>
  <c r="D6" i="8"/>
  <c r="D7" i="8"/>
  <c r="D4" i="8"/>
  <c r="D78" i="4"/>
  <c r="H6" i="4" s="1"/>
  <c r="D9" i="8" l="1"/>
  <c r="D47" i="4"/>
  <c r="D46" i="4"/>
  <c r="D37" i="4"/>
  <c r="D45" i="4"/>
  <c r="H5" i="4" s="1"/>
  <c r="D25" i="4"/>
  <c r="D26" i="4"/>
  <c r="D60" i="4"/>
  <c r="D61" i="4"/>
  <c r="D49" i="4"/>
  <c r="D24" i="4"/>
  <c r="H3" i="4" l="1"/>
  <c r="H7" i="4" s="1"/>
  <c r="D32" i="4"/>
  <c r="D19" i="4" l="1"/>
  <c r="D3" i="4"/>
  <c r="D4" i="4"/>
  <c r="D5" i="4" l="1"/>
  <c r="D7" i="4" s="1"/>
  <c r="F15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F15" authorId="0" shapeId="0" xr:uid="{D9DE7FBE-76E9-476F-AFF5-AC35E79B893F}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 xr:uid="{00FF4BAA-DF90-4D70-B6D5-D49C763602F7}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4" authorId="1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5" authorId="0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26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26" authorId="0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0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2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3" authorId="0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5" authorId="1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5" authorId="0" shapeId="0" xr:uid="{7852E878-695C-4C5D-971E-A81D8B42EC6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3" authorId="0" shapeId="0" xr:uid="{C5AFF784-F825-4571-AAF4-D4B6B421C4E7}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00000000-0006-0000-1700-000001000000}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DE792E9D-A87F-45DD-A5F3-448C6277492A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K14" authorId="0" shapeId="0" xr:uid="{9829C9D9-B469-40DB-AA92-FE3A6BF1BF1B}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E19" authorId="0" shapeId="0" xr:uid="{FC823913-4D17-4C2D-8F4B-BA2744D15F4B}">
      <text>
        <r>
          <rPr>
            <sz val="9"/>
            <color indexed="81"/>
            <rFont val="Tahoma"/>
            <family val="2"/>
          </rPr>
          <t>AJUSTE CONTABLE</t>
        </r>
      </text>
    </comment>
    <comment ref="I19" authorId="0" shapeId="0" xr:uid="{55278351-0132-458F-917A-E18B1BB002F5}">
      <text>
        <r>
          <rPr>
            <sz val="9"/>
            <color indexed="81"/>
            <rFont val="Tahoma"/>
            <family val="2"/>
          </rPr>
          <t>AJUSTE CONTABLE</t>
        </r>
      </text>
    </comment>
    <comment ref="K19" authorId="0" shapeId="0" xr:uid="{1CDAA5D2-F9F7-48EF-A375-CC7F8B856F4E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E19" authorId="0" shapeId="0" xr:uid="{8D8754D0-E6A0-44B3-B37C-96DE3A9BB106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Q19" authorId="0" shapeId="0" xr:uid="{E1861E22-CA25-436E-A217-BD2B3C7907CD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U19" authorId="0" shapeId="0" xr:uid="{7AB789EB-F501-40C0-96EA-3BD0465F2C55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I19" authorId="0" shapeId="0" xr:uid="{2D2C4E27-6525-449E-9DAC-438E231C585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C21" authorId="0" shapeId="0" xr:uid="{D4162FD4-C6FB-419C-B16B-E115C337A8B7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20FCAAF1-CDC9-47DF-A22C-231E35C6437A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A054D165-DA19-4AFE-B9A6-61ADF99CF2D4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 xr:uid="{09AFE7AA-BA5E-453A-9B98-D3F8EAB46BD2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6FE99D12-45B8-411F-84EB-7BCE861E9EB4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DB32389F-5F01-4182-9B6A-9E60674A79C8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C21" authorId="0" shapeId="0" xr:uid="{1465F1AB-602F-4EDB-8AAB-63FFD52E886A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I21" authorId="1" shapeId="0" xr:uid="{91391AC7-746F-4ADA-9956-33CAC58790A0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O21" authorId="1" shapeId="0" xr:uid="{B771BF3D-2DDE-4419-8F9D-9883593FAFD7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BA21" authorId="0" shapeId="0" xr:uid="{81417FC1-69B7-4890-ADB1-7F79268F4F2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C21" authorId="0" shapeId="0" xr:uid="{936166A0-A219-4034-BE79-AD466D12A3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I21" authorId="1" shapeId="0" xr:uid="{D5C33F5E-52DB-4EB9-B6FE-7108B2557ED8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M21" authorId="1" shapeId="0" xr:uid="{DFC43C57-54F2-4E84-B23F-CD379766F547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K22" authorId="0" shapeId="0" xr:uid="{F5D20CBB-73E5-4076-9D50-1F44F9EF8FD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M22" authorId="0" shapeId="0" xr:uid="{21B5ECD0-499E-4C2A-A661-B54B1AB14C1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U22" authorId="0" shapeId="0" xr:uid="{1DF7350B-1C8C-425D-9C43-8F93CC38485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Pago saldo Pendiente
Reposición de prestamos a JG</t>
        </r>
      </text>
    </comment>
    <comment ref="AC22" authorId="0" shapeId="0" xr:uid="{E2175EC1-7998-403A-BCB5-547119237B9C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K22" authorId="0" shapeId="0" xr:uid="{CFBBB4BA-AFD9-4CF2-A1B0-B19F3ECC0D8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Pago saldo Pendiente
Reposición de prestamos a JG</t>
        </r>
      </text>
    </comment>
    <comment ref="AU22" authorId="0" shapeId="0" xr:uid="{3D0850B1-6C7D-4BE9-95E1-5AB374D9BE63}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25" authorId="0" shapeId="0" xr:uid="{1FF9CFEC-49AC-414C-BEA3-B207877AA628}">
      <text>
        <r>
          <rPr>
            <b/>
            <sz val="9"/>
            <color indexed="81"/>
            <rFont val="Tahoma"/>
            <family val="2"/>
          </rPr>
          <t xml:space="preserve">ADMIN:'
</t>
        </r>
        <r>
          <rPr>
            <sz val="9"/>
            <color indexed="81"/>
            <rFont val="Tahoma"/>
            <family val="2"/>
          </rPr>
          <t>Último día de trabajo de Dayana</t>
        </r>
      </text>
    </comment>
    <comment ref="AG27" authorId="0" shapeId="0" xr:uid="{3A439467-715B-49A2-BECE-57745BDBC7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AQ27" authorId="1" shapeId="0" xr:uid="{5D731896-C977-4A26-B0C1-5A47B3043736}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U28" authorId="0" shapeId="0" xr:uid="{EC8FB836-182F-44E7-82AC-2D50B7C873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AK28" authorId="0" shapeId="0" xr:uid="{3C5681EF-A0CC-438B-89C9-78ADC974E9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AO30" authorId="0" shapeId="0" xr:uid="{47B2A668-4A37-49E0-8B17-1EB408197615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U30" authorId="0" shapeId="0" xr:uid="{EFBC055D-38E2-4C4F-A2C6-14C04DA3AE4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AW30" authorId="0" shapeId="0" xr:uid="{69C251A7-87E8-4136-9943-1794099CCA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0" authorId="1" shapeId="0" xr:uid="{8AB82DCF-0AAB-4E6E-BE68-DD8463AEAC1C}">
      <text>
        <r>
          <rPr>
            <sz val="9"/>
            <color indexed="81"/>
            <rFont val="Tahoma"/>
            <family val="2"/>
          </rPr>
          <t>127.000 
arqueo</t>
        </r>
      </text>
    </comment>
    <comment ref="M31" authorId="0" shapeId="0" xr:uid="{D3052B0D-8D05-44D6-AF39-EDE39F00CE4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AG31" authorId="0" shapeId="0" xr:uid="{A8D57DC5-7A7D-4716-8A8C-060EC958EDEB}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AU31" authorId="0" shapeId="0" xr:uid="{0398EFEC-CB7E-451E-ACCE-179EC2B499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BK31" authorId="0" shapeId="0" xr:uid="{6C696C46-6EF2-4279-B964-50E82FA78D1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cerveza y aguacate</t>
        </r>
      </text>
    </comment>
    <comment ref="AW32" authorId="0" shapeId="0" xr:uid="{F0199CD9-9FE9-4163-AEC4-E5BF3BA8D96A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32" authorId="0" shapeId="0" xr:uid="{43496E8D-17D7-487B-B1F7-2A1ABC82AEF9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C34" authorId="0" shapeId="0" xr:uid="{DCEA5AED-8FEF-41B3-BC6C-634D9E3098E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AE34" authorId="0" shapeId="0" xr:uid="{437531DA-CBF5-4E03-9145-794B8A62FE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S35" authorId="0" shapeId="0" xr:uid="{BECE8E28-EFB7-4315-9787-899F005935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BA41" authorId="0" shapeId="0" xr:uid="{B1580570-697C-42CA-AF21-73D3A10E2348}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I87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88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89" authorId="0" shapeId="0" xr:uid="{00000000-0006-0000-0400-000003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92" authorId="0" shapeId="0" xr:uid="{00000000-0006-0000-0400-000004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I86" authorId="0" shapeId="0" xr:uid="{FAA027BA-3C4B-4920-A3B3-166DE8B4BC4B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87" authorId="0" shapeId="0" xr:uid="{C7574C41-2325-4F75-903F-5CCF97839D15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88" authorId="0" shapeId="0" xr:uid="{629AE6BA-2FAA-4D21-A0FD-E436AF22B594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I91" authorId="0" shapeId="0" xr:uid="{5539014A-BDA3-49E0-8CDB-3C340813B82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13A16814-E531-48BE-A347-A53FF5DF8B8D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 xr:uid="{DAAB2954-E4F5-44EE-AB90-C008DA061B66}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 xr:uid="{4B755A03-A092-428D-8BEE-E1C5F5971B28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159A3704-F69B-441D-B812-0BB68F895A71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AE5DBD55-955D-4E54-B095-62056360CA41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A58EC5C4-827F-46B2-A769-2CB4A32A525F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 xr:uid="{E4E09CCF-DA14-4F71-BBF2-59D19549381C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2A259CC-0B60-47F7-BDB9-C1383A799FB1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6CDC2E31-ED49-4159-BD7B-72BD8945775E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CB8BAA28-BA7B-42C5-9D85-078DFDABD871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7ACE7E78-B190-4C16-A444-9A78848C770E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 xr:uid="{80DAE0CF-0983-4137-A415-47852A466269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 xr:uid="{7874C451-1411-4E95-9E48-9DFB988686D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BA21" authorId="0" shapeId="0" xr:uid="{7CABC747-9891-4286-A10F-7B4AEA8F136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 xr:uid="{13086211-5FCC-4EAB-BBF3-7689EE1D5F31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 xr:uid="{7080B201-300A-4B4B-B5CC-A85158F46371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 xr:uid="{C0266397-602F-4413-BD7B-846FCBB389CB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93E22C7A-72EA-4D02-A6A4-9F77A76A32F6}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O27" authorId="1" shapeId="0" xr:uid="{A4ADD265-1940-4FA3-A795-2001918C7D83}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 xr:uid="{7728BB06-8CAC-4078-BDFB-2283E802C6AD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3F437788-FA06-42B4-810E-8BE8E2ABFA34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 xr:uid="{0877E277-2B16-4CAB-BEA3-ADB1512F5E89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 xr:uid="{ACB4B87F-22D0-492A-A223-540D93161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 xr:uid="{61C102CD-E381-4EF9-92D8-2FB2EDF0A96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cerveza y aguacate</t>
        </r>
      </text>
    </comment>
    <comment ref="AE32" authorId="0" shapeId="0" xr:uid="{95440F9C-FAD2-4B9E-AEF1-BC1539822BCD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 xr:uid="{953263EC-6D8A-4F57-89CC-F9279F4A9339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 xr:uid="{85BE48C5-BF53-4BCB-814B-55C6617DBEFC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40" authorId="0" shapeId="0" xr:uid="{CF92BE19-907C-4A62-BA25-53CE376303FA}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0700-000001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J6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5" authorId="0" shapeId="0" xr:uid="{C6320720-8F84-4A48-91D5-1D7949E1F59E}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F16" authorId="0" shapeId="0" xr:uid="{00000000-0006-0000-0A00-000002000000}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3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0F00-000001000000}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<sst xmlns="http://schemas.openxmlformats.org/spreadsheetml/2006/main" count="1963" uniqueCount="667">
  <si>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</si>
  <si>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</si>
  <si>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</si>
  <si>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</si>
  <si>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</si>
  <si>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</si>
  <si>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</si>
  <si>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</si>
  <si>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</si>
  <si>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</si>
  <si>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</si>
  <si>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</si>
  <si>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</si>
  <si>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</si>
  <si>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</si>
  <si>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</si>
  <si>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</si>
  <si>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</si>
  <si>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</si>
  <si>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</si>
  <si>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</si>
  <si>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</si>
  <si>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</si>
  <si>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</si>
  <si>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</si>
  <si>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</si>
  <si>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</si>
  <si>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</si>
  <si>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</si>
  <si>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</si>
  <si>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</si>
  <si>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</si>
  <si>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</si>
  <si>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</si>
  <si>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</si>
  <si>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</si>
  <si>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</si>
  <si>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</si>
  <si>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</si>
  <si>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</si>
  <si>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</si>
  <si>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</si>
  <si>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</si>
  <si>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</si>
  <si>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</si>
  <si>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</si>
  <si>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</si>
  <si>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</si>
  <si>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</si>
  <si>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</si>
  <si>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</si>
  <si>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</si>
  <si>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</si>
  <si>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</si>
  <si>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</si>
  <si>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</si>
  <si>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</si>
  <si>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</si>
  <si>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</si>
  <si>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</si>
  <si>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</si>
  <si>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</si>
  <si>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</si>
  <si>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</si>
  <si>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</si>
  <si>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</si>
  <si>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</si>
  <si>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</si>
  <si>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</si>
  <si>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</si>
  <si>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</si>
  <si>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</si>
  <si>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</si>
  <si>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</si>
  <si>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</si>
  <si>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</si>
  <si>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</si>
  <si>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</si>
  <si>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</si>
  <si>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</si>
  <si>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</si>
  <si>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</si>
  <si>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</si>
  <si>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</si>
  <si>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</si>
  <si>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</si>
  <si>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</si>
  <si>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</si>
  <si>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</si>
  <si>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</si>
  <si>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</si>
  <si>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</si>
  <si>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</si>
  <si>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</si>
  <si>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</si>
  <si>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</si>
  <si>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</si>
  <si>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</si>
  <si>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</si>
  <si>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</si>
  <si>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</si>
  <si>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</si>
  <si>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</si>
  <si>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</si>
  <si>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</si>
  <si>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</si>
  <si>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</si>
  <si>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</si>
  <si>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</si>
  <si>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</si>
  <si>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</si>
  <si>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</si>
  <si>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</si>
  <si>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</si>
  <si>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</si>
  <si>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</si>
  <si>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</si>
  <si>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</si>
  <si>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</si>
  <si>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</si>
  <si>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</si>
  <si>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</si>
  <si>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</si>
  <si>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</si>
  <si>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</si>
  <si>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</si>
  <si>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</si>
  <si>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</si>
  <si>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</si>
  <si>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</si>
  <si>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</si>
  <si>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</si>
  <si>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</si>
  <si>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</si>
  <si>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</si>
  <si>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</si>
  <si>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</si>
  <si>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</si>
  <si>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</si>
  <si>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</si>
  <si>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</si>
  <si>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</si>
  <si>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</si>
  <si>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</si>
  <si>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</si>
  <si>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</si>
  <si>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</si>
  <si>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</si>
  <si>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</si>
  <si>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</si>
  <si>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</si>
  <si>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</si>
  <si>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</si>
  <si>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</si>
  <si>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</si>
  <si>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</si>
  <si>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</si>
  <si>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</si>
  <si>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</si>
  <si>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</si>
  <si>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</si>
  <si>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</si>
  <si>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</si>
  <si>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</si>
  <si>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</si>
  <si>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</si>
  <si>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</si>
  <si>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</si>
  <si>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</si>
  <si>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</si>
  <si>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</si>
  <si>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</si>
  <si>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</si>
  <si>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</si>
  <si>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</si>
  <si>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</si>
  <si>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</si>
  <si>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</si>
  <si>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</si>
  <si>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</si>
  <si>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</si>
  <si>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</si>
  <si>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</si>
  <si>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</si>
  <si>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</si>
  <si>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</si>
  <si>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</si>
  <si>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</si>
  <si>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</si>
  <si>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</si>
  <si>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</si>
  <si>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</si>
  <si>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</si>
  <si>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</si>
  <si>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</si>
  <si>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</si>
  <si>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</si>
  <si>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</si>
  <si>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</si>
  <si>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</si>
  <si>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</si>
  <si>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</si>
  <si>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</si>
  <si>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</si>
  <si>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</si>
  <si>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</si>
  <si>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</si>
  <si>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</si>
  <si>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</si>
  <si>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</si>
  <si>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</si>
  <si>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</si>
  <si>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</si>
  <si>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</si>
  <si>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</si>
  <si>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</si>
  <si>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</si>
  <si>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</si>
  <si>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</si>
  <si>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</si>
  <si>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</si>
  <si>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</si>
  <si>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</si>
  <si>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</si>
  <si>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</si>
  <si>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</si>
  <si>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</si>
  <si>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</si>
  <si>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</si>
  <si>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</si>
  <si>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</si>
  <si>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</si>
  <si>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</si>
  <si>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</si>
  <si>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</si>
  <si>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</si>
  <si>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</si>
  <si>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</si>
  <si>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</si>
  <si>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</si>
  <si>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</si>
  <si>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</si>
  <si>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</si>
  <si>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</si>
  <si>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</si>
  <si>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</si>
  <si>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</si>
  <si>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</si>
  <si>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</si>
  <si>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</si>
  <si>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</si>
  <si>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</si>
  <si>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</si>
  <si>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</si>
  <si>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</si>
  <si>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</si>
  <si>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</si>
  <si>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</si>
  <si>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</si>
  <si>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</si>
  <si>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</si>
  <si>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</si>
  <si>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</si>
  <si>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</si>
  <si>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</si>
  <si>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</si>
  <si>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</si>
  <si>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</si>
  <si>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</si>
  <si>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</si>
  <si>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</si>
  <si>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</si>
  <si>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</si>
  <si>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</si>
  <si>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</si>
  <si>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</si>
  <si>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</si>
  <si>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</si>
  <si>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</si>
  <si>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</si>
  <si>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</si>
  <si>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</si>
  <si>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</si>
  <si>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</si>
  <si>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</si>
  <si>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</si>
  <si>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</si>
  <si>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</si>
  <si>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</si>
  <si>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</si>
  <si>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</si>
  <si>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</si>
  <si>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</si>
  <si>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</si>
  <si>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</si>
  <si>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</si>
  <si>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</si>
  <si>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</si>
  <si>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</si>
  <si>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</si>
  <si>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</si>
  <si>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</si>
  <si>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</si>
  <si>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</si>
  <si>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</si>
  <si>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</si>
  <si>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</si>
  <si>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</si>
  <si>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</si>
  <si>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</si>
  <si>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</si>
  <si>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</si>
  <si>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</si>
  <si>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</si>
  <si>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</si>
  <si>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</si>
  <si>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</si>
  <si>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</si>
  <si>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</si>
  <si>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</si>
  <si>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</si>
  <si>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</si>
  <si>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</si>
  <si>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</si>
  <si>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</si>
  <si>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</si>
  <si>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</si>
  <si>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</si>
  <si>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</si>
  <si>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</si>
  <si>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</si>
  <si>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</si>
  <si>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</si>
  <si>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</si>
  <si>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</si>
  <si>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</si>
  <si>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</si>
  <si>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</si>
  <si>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</si>
  <si>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</si>
  <si>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</si>
  <si>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</si>
  <si>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</si>
  <si>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</si>
  <si>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</si>
  <si>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</si>
  <si>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</si>
  <si>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</si>
  <si>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</si>
  <si>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</si>
  <si>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</si>
  <si>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</si>
  <si>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</si>
  <si>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</si>
  <si>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</si>
  <si>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</si>
  <si>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</si>
  <si>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</si>
  <si>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</si>
  <si>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</si>
  <si>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</si>
  <si>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</si>
  <si>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</si>
  <si>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</si>
  <si>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</si>
  <si>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</si>
  <si>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</si>
  <si>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</si>
  <si>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</si>
  <si>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</si>
  <si>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</si>
  <si>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</si>
  <si>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</si>
  <si>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</si>
  <si>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</si>
  <si>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</si>
  <si>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</si>
  <si>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</si>
  <si>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</si>
  <si>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</si>
  <si>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</si>
  <si>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</si>
  <si>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</si>
  <si>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</si>
  <si>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</si>
  <si>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</si>
  <si>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</si>
  <si>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</si>
  <si>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</si>
  <si>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</si>
  <si>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</si>
  <si>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</si>
  <si>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</si>
  <si>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</si>
  <si>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</si>
  <si>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</si>
  <si>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</si>
  <si>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</si>
  <si>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</si>
  <si>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</si>
  <si>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</si>
  <si>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</si>
  <si>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</si>
  <si>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</si>
  <si>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</si>
  <si>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</si>
  <si>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</si>
  <si>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</si>
  <si>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</si>
  <si>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</si>
  <si>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</si>
  <si>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</si>
  <si>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</si>
  <si>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</si>
  <si>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</si>
  <si>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</si>
  <si>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</si>
  <si>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</si>
  <si>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</si>
  <si>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</si>
  <si>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</si>
  <si>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</si>
  <si>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</si>
  <si>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</si>
  <si>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</si>
  <si>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</si>
  <si>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</si>
  <si>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</si>
  <si>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</si>
  <si>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</si>
  <si>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</si>
  <si>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</si>
  <si>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</si>
  <si>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</si>
  <si>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</si>
  <si>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</si>
  <si>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</si>
  <si>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</si>
  <si>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</si>
  <si>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</si>
  <si>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</si>
  <si>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</si>
  <si>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</si>
  <si>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</si>
  <si>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</si>
  <si>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</si>
  <si>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</si>
  <si>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</si>
  <si>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</si>
  <si>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</si>
  <si>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</si>
  <si>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</si>
  <si>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</si>
  <si>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</si>
  <si>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</si>
  <si>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</si>
  <si>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</si>
  <si>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</si>
  <si>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</si>
  <si>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</si>
  <si>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</si>
  <si>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</si>
  <si>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</si>
  <si>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</si>
  <si>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</si>
  <si>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</si>
  <si>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</si>
  <si>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</si>
  <si>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</si>
  <si>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</si>
  <si>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</si>
  <si>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</si>
  <si>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</si>
  <si>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</si>
  <si>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</si>
  <si>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</si>
  <si>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</si>
  <si>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</si>
  <si>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</si>
  <si>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</si>
  <si>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</si>
  <si>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</si>
  <si>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</si>
  <si>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</si>
  <si>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</si>
  <si>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</si>
  <si>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</si>
  <si>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</si>
  <si>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</si>
  <si>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</si>
  <si>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</si>
  <si>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</si>
  <si>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</si>
  <si>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</si>
  <si>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</si>
  <si>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</si>
  <si>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</si>
  <si>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</si>
  <si>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</si>
  <si>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</si>
  <si>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</si>
  <si>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</si>
  <si>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</si>
  <si>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</si>
  <si>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</si>
  <si>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</si>
  <si>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</si>
  <si>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</si>
  <si>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</si>
  <si>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</si>
  <si>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</si>
  <si>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</si>
  <si>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</si>
  <si>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</si>
  <si>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</si>
  <si>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</si>
  <si>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</si>
  <si>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</si>
  <si>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</si>
  <si>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</si>
  <si>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</si>
  <si>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</si>
  <si>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</si>
  <si>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</si>
  <si>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</si>
  <si>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</si>
  <si>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</si>
  <si>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</si>
  <si>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</si>
  <si>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</si>
  <si>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</si>
  <si>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</si>
  <si>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</si>
  <si>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</si>
  <si>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</si>
  <si>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</si>
  <si>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</si>
  <si>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</si>
  <si>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</si>
  <si>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</si>
  <si>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</si>
  <si>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</si>
  <si>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</si>
  <si>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</si>
  <si>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</si>
  <si>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</si>
  <si>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</si>
  <si>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</si>
  <si>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</si>
  <si>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</si>
  <si>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</si>
  <si>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</si>
  <si>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</si>
  <si>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</si>
  <si>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</si>
  <si>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</si>
  <si>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</si>
  <si>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</si>
  <si>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</si>
  <si>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</si>
  <si>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</si>
  <si>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</si>
  <si>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</si>
  <si>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</si>
  <si>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</si>
  <si>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</si>
  <si>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</si>
  <si>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</si>
  <si>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</si>
  <si>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</si>
  <si>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</si>
  <si>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</si>
  <si>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</si>
  <si>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</si>
  <si>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</si>
  <si>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</si>
  <si>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</si>
  <si>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</si>
  <si>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</si>
  <si>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</si>
  <si>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</si>
  <si>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</si>
  <si>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</si>
  <si>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</si>
  <si>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</si>
  <si>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</si>
  <si>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</si>
  <si>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</si>
  <si>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</si>
  <si>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</si>
  <si>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</si>
  <si>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</si>
  <si>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</si>
  <si>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</si>
  <si>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</si>
  <si>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</si>
  <si>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</si>
  <si>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</si>
  <si>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</si>
  <si>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</si>
  <si>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</si>
  <si>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</si>
  <si>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</si>
  <si>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</si>
  <si>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</si>
  <si>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</si>
  <si>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</si>
  <si>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</si>
  <si>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</si>
  <si>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</si>
  <si>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</si>
  <si>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</si>
  <si>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</si>
  <si>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</si>
  <si>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</si>
  <si>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</si>
  <si>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</si>
  <si>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</si>
  <si>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</si>
  <si>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3 pagas de cerveza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</si>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</sst>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3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0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20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21" fillId="25" borderId="3" xfId="0" applyFont="1" applyFill="1" applyBorder="1" applyAlignment="1">
      <alignment horizontal="center"/>
    </xf>
    <xf numFmtId="0" fontId="2" fillId="2" borderId="0" xfId="0" applyFont="1" applyFill="1"/>
    <xf numFmtId="164" fontId="23" fillId="23" borderId="3" xfId="1" applyNumberFormat="1" applyFont="1" applyFill="1" applyBorder="1"/>
    <xf numFmtId="164" fontId="23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21" fillId="6" borderId="0" xfId="0" applyNumberFormat="1" applyFont="1" applyFill="1"/>
    <xf numFmtId="164" fontId="24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6" fillId="9" borderId="0" xfId="1" applyNumberFormat="1" applyFont="1" applyFill="1"/>
    <xf numFmtId="164" fontId="25" fillId="8" borderId="0" xfId="4" applyNumberFormat="1" applyFont="1" applyAlignment="1">
      <alignment horizontal="center" vertical="center" wrapText="1"/>
    </xf>
    <xf numFmtId="164" fontId="25" fillId="8" borderId="1" xfId="4" applyNumberFormat="1" applyFont="1" applyBorder="1" applyAlignment="1">
      <alignment horizontal="center" vertical="center" wrapText="1"/>
    </xf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0" fontId="16" fillId="7" borderId="4" xfId="0" applyFont="1" applyFill="1" applyBorder="1" applyAlignment="1">
      <alignment horizontal="center" vertical="center"/>
    </xf>
    <xf numFmtId="16" fontId="0" fillId="0" borderId="0" xfId="0" applyNumberFormat="1" applyBorder="1" applyAlignment="1">
      <alignment horizontal="center"/>
    </xf>
    <xf numFmtId="16" fontId="0" fillId="0" borderId="0" xfId="0" applyNumberFormat="1" applyBorder="1"/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FFF00"/>
          <bgColor rgb="FF000000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6.xml"/><Relationship Id="rId42" Type="http://schemas.openxmlformats.org/officeDocument/2006/relationships/calcChain" Target="calcChain.xml"/><Relationship Id="rId47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4.xml"/><Relationship Id="rId37" Type="http://schemas.openxmlformats.org/officeDocument/2006/relationships/styles" Target="styles.xml"/><Relationship Id="rId40" Type="http://schemas.openxmlformats.org/officeDocument/2006/relationships/powerPivotData" Target="model/item.data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2.xml"/><Relationship Id="rId35" Type="http://schemas.openxmlformats.org/officeDocument/2006/relationships/theme" Target="theme/theme1.xml"/><Relationship Id="rId43" Type="http://schemas.openxmlformats.org/officeDocument/2006/relationships/customXml" Target="../customXml/item1.xml"/><Relationship Id="rId48" Type="http://schemas.openxmlformats.org/officeDocument/2006/relationships/customXml" Target="../customXml/item6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5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4.xml"/><Relationship Id="rId20" Type="http://schemas.openxmlformats.org/officeDocument/2006/relationships/worksheet" Target="worksheets/sheet20.xml"/><Relationship Id="rId41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C23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S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7">
      <pivotArea outline="0" collapsedLevelsAreSubtotals="1" fieldPosition="0"/>
    </format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outline="0" fieldPosition="0">
        <references count="1">
          <reference field="4294967294" count="1">
            <x v="1"/>
          </reference>
        </references>
      </pivotArea>
    </format>
    <format dxfId="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1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30">
      <pivotArea outline="0" collapsedLevelsAreSubtotals="1" fieldPosition="0"/>
    </format>
    <format dxfId="29">
      <pivotArea outline="0" collapsedLevelsAreSubtotals="1" fieldPosition="0"/>
    </format>
    <format dxfId="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3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1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2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5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4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6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2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9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12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7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>
    <tabColor rgb="FF92D050"/>
  </sheetPr>
  <dimension ref="B2:M87"/>
  <sheetViews>
    <sheetView showGridLines="0" topLeftCell="A2" zoomScale="90" zoomScaleNormal="90" workbookViewId="0">
      <selection activeCell="F18" sqref="F18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2.42578125" bestFit="1" customWidth="1"/>
    <col min="4" max="4" width="15.140625" style="3" customWidth="1"/>
    <col min="5" max="5" width="21.42578125" style="3" bestFit="1" customWidth="1"/>
    <col min="6" max="6" width="21" style="3" bestFit="1" customWidth="1"/>
    <col min="7" max="7" width="21.42578125" bestFit="1" customWidth="1"/>
    <col min="8" max="8" width="37.85546875" bestFit="1" customWidth="1"/>
    <col min="9" max="9" width="33.28515625" bestFit="1" customWidth="1"/>
    <col min="11" max="11" width="3.42578125" customWidth="1"/>
    <col min="12" max="13" width="15.42578125" bestFit="1" customWidth="1"/>
  </cols>
  <sheetData>
    <row r="2" spans="3:12" outlineLevel="1" x14ac:dyDescent="0.25">
      <c r="C2" s="139" t="s">
        <v>634</v>
      </c>
      <c r="D2" s="139" t="s">
        <v>635</v>
      </c>
      <c r="E2"/>
      <c r="F2"/>
      <c r="G2" s="142" t="s">
        <v>7</v>
      </c>
      <c r="H2" s="142" t="s">
        <v>638</v>
      </c>
    </row>
    <row r="3" spans="3:12" outlineLevel="1" x14ac:dyDescent="0.25">
      <c r="C3" s="182" t="s">
        <v>10</v>
      </c>
      <c r="D3" s="183">
        <f>+SUMIF(G:G,C3,D:D)</f>
        <v>27808267</v>
      </c>
      <c r="F3"/>
      <c r="G3" s="161" t="s">
        <v>9</v>
      </c>
      <c r="H3" s="187">
        <f>+SUMIF($E$23:$E$87,G3,$D$23:$D$87)</f>
        <v>19944350</v>
      </c>
    </row>
    <row r="4" spans="3:12" outlineLevel="1" x14ac:dyDescent="0.25">
      <c r="C4" s="179" t="s">
        <v>2</v>
      </c>
      <c r="D4" s="181">
        <f>+SUMIF(G:G,C4,D:D)</f>
        <v>3198300</v>
      </c>
      <c r="F4"/>
      <c r="G4" s="165" t="s">
        <v>22</v>
      </c>
      <c r="H4" s="187">
        <f>+SUMIF($E$23:$E$87,G4,$D$23:$D$87)</f>
        <v>3683750</v>
      </c>
    </row>
    <row r="5" spans="3:12" ht="17.25" outlineLevel="1" x14ac:dyDescent="0.4">
      <c r="C5" s="138" t="s">
        <v>121</v>
      </c>
      <c r="D5" s="137">
        <f>+D3+D4</f>
        <v>31006567</v>
      </c>
      <c r="G5" s="163" t="s">
        <v>639</v>
      </c>
      <c r="H5" s="187">
        <f>+SUMIF($E$23:$E$87,G5,$D$23:$D$87)</f>
        <v>4835965</v>
      </c>
    </row>
    <row r="6" spans="3:12" outlineLevel="1" x14ac:dyDescent="0.25">
      <c r="G6" s="166" t="s">
        <v>8</v>
      </c>
      <c r="H6" s="188">
        <f>+SUMIF($E$23:$E$87,G6,$D$23:$D$87)</f>
        <v>2542502</v>
      </c>
    </row>
    <row r="7" spans="3:12" ht="17.25" outlineLevel="1" x14ac:dyDescent="0.4">
      <c r="C7" s="15" t="s">
        <v>636</v>
      </c>
      <c r="D7" s="140">
        <f>+D5/2+16.6</f>
        <v>15503300.1</v>
      </c>
      <c r="G7" s="177" t="s">
        <v>121</v>
      </c>
      <c r="H7" s="189">
        <f>+SUM(H3:H6)</f>
        <v>31006567</v>
      </c>
    </row>
    <row r="8" spans="3:12" ht="8.25" customHeight="1" outlineLevel="1" x14ac:dyDescent="0.25"/>
    <row r="9" spans="3:12" outlineLevel="1" x14ac:dyDescent="0.25">
      <c r="C9" s="139" t="s">
        <v>5</v>
      </c>
      <c r="D9" s="142" t="s">
        <v>638</v>
      </c>
      <c r="E9" s="142" t="s">
        <v>637</v>
      </c>
    </row>
    <row r="10" spans="3:12" ht="16.5" customHeight="1" outlineLevel="1" x14ac:dyDescent="0.25">
      <c r="C10" s="143">
        <v>46062</v>
      </c>
      <c r="D10" s="141">
        <v>300000</v>
      </c>
      <c r="E10" s="190" t="s">
        <v>167</v>
      </c>
    </row>
    <row r="11" spans="3:12" ht="16.5" customHeight="1" outlineLevel="1" x14ac:dyDescent="0.25">
      <c r="C11" s="143">
        <v>46073</v>
      </c>
      <c r="D11" s="141">
        <v>1000000</v>
      </c>
      <c r="E11" s="190" t="s">
        <v>167</v>
      </c>
    </row>
    <row r="12" spans="3:12" ht="16.5" customHeight="1" outlineLevel="1" x14ac:dyDescent="0.25">
      <c r="C12" s="143">
        <v>46073</v>
      </c>
      <c r="D12" s="141">
        <v>3000000</v>
      </c>
      <c r="E12" s="191" t="s">
        <v>643</v>
      </c>
    </row>
    <row r="13" spans="3:12" ht="16.5" customHeight="1" outlineLevel="1" x14ac:dyDescent="0.25">
      <c r="C13" s="143">
        <v>46080</v>
      </c>
      <c r="D13" s="141">
        <v>1000000</v>
      </c>
      <c r="E13" s="190" t="s">
        <v>167</v>
      </c>
    </row>
    <row r="14" spans="3:12" ht="16.5" customHeight="1" outlineLevel="1" x14ac:dyDescent="0.25">
      <c r="C14" s="143">
        <v>46084</v>
      </c>
      <c r="D14" s="141">
        <v>1500000</v>
      </c>
      <c r="E14" s="190" t="s">
        <v>167</v>
      </c>
    </row>
    <row r="15" spans="3:12" ht="16.5" customHeight="1" outlineLevel="1" x14ac:dyDescent="0.25">
      <c r="C15" s="143">
        <v>46086</v>
      </c>
      <c r="D15" s="193">
        <v>3855000</v>
      </c>
      <c r="E15" s="191" t="s">
        <v>643</v>
      </c>
      <c r="F15" s="3">
        <f>+D19-D7</f>
        <v>-9.999999962747097E-2</v>
      </c>
      <c r="G15" s="194">
        <f>3855000-SUM(L64,L71,L67)/2</f>
        <v>2324075</v>
      </c>
      <c r="H15" s="15" t="s">
        <v>646</v>
      </c>
      <c r="I15" s="9"/>
      <c r="L15" s="3">
        <f>+SUM(L64,L71,L67)/2</f>
        <v>1530925</v>
      </c>
    </row>
    <row r="16" spans="3:12" outlineLevel="1" x14ac:dyDescent="0.25">
      <c r="C16" s="143">
        <v>46098</v>
      </c>
      <c r="D16" s="141">
        <v>1650000</v>
      </c>
      <c r="E16" s="144" t="s">
        <v>645</v>
      </c>
    </row>
    <row r="17" spans="2:9" outlineLevel="1" x14ac:dyDescent="0.25">
      <c r="C17" s="179" t="s">
        <v>261</v>
      </c>
      <c r="D17" s="180">
        <f>+SUM(D10:D16)</f>
        <v>12305000</v>
      </c>
    </row>
    <row r="18" spans="2:9" outlineLevel="1" x14ac:dyDescent="0.25">
      <c r="C18" s="185" t="s">
        <v>641</v>
      </c>
      <c r="D18" s="186">
        <v>3198300</v>
      </c>
    </row>
    <row r="19" spans="2:9" outlineLevel="1" x14ac:dyDescent="0.25">
      <c r="C19" s="15" t="s">
        <v>636</v>
      </c>
      <c r="D19" s="184">
        <f>+D17+D18</f>
        <v>15503300</v>
      </c>
      <c r="E19" s="16" t="s">
        <v>642</v>
      </c>
    </row>
    <row r="20" spans="2:9" outlineLevel="1" x14ac:dyDescent="0.25"/>
    <row r="21" spans="2:9" x14ac:dyDescent="0.25">
      <c r="C21" s="15" t="s">
        <v>121</v>
      </c>
      <c r="D21" s="178">
        <f>+SUBTOTAL(9,D24:D1048576)</f>
        <v>3837850</v>
      </c>
      <c r="F21" s="3" t="s">
        <v>0</v>
      </c>
      <c r="G21" s="9"/>
    </row>
    <row r="22" spans="2:9" x14ac:dyDescent="0.25">
      <c r="D22"/>
    </row>
    <row r="23" spans="2:9" x14ac:dyDescent="0.25">
      <c r="B23" s="145" t="s">
        <v>65</v>
      </c>
      <c r="C23" s="157" t="s">
        <v>5</v>
      </c>
      <c r="D23" s="146" t="s">
        <v>6</v>
      </c>
      <c r="E23" s="160" t="s">
        <v>7</v>
      </c>
      <c r="F23" s="146" t="s">
        <v>35</v>
      </c>
      <c r="G23" s="157" t="s">
        <v>1</v>
      </c>
      <c r="H23" s="157" t="s">
        <v>3</v>
      </c>
      <c r="I23" s="147" t="s">
        <v>15</v>
      </c>
    </row>
    <row r="24" spans="2:9" hidden="1" x14ac:dyDescent="0.25">
      <c r="B24" s="173">
        <v>1</v>
      </c>
      <c r="C24" s="158">
        <v>46049</v>
      </c>
      <c r="D24" s="148">
        <f>1350000+150000</f>
        <v>1500000</v>
      </c>
      <c r="E24" s="161" t="s">
        <v>9</v>
      </c>
      <c r="F24" s="148" t="s">
        <v>66</v>
      </c>
      <c r="G24" s="175" t="s">
        <v>10</v>
      </c>
      <c r="H24" s="167" t="s">
        <v>19</v>
      </c>
      <c r="I24" s="149" t="s">
        <v>20</v>
      </c>
    </row>
    <row r="25" spans="2:9" hidden="1" x14ac:dyDescent="0.25">
      <c r="B25" s="173">
        <v>2</v>
      </c>
      <c r="C25" s="158">
        <v>46049</v>
      </c>
      <c r="D25" s="148">
        <f>2500000+1400000+400000</f>
        <v>4300000</v>
      </c>
      <c r="E25" s="161" t="s">
        <v>9</v>
      </c>
      <c r="F25" s="148" t="s">
        <v>66</v>
      </c>
      <c r="G25" s="175" t="s">
        <v>10</v>
      </c>
      <c r="H25" s="169" t="s">
        <v>36</v>
      </c>
      <c r="I25" s="149" t="s">
        <v>58</v>
      </c>
    </row>
    <row r="26" spans="2:9" hidden="1" x14ac:dyDescent="0.25">
      <c r="B26" s="173">
        <v>3</v>
      </c>
      <c r="C26" s="158">
        <v>46056</v>
      </c>
      <c r="D26" s="148">
        <f>5400000+500000+(25000*2)</f>
        <v>5950000</v>
      </c>
      <c r="E26" s="161" t="s">
        <v>9</v>
      </c>
      <c r="F26" s="148" t="s">
        <v>66</v>
      </c>
      <c r="G26" s="175" t="s">
        <v>10</v>
      </c>
      <c r="H26" s="169" t="s">
        <v>39</v>
      </c>
      <c r="I26" s="150" t="s">
        <v>51</v>
      </c>
    </row>
    <row r="27" spans="2:9" hidden="1" x14ac:dyDescent="0.25">
      <c r="B27" s="173">
        <v>4</v>
      </c>
      <c r="C27" s="158">
        <v>46056</v>
      </c>
      <c r="D27" s="148">
        <v>80000</v>
      </c>
      <c r="E27" s="161" t="s">
        <v>9</v>
      </c>
      <c r="F27" s="148" t="s">
        <v>98</v>
      </c>
      <c r="G27" s="175" t="s">
        <v>10</v>
      </c>
      <c r="H27" s="169" t="s">
        <v>68</v>
      </c>
      <c r="I27" s="150" t="s">
        <v>69</v>
      </c>
    </row>
    <row r="28" spans="2:9" hidden="1" x14ac:dyDescent="0.25">
      <c r="B28" s="173">
        <v>5</v>
      </c>
      <c r="C28" s="158">
        <v>46056</v>
      </c>
      <c r="D28" s="148">
        <v>100000</v>
      </c>
      <c r="E28" s="161" t="s">
        <v>9</v>
      </c>
      <c r="F28" s="148" t="s">
        <v>98</v>
      </c>
      <c r="G28" s="175" t="s">
        <v>10</v>
      </c>
      <c r="H28" s="169" t="s">
        <v>44</v>
      </c>
      <c r="I28" s="149" t="s">
        <v>40</v>
      </c>
    </row>
    <row r="29" spans="2:9" hidden="1" x14ac:dyDescent="0.25">
      <c r="B29" s="173">
        <v>6</v>
      </c>
      <c r="C29" s="158">
        <v>46056</v>
      </c>
      <c r="D29" s="148">
        <v>30000</v>
      </c>
      <c r="E29" s="161" t="s">
        <v>9</v>
      </c>
      <c r="F29" s="148" t="s">
        <v>43</v>
      </c>
      <c r="G29" s="175" t="s">
        <v>10</v>
      </c>
      <c r="H29" s="169" t="s">
        <v>45</v>
      </c>
      <c r="I29" s="149" t="s">
        <v>40</v>
      </c>
    </row>
    <row r="30" spans="2:9" hidden="1" x14ac:dyDescent="0.25">
      <c r="B30" s="173">
        <v>7</v>
      </c>
      <c r="C30" s="158">
        <v>46060</v>
      </c>
      <c r="D30" s="148">
        <v>200000</v>
      </c>
      <c r="E30" s="161" t="s">
        <v>9</v>
      </c>
      <c r="F30" s="148" t="s">
        <v>98</v>
      </c>
      <c r="G30" s="175" t="s">
        <v>10</v>
      </c>
      <c r="H30" s="167" t="s">
        <v>54</v>
      </c>
      <c r="I30" s="149" t="s">
        <v>55</v>
      </c>
    </row>
    <row r="31" spans="2:9" hidden="1" x14ac:dyDescent="0.25">
      <c r="B31" s="173">
        <v>8</v>
      </c>
      <c r="C31" s="158">
        <v>46060</v>
      </c>
      <c r="D31" s="148">
        <v>110000</v>
      </c>
      <c r="E31" s="161" t="s">
        <v>9</v>
      </c>
      <c r="F31" s="148" t="s">
        <v>98</v>
      </c>
      <c r="G31" s="175" t="s">
        <v>10</v>
      </c>
      <c r="H31" s="169" t="s">
        <v>41</v>
      </c>
      <c r="I31" s="149" t="s">
        <v>63</v>
      </c>
    </row>
    <row r="32" spans="2:9" hidden="1" x14ac:dyDescent="0.25">
      <c r="B32" s="173">
        <v>9</v>
      </c>
      <c r="C32" s="158">
        <v>46060</v>
      </c>
      <c r="D32" s="148">
        <f>27000+35000</f>
        <v>62000</v>
      </c>
      <c r="E32" s="161" t="s">
        <v>9</v>
      </c>
      <c r="F32" s="148" t="s">
        <v>66</v>
      </c>
      <c r="G32" s="175" t="s">
        <v>10</v>
      </c>
      <c r="H32" s="167" t="s">
        <v>16</v>
      </c>
      <c r="I32" s="150" t="s">
        <v>77</v>
      </c>
    </row>
    <row r="33" spans="2:9" hidden="1" x14ac:dyDescent="0.25">
      <c r="B33" s="173">
        <v>10</v>
      </c>
      <c r="C33" s="158">
        <v>46056</v>
      </c>
      <c r="D33" s="148">
        <v>2400000</v>
      </c>
      <c r="E33" s="161" t="s">
        <v>9</v>
      </c>
      <c r="F33" s="148" t="s">
        <v>98</v>
      </c>
      <c r="G33" s="175" t="s">
        <v>10</v>
      </c>
      <c r="H33" s="167" t="s">
        <v>14</v>
      </c>
      <c r="I33" s="150" t="s">
        <v>38</v>
      </c>
    </row>
    <row r="34" spans="2:9" hidden="1" x14ac:dyDescent="0.25">
      <c r="B34" s="173">
        <v>11</v>
      </c>
      <c r="C34" s="158">
        <v>46056</v>
      </c>
      <c r="D34" s="148">
        <v>108150</v>
      </c>
      <c r="E34" s="161" t="s">
        <v>9</v>
      </c>
      <c r="F34" s="148" t="s">
        <v>98</v>
      </c>
      <c r="G34" s="175" t="s">
        <v>10</v>
      </c>
      <c r="H34" s="169" t="s">
        <v>42</v>
      </c>
      <c r="I34" s="150" t="s">
        <v>77</v>
      </c>
    </row>
    <row r="35" spans="2:9" hidden="1" x14ac:dyDescent="0.25">
      <c r="B35" s="173">
        <v>11</v>
      </c>
      <c r="C35" s="158">
        <v>46056</v>
      </c>
      <c r="D35" s="148">
        <v>180000</v>
      </c>
      <c r="E35" s="161" t="s">
        <v>9</v>
      </c>
      <c r="F35" s="148"/>
      <c r="G35" s="175" t="s">
        <v>10</v>
      </c>
      <c r="H35" s="167" t="s">
        <v>23</v>
      </c>
      <c r="I35" s="149" t="s">
        <v>24</v>
      </c>
    </row>
    <row r="36" spans="2:9" hidden="1" x14ac:dyDescent="0.25">
      <c r="B36" s="173">
        <v>13</v>
      </c>
      <c r="C36" s="158">
        <v>46050</v>
      </c>
      <c r="D36" s="151">
        <v>135400</v>
      </c>
      <c r="E36" s="162" t="s">
        <v>9</v>
      </c>
      <c r="F36" s="148" t="s">
        <v>43</v>
      </c>
      <c r="G36" s="175" t="s">
        <v>10</v>
      </c>
      <c r="H36" s="167" t="s">
        <v>78</v>
      </c>
      <c r="I36" s="149"/>
    </row>
    <row r="37" spans="2:9" hidden="1" x14ac:dyDescent="0.25">
      <c r="B37" s="173">
        <v>13</v>
      </c>
      <c r="C37" s="158">
        <v>46051</v>
      </c>
      <c r="D37" s="148">
        <f>50000+40000+10000+22000</f>
        <v>122000</v>
      </c>
      <c r="E37" s="161" t="s">
        <v>9</v>
      </c>
      <c r="F37" s="148" t="s">
        <v>43</v>
      </c>
      <c r="G37" s="175" t="s">
        <v>10</v>
      </c>
      <c r="H37" s="167" t="s">
        <v>61</v>
      </c>
      <c r="I37" s="149"/>
    </row>
    <row r="38" spans="2:9" hidden="1" x14ac:dyDescent="0.25">
      <c r="B38" s="173">
        <v>14</v>
      </c>
      <c r="C38" s="158">
        <v>46051</v>
      </c>
      <c r="D38" s="148">
        <v>21900</v>
      </c>
      <c r="E38" s="163" t="s">
        <v>639</v>
      </c>
      <c r="F38" s="148" t="s">
        <v>92</v>
      </c>
      <c r="G38" s="175" t="s">
        <v>2</v>
      </c>
      <c r="H38" s="169" t="s">
        <v>4</v>
      </c>
      <c r="I38" s="149"/>
    </row>
    <row r="39" spans="2:9" hidden="1" x14ac:dyDescent="0.25">
      <c r="B39" s="173">
        <v>15</v>
      </c>
      <c r="C39" s="158">
        <v>46051</v>
      </c>
      <c r="D39" s="148">
        <v>380000</v>
      </c>
      <c r="E39" s="163" t="s">
        <v>639</v>
      </c>
      <c r="F39" s="148" t="s">
        <v>92</v>
      </c>
      <c r="G39" s="175" t="s">
        <v>10</v>
      </c>
      <c r="H39" s="169" t="s">
        <v>80</v>
      </c>
      <c r="I39" s="149"/>
    </row>
    <row r="40" spans="2:9" hidden="1" x14ac:dyDescent="0.25">
      <c r="B40" s="173">
        <v>16</v>
      </c>
      <c r="C40" s="158">
        <v>46051</v>
      </c>
      <c r="D40" s="148">
        <v>100000</v>
      </c>
      <c r="E40" s="163" t="s">
        <v>639</v>
      </c>
      <c r="F40" s="148" t="s">
        <v>92</v>
      </c>
      <c r="G40" s="175" t="s">
        <v>2</v>
      </c>
      <c r="H40" s="169" t="s">
        <v>80</v>
      </c>
      <c r="I40" s="149"/>
    </row>
    <row r="41" spans="2:9" hidden="1" x14ac:dyDescent="0.25">
      <c r="B41" s="173">
        <v>17</v>
      </c>
      <c r="C41" s="158">
        <v>46051</v>
      </c>
      <c r="D41" s="148">
        <v>30000</v>
      </c>
      <c r="E41" s="163" t="s">
        <v>639</v>
      </c>
      <c r="F41" s="148" t="s">
        <v>92</v>
      </c>
      <c r="G41" s="175" t="s">
        <v>2</v>
      </c>
      <c r="H41" s="169" t="s">
        <v>80</v>
      </c>
      <c r="I41" s="149"/>
    </row>
    <row r="42" spans="2:9" hidden="1" x14ac:dyDescent="0.25">
      <c r="B42" s="173">
        <v>18</v>
      </c>
      <c r="C42" s="158">
        <v>46060</v>
      </c>
      <c r="D42" s="148">
        <v>50000</v>
      </c>
      <c r="E42" s="163" t="s">
        <v>639</v>
      </c>
      <c r="F42" s="148" t="s">
        <v>92</v>
      </c>
      <c r="G42" s="175" t="s">
        <v>2</v>
      </c>
      <c r="H42" s="169" t="s">
        <v>80</v>
      </c>
      <c r="I42" s="149"/>
    </row>
    <row r="43" spans="2:9" hidden="1" x14ac:dyDescent="0.25">
      <c r="B43" s="173">
        <v>19</v>
      </c>
      <c r="C43" s="158">
        <v>46066</v>
      </c>
      <c r="D43" s="148">
        <v>70000</v>
      </c>
      <c r="E43" s="163" t="s">
        <v>639</v>
      </c>
      <c r="F43" s="148" t="s">
        <v>92</v>
      </c>
      <c r="G43" s="175" t="s">
        <v>10</v>
      </c>
      <c r="H43" s="167" t="s">
        <v>80</v>
      </c>
      <c r="I43" s="149"/>
    </row>
    <row r="44" spans="2:9" hidden="1" x14ac:dyDescent="0.25">
      <c r="B44" s="173">
        <v>20</v>
      </c>
      <c r="C44" s="158">
        <v>46057</v>
      </c>
      <c r="D44" s="148">
        <v>490000</v>
      </c>
      <c r="E44" s="163" t="s">
        <v>639</v>
      </c>
      <c r="F44" s="148"/>
      <c r="G44" s="175" t="s">
        <v>2</v>
      </c>
      <c r="H44" s="169" t="s">
        <v>13</v>
      </c>
      <c r="I44" s="149"/>
    </row>
    <row r="45" spans="2:9" hidden="1" x14ac:dyDescent="0.25">
      <c r="B45" s="173">
        <v>22</v>
      </c>
      <c r="C45" s="158">
        <v>46062</v>
      </c>
      <c r="D45" s="148">
        <f>1650000+50000</f>
        <v>1700000</v>
      </c>
      <c r="E45" s="163" t="s">
        <v>639</v>
      </c>
      <c r="F45" s="148"/>
      <c r="G45" s="175" t="s">
        <v>10</v>
      </c>
      <c r="H45" s="169" t="s">
        <v>62</v>
      </c>
      <c r="I45" s="149" t="s">
        <v>18</v>
      </c>
    </row>
    <row r="46" spans="2:9" hidden="1" x14ac:dyDescent="0.25">
      <c r="B46" s="173">
        <v>23</v>
      </c>
      <c r="C46" s="158">
        <v>46065</v>
      </c>
      <c r="D46" s="151">
        <f>15500+49000+14400+83115+4900+47200+44500</f>
        <v>258615</v>
      </c>
      <c r="E46" s="163" t="s">
        <v>639</v>
      </c>
      <c r="F46" s="151"/>
      <c r="G46" s="175" t="s">
        <v>10</v>
      </c>
      <c r="H46" s="167" t="s">
        <v>81</v>
      </c>
      <c r="I46" s="149"/>
    </row>
    <row r="47" spans="2:9" hidden="1" x14ac:dyDescent="0.25">
      <c r="B47" s="173">
        <v>24</v>
      </c>
      <c r="C47" s="158">
        <v>46065</v>
      </c>
      <c r="D47" s="151">
        <f>38050+47400+30000</f>
        <v>115450</v>
      </c>
      <c r="E47" s="163" t="s">
        <v>639</v>
      </c>
      <c r="F47" s="151"/>
      <c r="G47" s="175" t="s">
        <v>10</v>
      </c>
      <c r="H47" s="167" t="s">
        <v>84</v>
      </c>
      <c r="I47" s="149"/>
    </row>
    <row r="48" spans="2:9" hidden="1" x14ac:dyDescent="0.25">
      <c r="B48" s="173">
        <v>25</v>
      </c>
      <c r="C48" s="158">
        <v>46070</v>
      </c>
      <c r="D48" s="148">
        <v>60000</v>
      </c>
      <c r="E48" s="161" t="s">
        <v>8</v>
      </c>
      <c r="F48" s="148"/>
      <c r="G48" s="175" t="s">
        <v>2</v>
      </c>
      <c r="H48" s="170" t="s">
        <v>94</v>
      </c>
      <c r="I48" s="149"/>
    </row>
    <row r="49" spans="2:13" hidden="1" x14ac:dyDescent="0.25">
      <c r="B49" s="173">
        <v>26</v>
      </c>
      <c r="C49" s="158">
        <v>46071</v>
      </c>
      <c r="D49" s="148">
        <f>1345000+200000</f>
        <v>1545000</v>
      </c>
      <c r="E49" s="161" t="s">
        <v>9</v>
      </c>
      <c r="F49" s="148" t="s">
        <v>98</v>
      </c>
      <c r="G49" s="175" t="s">
        <v>10</v>
      </c>
      <c r="H49" s="167" t="s">
        <v>27</v>
      </c>
      <c r="I49" s="149" t="s">
        <v>26</v>
      </c>
    </row>
    <row r="50" spans="2:13" hidden="1" x14ac:dyDescent="0.25">
      <c r="B50" s="173">
        <v>27</v>
      </c>
      <c r="C50" s="158">
        <v>46071</v>
      </c>
      <c r="D50" s="148">
        <v>151300</v>
      </c>
      <c r="E50" s="161" t="s">
        <v>9</v>
      </c>
      <c r="F50" s="148" t="s">
        <v>43</v>
      </c>
      <c r="G50" s="175" t="s">
        <v>10</v>
      </c>
      <c r="H50" s="167" t="s">
        <v>91</v>
      </c>
      <c r="I50" s="149" t="s">
        <v>25</v>
      </c>
    </row>
    <row r="51" spans="2:13" hidden="1" x14ac:dyDescent="0.25">
      <c r="B51" s="173">
        <v>28</v>
      </c>
      <c r="C51" s="158">
        <v>46072</v>
      </c>
      <c r="D51" s="148">
        <v>300000</v>
      </c>
      <c r="E51" s="161" t="s">
        <v>9</v>
      </c>
      <c r="F51" s="148" t="s">
        <v>98</v>
      </c>
      <c r="G51" s="175" t="s">
        <v>10</v>
      </c>
      <c r="H51" s="167" t="s">
        <v>28</v>
      </c>
      <c r="I51" s="149"/>
    </row>
    <row r="52" spans="2:13" hidden="1" x14ac:dyDescent="0.25">
      <c r="B52" s="173">
        <v>29</v>
      </c>
      <c r="C52" s="158">
        <v>46048</v>
      </c>
      <c r="D52" s="148">
        <v>150000</v>
      </c>
      <c r="E52" s="163" t="s">
        <v>639</v>
      </c>
      <c r="F52" s="148"/>
      <c r="G52" s="175" t="s">
        <v>10</v>
      </c>
      <c r="H52" s="171" t="s">
        <v>83</v>
      </c>
      <c r="I52" s="149"/>
    </row>
    <row r="53" spans="2:13" hidden="1" x14ac:dyDescent="0.25">
      <c r="B53" s="173">
        <v>30</v>
      </c>
      <c r="C53" s="158">
        <v>46048</v>
      </c>
      <c r="D53" s="153">
        <v>750000</v>
      </c>
      <c r="E53" s="161" t="s">
        <v>8</v>
      </c>
      <c r="F53" s="148"/>
      <c r="G53" s="175" t="s">
        <v>10</v>
      </c>
      <c r="H53" s="171" t="s">
        <v>11</v>
      </c>
      <c r="I53" s="149"/>
    </row>
    <row r="54" spans="2:13" hidden="1" x14ac:dyDescent="0.25">
      <c r="B54" s="173">
        <v>31</v>
      </c>
      <c r="C54" s="158">
        <v>46069</v>
      </c>
      <c r="D54" s="148">
        <v>900000</v>
      </c>
      <c r="E54" s="161" t="s">
        <v>8</v>
      </c>
      <c r="F54" s="148"/>
      <c r="G54" s="175" t="s">
        <v>2</v>
      </c>
      <c r="H54" s="171" t="s">
        <v>11</v>
      </c>
      <c r="I54" s="149"/>
    </row>
    <row r="55" spans="2:13" hidden="1" x14ac:dyDescent="0.25">
      <c r="B55" s="173">
        <v>32</v>
      </c>
      <c r="C55" s="158">
        <v>46070</v>
      </c>
      <c r="D55" s="148">
        <v>730000</v>
      </c>
      <c r="E55" s="163" t="s">
        <v>639</v>
      </c>
      <c r="F55" s="148" t="s">
        <v>86</v>
      </c>
      <c r="G55" s="175" t="s">
        <v>10</v>
      </c>
      <c r="H55" s="167" t="s">
        <v>87</v>
      </c>
      <c r="I55" s="149" t="s">
        <v>88</v>
      </c>
    </row>
    <row r="56" spans="2:13" hidden="1" x14ac:dyDescent="0.25">
      <c r="B56" s="173">
        <v>33</v>
      </c>
      <c r="C56" s="158">
        <v>46070</v>
      </c>
      <c r="D56" s="148">
        <v>420000</v>
      </c>
      <c r="E56" s="163" t="s">
        <v>639</v>
      </c>
      <c r="F56" s="148" t="s">
        <v>86</v>
      </c>
      <c r="G56" s="175" t="s">
        <v>10</v>
      </c>
      <c r="H56" s="167" t="s">
        <v>95</v>
      </c>
      <c r="I56" s="149" t="s">
        <v>21</v>
      </c>
    </row>
    <row r="57" spans="2:13" hidden="1" x14ac:dyDescent="0.25">
      <c r="B57" s="173">
        <v>34</v>
      </c>
      <c r="C57" s="158">
        <v>46070</v>
      </c>
      <c r="D57" s="148">
        <v>300000</v>
      </c>
      <c r="E57" s="163" t="s">
        <v>639</v>
      </c>
      <c r="F57" s="148"/>
      <c r="G57" s="175" t="s">
        <v>10</v>
      </c>
      <c r="H57" s="169" t="s">
        <v>85</v>
      </c>
      <c r="I57" s="149"/>
    </row>
    <row r="58" spans="2:13" hidden="1" x14ac:dyDescent="0.25">
      <c r="B58" s="173">
        <v>35</v>
      </c>
      <c r="C58" s="158">
        <v>46070</v>
      </c>
      <c r="D58" s="148">
        <v>140000</v>
      </c>
      <c r="E58" s="164" t="s">
        <v>9</v>
      </c>
      <c r="F58" s="148"/>
      <c r="G58" s="175" t="s">
        <v>10</v>
      </c>
      <c r="H58" s="169" t="s">
        <v>89</v>
      </c>
      <c r="I58" s="149"/>
    </row>
    <row r="59" spans="2:13" hidden="1" x14ac:dyDescent="0.25">
      <c r="B59" s="173">
        <v>36</v>
      </c>
      <c r="C59" s="158">
        <v>46070</v>
      </c>
      <c r="D59" s="148">
        <v>550000</v>
      </c>
      <c r="E59" s="164" t="s">
        <v>9</v>
      </c>
      <c r="F59" s="148" t="s">
        <v>98</v>
      </c>
      <c r="G59" s="175" t="s">
        <v>10</v>
      </c>
      <c r="H59" s="167" t="s">
        <v>29</v>
      </c>
      <c r="I59" s="149"/>
    </row>
    <row r="60" spans="2:13" hidden="1" x14ac:dyDescent="0.25">
      <c r="B60" s="173">
        <v>37</v>
      </c>
      <c r="C60" s="158">
        <v>46070</v>
      </c>
      <c r="D60" s="148">
        <f>415000+49000</f>
        <v>464000</v>
      </c>
      <c r="E60" s="161" t="s">
        <v>9</v>
      </c>
      <c r="F60" s="148" t="s">
        <v>98</v>
      </c>
      <c r="G60" s="175" t="s">
        <v>10</v>
      </c>
      <c r="H60" s="167" t="s">
        <v>31</v>
      </c>
      <c r="I60" s="149"/>
    </row>
    <row r="61" spans="2:13" x14ac:dyDescent="0.25">
      <c r="B61" s="173">
        <v>38</v>
      </c>
      <c r="C61" s="158">
        <v>46070</v>
      </c>
      <c r="D61" s="152">
        <f>30000+101000</f>
        <v>131000</v>
      </c>
      <c r="E61" s="161" t="s">
        <v>9</v>
      </c>
      <c r="F61" s="148" t="s">
        <v>98</v>
      </c>
      <c r="G61" s="175" t="s">
        <v>10</v>
      </c>
      <c r="H61" s="167" t="s">
        <v>30</v>
      </c>
      <c r="I61" s="149"/>
    </row>
    <row r="62" spans="2:13" hidden="1" x14ac:dyDescent="0.25">
      <c r="B62" s="173">
        <v>40</v>
      </c>
      <c r="C62" s="158">
        <v>46072</v>
      </c>
      <c r="D62" s="148">
        <v>40000</v>
      </c>
      <c r="E62" s="165" t="s">
        <v>22</v>
      </c>
      <c r="F62" s="154"/>
      <c r="G62" s="175" t="s">
        <v>10</v>
      </c>
      <c r="H62" s="167" t="s">
        <v>90</v>
      </c>
      <c r="I62" s="149"/>
    </row>
    <row r="63" spans="2:13" hidden="1" x14ac:dyDescent="0.25">
      <c r="B63" s="173">
        <v>41</v>
      </c>
      <c r="C63" s="158">
        <v>46072</v>
      </c>
      <c r="D63" s="151">
        <v>140000</v>
      </c>
      <c r="E63" s="165" t="s">
        <v>22</v>
      </c>
      <c r="F63" s="154"/>
      <c r="G63" s="175" t="s">
        <v>10</v>
      </c>
      <c r="H63" s="167" t="s">
        <v>104</v>
      </c>
      <c r="I63" s="149"/>
    </row>
    <row r="64" spans="2:13" x14ac:dyDescent="0.25">
      <c r="B64" s="173">
        <v>42</v>
      </c>
      <c r="C64" s="158">
        <v>46072</v>
      </c>
      <c r="D64" s="152">
        <f>+L64</f>
        <v>2030000</v>
      </c>
      <c r="E64" s="165" t="s">
        <v>22</v>
      </c>
      <c r="F64" s="154"/>
      <c r="G64" s="175" t="s">
        <v>10</v>
      </c>
      <c r="H64" s="172" t="s">
        <v>82</v>
      </c>
      <c r="I64" s="149"/>
      <c r="L64" s="152">
        <f>3500*580</f>
        <v>2030000</v>
      </c>
      <c r="M64" s="3">
        <f>+L64/2</f>
        <v>1015000</v>
      </c>
    </row>
    <row r="65" spans="2:13" hidden="1" x14ac:dyDescent="0.25">
      <c r="B65" s="173">
        <v>43</v>
      </c>
      <c r="C65" s="158">
        <v>46070</v>
      </c>
      <c r="D65" s="151">
        <v>40000</v>
      </c>
      <c r="E65" s="165" t="s">
        <v>22</v>
      </c>
      <c r="F65" s="154"/>
      <c r="G65" s="175" t="s">
        <v>10</v>
      </c>
      <c r="H65" s="167" t="s">
        <v>17</v>
      </c>
      <c r="I65" s="149"/>
      <c r="M65" s="3"/>
    </row>
    <row r="66" spans="2:13" hidden="1" x14ac:dyDescent="0.25">
      <c r="B66" s="173">
        <v>44</v>
      </c>
      <c r="C66" s="158">
        <v>46073</v>
      </c>
      <c r="D66" s="148">
        <v>15000</v>
      </c>
      <c r="E66" s="161" t="s">
        <v>9</v>
      </c>
      <c r="F66" s="148" t="s">
        <v>98</v>
      </c>
      <c r="G66" s="175" t="s">
        <v>2</v>
      </c>
      <c r="H66" s="161" t="s">
        <v>99</v>
      </c>
      <c r="I66" s="149"/>
    </row>
    <row r="67" spans="2:13" x14ac:dyDescent="0.25">
      <c r="B67" s="173">
        <v>45</v>
      </c>
      <c r="C67" s="158">
        <v>46073</v>
      </c>
      <c r="D67" s="152">
        <f>+L67</f>
        <v>619850</v>
      </c>
      <c r="E67" s="165" t="s">
        <v>22</v>
      </c>
      <c r="F67" s="148"/>
      <c r="G67" s="175" t="s">
        <v>10</v>
      </c>
      <c r="H67" s="167" t="s">
        <v>100</v>
      </c>
      <c r="I67" s="149"/>
      <c r="L67" s="152">
        <v>619850</v>
      </c>
      <c r="M67" s="3">
        <f>+L67/2</f>
        <v>309925</v>
      </c>
    </row>
    <row r="68" spans="2:13" hidden="1" x14ac:dyDescent="0.25">
      <c r="B68" s="173">
        <v>46</v>
      </c>
      <c r="C68" s="158">
        <v>46073</v>
      </c>
      <c r="D68" s="148">
        <v>90000</v>
      </c>
      <c r="E68" s="165" t="s">
        <v>22</v>
      </c>
      <c r="F68" s="148"/>
      <c r="G68" s="175" t="s">
        <v>10</v>
      </c>
      <c r="H68" s="167" t="s">
        <v>101</v>
      </c>
      <c r="I68" s="149"/>
      <c r="M68" s="3"/>
    </row>
    <row r="69" spans="2:13" hidden="1" x14ac:dyDescent="0.25">
      <c r="B69" s="173">
        <v>47</v>
      </c>
      <c r="C69" s="158">
        <v>46073</v>
      </c>
      <c r="D69" s="148">
        <v>20000</v>
      </c>
      <c r="E69" s="163" t="s">
        <v>639</v>
      </c>
      <c r="F69" s="148"/>
      <c r="G69" s="175" t="s">
        <v>10</v>
      </c>
      <c r="H69" s="167" t="s">
        <v>102</v>
      </c>
      <c r="I69" s="149"/>
    </row>
    <row r="70" spans="2:13" hidden="1" x14ac:dyDescent="0.25">
      <c r="B70" s="173">
        <v>48</v>
      </c>
      <c r="C70" s="158">
        <v>46073</v>
      </c>
      <c r="D70" s="148">
        <v>260100</v>
      </c>
      <c r="E70" s="161" t="s">
        <v>9</v>
      </c>
      <c r="F70" s="148" t="s">
        <v>43</v>
      </c>
      <c r="G70" s="175" t="s">
        <v>10</v>
      </c>
      <c r="H70" s="167" t="s">
        <v>103</v>
      </c>
      <c r="I70" s="149"/>
    </row>
    <row r="71" spans="2:13" x14ac:dyDescent="0.25">
      <c r="B71" s="173">
        <v>49</v>
      </c>
      <c r="C71" s="158">
        <v>46073</v>
      </c>
      <c r="D71" s="152">
        <f>+L71</f>
        <v>412000</v>
      </c>
      <c r="E71" s="165" t="s">
        <v>22</v>
      </c>
      <c r="F71" s="148"/>
      <c r="G71" s="175" t="s">
        <v>10</v>
      </c>
      <c r="H71" s="172" t="s">
        <v>644</v>
      </c>
      <c r="I71" s="149"/>
      <c r="L71" s="152">
        <v>412000</v>
      </c>
      <c r="M71" s="3">
        <f>+L71/2</f>
        <v>206000</v>
      </c>
    </row>
    <row r="72" spans="2:13" hidden="1" x14ac:dyDescent="0.25">
      <c r="B72" s="173">
        <v>50</v>
      </c>
      <c r="C72" s="158">
        <v>46073</v>
      </c>
      <c r="D72" s="148">
        <v>80000</v>
      </c>
      <c r="E72" s="161" t="s">
        <v>9</v>
      </c>
      <c r="F72" s="148"/>
      <c r="G72" s="175" t="s">
        <v>2</v>
      </c>
      <c r="H72" s="167" t="s">
        <v>108</v>
      </c>
      <c r="I72" s="149"/>
    </row>
    <row r="73" spans="2:13" hidden="1" x14ac:dyDescent="0.25">
      <c r="B73" s="173">
        <v>51</v>
      </c>
      <c r="C73" s="158">
        <v>46074</v>
      </c>
      <c r="D73" s="148">
        <v>57000</v>
      </c>
      <c r="E73" s="165" t="s">
        <v>22</v>
      </c>
      <c r="F73" s="148"/>
      <c r="G73" s="175" t="s">
        <v>10</v>
      </c>
      <c r="H73" s="167" t="s">
        <v>109</v>
      </c>
      <c r="I73" s="149"/>
    </row>
    <row r="74" spans="2:13" hidden="1" x14ac:dyDescent="0.25">
      <c r="B74" s="173">
        <v>52</v>
      </c>
      <c r="C74" s="158">
        <v>46074</v>
      </c>
      <c r="D74" s="148">
        <v>5600</v>
      </c>
      <c r="E74" s="161" t="s">
        <v>8</v>
      </c>
      <c r="F74" s="148"/>
      <c r="G74" s="175" t="s">
        <v>10</v>
      </c>
      <c r="H74" s="167" t="s">
        <v>110</v>
      </c>
      <c r="I74" s="149"/>
    </row>
    <row r="75" spans="2:13" hidden="1" x14ac:dyDescent="0.25">
      <c r="B75" s="173">
        <v>53</v>
      </c>
      <c r="C75" s="158">
        <v>46074</v>
      </c>
      <c r="D75" s="148">
        <v>15000</v>
      </c>
      <c r="E75" s="161" t="s">
        <v>9</v>
      </c>
      <c r="F75" s="148"/>
      <c r="G75" s="175" t="s">
        <v>10</v>
      </c>
      <c r="H75" s="167" t="s">
        <v>111</v>
      </c>
      <c r="I75" s="149"/>
    </row>
    <row r="76" spans="2:13" hidden="1" x14ac:dyDescent="0.25">
      <c r="B76" s="173">
        <v>54</v>
      </c>
      <c r="C76" s="158">
        <v>46076</v>
      </c>
      <c r="D76" s="148">
        <v>58200</v>
      </c>
      <c r="E76" s="161" t="s">
        <v>8</v>
      </c>
      <c r="F76" s="148"/>
      <c r="G76" s="175" t="s">
        <v>10</v>
      </c>
      <c r="H76" s="167" t="s">
        <v>129</v>
      </c>
      <c r="I76" s="149"/>
    </row>
    <row r="77" spans="2:13" hidden="1" x14ac:dyDescent="0.25">
      <c r="B77" s="173">
        <v>55</v>
      </c>
      <c r="C77" s="158">
        <v>46076</v>
      </c>
      <c r="D77" s="148">
        <v>63202</v>
      </c>
      <c r="E77" s="161" t="s">
        <v>8</v>
      </c>
      <c r="F77" s="148"/>
      <c r="G77" s="175" t="s">
        <v>10</v>
      </c>
      <c r="H77" s="167" t="s">
        <v>113</v>
      </c>
      <c r="I77" s="149"/>
    </row>
    <row r="78" spans="2:13" hidden="1" x14ac:dyDescent="0.25">
      <c r="B78" s="173">
        <v>56</v>
      </c>
      <c r="C78" s="158">
        <v>46076</v>
      </c>
      <c r="D78" s="148">
        <f>8200+1300</f>
        <v>9500</v>
      </c>
      <c r="E78" s="161" t="s">
        <v>8</v>
      </c>
      <c r="F78" s="148"/>
      <c r="G78" s="175" t="s">
        <v>10</v>
      </c>
      <c r="H78" s="167" t="s">
        <v>12</v>
      </c>
      <c r="I78" s="149"/>
    </row>
    <row r="79" spans="2:13" hidden="1" x14ac:dyDescent="0.25">
      <c r="B79" s="173">
        <v>57</v>
      </c>
      <c r="C79" s="158">
        <v>46076</v>
      </c>
      <c r="D79" s="148">
        <v>20400</v>
      </c>
      <c r="E79" s="165" t="s">
        <v>22</v>
      </c>
      <c r="F79" s="148"/>
      <c r="G79" s="175" t="s">
        <v>10</v>
      </c>
      <c r="H79" s="167" t="s">
        <v>114</v>
      </c>
      <c r="I79" s="149"/>
    </row>
    <row r="80" spans="2:13" hidden="1" x14ac:dyDescent="0.25">
      <c r="B80" s="173">
        <v>58</v>
      </c>
      <c r="C80" s="158">
        <v>46076</v>
      </c>
      <c r="D80" s="148">
        <v>42500</v>
      </c>
      <c r="E80" s="165" t="s">
        <v>22</v>
      </c>
      <c r="F80" s="148"/>
      <c r="G80" s="175" t="s">
        <v>10</v>
      </c>
      <c r="H80" s="167" t="s">
        <v>640</v>
      </c>
      <c r="I80" s="149"/>
    </row>
    <row r="81" spans="2:9" hidden="1" x14ac:dyDescent="0.25">
      <c r="B81" s="173">
        <v>59</v>
      </c>
      <c r="C81" s="158">
        <v>46076</v>
      </c>
      <c r="D81" s="148">
        <v>192000</v>
      </c>
      <c r="E81" s="165" t="s">
        <v>22</v>
      </c>
      <c r="F81" s="148"/>
      <c r="G81" s="175" t="s">
        <v>10</v>
      </c>
      <c r="H81" s="167" t="s">
        <v>112</v>
      </c>
      <c r="I81" s="149"/>
    </row>
    <row r="82" spans="2:9" hidden="1" x14ac:dyDescent="0.25">
      <c r="B82" s="173">
        <v>60</v>
      </c>
      <c r="C82" s="158">
        <v>46076</v>
      </c>
      <c r="D82" s="148">
        <v>260000</v>
      </c>
      <c r="E82" s="161" t="s">
        <v>9</v>
      </c>
      <c r="F82" s="148"/>
      <c r="G82" s="175" t="s">
        <v>10</v>
      </c>
      <c r="H82" s="167" t="s">
        <v>124</v>
      </c>
      <c r="I82" s="149"/>
    </row>
    <row r="83" spans="2:9" x14ac:dyDescent="0.25">
      <c r="B83" s="173">
        <v>61</v>
      </c>
      <c r="C83" s="158">
        <v>46076</v>
      </c>
      <c r="D83" s="152">
        <v>30000</v>
      </c>
      <c r="E83" s="161" t="s">
        <v>9</v>
      </c>
      <c r="F83" s="148"/>
      <c r="G83" s="175" t="s">
        <v>2</v>
      </c>
      <c r="H83" s="167" t="s">
        <v>127</v>
      </c>
      <c r="I83" s="149"/>
    </row>
    <row r="84" spans="2:9" x14ac:dyDescent="0.25">
      <c r="B84" s="173">
        <v>62</v>
      </c>
      <c r="C84" s="158">
        <v>46076</v>
      </c>
      <c r="D84" s="152">
        <v>615000</v>
      </c>
      <c r="E84" s="161" t="s">
        <v>8</v>
      </c>
      <c r="F84" s="148"/>
      <c r="G84" s="175" t="s">
        <v>2</v>
      </c>
      <c r="H84" s="167" t="s">
        <v>128</v>
      </c>
      <c r="I84" s="149"/>
    </row>
    <row r="85" spans="2:9" hidden="1" x14ac:dyDescent="0.25">
      <c r="B85" s="173">
        <v>63</v>
      </c>
      <c r="C85" s="158">
        <v>46076</v>
      </c>
      <c r="D85" s="148">
        <v>81000</v>
      </c>
      <c r="E85" s="161" t="s">
        <v>8</v>
      </c>
      <c r="F85" s="148"/>
      <c r="G85" s="175" t="s">
        <v>2</v>
      </c>
      <c r="H85" s="167" t="s">
        <v>223</v>
      </c>
      <c r="I85" s="149"/>
    </row>
    <row r="86" spans="2:9" hidden="1" x14ac:dyDescent="0.25">
      <c r="B86" s="173">
        <v>64</v>
      </c>
      <c r="C86" s="158">
        <v>46084</v>
      </c>
      <c r="D86" s="148">
        <v>395000</v>
      </c>
      <c r="E86" s="161" t="s">
        <v>9</v>
      </c>
      <c r="F86" s="148"/>
      <c r="G86" s="175" t="s">
        <v>2</v>
      </c>
      <c r="H86" s="167" t="s">
        <v>214</v>
      </c>
      <c r="I86" s="149"/>
    </row>
    <row r="87" spans="2:9" hidden="1" x14ac:dyDescent="0.25">
      <c r="B87" s="174">
        <v>65</v>
      </c>
      <c r="C87" s="159">
        <v>46083</v>
      </c>
      <c r="D87" s="155">
        <v>330400</v>
      </c>
      <c r="E87" s="166" t="s">
        <v>9</v>
      </c>
      <c r="F87" s="155"/>
      <c r="G87" s="176" t="s">
        <v>2</v>
      </c>
      <c r="H87" s="168" t="s">
        <v>222</v>
      </c>
      <c r="I87" s="156"/>
    </row>
  </sheetData>
  <autoFilter ref="C23:I87" xr:uid="{00000000-0009-0000-0000-000001000000}">
    <filterColumn colId="1">
      <colorFilter dxfId="16"/>
    </filterColumn>
  </autoFilter>
  <conditionalFormatting sqref="D19:D20">
    <cfRule type="containsText" dxfId="15" priority="3" operator="containsText" text="Patrimonio">
      <formula>NOT(ISERROR(SEARCH("Patrimonio",D19)))</formula>
    </cfRule>
    <cfRule type="containsText" dxfId="14" priority="4" operator="containsText" text="Por Pagar">
      <formula>NOT(ISERROR(SEARCH("Por Pagar",D19)))</formula>
    </cfRule>
  </conditionalFormatting>
  <conditionalFormatting sqref="D2:F2 G2:G6 E5:F13 E14 E15:F18 E19 E20:F1048576 I24:I35 D30:D35 I41:I43 D42:D43 H56 H66">
    <cfRule type="containsText" dxfId="13" priority="25" operator="containsText" text="Patrimonio">
      <formula>NOT(ISERROR(SEARCH("Patrimonio",D2)))</formula>
    </cfRule>
    <cfRule type="containsText" dxfId="12" priority="26" operator="containsText" text="Por Pagar">
      <formula>NOT(ISERROR(SEARCH("Por Pagar",D2)))</formula>
    </cfRule>
  </conditionalFormatting>
  <conditionalFormatting sqref="H2">
    <cfRule type="containsText" dxfId="11" priority="1" operator="containsText" text="Patrimonio">
      <formula>NOT(ISERROR(SEARCH("Patrimonio",H2)))</formula>
    </cfRule>
    <cfRule type="containsText" dxfId="10" priority="2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4">
    <tabColor rgb="FFFFFF00"/>
  </sheetPr>
  <dimension ref="A1:G24"/>
  <sheetViews>
    <sheetView showGridLines="0" topLeftCell="A5" workbookViewId="0">
      <selection activeCell="G20" sqref="G20"/>
    </sheetView>
  </sheetViews>
  <sheetFormatPr baseColWidth="10" defaultRowHeight="15" x14ac:dyDescent="0.25"/>
  <cols>
    <col min="1" max="1" width="6.7109375" bestFit="1" customWidth="1"/>
    <col min="2" max="2" width="7.140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7" hidden="1" x14ac:dyDescent="0.25">
      <c r="F1" s="3">
        <v>1200000</v>
      </c>
      <c r="G1" t="s">
        <v>105</v>
      </c>
    </row>
    <row r="2" spans="2:7" hidden="1" x14ac:dyDescent="0.25">
      <c r="G2" t="s">
        <v>106</v>
      </c>
    </row>
    <row r="3" spans="2:7" hidden="1" x14ac:dyDescent="0.25">
      <c r="G3" t="s">
        <v>107</v>
      </c>
    </row>
    <row r="4" spans="2:7" hidden="1" x14ac:dyDescent="0.25"/>
    <row r="5" spans="2:7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7" x14ac:dyDescent="0.25">
      <c r="B6" s="1" t="s">
        <v>5</v>
      </c>
      <c r="C6" s="1" t="s">
        <v>1</v>
      </c>
      <c r="D6" s="192" t="s">
        <v>121</v>
      </c>
      <c r="E6" s="60">
        <f>+SUM(E7:E1048576)</f>
        <v>-581250</v>
      </c>
      <c r="F6" s="60">
        <f>+SUM(F7:F1048576)</f>
        <v>-384425</v>
      </c>
    </row>
    <row r="7" spans="2:7" x14ac:dyDescent="0.25">
      <c r="B7" s="2">
        <v>46089</v>
      </c>
      <c r="C7" s="195" t="str">
        <f>+IF(E7&gt;1," Jose","Edwin")</f>
        <v xml:space="preserve"> Jose</v>
      </c>
      <c r="D7" t="s">
        <v>105</v>
      </c>
      <c r="E7" s="196">
        <v>1300000</v>
      </c>
    </row>
    <row r="8" spans="2:7" x14ac:dyDescent="0.25">
      <c r="B8" s="2">
        <v>46089</v>
      </c>
      <c r="C8" s="195" t="str">
        <f t="shared" ref="C8:C14" si="0">+IF(E8&gt;1," Jose","Edwin")</f>
        <v>Edwin</v>
      </c>
      <c r="D8" t="s">
        <v>284</v>
      </c>
      <c r="E8" s="196">
        <v>-1350000</v>
      </c>
    </row>
    <row r="9" spans="2:7" x14ac:dyDescent="0.25">
      <c r="B9" s="2">
        <v>46089</v>
      </c>
      <c r="C9" s="195" t="str">
        <f t="shared" si="0"/>
        <v>Edwin</v>
      </c>
      <c r="D9" s="1" t="s">
        <v>285</v>
      </c>
      <c r="E9" s="196">
        <v>-400000</v>
      </c>
    </row>
    <row r="10" spans="2:7" x14ac:dyDescent="0.25">
      <c r="B10" s="2">
        <v>46089</v>
      </c>
      <c r="C10" s="195" t="str">
        <f t="shared" si="0"/>
        <v>Edwin</v>
      </c>
      <c r="D10" t="s">
        <v>286</v>
      </c>
      <c r="E10" s="196">
        <f>-500000/2</f>
        <v>-250000</v>
      </c>
    </row>
    <row r="11" spans="2:7" x14ac:dyDescent="0.25">
      <c r="B11" s="2">
        <v>46089</v>
      </c>
      <c r="C11" s="195" t="str">
        <f t="shared" si="0"/>
        <v>Edwin</v>
      </c>
      <c r="D11" t="s">
        <v>287</v>
      </c>
      <c r="E11" s="196">
        <f>-180000/2</f>
        <v>-90000</v>
      </c>
    </row>
    <row r="12" spans="2:7" x14ac:dyDescent="0.25">
      <c r="B12" s="2">
        <v>46089</v>
      </c>
      <c r="C12" s="195" t="str">
        <f t="shared" si="0"/>
        <v>Edwin</v>
      </c>
      <c r="D12" t="s">
        <v>288</v>
      </c>
      <c r="E12" s="196">
        <v>-30000</v>
      </c>
    </row>
    <row r="13" spans="2:7" x14ac:dyDescent="0.25">
      <c r="B13" s="2">
        <v>46076</v>
      </c>
      <c r="C13" s="195" t="str">
        <f t="shared" si="0"/>
        <v xml:space="preserve"> Jose</v>
      </c>
      <c r="D13" t="s">
        <v>289</v>
      </c>
      <c r="E13" s="196">
        <f>((550-185)*3500)/2</f>
        <v>638750</v>
      </c>
    </row>
    <row r="14" spans="2:7" x14ac:dyDescent="0.25">
      <c r="B14" s="2">
        <v>46089</v>
      </c>
      <c r="C14" s="195" t="str">
        <f t="shared" si="0"/>
        <v>Edwin</v>
      </c>
      <c r="D14" t="s">
        <v>107</v>
      </c>
      <c r="E14" s="196">
        <f>-800000/2</f>
        <v>-400000</v>
      </c>
    </row>
    <row r="16" spans="2:7" x14ac:dyDescent="0.25">
      <c r="B16" s="2">
        <v>46097</v>
      </c>
      <c r="C16" s="195" t="str">
        <f>+IF(F16&gt;1," Jose","Edwin")</f>
        <v>Edwin</v>
      </c>
      <c r="D16" t="s">
        <v>632</v>
      </c>
      <c r="F16" s="196">
        <f>-30000-101000</f>
        <v>-131000</v>
      </c>
    </row>
    <row r="17" spans="1:7" x14ac:dyDescent="0.25">
      <c r="B17" s="2">
        <v>46097</v>
      </c>
      <c r="C17" s="195" t="str">
        <f>+IF(F17&gt;1," Jose","Edwin")</f>
        <v>Edwin</v>
      </c>
      <c r="D17" t="s">
        <v>631</v>
      </c>
      <c r="F17" s="196">
        <f>-60000/2</f>
        <v>-30000</v>
      </c>
    </row>
    <row r="18" spans="1:7" x14ac:dyDescent="0.25">
      <c r="B18" s="2">
        <v>46089</v>
      </c>
      <c r="C18" s="195" t="str">
        <f t="shared" ref="C18:C20" si="1">+IF(F18&gt;1," Jose","Edwin")</f>
        <v xml:space="preserve"> Jose</v>
      </c>
      <c r="D18" t="s">
        <v>633</v>
      </c>
      <c r="F18" s="196">
        <f>(500*3500)/2</f>
        <v>875000</v>
      </c>
      <c r="G18">
        <f>500/2</f>
        <v>250</v>
      </c>
    </row>
    <row r="19" spans="1:7" x14ac:dyDescent="0.25">
      <c r="B19" s="2">
        <v>46106</v>
      </c>
      <c r="C19" s="195" t="str">
        <f t="shared" si="1"/>
        <v xml:space="preserve"> Jose</v>
      </c>
      <c r="D19" t="s">
        <v>633</v>
      </c>
      <c r="F19" s="196">
        <f>(230*3500)/2</f>
        <v>402500</v>
      </c>
      <c r="G19">
        <f>230/2</f>
        <v>115</v>
      </c>
    </row>
    <row r="20" spans="1:7" x14ac:dyDescent="0.25">
      <c r="B20" s="2">
        <v>46107</v>
      </c>
      <c r="C20" s="195" t="str">
        <f t="shared" si="1"/>
        <v xml:space="preserve"> Jose</v>
      </c>
      <c r="D20" t="s">
        <v>288</v>
      </c>
      <c r="F20" s="196">
        <v>30000</v>
      </c>
    </row>
    <row r="21" spans="1:7" x14ac:dyDescent="0.25">
      <c r="A21" s="211">
        <v>46072</v>
      </c>
      <c r="B21" s="212">
        <v>46089</v>
      </c>
      <c r="C21" s="195" t="str">
        <f t="shared" ref="C21:C23" si="2">+IF(F21&gt;1," Jose","Edwin")</f>
        <v>Edwin</v>
      </c>
      <c r="D21" t="s">
        <v>647</v>
      </c>
      <c r="F21" s="196">
        <f>-choriboni!$M$64</f>
        <v>-1015000</v>
      </c>
      <c r="G21">
        <v>290</v>
      </c>
    </row>
    <row r="22" spans="1:7" x14ac:dyDescent="0.25">
      <c r="A22" s="211">
        <v>46073</v>
      </c>
      <c r="B22" s="211">
        <v>46084</v>
      </c>
      <c r="D22" t="s">
        <v>666</v>
      </c>
      <c r="F22" s="196">
        <f>-choriboni!$M$67</f>
        <v>-309925</v>
      </c>
    </row>
    <row r="23" spans="1:7" x14ac:dyDescent="0.25">
      <c r="A23" s="211">
        <v>46073</v>
      </c>
      <c r="B23" s="212">
        <v>46107</v>
      </c>
      <c r="C23" s="195" t="str">
        <f t="shared" si="2"/>
        <v>Edwin</v>
      </c>
      <c r="D23" t="s">
        <v>521</v>
      </c>
      <c r="F23" s="196">
        <f>-choriboni!$M$71</f>
        <v>-206000</v>
      </c>
    </row>
    <row r="24" spans="1:7" x14ac:dyDescent="0.25">
      <c r="D24" s="1" t="s">
        <v>284</v>
      </c>
      <c r="F24" s="32"/>
    </row>
  </sheetData>
  <autoFilter ref="C6:M15" xr:uid="{00000000-0001-0000-1700-000000000000}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90B1-F2E0-4298-BA9C-287383829B0D}">
  <sheetPr codeName="Hoja5"/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6">
        <v>1600</v>
      </c>
      <c r="C2" t="s">
        <v>571</v>
      </c>
    </row>
    <row r="3" spans="1:3" x14ac:dyDescent="0.25">
      <c r="B3" s="3">
        <v>3700000</v>
      </c>
      <c r="C3" t="s">
        <v>573</v>
      </c>
    </row>
    <row r="4" spans="1:3" x14ac:dyDescent="0.25">
      <c r="B4" s="71">
        <f>+B3/B2</f>
        <v>2312.5</v>
      </c>
      <c r="C4" t="s">
        <v>574</v>
      </c>
    </row>
    <row r="6" spans="1:3" x14ac:dyDescent="0.25">
      <c r="B6" s="3">
        <v>3500</v>
      </c>
      <c r="C6" t="s">
        <v>572</v>
      </c>
    </row>
    <row r="7" spans="1:3" x14ac:dyDescent="0.25">
      <c r="B7" s="3">
        <f>+B6*B2</f>
        <v>5600000</v>
      </c>
      <c r="C7" t="s">
        <v>575</v>
      </c>
    </row>
    <row r="8" spans="1:3" x14ac:dyDescent="0.25">
      <c r="B8" s="22">
        <f>+B7-B3</f>
        <v>1900000</v>
      </c>
      <c r="C8" t="s">
        <v>576</v>
      </c>
    </row>
    <row r="10" spans="1:3" x14ac:dyDescent="0.25">
      <c r="A10" t="s">
        <v>290</v>
      </c>
      <c r="B10" s="3">
        <f>7000*B2</f>
        <v>11200000</v>
      </c>
      <c r="C10" t="s">
        <v>577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A2AA7-04A8-4810-8A3A-703F63FF2FAE}">
  <sheetPr codeName="Hoja6">
    <tabColor theme="9" tint="-0.249977111117893"/>
  </sheetPr>
  <dimension ref="A1:BO45"/>
  <sheetViews>
    <sheetView showGridLines="0" zoomScaleNormal="100" workbookViewId="0">
      <pane xSplit="1" ySplit="2" topLeftCell="AX14" activePane="bottomRight" state="frozen"/>
      <selection pane="topRight" activeCell="B1" sqref="B1"/>
      <selection pane="bottomLeft" activeCell="A3" sqref="A3"/>
      <selection pane="bottomRight" activeCell="AE28" sqref="AE28"/>
    </sheetView>
  </sheetViews>
  <sheetFormatPr baseColWidth="10" defaultRowHeight="15" outlineLevelRow="1" x14ac:dyDescent="0.25"/>
  <cols>
    <col min="1" max="1" width="23.85546875" style="3" bestFit="1" customWidth="1"/>
    <col min="2" max="2" width="4.28515625" customWidth="1"/>
    <col min="3" max="3" width="13" style="3" customWidth="1"/>
    <col min="4" max="4" width="3.42578125" style="3" customWidth="1"/>
    <col min="5" max="5" width="11.42578125" customWidth="1"/>
    <col min="6" max="6" width="3.140625" customWidth="1"/>
    <col min="7" max="7" width="11.42578125" customWidth="1"/>
    <col min="8" max="8" width="3.140625" customWidth="1"/>
    <col min="9" max="9" width="11.42578125" customWidth="1"/>
    <col min="10" max="10" width="3.140625" customWidth="1"/>
    <col min="11" max="11" width="11.42578125" customWidth="1"/>
    <col min="12" max="12" width="3.140625" customWidth="1"/>
    <col min="13" max="13" width="11.42578125" customWidth="1"/>
    <col min="14" max="14" width="3.140625" customWidth="1"/>
    <col min="15" max="15" width="11.42578125" customWidth="1"/>
    <col min="16" max="16" width="3.140625" customWidth="1" collapsed="1"/>
    <col min="17" max="17" width="11.42578125" customWidth="1"/>
    <col min="18" max="18" width="3.140625" customWidth="1" collapsed="1"/>
    <col min="19" max="19" width="11.42578125" customWidth="1"/>
    <col min="20" max="20" width="3.140625" customWidth="1" collapsed="1"/>
    <col min="21" max="21" width="11.42578125" customWidth="1"/>
    <col min="22" max="22" width="3.140625" customWidth="1" collapsed="1"/>
    <col min="23" max="23" width="12" bestFit="1" customWidth="1"/>
    <col min="24" max="24" width="3.140625" customWidth="1"/>
    <col min="25" max="25" width="12" customWidth="1"/>
    <col min="26" max="26" width="3.140625" customWidth="1" collapsed="1"/>
    <col min="27" max="27" width="12" bestFit="1" customWidth="1"/>
    <col min="28" max="28" width="3.140625" customWidth="1" collapsed="1"/>
    <col min="29" max="29" width="12" bestFit="1" customWidth="1"/>
    <col min="30" max="30" width="3.140625" customWidth="1" collapsed="1"/>
    <col min="31" max="31" width="12" bestFit="1" customWidth="1"/>
    <col min="32" max="32" width="3.140625" customWidth="1" collapsed="1"/>
    <col min="33" max="33" width="12" bestFit="1" customWidth="1"/>
    <col min="34" max="34" width="3.140625" customWidth="1" collapsed="1"/>
    <col min="35" max="35" width="12" bestFit="1" customWidth="1"/>
    <col min="36" max="36" width="3.140625" customWidth="1" collapsed="1"/>
    <col min="37" max="37" width="12" bestFit="1" customWidth="1"/>
    <col min="38" max="38" width="3.140625" customWidth="1" collapsed="1"/>
    <col min="39" max="39" width="12.42578125" bestFit="1" customWidth="1"/>
    <col min="40" max="40" width="3.140625" customWidth="1" collapsed="1"/>
    <col min="41" max="41" width="12" bestFit="1" customWidth="1"/>
    <col min="42" max="42" width="3.140625" customWidth="1" collapsed="1"/>
    <col min="43" max="43" width="12" bestFit="1" customWidth="1"/>
    <col min="44" max="44" width="3.140625" customWidth="1" collapsed="1"/>
    <col min="45" max="45" width="12" bestFit="1" customWidth="1"/>
    <col min="46" max="46" width="3.140625" customWidth="1" collapsed="1"/>
    <col min="47" max="47" width="12" bestFit="1" customWidth="1"/>
    <col min="48" max="48" width="3.140625" customWidth="1" collapsed="1"/>
    <col min="49" max="49" width="12" bestFit="1" customWidth="1"/>
    <col min="50" max="50" width="3.140625" customWidth="1" collapsed="1"/>
    <col min="51" max="51" width="12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2" bestFit="1" customWidth="1"/>
    <col min="56" max="56" width="3.140625" customWidth="1" collapsed="1"/>
    <col min="57" max="57" width="13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  <col min="64" max="64" width="3.140625" bestFit="1" customWidth="1" collapsed="1"/>
    <col min="65" max="65" width="13" bestFit="1" customWidth="1"/>
  </cols>
  <sheetData>
    <row r="1" spans="1:65" x14ac:dyDescent="0.25">
      <c r="A1" s="33">
        <f>+BM23</f>
        <v>334850</v>
      </c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Y1" s="34" t="str">
        <f>+TEXT(Y2,"ddd")</f>
        <v>vie</v>
      </c>
      <c r="Z1" s="34"/>
      <c r="AA1" s="34" t="str">
        <f>+TEXT(AA2,"ddd")</f>
        <v>sáb</v>
      </c>
      <c r="AB1" s="34"/>
      <c r="AC1" s="34" t="str">
        <f>+TEXT(AC2,"ddd")</f>
        <v>dom</v>
      </c>
      <c r="AD1" s="34"/>
      <c r="AE1" s="34" t="str">
        <f>+TEXT(AE2,"ddd")</f>
        <v>lun</v>
      </c>
      <c r="AF1" s="34"/>
      <c r="AG1" s="203" t="str">
        <f>+TEXT(AG2,"ddd")</f>
        <v>mar</v>
      </c>
      <c r="AH1" s="34"/>
      <c r="AI1" s="203" t="str">
        <f>+TEXT(AI2,"ddd")</f>
        <v>mié</v>
      </c>
      <c r="AJ1" s="34"/>
      <c r="AK1" s="203" t="str">
        <f>+TEXT(AK2,"ddd")</f>
        <v>jue</v>
      </c>
      <c r="AL1" s="34"/>
      <c r="AM1" s="203" t="str">
        <f>+TEXT(AM2,"ddd")</f>
        <v>vie</v>
      </c>
      <c r="AN1" s="34"/>
      <c r="AO1" s="203" t="str">
        <f>+TEXT(AO2,"ddd")</f>
        <v>sáb</v>
      </c>
      <c r="AP1" s="34"/>
      <c r="AQ1" s="203" t="str">
        <f>+TEXT(AQ2,"ddd")</f>
        <v>dom</v>
      </c>
      <c r="AR1" s="34"/>
      <c r="AS1" s="203" t="str">
        <f>+TEXT(AS2,"ddd")</f>
        <v>lun</v>
      </c>
      <c r="AT1" s="34"/>
      <c r="AU1" s="203" t="str">
        <f>+TEXT(AU2,"ddd")</f>
        <v>mar</v>
      </c>
      <c r="AV1" s="34"/>
      <c r="AW1" s="203" t="str">
        <f>+TEXT(AW2,"ddd")</f>
        <v>mié</v>
      </c>
      <c r="AX1" s="34"/>
      <c r="AY1" s="203" t="str">
        <f>+TEXT(AY2,"ddd")</f>
        <v>jue</v>
      </c>
      <c r="AZ1" s="34"/>
      <c r="BA1" s="203" t="str">
        <f>+TEXT(BA2,"ddd")</f>
        <v>vie</v>
      </c>
      <c r="BB1" s="34"/>
      <c r="BC1" s="34" t="str">
        <f>+TEXT(BC2,"ddd")</f>
        <v>sáb</v>
      </c>
      <c r="BD1" s="34"/>
      <c r="BE1" s="34" t="str">
        <f>+TEXT(BE2,"ddd")</f>
        <v>dom</v>
      </c>
      <c r="BF1" s="34"/>
      <c r="BG1" s="34" t="str">
        <f>+TEXT(BG2,"ddd")</f>
        <v>lun</v>
      </c>
      <c r="BH1" s="34"/>
      <c r="BI1" s="34" t="str">
        <f>+TEXT(BI2,"ddd")</f>
        <v>mar</v>
      </c>
      <c r="BJ1" s="34"/>
      <c r="BK1" s="34" t="str">
        <f>+TEXT(BK2,"ddd")</f>
        <v>mié</v>
      </c>
      <c r="BL1" s="34"/>
      <c r="BM1" s="34" t="str">
        <f>+TEXT(BM2,"ddd")</f>
        <v>jue</v>
      </c>
    </row>
    <row r="2" spans="1:65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f>+W2+1</f>
        <v>46087</v>
      </c>
      <c r="Z2" s="36" t="s">
        <v>131</v>
      </c>
      <c r="AA2" s="37">
        <v>46088</v>
      </c>
      <c r="AB2" s="36" t="s">
        <v>131</v>
      </c>
      <c r="AC2" s="37">
        <v>46089</v>
      </c>
      <c r="AD2" s="36" t="s">
        <v>131</v>
      </c>
      <c r="AE2" s="37">
        <v>46090</v>
      </c>
      <c r="AF2" s="36" t="s">
        <v>131</v>
      </c>
      <c r="AG2" s="37">
        <v>46091</v>
      </c>
      <c r="AH2" s="36" t="s">
        <v>131</v>
      </c>
      <c r="AI2" s="37">
        <v>46092</v>
      </c>
      <c r="AJ2" s="36" t="s">
        <v>131</v>
      </c>
      <c r="AK2" s="37">
        <v>46093</v>
      </c>
      <c r="AL2" s="36" t="s">
        <v>131</v>
      </c>
      <c r="AM2" s="37">
        <v>46094</v>
      </c>
      <c r="AN2" s="36" t="s">
        <v>131</v>
      </c>
      <c r="AO2" s="37">
        <v>46095</v>
      </c>
      <c r="AP2" s="36" t="s">
        <v>131</v>
      </c>
      <c r="AQ2" s="37">
        <v>46096</v>
      </c>
      <c r="AR2" s="36" t="s">
        <v>131</v>
      </c>
      <c r="AS2" s="37">
        <f>+AQ2+1</f>
        <v>46097</v>
      </c>
      <c r="AT2" s="36" t="s">
        <v>131</v>
      </c>
      <c r="AU2" s="37">
        <f>+AS2+1</f>
        <v>46098</v>
      </c>
      <c r="AV2" s="36" t="s">
        <v>131</v>
      </c>
      <c r="AW2" s="37">
        <f>+AU2+1</f>
        <v>46099</v>
      </c>
      <c r="AX2" s="36" t="s">
        <v>131</v>
      </c>
      <c r="AY2" s="37">
        <f>+AW2+1</f>
        <v>46100</v>
      </c>
      <c r="AZ2" s="36" t="s">
        <v>131</v>
      </c>
      <c r="BA2" s="37">
        <f>+AY2+1</f>
        <v>46101</v>
      </c>
      <c r="BB2" s="36" t="s">
        <v>131</v>
      </c>
      <c r="BC2" s="37">
        <f>+BA2+1</f>
        <v>46102</v>
      </c>
      <c r="BD2" s="36" t="s">
        <v>131</v>
      </c>
      <c r="BE2" s="37">
        <f>+BC2+1</f>
        <v>46103</v>
      </c>
      <c r="BF2" s="36" t="s">
        <v>131</v>
      </c>
      <c r="BG2" s="37">
        <f>+BE2+1</f>
        <v>46104</v>
      </c>
      <c r="BH2" s="36" t="s">
        <v>131</v>
      </c>
      <c r="BI2" s="37">
        <f>+BG2+1</f>
        <v>46105</v>
      </c>
      <c r="BJ2" s="36" t="s">
        <v>131</v>
      </c>
      <c r="BK2" s="37">
        <f>+BI2+1</f>
        <v>46106</v>
      </c>
      <c r="BL2" s="36" t="s">
        <v>131</v>
      </c>
      <c r="BM2" s="37">
        <f>+BK2+1</f>
        <v>46107</v>
      </c>
    </row>
    <row r="3" spans="1:65" hidden="1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6">
        <f>+$A3*D3</f>
        <v>0</v>
      </c>
      <c r="F3" s="19">
        <v>0</v>
      </c>
      <c r="G3" s="208" t="s">
        <v>652</v>
      </c>
      <c r="H3" s="19">
        <v>0</v>
      </c>
      <c r="I3" s="23">
        <f>+$A3*H3</f>
        <v>0</v>
      </c>
      <c r="J3" s="19">
        <v>1</v>
      </c>
      <c r="K3" s="23">
        <f>+$A3*J3</f>
        <v>100000</v>
      </c>
      <c r="L3" s="19"/>
      <c r="M3" s="3">
        <f>+$A3*L3</f>
        <v>0</v>
      </c>
      <c r="N3" s="19"/>
      <c r="O3" s="206" t="s">
        <v>653</v>
      </c>
      <c r="P3" s="19">
        <v>0</v>
      </c>
      <c r="Q3" s="3">
        <f>+$A3*P3</f>
        <v>0</v>
      </c>
      <c r="R3" s="19">
        <v>0</v>
      </c>
      <c r="S3" s="208" t="s">
        <v>652</v>
      </c>
      <c r="T3" s="19">
        <v>0</v>
      </c>
      <c r="U3" s="3">
        <v>0</v>
      </c>
      <c r="V3" s="1">
        <v>0</v>
      </c>
      <c r="W3" s="3">
        <v>0</v>
      </c>
      <c r="X3" s="19"/>
      <c r="Y3" s="206" t="s">
        <v>653</v>
      </c>
      <c r="Z3" s="1">
        <v>0</v>
      </c>
      <c r="AA3" s="3">
        <v>0</v>
      </c>
      <c r="AB3" s="1">
        <v>0</v>
      </c>
      <c r="AC3" s="3">
        <v>0</v>
      </c>
      <c r="AD3" s="1">
        <v>2</v>
      </c>
      <c r="AE3" s="6">
        <f t="shared" ref="AC3:AE5" si="0">+$A3*AD3</f>
        <v>200000</v>
      </c>
      <c r="AF3" s="1">
        <v>0</v>
      </c>
      <c r="AG3" s="3">
        <f t="shared" ref="AG3:AI13" si="1">+$A3*AF3</f>
        <v>0</v>
      </c>
      <c r="AH3" s="1">
        <v>0</v>
      </c>
      <c r="AI3" s="3">
        <f t="shared" si="1"/>
        <v>0</v>
      </c>
      <c r="AJ3" s="1">
        <v>0</v>
      </c>
      <c r="AK3" s="3">
        <f t="shared" ref="AK3:AK13" si="2">+$A3*AJ3</f>
        <v>0</v>
      </c>
      <c r="AL3" s="1"/>
      <c r="AM3" s="208" t="s">
        <v>652</v>
      </c>
      <c r="AN3" s="1">
        <v>0</v>
      </c>
      <c r="AO3" s="3">
        <f t="shared" ref="AO3:AO13" si="3">+$A3*AN3</f>
        <v>0</v>
      </c>
      <c r="AP3" s="1">
        <v>0</v>
      </c>
      <c r="AQ3" s="3">
        <f t="shared" ref="AQ3:AQ13" si="4">+$A3*AP3</f>
        <v>0</v>
      </c>
      <c r="AR3" s="1"/>
      <c r="AS3" s="208" t="s">
        <v>652</v>
      </c>
      <c r="AT3" s="1">
        <v>0</v>
      </c>
      <c r="AU3" s="3">
        <f t="shared" ref="AU3:AU13" si="5">+$A3*AT3</f>
        <v>0</v>
      </c>
      <c r="AV3" s="1">
        <v>0</v>
      </c>
      <c r="AW3" s="3">
        <f t="shared" ref="AW3:AW13" si="6">+$A3*AV3</f>
        <v>0</v>
      </c>
      <c r="AX3" s="1">
        <v>1</v>
      </c>
      <c r="AY3" s="3">
        <f t="shared" ref="AY3:AY13" si="7">+$A3*AX3</f>
        <v>100000</v>
      </c>
      <c r="AZ3" s="1">
        <v>0</v>
      </c>
      <c r="BA3" s="3">
        <f t="shared" ref="BA3:BA13" si="8">+$A3*AZ3</f>
        <v>0</v>
      </c>
      <c r="BB3" s="1">
        <v>0</v>
      </c>
      <c r="BC3" s="3">
        <f t="shared" ref="BC3:BC13" si="9">+$A3*BB3</f>
        <v>0</v>
      </c>
      <c r="BD3" s="1">
        <v>0</v>
      </c>
      <c r="BE3" s="206" t="s">
        <v>653</v>
      </c>
      <c r="BF3" s="1">
        <v>0</v>
      </c>
      <c r="BG3" s="206" t="s">
        <v>653</v>
      </c>
      <c r="BH3" s="1">
        <v>0</v>
      </c>
      <c r="BI3" s="3">
        <f t="shared" ref="BI3:BI13" si="10">+$A3*BH3</f>
        <v>0</v>
      </c>
      <c r="BJ3" s="1">
        <v>0</v>
      </c>
      <c r="BK3" s="208" t="s">
        <v>652</v>
      </c>
      <c r="BL3" s="1">
        <v>0</v>
      </c>
      <c r="BM3" s="208" t="s">
        <v>652</v>
      </c>
    </row>
    <row r="4" spans="1:65" hidden="1" outlineLevel="1" x14ac:dyDescent="0.25">
      <c r="A4" s="20">
        <v>50000</v>
      </c>
      <c r="B4" s="19">
        <v>1</v>
      </c>
      <c r="C4" s="3">
        <f t="shared" ref="C4:C13" si="11">+A4*B4</f>
        <v>50000</v>
      </c>
      <c r="D4" s="19">
        <v>1</v>
      </c>
      <c r="E4" s="6">
        <f t="shared" ref="E4:E13" si="12">+$A4*D4</f>
        <v>50000</v>
      </c>
      <c r="F4" s="19">
        <v>1</v>
      </c>
      <c r="G4" s="208"/>
      <c r="H4" s="19">
        <v>0</v>
      </c>
      <c r="I4" s="23">
        <f t="shared" ref="I4" si="13">+$A4*H4</f>
        <v>0</v>
      </c>
      <c r="J4" s="19">
        <v>2</v>
      </c>
      <c r="K4" s="23">
        <f t="shared" ref="K4" si="14">+$A4*J4</f>
        <v>100000</v>
      </c>
      <c r="L4" s="19">
        <v>0</v>
      </c>
      <c r="M4" s="3">
        <f t="shared" ref="M4" si="15">+$A4*L4</f>
        <v>0</v>
      </c>
      <c r="N4" s="19">
        <v>0</v>
      </c>
      <c r="O4" s="206"/>
      <c r="P4" s="19">
        <v>1</v>
      </c>
      <c r="Q4" s="3">
        <f t="shared" ref="Q4" si="16">+$A4*P4</f>
        <v>50000</v>
      </c>
      <c r="R4" s="19">
        <v>1</v>
      </c>
      <c r="S4" s="208"/>
      <c r="T4" s="19">
        <v>0</v>
      </c>
      <c r="U4" s="3">
        <f t="shared" ref="U4:U5" si="17">+$A4*T4</f>
        <v>0</v>
      </c>
      <c r="V4" s="1">
        <v>1</v>
      </c>
      <c r="W4" s="3">
        <f t="shared" ref="W4:W5" si="18">+$A4*V4</f>
        <v>50000</v>
      </c>
      <c r="X4" s="19">
        <v>0</v>
      </c>
      <c r="Y4" s="206"/>
      <c r="Z4" s="1">
        <v>0</v>
      </c>
      <c r="AA4" s="3">
        <f t="shared" ref="AA4:AA5" si="19">+$A4*Z4</f>
        <v>0</v>
      </c>
      <c r="AB4" s="1">
        <v>1</v>
      </c>
      <c r="AC4" s="3">
        <f t="shared" si="0"/>
        <v>50000</v>
      </c>
      <c r="AD4" s="1">
        <v>0</v>
      </c>
      <c r="AE4" s="6">
        <f t="shared" si="0"/>
        <v>0</v>
      </c>
      <c r="AF4" s="1">
        <v>1</v>
      </c>
      <c r="AG4" s="3">
        <f t="shared" si="1"/>
        <v>50000</v>
      </c>
      <c r="AH4" s="1">
        <v>0</v>
      </c>
      <c r="AI4" s="3">
        <f t="shared" si="1"/>
        <v>0</v>
      </c>
      <c r="AJ4" s="1">
        <v>0</v>
      </c>
      <c r="AK4" s="3">
        <f t="shared" si="2"/>
        <v>0</v>
      </c>
      <c r="AL4" s="1"/>
      <c r="AM4" s="208"/>
      <c r="AN4" s="1">
        <v>0</v>
      </c>
      <c r="AO4" s="3">
        <f t="shared" si="3"/>
        <v>0</v>
      </c>
      <c r="AP4" s="1">
        <v>0</v>
      </c>
      <c r="AQ4" s="3">
        <f t="shared" si="4"/>
        <v>0</v>
      </c>
      <c r="AR4" s="1"/>
      <c r="AS4" s="208"/>
      <c r="AT4" s="1">
        <v>0</v>
      </c>
      <c r="AU4" s="3">
        <f t="shared" si="5"/>
        <v>0</v>
      </c>
      <c r="AV4" s="1">
        <v>0</v>
      </c>
      <c r="AW4" s="3">
        <f t="shared" si="6"/>
        <v>0</v>
      </c>
      <c r="AX4" s="1">
        <v>2</v>
      </c>
      <c r="AY4" s="3">
        <f t="shared" si="7"/>
        <v>100000</v>
      </c>
      <c r="AZ4" s="1">
        <v>0</v>
      </c>
      <c r="BA4" s="3">
        <f t="shared" si="8"/>
        <v>0</v>
      </c>
      <c r="BB4" s="1">
        <v>0</v>
      </c>
      <c r="BC4" s="3">
        <f t="shared" si="9"/>
        <v>0</v>
      </c>
      <c r="BD4" s="1">
        <v>0</v>
      </c>
      <c r="BE4" s="206"/>
      <c r="BF4" s="1">
        <v>0</v>
      </c>
      <c r="BG4" s="206"/>
      <c r="BH4" s="1">
        <v>0</v>
      </c>
      <c r="BI4" s="3">
        <f t="shared" si="10"/>
        <v>0</v>
      </c>
      <c r="BJ4" s="1">
        <v>0</v>
      </c>
      <c r="BK4" s="208"/>
      <c r="BL4" s="1">
        <v>0</v>
      </c>
      <c r="BM4" s="208"/>
    </row>
    <row r="5" spans="1:65" hidden="1" outlineLevel="1" x14ac:dyDescent="0.25">
      <c r="A5" s="20">
        <v>20000</v>
      </c>
      <c r="B5" s="19">
        <v>4</v>
      </c>
      <c r="C5" s="3">
        <f t="shared" si="11"/>
        <v>80000</v>
      </c>
      <c r="D5" s="19">
        <v>5</v>
      </c>
      <c r="E5" s="6">
        <f>+$A5*D5</f>
        <v>100000</v>
      </c>
      <c r="F5" s="19">
        <v>5</v>
      </c>
      <c r="G5" s="208"/>
      <c r="H5" s="19">
        <v>4</v>
      </c>
      <c r="I5" s="23">
        <f>+$A5*H5</f>
        <v>80000</v>
      </c>
      <c r="J5" s="19"/>
      <c r="K5" s="23">
        <f>+$A5*J5</f>
        <v>0</v>
      </c>
      <c r="L5" s="19">
        <v>0</v>
      </c>
      <c r="M5" s="3">
        <f>+$A5*L5</f>
        <v>0</v>
      </c>
      <c r="N5" s="19">
        <v>0</v>
      </c>
      <c r="O5" s="206"/>
      <c r="P5" s="19">
        <v>1</v>
      </c>
      <c r="Q5" s="3">
        <f>+$A5*P5</f>
        <v>20000</v>
      </c>
      <c r="R5" s="19">
        <v>1</v>
      </c>
      <c r="S5" s="208"/>
      <c r="T5" s="19">
        <v>0</v>
      </c>
      <c r="U5" s="3">
        <f t="shared" si="17"/>
        <v>0</v>
      </c>
      <c r="V5" s="1">
        <v>0</v>
      </c>
      <c r="W5" s="3">
        <f t="shared" si="18"/>
        <v>0</v>
      </c>
      <c r="X5" s="19">
        <v>0</v>
      </c>
      <c r="Y5" s="206"/>
      <c r="Z5" s="1">
        <v>0</v>
      </c>
      <c r="AA5" s="3">
        <f t="shared" si="19"/>
        <v>0</v>
      </c>
      <c r="AB5" s="1">
        <v>1</v>
      </c>
      <c r="AC5" s="3">
        <f t="shared" si="0"/>
        <v>20000</v>
      </c>
      <c r="AD5" s="1">
        <v>0</v>
      </c>
      <c r="AE5" s="6">
        <f t="shared" si="0"/>
        <v>0</v>
      </c>
      <c r="AF5" s="1">
        <v>0</v>
      </c>
      <c r="AG5" s="3">
        <f t="shared" si="1"/>
        <v>0</v>
      </c>
      <c r="AH5" s="1">
        <v>0</v>
      </c>
      <c r="AI5" s="3">
        <f t="shared" si="1"/>
        <v>0</v>
      </c>
      <c r="AJ5" s="1">
        <v>0</v>
      </c>
      <c r="AK5" s="3">
        <f t="shared" si="2"/>
        <v>0</v>
      </c>
      <c r="AL5" s="1"/>
      <c r="AM5" s="208"/>
      <c r="AN5" s="1">
        <v>2</v>
      </c>
      <c r="AO5" s="3">
        <f t="shared" si="3"/>
        <v>40000</v>
      </c>
      <c r="AP5" s="1">
        <v>0</v>
      </c>
      <c r="AQ5" s="3">
        <f t="shared" si="4"/>
        <v>0</v>
      </c>
      <c r="AR5" s="1"/>
      <c r="AS5" s="208"/>
      <c r="AT5" s="1">
        <v>0</v>
      </c>
      <c r="AU5" s="3">
        <f t="shared" si="5"/>
        <v>0</v>
      </c>
      <c r="AV5" s="1">
        <v>0</v>
      </c>
      <c r="AW5" s="3">
        <f t="shared" si="6"/>
        <v>0</v>
      </c>
      <c r="AX5" s="1">
        <v>0</v>
      </c>
      <c r="AY5" s="3">
        <f t="shared" si="7"/>
        <v>0</v>
      </c>
      <c r="AZ5" s="1">
        <v>0</v>
      </c>
      <c r="BA5" s="3">
        <f t="shared" si="8"/>
        <v>0</v>
      </c>
      <c r="BB5" s="1">
        <v>3</v>
      </c>
      <c r="BC5" s="3">
        <f t="shared" si="9"/>
        <v>60000</v>
      </c>
      <c r="BD5" s="1">
        <v>0</v>
      </c>
      <c r="BE5" s="206"/>
      <c r="BF5" s="1">
        <v>0</v>
      </c>
      <c r="BG5" s="206"/>
      <c r="BH5" s="1">
        <v>4</v>
      </c>
      <c r="BI5" s="3">
        <f t="shared" si="10"/>
        <v>80000</v>
      </c>
      <c r="BJ5" s="1">
        <v>0</v>
      </c>
      <c r="BK5" s="208"/>
      <c r="BL5" s="1">
        <v>0</v>
      </c>
      <c r="BM5" s="208"/>
    </row>
    <row r="6" spans="1:65" hidden="1" outlineLevel="1" x14ac:dyDescent="0.25">
      <c r="A6" s="20">
        <v>10000</v>
      </c>
      <c r="B6" s="19">
        <v>2</v>
      </c>
      <c r="C6" s="3">
        <f t="shared" si="11"/>
        <v>20000</v>
      </c>
      <c r="D6" s="19">
        <v>2</v>
      </c>
      <c r="E6" s="6">
        <f>+$A6*D6</f>
        <v>20000</v>
      </c>
      <c r="F6" s="19">
        <v>2</v>
      </c>
      <c r="G6" s="208"/>
      <c r="H6" s="19">
        <v>1</v>
      </c>
      <c r="I6" s="23">
        <f>+$A6*H6</f>
        <v>10000</v>
      </c>
      <c r="J6" s="19">
        <v>1</v>
      </c>
      <c r="K6" s="23">
        <f>+$A6*J6</f>
        <v>10000</v>
      </c>
      <c r="L6" s="19">
        <v>5</v>
      </c>
      <c r="M6" s="3">
        <f>+$A6*L6</f>
        <v>50000</v>
      </c>
      <c r="N6" s="19">
        <v>0</v>
      </c>
      <c r="O6" s="206"/>
      <c r="P6" s="19">
        <v>4</v>
      </c>
      <c r="Q6" s="3">
        <f>+$A6*P6</f>
        <v>40000</v>
      </c>
      <c r="R6" s="19">
        <v>4</v>
      </c>
      <c r="S6" s="208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9">
        <v>0</v>
      </c>
      <c r="Y6" s="206"/>
      <c r="Z6" s="1">
        <v>1</v>
      </c>
      <c r="AA6" s="3">
        <f>+$A6*Z6</f>
        <v>10000</v>
      </c>
      <c r="AB6" s="1">
        <v>1</v>
      </c>
      <c r="AC6" s="3">
        <f>+$A6*AB6</f>
        <v>10000</v>
      </c>
      <c r="AD6" s="1">
        <v>2</v>
      </c>
      <c r="AE6" s="6">
        <f>+$A6*AD6</f>
        <v>20000</v>
      </c>
      <c r="AF6" s="1">
        <v>1</v>
      </c>
      <c r="AG6" s="3">
        <f t="shared" si="1"/>
        <v>10000</v>
      </c>
      <c r="AH6" s="1">
        <v>0</v>
      </c>
      <c r="AI6" s="3">
        <f t="shared" si="1"/>
        <v>0</v>
      </c>
      <c r="AJ6" s="1">
        <v>1</v>
      </c>
      <c r="AK6" s="3">
        <f t="shared" si="2"/>
        <v>10000</v>
      </c>
      <c r="AL6" s="1"/>
      <c r="AM6" s="208"/>
      <c r="AN6" s="1">
        <v>4</v>
      </c>
      <c r="AO6" s="3">
        <f t="shared" si="3"/>
        <v>40000</v>
      </c>
      <c r="AP6" s="1">
        <v>0</v>
      </c>
      <c r="AQ6" s="3">
        <f t="shared" si="4"/>
        <v>0</v>
      </c>
      <c r="AR6" s="1"/>
      <c r="AS6" s="208"/>
      <c r="AT6" s="1">
        <v>4</v>
      </c>
      <c r="AU6" s="3">
        <f t="shared" si="5"/>
        <v>40000</v>
      </c>
      <c r="AV6" s="1">
        <v>5</v>
      </c>
      <c r="AW6" s="3">
        <f t="shared" si="6"/>
        <v>50000</v>
      </c>
      <c r="AX6" s="1">
        <v>1</v>
      </c>
      <c r="AY6" s="3">
        <f t="shared" si="7"/>
        <v>10000</v>
      </c>
      <c r="AZ6" s="1">
        <v>0</v>
      </c>
      <c r="BA6" s="3">
        <f t="shared" si="8"/>
        <v>0</v>
      </c>
      <c r="BB6" s="1">
        <v>0</v>
      </c>
      <c r="BC6" s="3">
        <f t="shared" si="9"/>
        <v>0</v>
      </c>
      <c r="BD6" s="1">
        <v>0</v>
      </c>
      <c r="BE6" s="206"/>
      <c r="BF6" s="1">
        <v>0</v>
      </c>
      <c r="BG6" s="206"/>
      <c r="BH6" s="1">
        <v>6</v>
      </c>
      <c r="BI6" s="3">
        <f t="shared" si="10"/>
        <v>60000</v>
      </c>
      <c r="BJ6" s="1">
        <v>0</v>
      </c>
      <c r="BK6" s="208"/>
      <c r="BL6" s="1">
        <v>0</v>
      </c>
      <c r="BM6" s="208"/>
    </row>
    <row r="7" spans="1:65" hidden="1" outlineLevel="1" x14ac:dyDescent="0.25">
      <c r="A7" s="20">
        <v>5000</v>
      </c>
      <c r="B7" s="19">
        <v>2</v>
      </c>
      <c r="C7" s="3">
        <f t="shared" si="11"/>
        <v>10000</v>
      </c>
      <c r="D7" s="19">
        <v>4</v>
      </c>
      <c r="E7" s="6">
        <f t="shared" si="12"/>
        <v>20000</v>
      </c>
      <c r="F7" s="19">
        <v>4</v>
      </c>
      <c r="G7" s="208"/>
      <c r="H7" s="19">
        <v>6</v>
      </c>
      <c r="I7" s="23">
        <f t="shared" ref="I7:I13" si="20">+$A7*H7</f>
        <v>30000</v>
      </c>
      <c r="J7" s="19">
        <v>5</v>
      </c>
      <c r="K7" s="23">
        <f t="shared" ref="K7:K13" si="21">+$A7*J7</f>
        <v>25000</v>
      </c>
      <c r="L7" s="19">
        <v>5</v>
      </c>
      <c r="M7" s="3">
        <f t="shared" ref="M7:M13" si="22">+$A7*L7</f>
        <v>25000</v>
      </c>
      <c r="N7" s="19">
        <v>0</v>
      </c>
      <c r="O7" s="206"/>
      <c r="P7" s="19">
        <v>3</v>
      </c>
      <c r="Q7" s="3">
        <f t="shared" ref="Q7:Q13" si="23">+$A7*P7</f>
        <v>15000</v>
      </c>
      <c r="R7" s="19">
        <v>3</v>
      </c>
      <c r="S7" s="208"/>
      <c r="T7" s="19">
        <v>3</v>
      </c>
      <c r="U7" s="3">
        <f t="shared" ref="U7:U13" si="24">+$A7*T7</f>
        <v>15000</v>
      </c>
      <c r="V7" s="1">
        <v>4</v>
      </c>
      <c r="W7" s="3">
        <f t="shared" ref="W7:W13" si="25">+$A7*V7</f>
        <v>20000</v>
      </c>
      <c r="X7" s="19">
        <v>0</v>
      </c>
      <c r="Y7" s="206"/>
      <c r="Z7" s="1">
        <v>0</v>
      </c>
      <c r="AA7" s="3">
        <f t="shared" ref="AA7:AA13" si="26">+$A7*Z7</f>
        <v>0</v>
      </c>
      <c r="AB7" s="1">
        <v>0</v>
      </c>
      <c r="AC7" s="3">
        <f t="shared" ref="AC7:AE13" si="27">+$A7*AB7</f>
        <v>0</v>
      </c>
      <c r="AD7" s="1">
        <v>3</v>
      </c>
      <c r="AE7" s="6">
        <f t="shared" si="27"/>
        <v>15000</v>
      </c>
      <c r="AF7" s="1">
        <v>3</v>
      </c>
      <c r="AG7" s="3">
        <f t="shared" si="1"/>
        <v>15000</v>
      </c>
      <c r="AH7" s="1">
        <v>5</v>
      </c>
      <c r="AI7" s="3">
        <f t="shared" si="1"/>
        <v>25000</v>
      </c>
      <c r="AJ7" s="1">
        <v>3</v>
      </c>
      <c r="AK7" s="3">
        <f t="shared" si="2"/>
        <v>15000</v>
      </c>
      <c r="AL7" s="1"/>
      <c r="AM7" s="208"/>
      <c r="AN7" s="1">
        <v>8</v>
      </c>
      <c r="AO7" s="3">
        <f t="shared" si="3"/>
        <v>40000</v>
      </c>
      <c r="AP7" s="1">
        <v>3</v>
      </c>
      <c r="AQ7" s="3">
        <f t="shared" si="4"/>
        <v>15000</v>
      </c>
      <c r="AR7" s="1"/>
      <c r="AS7" s="208"/>
      <c r="AT7" s="1">
        <v>3</v>
      </c>
      <c r="AU7" s="3">
        <f t="shared" si="5"/>
        <v>15000</v>
      </c>
      <c r="AV7" s="1">
        <v>10</v>
      </c>
      <c r="AW7" s="3">
        <f t="shared" si="6"/>
        <v>50000</v>
      </c>
      <c r="AX7" s="1">
        <v>8</v>
      </c>
      <c r="AY7" s="3">
        <f t="shared" si="7"/>
        <v>40000</v>
      </c>
      <c r="AZ7" s="1">
        <v>6</v>
      </c>
      <c r="BA7" s="3">
        <f t="shared" si="8"/>
        <v>30000</v>
      </c>
      <c r="BB7" s="1">
        <v>3</v>
      </c>
      <c r="BC7" s="3">
        <f t="shared" si="9"/>
        <v>15000</v>
      </c>
      <c r="BD7" s="1">
        <v>0</v>
      </c>
      <c r="BE7" s="206"/>
      <c r="BF7" s="1">
        <v>0</v>
      </c>
      <c r="BG7" s="206"/>
      <c r="BH7" s="1">
        <v>1</v>
      </c>
      <c r="BI7" s="3">
        <f t="shared" si="10"/>
        <v>5000</v>
      </c>
      <c r="BJ7" s="1">
        <v>0</v>
      </c>
      <c r="BK7" s="208"/>
      <c r="BL7" s="1">
        <v>0</v>
      </c>
      <c r="BM7" s="208"/>
    </row>
    <row r="8" spans="1:65" hidden="1" outlineLevel="1" x14ac:dyDescent="0.25">
      <c r="A8" s="20">
        <v>2000</v>
      </c>
      <c r="B8" s="19">
        <v>4</v>
      </c>
      <c r="C8" s="3">
        <f t="shared" si="11"/>
        <v>8000</v>
      </c>
      <c r="D8" s="19">
        <v>5</v>
      </c>
      <c r="E8" s="6">
        <f t="shared" si="12"/>
        <v>10000</v>
      </c>
      <c r="F8" s="19">
        <v>5</v>
      </c>
      <c r="G8" s="208"/>
      <c r="H8" s="19">
        <v>12</v>
      </c>
      <c r="I8" s="23">
        <f t="shared" si="20"/>
        <v>24000</v>
      </c>
      <c r="J8" s="19">
        <v>17</v>
      </c>
      <c r="K8" s="23">
        <f t="shared" si="21"/>
        <v>34000</v>
      </c>
      <c r="L8" s="19">
        <v>14</v>
      </c>
      <c r="M8" s="3">
        <f t="shared" si="22"/>
        <v>28000</v>
      </c>
      <c r="N8" s="19">
        <v>0</v>
      </c>
      <c r="O8" s="206"/>
      <c r="P8" s="19">
        <v>10</v>
      </c>
      <c r="Q8" s="3">
        <f t="shared" si="23"/>
        <v>20000</v>
      </c>
      <c r="R8" s="19">
        <v>10</v>
      </c>
      <c r="S8" s="208"/>
      <c r="T8" s="19">
        <v>12</v>
      </c>
      <c r="U8" s="3">
        <f t="shared" si="24"/>
        <v>24000</v>
      </c>
      <c r="V8" s="1">
        <v>22</v>
      </c>
      <c r="W8" s="3">
        <f t="shared" si="25"/>
        <v>44000</v>
      </c>
      <c r="X8" s="19">
        <v>0</v>
      </c>
      <c r="Y8" s="206"/>
      <c r="Z8" s="1">
        <v>23</v>
      </c>
      <c r="AA8" s="3">
        <f t="shared" si="26"/>
        <v>46000</v>
      </c>
      <c r="AB8" s="1">
        <v>20</v>
      </c>
      <c r="AC8" s="3">
        <f t="shared" si="27"/>
        <v>40000</v>
      </c>
      <c r="AD8" s="1">
        <v>25</v>
      </c>
      <c r="AE8" s="6">
        <f t="shared" si="27"/>
        <v>50000</v>
      </c>
      <c r="AF8" s="1">
        <v>25</v>
      </c>
      <c r="AG8" s="3">
        <f t="shared" si="1"/>
        <v>50000</v>
      </c>
      <c r="AH8" s="1">
        <v>25</v>
      </c>
      <c r="AI8" s="3">
        <f t="shared" si="1"/>
        <v>50000</v>
      </c>
      <c r="AJ8" s="1">
        <v>20</v>
      </c>
      <c r="AK8" s="3">
        <f t="shared" si="2"/>
        <v>40000</v>
      </c>
      <c r="AL8" s="1"/>
      <c r="AM8" s="208"/>
      <c r="AN8" s="1">
        <v>23</v>
      </c>
      <c r="AO8" s="3">
        <f t="shared" si="3"/>
        <v>46000</v>
      </c>
      <c r="AP8" s="1">
        <v>18</v>
      </c>
      <c r="AQ8" s="3">
        <f t="shared" si="4"/>
        <v>36000</v>
      </c>
      <c r="AR8" s="1"/>
      <c r="AS8" s="208"/>
      <c r="AT8" s="1">
        <v>3</v>
      </c>
      <c r="AU8" s="3">
        <f t="shared" si="5"/>
        <v>6000</v>
      </c>
      <c r="AV8" s="1">
        <v>15</v>
      </c>
      <c r="AW8" s="3">
        <f t="shared" si="6"/>
        <v>30000</v>
      </c>
      <c r="AX8" s="1">
        <v>23</v>
      </c>
      <c r="AY8" s="3">
        <f t="shared" si="7"/>
        <v>46000</v>
      </c>
      <c r="AZ8" s="1">
        <v>21</v>
      </c>
      <c r="BA8" s="3">
        <f t="shared" si="8"/>
        <v>42000</v>
      </c>
      <c r="BB8" s="1">
        <v>18</v>
      </c>
      <c r="BC8" s="3">
        <f t="shared" si="9"/>
        <v>36000</v>
      </c>
      <c r="BD8" s="1">
        <v>0</v>
      </c>
      <c r="BE8" s="206"/>
      <c r="BF8" s="1">
        <v>0</v>
      </c>
      <c r="BG8" s="206"/>
      <c r="BH8" s="1">
        <v>18</v>
      </c>
      <c r="BI8" s="3">
        <f t="shared" si="10"/>
        <v>36000</v>
      </c>
      <c r="BJ8" s="1">
        <v>0</v>
      </c>
      <c r="BK8" s="208"/>
      <c r="BL8" s="1">
        <v>0</v>
      </c>
      <c r="BM8" s="208"/>
    </row>
    <row r="9" spans="1:65" hidden="1" outlineLevel="1" x14ac:dyDescent="0.25">
      <c r="A9" s="20">
        <v>1000</v>
      </c>
      <c r="B9" s="19">
        <v>7</v>
      </c>
      <c r="C9" s="3">
        <f t="shared" si="11"/>
        <v>7000</v>
      </c>
      <c r="D9" s="19">
        <v>8</v>
      </c>
      <c r="E9" s="6">
        <f t="shared" si="12"/>
        <v>8000</v>
      </c>
      <c r="F9" s="19">
        <v>8</v>
      </c>
      <c r="G9" s="208"/>
      <c r="H9" s="19">
        <v>3</v>
      </c>
      <c r="I9" s="23">
        <f t="shared" si="20"/>
        <v>3000</v>
      </c>
      <c r="J9" s="19">
        <v>2</v>
      </c>
      <c r="K9" s="23">
        <f t="shared" si="21"/>
        <v>2000</v>
      </c>
      <c r="L9" s="19">
        <v>0</v>
      </c>
      <c r="M9" s="3">
        <f t="shared" si="22"/>
        <v>0</v>
      </c>
      <c r="N9" s="19">
        <v>0</v>
      </c>
      <c r="O9" s="206"/>
      <c r="P9" s="19">
        <v>0</v>
      </c>
      <c r="Q9" s="3">
        <f t="shared" si="23"/>
        <v>0</v>
      </c>
      <c r="R9" s="19">
        <v>0</v>
      </c>
      <c r="S9" s="208"/>
      <c r="T9" s="19">
        <v>20</v>
      </c>
      <c r="U9" s="3">
        <f t="shared" si="24"/>
        <v>20000</v>
      </c>
      <c r="V9" s="1">
        <v>16</v>
      </c>
      <c r="W9" s="3">
        <f t="shared" si="25"/>
        <v>16000</v>
      </c>
      <c r="X9" s="19">
        <v>0</v>
      </c>
      <c r="Y9" s="206"/>
      <c r="Z9" s="1">
        <v>12</v>
      </c>
      <c r="AA9" s="3">
        <f t="shared" si="26"/>
        <v>12000</v>
      </c>
      <c r="AB9" s="1">
        <v>9</v>
      </c>
      <c r="AC9" s="3">
        <f t="shared" si="27"/>
        <v>9000</v>
      </c>
      <c r="AD9" s="1">
        <v>6</v>
      </c>
      <c r="AE9" s="6">
        <f t="shared" si="27"/>
        <v>6000</v>
      </c>
      <c r="AF9" s="1">
        <v>11</v>
      </c>
      <c r="AG9" s="3">
        <f t="shared" si="1"/>
        <v>11000</v>
      </c>
      <c r="AH9" s="1">
        <v>10</v>
      </c>
      <c r="AI9" s="3">
        <f t="shared" si="1"/>
        <v>10000</v>
      </c>
      <c r="AJ9" s="1">
        <v>6</v>
      </c>
      <c r="AK9" s="3">
        <f t="shared" si="2"/>
        <v>6000</v>
      </c>
      <c r="AL9" s="1"/>
      <c r="AM9" s="208"/>
      <c r="AN9" s="1">
        <v>11</v>
      </c>
      <c r="AO9" s="3">
        <f t="shared" si="3"/>
        <v>11000</v>
      </c>
      <c r="AP9" s="1">
        <v>9</v>
      </c>
      <c r="AQ9" s="3">
        <f t="shared" si="4"/>
        <v>9000</v>
      </c>
      <c r="AR9" s="1"/>
      <c r="AS9" s="208"/>
      <c r="AT9" s="1">
        <v>3</v>
      </c>
      <c r="AU9" s="3">
        <f t="shared" si="5"/>
        <v>3000</v>
      </c>
      <c r="AV9" s="1">
        <v>14</v>
      </c>
      <c r="AW9" s="3">
        <f t="shared" si="6"/>
        <v>14000</v>
      </c>
      <c r="AX9" s="1">
        <v>7</v>
      </c>
      <c r="AY9" s="3">
        <f t="shared" si="7"/>
        <v>7000</v>
      </c>
      <c r="AZ9" s="1">
        <v>7</v>
      </c>
      <c r="BA9" s="3">
        <f t="shared" si="8"/>
        <v>7000</v>
      </c>
      <c r="BB9" s="1">
        <v>6</v>
      </c>
      <c r="BC9" s="3">
        <f t="shared" si="9"/>
        <v>6000</v>
      </c>
      <c r="BD9" s="1">
        <v>0</v>
      </c>
      <c r="BE9" s="206"/>
      <c r="BF9" s="1">
        <v>0</v>
      </c>
      <c r="BG9" s="206"/>
      <c r="BH9" s="1">
        <v>6</v>
      </c>
      <c r="BI9" s="3">
        <f t="shared" si="10"/>
        <v>6000</v>
      </c>
      <c r="BJ9" s="1">
        <v>0</v>
      </c>
      <c r="BK9" s="208"/>
      <c r="BL9" s="1">
        <v>0</v>
      </c>
      <c r="BM9" s="208"/>
    </row>
    <row r="10" spans="1:65" hidden="1" outlineLevel="1" x14ac:dyDescent="0.25">
      <c r="A10" s="20">
        <v>500</v>
      </c>
      <c r="B10" s="19">
        <v>31</v>
      </c>
      <c r="C10" s="3">
        <f t="shared" si="11"/>
        <v>15500</v>
      </c>
      <c r="D10" s="19">
        <v>32</v>
      </c>
      <c r="E10" s="6">
        <f t="shared" si="12"/>
        <v>16000</v>
      </c>
      <c r="F10" s="19">
        <v>32</v>
      </c>
      <c r="G10" s="208"/>
      <c r="H10" s="19">
        <v>38</v>
      </c>
      <c r="I10" s="23">
        <f t="shared" si="20"/>
        <v>19000</v>
      </c>
      <c r="J10" s="19">
        <v>37</v>
      </c>
      <c r="K10" s="23">
        <f t="shared" si="21"/>
        <v>18500</v>
      </c>
      <c r="L10" s="19">
        <v>36</v>
      </c>
      <c r="M10" s="3">
        <f t="shared" si="22"/>
        <v>18000</v>
      </c>
      <c r="N10" s="19">
        <v>0</v>
      </c>
      <c r="O10" s="206"/>
      <c r="P10" s="19">
        <v>36</v>
      </c>
      <c r="Q10" s="3">
        <f t="shared" si="23"/>
        <v>18000</v>
      </c>
      <c r="R10" s="19">
        <v>36</v>
      </c>
      <c r="S10" s="208"/>
      <c r="T10" s="19">
        <v>40</v>
      </c>
      <c r="U10" s="3">
        <f t="shared" si="24"/>
        <v>20000</v>
      </c>
      <c r="V10" s="1">
        <v>45</v>
      </c>
      <c r="W10" s="3">
        <f t="shared" si="25"/>
        <v>22500</v>
      </c>
      <c r="X10" s="19">
        <v>0</v>
      </c>
      <c r="Y10" s="206"/>
      <c r="Z10" s="1">
        <v>31</v>
      </c>
      <c r="AA10" s="3">
        <f t="shared" si="26"/>
        <v>15500</v>
      </c>
      <c r="AB10" s="1">
        <v>20</v>
      </c>
      <c r="AC10" s="3">
        <f t="shared" si="27"/>
        <v>10000</v>
      </c>
      <c r="AD10" s="1">
        <v>21</v>
      </c>
      <c r="AE10" s="6">
        <f t="shared" si="27"/>
        <v>10500</v>
      </c>
      <c r="AF10" s="1">
        <v>21</v>
      </c>
      <c r="AG10" s="3">
        <f t="shared" si="1"/>
        <v>10500</v>
      </c>
      <c r="AH10" s="1">
        <v>35</v>
      </c>
      <c r="AI10" s="3">
        <f t="shared" si="1"/>
        <v>17500</v>
      </c>
      <c r="AJ10" s="1">
        <v>20</v>
      </c>
      <c r="AK10" s="3">
        <f t="shared" si="2"/>
        <v>10000</v>
      </c>
      <c r="AL10" s="1"/>
      <c r="AM10" s="208"/>
      <c r="AN10" s="1">
        <v>42</v>
      </c>
      <c r="AO10" s="3">
        <f t="shared" si="3"/>
        <v>21000</v>
      </c>
      <c r="AP10" s="1">
        <v>44</v>
      </c>
      <c r="AQ10" s="3">
        <f t="shared" si="4"/>
        <v>22000</v>
      </c>
      <c r="AR10" s="1"/>
      <c r="AS10" s="208"/>
      <c r="AT10" s="1">
        <v>46</v>
      </c>
      <c r="AU10" s="3">
        <f t="shared" si="5"/>
        <v>23000</v>
      </c>
      <c r="AV10" s="1">
        <v>50</v>
      </c>
      <c r="AW10" s="3">
        <f t="shared" si="6"/>
        <v>25000</v>
      </c>
      <c r="AX10" s="1">
        <v>49</v>
      </c>
      <c r="AY10" s="3">
        <f t="shared" si="7"/>
        <v>24500</v>
      </c>
      <c r="AZ10" s="1">
        <v>49</v>
      </c>
      <c r="BA10" s="3">
        <f t="shared" si="8"/>
        <v>24500</v>
      </c>
      <c r="BB10" s="1">
        <v>48</v>
      </c>
      <c r="BC10" s="3">
        <f t="shared" si="9"/>
        <v>24000</v>
      </c>
      <c r="BD10" s="1">
        <v>0</v>
      </c>
      <c r="BE10" s="206"/>
      <c r="BF10" s="1">
        <v>0</v>
      </c>
      <c r="BG10" s="206"/>
      <c r="BH10" s="1">
        <v>49</v>
      </c>
      <c r="BI10" s="3">
        <f t="shared" si="10"/>
        <v>24500</v>
      </c>
      <c r="BJ10" s="1">
        <v>0</v>
      </c>
      <c r="BK10" s="208"/>
      <c r="BL10" s="1">
        <v>0</v>
      </c>
      <c r="BM10" s="208"/>
    </row>
    <row r="11" spans="1:65" hidden="1" outlineLevel="1" x14ac:dyDescent="0.25">
      <c r="A11" s="20">
        <v>200</v>
      </c>
      <c r="B11" s="19">
        <v>54</v>
      </c>
      <c r="C11" s="3">
        <f t="shared" si="11"/>
        <v>10800</v>
      </c>
      <c r="D11" s="19">
        <v>56</v>
      </c>
      <c r="E11" s="6">
        <f t="shared" si="12"/>
        <v>11200</v>
      </c>
      <c r="F11" s="19">
        <v>56</v>
      </c>
      <c r="G11" s="208"/>
      <c r="H11" s="19">
        <v>62</v>
      </c>
      <c r="I11" s="23">
        <f t="shared" si="20"/>
        <v>12400</v>
      </c>
      <c r="J11" s="19">
        <v>62</v>
      </c>
      <c r="K11" s="23">
        <f t="shared" si="21"/>
        <v>12400</v>
      </c>
      <c r="L11" s="19">
        <v>68</v>
      </c>
      <c r="M11" s="3">
        <f t="shared" si="22"/>
        <v>13600</v>
      </c>
      <c r="N11" s="19">
        <v>0</v>
      </c>
      <c r="O11" s="206"/>
      <c r="P11" s="19">
        <v>81</v>
      </c>
      <c r="Q11" s="3">
        <f t="shared" si="23"/>
        <v>16200</v>
      </c>
      <c r="R11" s="19">
        <v>81</v>
      </c>
      <c r="S11" s="208"/>
      <c r="T11" s="19">
        <v>3</v>
      </c>
      <c r="U11" s="3">
        <f t="shared" si="24"/>
        <v>600</v>
      </c>
      <c r="V11" s="1">
        <v>5</v>
      </c>
      <c r="W11" s="3">
        <f t="shared" si="25"/>
        <v>1000</v>
      </c>
      <c r="X11" s="19">
        <v>0</v>
      </c>
      <c r="Y11" s="206"/>
      <c r="Z11" s="1">
        <v>4</v>
      </c>
      <c r="AA11" s="3">
        <f t="shared" si="26"/>
        <v>800</v>
      </c>
      <c r="AB11" s="1">
        <v>4</v>
      </c>
      <c r="AC11" s="3">
        <f t="shared" si="27"/>
        <v>800</v>
      </c>
      <c r="AD11" s="1">
        <v>7</v>
      </c>
      <c r="AE11" s="6">
        <f t="shared" si="27"/>
        <v>1400</v>
      </c>
      <c r="AF11" s="1">
        <v>13</v>
      </c>
      <c r="AG11" s="3">
        <f t="shared" si="1"/>
        <v>2600</v>
      </c>
      <c r="AH11" s="1">
        <v>9</v>
      </c>
      <c r="AI11" s="3">
        <f t="shared" si="1"/>
        <v>1800</v>
      </c>
      <c r="AJ11" s="1">
        <v>6</v>
      </c>
      <c r="AK11" s="3">
        <f t="shared" si="2"/>
        <v>1200</v>
      </c>
      <c r="AL11" s="1"/>
      <c r="AM11" s="208"/>
      <c r="AN11" s="1">
        <v>10</v>
      </c>
      <c r="AO11" s="3">
        <f t="shared" si="3"/>
        <v>2000</v>
      </c>
      <c r="AP11" s="1">
        <v>13</v>
      </c>
      <c r="AQ11" s="3">
        <f t="shared" si="4"/>
        <v>2600</v>
      </c>
      <c r="AR11" s="1"/>
      <c r="AS11" s="208"/>
      <c r="AT11" s="1">
        <v>25</v>
      </c>
      <c r="AU11" s="3">
        <f t="shared" si="5"/>
        <v>5000</v>
      </c>
      <c r="AV11" s="1">
        <v>10</v>
      </c>
      <c r="AW11" s="3">
        <f t="shared" si="6"/>
        <v>2000</v>
      </c>
      <c r="AX11" s="1">
        <v>10</v>
      </c>
      <c r="AY11" s="3">
        <f t="shared" si="7"/>
        <v>2000</v>
      </c>
      <c r="AZ11" s="1">
        <v>14</v>
      </c>
      <c r="BA11" s="3">
        <f t="shared" si="8"/>
        <v>2800</v>
      </c>
      <c r="BB11" s="1">
        <v>9</v>
      </c>
      <c r="BC11" s="3">
        <f t="shared" si="9"/>
        <v>1800</v>
      </c>
      <c r="BD11" s="1">
        <v>0</v>
      </c>
      <c r="BE11" s="206"/>
      <c r="BF11" s="1">
        <v>0</v>
      </c>
      <c r="BG11" s="206"/>
      <c r="BH11" s="1">
        <v>9</v>
      </c>
      <c r="BI11" s="3">
        <f t="shared" si="10"/>
        <v>1800</v>
      </c>
      <c r="BJ11" s="1">
        <v>0</v>
      </c>
      <c r="BK11" s="208"/>
      <c r="BL11" s="1">
        <v>0</v>
      </c>
      <c r="BM11" s="208"/>
    </row>
    <row r="12" spans="1:65" hidden="1" outlineLevel="1" x14ac:dyDescent="0.25">
      <c r="A12" s="20">
        <v>100</v>
      </c>
      <c r="B12" s="19">
        <v>38</v>
      </c>
      <c r="C12" s="3">
        <f t="shared" si="11"/>
        <v>3800</v>
      </c>
      <c r="D12" s="19">
        <v>39</v>
      </c>
      <c r="E12" s="6">
        <f t="shared" si="12"/>
        <v>3900</v>
      </c>
      <c r="F12" s="19">
        <v>39</v>
      </c>
      <c r="G12" s="208"/>
      <c r="H12" s="19">
        <v>51</v>
      </c>
      <c r="I12" s="23">
        <f t="shared" si="20"/>
        <v>5100</v>
      </c>
      <c r="J12" s="19">
        <v>48</v>
      </c>
      <c r="K12" s="23">
        <f t="shared" si="21"/>
        <v>4800</v>
      </c>
      <c r="L12" s="19">
        <v>63</v>
      </c>
      <c r="M12" s="3">
        <f t="shared" si="22"/>
        <v>6300</v>
      </c>
      <c r="N12" s="19">
        <v>0</v>
      </c>
      <c r="O12" s="206"/>
      <c r="P12" s="19">
        <v>77</v>
      </c>
      <c r="Q12" s="3">
        <f t="shared" si="23"/>
        <v>7700</v>
      </c>
      <c r="R12" s="19">
        <v>77</v>
      </c>
      <c r="S12" s="208"/>
      <c r="T12" s="19">
        <v>9</v>
      </c>
      <c r="U12" s="3">
        <f t="shared" si="24"/>
        <v>900</v>
      </c>
      <c r="V12" s="1">
        <v>11</v>
      </c>
      <c r="W12" s="3">
        <f t="shared" si="25"/>
        <v>1100</v>
      </c>
      <c r="X12" s="19">
        <v>0</v>
      </c>
      <c r="Y12" s="206"/>
      <c r="Z12" s="1">
        <v>13</v>
      </c>
      <c r="AA12" s="3">
        <f t="shared" si="26"/>
        <v>1300</v>
      </c>
      <c r="AB12" s="1">
        <v>13</v>
      </c>
      <c r="AC12" s="3">
        <f t="shared" si="27"/>
        <v>1300</v>
      </c>
      <c r="AD12" s="1">
        <v>14</v>
      </c>
      <c r="AE12" s="6">
        <f t="shared" si="27"/>
        <v>1400</v>
      </c>
      <c r="AF12" s="1">
        <v>15</v>
      </c>
      <c r="AG12" s="3">
        <f t="shared" si="1"/>
        <v>1500</v>
      </c>
      <c r="AH12" s="1">
        <v>15</v>
      </c>
      <c r="AI12" s="3">
        <f t="shared" si="1"/>
        <v>1500</v>
      </c>
      <c r="AJ12" s="1">
        <v>17</v>
      </c>
      <c r="AK12" s="3">
        <f t="shared" si="2"/>
        <v>1700</v>
      </c>
      <c r="AL12" s="1"/>
      <c r="AM12" s="208"/>
      <c r="AN12" s="1">
        <v>29</v>
      </c>
      <c r="AO12" s="3">
        <f t="shared" si="3"/>
        <v>2900</v>
      </c>
      <c r="AP12" s="1">
        <v>29</v>
      </c>
      <c r="AQ12" s="3">
        <f t="shared" si="4"/>
        <v>2900</v>
      </c>
      <c r="AR12" s="1"/>
      <c r="AS12" s="208"/>
      <c r="AT12" s="1">
        <v>30</v>
      </c>
      <c r="AU12" s="3">
        <f t="shared" si="5"/>
        <v>3000</v>
      </c>
      <c r="AV12" s="1">
        <v>12</v>
      </c>
      <c r="AW12" s="3">
        <f t="shared" si="6"/>
        <v>1200</v>
      </c>
      <c r="AX12" s="1">
        <v>11</v>
      </c>
      <c r="AY12" s="3">
        <f t="shared" si="7"/>
        <v>1100</v>
      </c>
      <c r="AZ12" s="1">
        <v>13</v>
      </c>
      <c r="BA12" s="3">
        <f t="shared" si="8"/>
        <v>1300</v>
      </c>
      <c r="BB12" s="1">
        <v>13</v>
      </c>
      <c r="BC12" s="3">
        <f t="shared" si="9"/>
        <v>1300</v>
      </c>
      <c r="BD12" s="1">
        <v>0</v>
      </c>
      <c r="BE12" s="206"/>
      <c r="BF12" s="1">
        <v>0</v>
      </c>
      <c r="BG12" s="206"/>
      <c r="BH12" s="1">
        <v>13</v>
      </c>
      <c r="BI12" s="3">
        <f t="shared" si="10"/>
        <v>1300</v>
      </c>
      <c r="BJ12" s="1">
        <v>0</v>
      </c>
      <c r="BK12" s="208"/>
      <c r="BL12" s="1">
        <v>0</v>
      </c>
      <c r="BM12" s="208"/>
    </row>
    <row r="13" spans="1:65" ht="15.75" hidden="1" outlineLevel="1" thickBot="1" x14ac:dyDescent="0.3">
      <c r="A13" s="20">
        <v>50</v>
      </c>
      <c r="B13" s="19">
        <v>10</v>
      </c>
      <c r="C13" s="21">
        <f t="shared" si="11"/>
        <v>500</v>
      </c>
      <c r="D13" s="19">
        <v>10</v>
      </c>
      <c r="E13" s="199">
        <f t="shared" si="12"/>
        <v>500</v>
      </c>
      <c r="F13" s="19">
        <v>10</v>
      </c>
      <c r="G13" s="209"/>
      <c r="H13" s="19">
        <v>10</v>
      </c>
      <c r="I13" s="200">
        <f t="shared" si="20"/>
        <v>500</v>
      </c>
      <c r="J13" s="19">
        <v>10</v>
      </c>
      <c r="K13" s="200">
        <f t="shared" si="21"/>
        <v>500</v>
      </c>
      <c r="L13" s="19">
        <v>10</v>
      </c>
      <c r="M13" s="21">
        <f t="shared" si="22"/>
        <v>500</v>
      </c>
      <c r="N13" s="19">
        <v>0</v>
      </c>
      <c r="O13" s="207"/>
      <c r="P13" s="19">
        <v>14</v>
      </c>
      <c r="Q13" s="21">
        <f t="shared" si="23"/>
        <v>700</v>
      </c>
      <c r="R13" s="19">
        <v>14</v>
      </c>
      <c r="S13" s="209"/>
      <c r="T13" s="19">
        <v>9</v>
      </c>
      <c r="U13" s="21">
        <f t="shared" si="24"/>
        <v>450</v>
      </c>
      <c r="V13" s="1">
        <v>9</v>
      </c>
      <c r="W13" s="21">
        <f t="shared" si="25"/>
        <v>450</v>
      </c>
      <c r="X13" s="19">
        <v>0</v>
      </c>
      <c r="Y13" s="207"/>
      <c r="Z13" s="1">
        <v>8</v>
      </c>
      <c r="AA13" s="21">
        <f t="shared" si="26"/>
        <v>400</v>
      </c>
      <c r="AB13" s="1">
        <v>11</v>
      </c>
      <c r="AC13" s="21">
        <f t="shared" si="27"/>
        <v>550</v>
      </c>
      <c r="AD13" s="1">
        <v>9</v>
      </c>
      <c r="AE13" s="199">
        <f t="shared" si="27"/>
        <v>450</v>
      </c>
      <c r="AF13" s="1">
        <v>8</v>
      </c>
      <c r="AG13" s="21">
        <f t="shared" si="1"/>
        <v>400</v>
      </c>
      <c r="AH13" s="1">
        <v>8</v>
      </c>
      <c r="AI13" s="21">
        <f t="shared" si="1"/>
        <v>400</v>
      </c>
      <c r="AJ13" s="1">
        <v>7</v>
      </c>
      <c r="AK13" s="21">
        <f t="shared" si="2"/>
        <v>350</v>
      </c>
      <c r="AL13" s="1"/>
      <c r="AM13" s="209"/>
      <c r="AN13" s="1">
        <v>9</v>
      </c>
      <c r="AO13" s="21">
        <f t="shared" si="3"/>
        <v>450</v>
      </c>
      <c r="AP13" s="1">
        <v>10</v>
      </c>
      <c r="AQ13" s="21">
        <f t="shared" si="4"/>
        <v>500</v>
      </c>
      <c r="AR13" s="1"/>
      <c r="AS13" s="209"/>
      <c r="AT13" s="1">
        <v>10</v>
      </c>
      <c r="AU13" s="21">
        <f t="shared" si="5"/>
        <v>500</v>
      </c>
      <c r="AV13" s="1">
        <v>11</v>
      </c>
      <c r="AW13" s="21">
        <f t="shared" si="6"/>
        <v>550</v>
      </c>
      <c r="AX13" s="1">
        <v>12</v>
      </c>
      <c r="AY13" s="21">
        <f t="shared" si="7"/>
        <v>600</v>
      </c>
      <c r="AZ13" s="1">
        <v>12</v>
      </c>
      <c r="BA13" s="21">
        <f t="shared" si="8"/>
        <v>600</v>
      </c>
      <c r="BB13" s="1">
        <v>12</v>
      </c>
      <c r="BC13" s="21">
        <f t="shared" si="9"/>
        <v>600</v>
      </c>
      <c r="BD13" s="1">
        <v>0</v>
      </c>
      <c r="BE13" s="207"/>
      <c r="BF13" s="1">
        <v>0</v>
      </c>
      <c r="BG13" s="207"/>
      <c r="BH13" s="1">
        <v>12</v>
      </c>
      <c r="BI13" s="21">
        <f t="shared" si="10"/>
        <v>600</v>
      </c>
      <c r="BJ13" s="1">
        <v>0</v>
      </c>
      <c r="BK13" s="209"/>
      <c r="BL13" s="1">
        <v>0</v>
      </c>
      <c r="BM13" s="209"/>
    </row>
    <row r="14" spans="1:65" collapsed="1" x14ac:dyDescent="0.25">
      <c r="C14" s="13">
        <f>+SUM(C3:C13)</f>
        <v>205600</v>
      </c>
      <c r="E14" s="13">
        <f>+SUM(E3:E13)+SUM('historial de venta'!G32:G37)</f>
        <v>315600</v>
      </c>
      <c r="G14" s="12">
        <f>+G23</f>
        <v>412900</v>
      </c>
      <c r="I14" s="13">
        <f>100000+(315000-10000)</f>
        <v>405000</v>
      </c>
      <c r="K14" s="46">
        <f>+K23</f>
        <v>43100</v>
      </c>
      <c r="M14" s="13">
        <f>SUM(M3:M13)</f>
        <v>141400</v>
      </c>
      <c r="O14" s="12">
        <v>0</v>
      </c>
      <c r="Q14" s="6">
        <f>SUM(Q3:Q13)</f>
        <v>187600</v>
      </c>
      <c r="S14" s="59">
        <f>+S23</f>
        <v>247700</v>
      </c>
      <c r="U14" s="6">
        <f>SUM(U3:U13)</f>
        <v>120950</v>
      </c>
      <c r="W14" s="6">
        <f>SUM(W3:W13)</f>
        <v>175050</v>
      </c>
      <c r="Y14" s="12">
        <v>0</v>
      </c>
      <c r="AA14" s="23">
        <f>SUM(AA3:AA13)</f>
        <v>86000</v>
      </c>
      <c r="AC14" s="12">
        <f>SUM(AC3:AC13)</f>
        <v>141650</v>
      </c>
      <c r="AE14" s="12">
        <f>+AE23</f>
        <v>100000</v>
      </c>
      <c r="AG14" s="12">
        <f>SUM(AG3:AG13)</f>
        <v>151000</v>
      </c>
      <c r="AI14" s="12">
        <f>SUM(AI3:AI13)</f>
        <v>106200</v>
      </c>
      <c r="AK14" s="12">
        <f>SUM(AK3:AK13)</f>
        <v>84250</v>
      </c>
      <c r="AM14" s="46">
        <f>+AM23</f>
        <v>206450</v>
      </c>
      <c r="AO14" s="12">
        <f>SUM(AO3:AO13)</f>
        <v>203350</v>
      </c>
      <c r="AQ14" s="12">
        <f>SUM(AQ3:AQ13)</f>
        <v>88000</v>
      </c>
      <c r="AS14" s="46">
        <f>+AS23</f>
        <v>172000</v>
      </c>
      <c r="AU14" s="12">
        <f>SUM(AU3:AU13)</f>
        <v>95500</v>
      </c>
      <c r="AW14" s="12">
        <f>SUM(AW3:AW13)</f>
        <v>172750</v>
      </c>
      <c r="AY14" s="12">
        <f>SUM(AY3:AY13)</f>
        <v>331200</v>
      </c>
      <c r="BA14" s="12">
        <f>SUM(BA3:BA13)</f>
        <v>108200</v>
      </c>
      <c r="BC14" s="12">
        <f>SUM(BC3:BC13)</f>
        <v>144700</v>
      </c>
      <c r="BE14" s="46">
        <f>+BE23</f>
        <v>144700</v>
      </c>
      <c r="BG14" s="46">
        <f>+BG23</f>
        <v>144700</v>
      </c>
      <c r="BI14" s="12">
        <f>SUM(BI3:BI13)</f>
        <v>215200</v>
      </c>
      <c r="BK14" s="46">
        <f>+BK23</f>
        <v>250850</v>
      </c>
      <c r="BM14" s="46">
        <f>+BM23</f>
        <v>334850</v>
      </c>
    </row>
    <row r="15" spans="1:65" x14ac:dyDescent="0.25">
      <c r="U15">
        <v>324300</v>
      </c>
      <c r="AG15" s="12"/>
      <c r="AI15" s="12"/>
      <c r="AK15" s="12"/>
      <c r="AM15" s="12"/>
      <c r="AO15" s="12"/>
      <c r="AQ15" s="12"/>
      <c r="AS15" s="12"/>
      <c r="BE15" s="9">
        <f>+BC14-BI18</f>
        <v>0</v>
      </c>
    </row>
    <row r="16" spans="1:65" x14ac:dyDescent="0.25">
      <c r="M16" s="9"/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AS16" s="9"/>
      <c r="AU16" s="9">
        <f>+AU18-AS23</f>
        <v>0</v>
      </c>
      <c r="BC16" s="9">
        <f>+BC18+BE15</f>
        <v>108200</v>
      </c>
    </row>
    <row r="17" spans="1:67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vie</v>
      </c>
      <c r="Z17" s="39"/>
      <c r="AA17" s="40" t="str">
        <f>+AA1</f>
        <v>sáb</v>
      </c>
      <c r="AB17" s="39"/>
      <c r="AC17" s="40" t="str">
        <f>+AC1</f>
        <v>dom</v>
      </c>
      <c r="AD17" s="39"/>
      <c r="AE17" s="40" t="str">
        <f>+AE1</f>
        <v>lun</v>
      </c>
      <c r="AF17" s="39"/>
      <c r="AG17" s="40" t="str">
        <f>+AG1</f>
        <v>mar</v>
      </c>
      <c r="AH17" s="39"/>
      <c r="AI17" s="40" t="str">
        <f>+AI1</f>
        <v>mié</v>
      </c>
      <c r="AJ17" s="39"/>
      <c r="AK17" s="40" t="str">
        <f>+AK1</f>
        <v>jue</v>
      </c>
      <c r="AL17" s="39"/>
      <c r="AM17" s="40" t="str">
        <f>+AM1</f>
        <v>vie</v>
      </c>
      <c r="AN17" s="39"/>
      <c r="AO17" s="40" t="str">
        <f>+AO1</f>
        <v>sáb</v>
      </c>
      <c r="AP17" s="39"/>
      <c r="AQ17" s="40" t="str">
        <f>+AQ1</f>
        <v>dom</v>
      </c>
      <c r="AR17" s="39"/>
      <c r="AS17" s="40" t="str">
        <f>+AS1</f>
        <v>lun</v>
      </c>
      <c r="AT17" s="39"/>
      <c r="AU17" s="40" t="str">
        <f>+AU1</f>
        <v>mar</v>
      </c>
      <c r="AV17" s="39"/>
      <c r="AW17" s="40" t="str">
        <f>+AW1</f>
        <v>mié</v>
      </c>
      <c r="AX17" s="39"/>
      <c r="AY17" s="40" t="str">
        <f>+AY1</f>
        <v>jue</v>
      </c>
      <c r="AZ17" s="39"/>
      <c r="BA17" s="40">
        <f>+BB1</f>
        <v>0</v>
      </c>
      <c r="BB17" s="39"/>
      <c r="BC17" s="40" t="str">
        <f>+BC1</f>
        <v>sáb</v>
      </c>
      <c r="BD17" s="39"/>
      <c r="BE17" s="40" t="str">
        <f>+BE1</f>
        <v>dom</v>
      </c>
      <c r="BF17" s="39"/>
      <c r="BG17" s="40" t="str">
        <f>+BG1</f>
        <v>lun</v>
      </c>
      <c r="BH17" s="39"/>
      <c r="BI17" s="40" t="str">
        <f>+BI1</f>
        <v>mar</v>
      </c>
      <c r="BJ17" s="39"/>
      <c r="BK17" s="40" t="str">
        <f>+BK1</f>
        <v>mié</v>
      </c>
      <c r="BL17" s="39"/>
      <c r="BM17" s="40" t="str">
        <f>+BM1</f>
        <v>jue</v>
      </c>
    </row>
    <row r="18" spans="1:67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f>+K23</f>
        <v>43100</v>
      </c>
      <c r="O18" s="57">
        <v>0</v>
      </c>
      <c r="Q18" s="24">
        <f>+M23</f>
        <v>141400</v>
      </c>
      <c r="S18" s="24">
        <f>+Q23</f>
        <v>201400</v>
      </c>
      <c r="U18" s="58">
        <f>+S23</f>
        <v>247700</v>
      </c>
      <c r="W18" s="14">
        <f>+U23</f>
        <v>99250</v>
      </c>
      <c r="Y18" s="57">
        <v>0</v>
      </c>
      <c r="AA18" s="14">
        <f>+W23</f>
        <v>157350</v>
      </c>
      <c r="AC18" s="14">
        <f>+AA23</f>
        <v>153550</v>
      </c>
      <c r="AE18" s="14">
        <f>+AC23</f>
        <v>120200</v>
      </c>
      <c r="AG18" s="14">
        <f>+AE23</f>
        <v>100000</v>
      </c>
      <c r="AI18" s="14">
        <f>+AG23</f>
        <v>151000</v>
      </c>
      <c r="AK18" s="14">
        <f>+AI23</f>
        <v>88400</v>
      </c>
      <c r="AM18" s="14">
        <f>+AK23</f>
        <v>73950</v>
      </c>
      <c r="AO18" s="14">
        <f>+AM23</f>
        <v>206450</v>
      </c>
      <c r="AQ18" s="14">
        <f>+AO23</f>
        <v>125950</v>
      </c>
      <c r="AS18" s="14">
        <f>+AQ23</f>
        <v>88000</v>
      </c>
      <c r="AU18" s="14">
        <f>+AS23</f>
        <v>172000</v>
      </c>
      <c r="AW18" s="14">
        <f>+AU23</f>
        <v>95500</v>
      </c>
      <c r="AY18" s="14">
        <f>+AW23</f>
        <v>172750</v>
      </c>
      <c r="BA18" s="14">
        <f>+AY23</f>
        <v>331200</v>
      </c>
      <c r="BC18" s="14">
        <f>+BA23</f>
        <v>108200</v>
      </c>
      <c r="BE18" s="14">
        <f>+BC23</f>
        <v>144700</v>
      </c>
      <c r="BG18" s="14">
        <f>+BE18</f>
        <v>144700</v>
      </c>
      <c r="BI18" s="14">
        <f>+BG23</f>
        <v>144700</v>
      </c>
      <c r="BK18" s="14">
        <f>+BI23</f>
        <v>215200</v>
      </c>
      <c r="BM18" s="14">
        <f>+BK23</f>
        <v>250850</v>
      </c>
    </row>
    <row r="19" spans="1:67" x14ac:dyDescent="0.25">
      <c r="A19" s="14" t="s">
        <v>198</v>
      </c>
      <c r="C19" s="14">
        <v>0</v>
      </c>
      <c r="E19" s="202">
        <v>-3000</v>
      </c>
      <c r="G19" s="41">
        <v>0</v>
      </c>
      <c r="I19" s="202">
        <v>-7900</v>
      </c>
      <c r="K19" s="202">
        <v>-7900</v>
      </c>
      <c r="M19" s="201">
        <v>88200</v>
      </c>
      <c r="O19" s="57">
        <v>0</v>
      </c>
      <c r="Q19" s="57">
        <v>0</v>
      </c>
      <c r="S19" s="57">
        <v>0</v>
      </c>
      <c r="U19" s="201"/>
      <c r="W19" s="57">
        <v>0</v>
      </c>
      <c r="Y19" s="57">
        <v>0</v>
      </c>
      <c r="AA19" s="57"/>
      <c r="AC19" s="57"/>
      <c r="AE19" s="202">
        <f>+SUM(Q25,U25,W25,AA25,AC25)-42200</f>
        <v>-62700</v>
      </c>
      <c r="AG19" s="57">
        <v>0</v>
      </c>
      <c r="AI19" s="55">
        <v>0</v>
      </c>
      <c r="AK19" s="57">
        <v>0</v>
      </c>
      <c r="AM19" s="57">
        <v>0</v>
      </c>
      <c r="AO19" s="57"/>
      <c r="AQ19" s="201">
        <f>+SUM(AI25,AK25,AO25)-21100</f>
        <v>84400</v>
      </c>
      <c r="AS19" s="57">
        <v>0</v>
      </c>
      <c r="AU19" s="202">
        <v>-3000</v>
      </c>
      <c r="AW19" s="57">
        <v>0</v>
      </c>
      <c r="AY19" s="57">
        <v>0</v>
      </c>
      <c r="BA19" s="57">
        <v>0</v>
      </c>
      <c r="BC19" s="57"/>
      <c r="BE19" s="57"/>
      <c r="BG19" s="41">
        <v>0</v>
      </c>
      <c r="BI19" s="201">
        <f>1800</f>
        <v>1800</v>
      </c>
      <c r="BK19" s="57">
        <v>0</v>
      </c>
      <c r="BM19" s="57">
        <v>0</v>
      </c>
    </row>
    <row r="20" spans="1:67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41">
        <v>60000</v>
      </c>
      <c r="S20" s="57">
        <v>105000</v>
      </c>
      <c r="U20" s="57">
        <v>260000</v>
      </c>
      <c r="W20" s="57">
        <v>143500</v>
      </c>
      <c r="Y20" s="41">
        <v>0</v>
      </c>
      <c r="AA20" s="57">
        <v>211000</v>
      </c>
      <c r="AC20" s="24">
        <v>123500</v>
      </c>
      <c r="AE20" s="57">
        <v>172500</v>
      </c>
      <c r="AG20" s="57">
        <v>51000</v>
      </c>
      <c r="AI20" s="57">
        <v>338500</v>
      </c>
      <c r="AK20" s="57">
        <v>67000</v>
      </c>
      <c r="AM20" s="57">
        <f>Registros!$C$13</f>
        <v>132500</v>
      </c>
      <c r="AO20" s="57">
        <v>271000</v>
      </c>
      <c r="AQ20" s="57">
        <v>99000</v>
      </c>
      <c r="AS20" s="57">
        <v>99000</v>
      </c>
      <c r="AU20" s="57">
        <v>176500</v>
      </c>
      <c r="AW20" s="57">
        <v>77250</v>
      </c>
      <c r="AY20" s="57">
        <v>207700</v>
      </c>
      <c r="BA20" s="57">
        <v>107000</v>
      </c>
      <c r="BC20" s="57">
        <v>126500</v>
      </c>
      <c r="BE20" s="57"/>
      <c r="BG20" s="41">
        <v>0</v>
      </c>
      <c r="BI20" s="57">
        <f>130700+8000</f>
        <v>138700</v>
      </c>
      <c r="BK20" s="57">
        <v>58500</v>
      </c>
      <c r="BM20" s="57">
        <v>104000</v>
      </c>
    </row>
    <row r="21" spans="1:67" x14ac:dyDescent="0.25">
      <c r="A21" s="14" t="s">
        <v>134</v>
      </c>
      <c r="C21" s="41">
        <f>60000+100</f>
        <v>60100</v>
      </c>
      <c r="E21" s="41">
        <v>100000</v>
      </c>
      <c r="G21" s="41">
        <f>70000+36700+120000+20000</f>
        <v>246700</v>
      </c>
      <c r="I21" s="41">
        <f>$I$20</f>
        <v>84000</v>
      </c>
      <c r="K21" s="41">
        <f>10000+70000+20000+20000+(120000)</f>
        <v>240000</v>
      </c>
      <c r="M21" s="41">
        <f>20000+70000+6400</f>
        <v>96400</v>
      </c>
      <c r="O21" s="41">
        <v>0</v>
      </c>
      <c r="Q21" s="41">
        <v>0</v>
      </c>
      <c r="S21" s="41">
        <f>30000+28700</f>
        <v>58700</v>
      </c>
      <c r="U21" s="41">
        <f>20000+124400+3500+11000+16500+46350+50000+14000</f>
        <v>285750</v>
      </c>
      <c r="W21" s="41">
        <f>38050+17000+7450+22400+500</f>
        <v>85400</v>
      </c>
      <c r="Y21" s="41">
        <v>0</v>
      </c>
      <c r="AA21" s="41">
        <v>214800</v>
      </c>
      <c r="AC21" s="41">
        <f>10000+20000+26850</f>
        <v>56850</v>
      </c>
      <c r="AE21" s="41">
        <v>30000</v>
      </c>
      <c r="AG21" s="41">
        <v>0</v>
      </c>
      <c r="AI21" s="41">
        <f>140000+1000+20500+55800+43800+40000</f>
        <v>301100</v>
      </c>
      <c r="AK21" s="57">
        <f>4500+21600</f>
        <v>26100</v>
      </c>
      <c r="AM21" s="57"/>
      <c r="AO21" s="57">
        <f>30000+120000+50000+51500</f>
        <v>251500</v>
      </c>
      <c r="AQ21" s="57">
        <f>Gas!$C$15</f>
        <v>221350</v>
      </c>
      <c r="AS21" s="57">
        <v>15000</v>
      </c>
      <c r="AU21" s="57"/>
      <c r="AW21" s="57"/>
      <c r="AY21" s="57">
        <f>13500+7800+27950</f>
        <v>49250</v>
      </c>
      <c r="BA21" s="57">
        <f>30000+70000</f>
        <v>100000</v>
      </c>
      <c r="BC21" s="57">
        <f>70000+20000</f>
        <v>90000</v>
      </c>
      <c r="BE21" s="57"/>
      <c r="BG21" s="41">
        <v>0</v>
      </c>
      <c r="BI21" s="57">
        <v>70000</v>
      </c>
      <c r="BK21" s="41">
        <v>22850</v>
      </c>
      <c r="BM21" s="57">
        <v>20000</v>
      </c>
    </row>
    <row r="22" spans="1:67" ht="15.75" thickBot="1" x14ac:dyDescent="0.3">
      <c r="A22" s="14" t="s">
        <v>298</v>
      </c>
      <c r="C22" s="42"/>
      <c r="E22" s="42"/>
      <c r="G22" s="42"/>
      <c r="I22" s="42"/>
      <c r="K22" s="42">
        <v>300000</v>
      </c>
      <c r="M22" s="42">
        <f>350000</f>
        <v>350000</v>
      </c>
      <c r="O22" s="42">
        <v>0</v>
      </c>
      <c r="Q22" s="42">
        <v>0</v>
      </c>
      <c r="S22" s="42">
        <v>0</v>
      </c>
      <c r="U22" s="42">
        <v>122700</v>
      </c>
      <c r="W22" s="42"/>
      <c r="Y22" s="42">
        <v>0</v>
      </c>
      <c r="AA22" s="42"/>
      <c r="AC22" s="42">
        <v>100000</v>
      </c>
      <c r="AE22" s="42">
        <v>100000</v>
      </c>
      <c r="AG22" s="42">
        <v>0</v>
      </c>
      <c r="AI22" s="42">
        <v>100000</v>
      </c>
      <c r="AK22" s="42">
        <f>4000+51350</f>
        <v>55350</v>
      </c>
      <c r="AM22" s="42"/>
      <c r="AO22" s="42">
        <v>100000</v>
      </c>
      <c r="AQ22" s="42"/>
      <c r="AS22" s="42"/>
      <c r="AU22" s="42">
        <v>250000</v>
      </c>
      <c r="AW22" s="42">
        <v>0</v>
      </c>
      <c r="AY22" s="42">
        <v>0</v>
      </c>
      <c r="BA22" s="42">
        <v>230000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  <c r="BM22" s="42">
        <v>0</v>
      </c>
    </row>
    <row r="23" spans="1:67" ht="15.75" thickTop="1" x14ac:dyDescent="0.25">
      <c r="C23" s="13">
        <f>+C18+C20-C21</f>
        <v>205600</v>
      </c>
      <c r="E23" s="13">
        <f>+SUM(E18:E20)-SUM(E21:E22)</f>
        <v>315600</v>
      </c>
      <c r="G23" s="9">
        <f>+G18+G20-G21</f>
        <v>412900</v>
      </c>
      <c r="I23" s="13">
        <f>+SUM(I18:I20)-I21</f>
        <v>405000</v>
      </c>
      <c r="K23" s="13">
        <f>+SUM(K18:K20)-SUM(K21:K22)</f>
        <v>43100</v>
      </c>
      <c r="M23" s="13">
        <f>+SUM(M18:M20)-SUM(M21:M22)</f>
        <v>141400</v>
      </c>
      <c r="O23" s="9">
        <v>0</v>
      </c>
      <c r="Q23" s="13">
        <f>+SUM(Q18:Q20)-SUM(Q21:Q22)</f>
        <v>201400</v>
      </c>
      <c r="S23" s="13">
        <f>+SUM(S18:S20)-SUM(S21:S22)</f>
        <v>247700</v>
      </c>
      <c r="U23" s="13">
        <f>+SUM(U18:U20)-SUM(U21:U22)</f>
        <v>99250</v>
      </c>
      <c r="W23" s="13">
        <f>+SUM(W18:W20)-W21</f>
        <v>157350</v>
      </c>
      <c r="Y23" s="9">
        <v>0</v>
      </c>
      <c r="AA23" s="13">
        <f>+SUM(AA18:AA20)-AA21</f>
        <v>153550</v>
      </c>
      <c r="AC23" s="13">
        <f>+SUM(AC18:AC20)-SUM(AC21:AC22)</f>
        <v>120200</v>
      </c>
      <c r="AE23" s="13">
        <f>+SUM(AE18:AE20)-SUM(AE21:AE22)</f>
        <v>100000</v>
      </c>
      <c r="AG23" s="13">
        <f>+SUM(AG18:AG20)-SUM(AG21:AG22)</f>
        <v>151000</v>
      </c>
      <c r="AI23" s="13">
        <f>+SUM(AI18:AI20)-SUM(AI21:AI22)</f>
        <v>88400</v>
      </c>
      <c r="AK23" s="13">
        <f>+SUM(AK18:AK20)-SUM(AK21:AK22)</f>
        <v>73950</v>
      </c>
      <c r="AM23" s="13">
        <f>+SUM(AM18:AM20)-SUM(AM21:AM22)</f>
        <v>206450</v>
      </c>
      <c r="AO23" s="13">
        <f>+SUM(AO18:AO20)-SUM(AO21:AO22)</f>
        <v>125950</v>
      </c>
      <c r="AQ23" s="9">
        <f>+SUM(AQ18:AQ20)-SUM(AQ21:AQ22)</f>
        <v>88000</v>
      </c>
      <c r="AS23" s="9">
        <f>+SUM(AS18:AS20)-SUM(AS21:AS22)</f>
        <v>172000</v>
      </c>
      <c r="AU23" s="9">
        <f>+SUM(AU18:AU20)-SUM(AU21:AU22)</f>
        <v>95500</v>
      </c>
      <c r="AW23" s="9">
        <f>+SUM(AW18:AW20)-SUM(AW21:AW22)</f>
        <v>172750</v>
      </c>
      <c r="AY23" s="9">
        <f>+SUM(AY18:AY20)-SUM(AY21:AY22)</f>
        <v>331200</v>
      </c>
      <c r="BA23" s="9">
        <f>+SUM(BA18:BA20)-SUM(BA21:BA22)</f>
        <v>108200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144700</v>
      </c>
      <c r="BI23" s="9">
        <f>+SUM(BI18:BI20)-SUM(BI21:BI22)</f>
        <v>215200</v>
      </c>
      <c r="BK23" s="9">
        <f>+SUM(BK18:BK20)-SUM(BK21:BK22)</f>
        <v>250850</v>
      </c>
      <c r="BM23" s="9">
        <f>+SUM(BM18:BM20)-SUM(BM21:BM22)</f>
        <v>334850</v>
      </c>
    </row>
    <row r="25" spans="1:67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0</v>
      </c>
      <c r="H25" s="49"/>
      <c r="I25" s="49">
        <f>I14-I23</f>
        <v>0</v>
      </c>
      <c r="J25" s="49"/>
      <c r="K25" s="49">
        <f>K14-K23</f>
        <v>0</v>
      </c>
      <c r="L25" s="49"/>
      <c r="M25" s="49">
        <f>M14-M23</f>
        <v>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0</v>
      </c>
      <c r="T25" s="49"/>
      <c r="U25" s="49">
        <f>U14-U23</f>
        <v>21700</v>
      </c>
      <c r="V25" s="49"/>
      <c r="W25" s="49">
        <f>W14-W23</f>
        <v>17700</v>
      </c>
      <c r="X25" s="49"/>
      <c r="Y25" s="49">
        <f>Y14-Y23</f>
        <v>0</v>
      </c>
      <c r="Z25" s="49"/>
      <c r="AA25" s="49">
        <f>AA14-AA23</f>
        <v>-67550</v>
      </c>
      <c r="AB25" s="49"/>
      <c r="AC25" s="49">
        <f>AC14-AC23</f>
        <v>21450</v>
      </c>
      <c r="AD25" s="49"/>
      <c r="AE25" s="49">
        <f>AE14-AE23</f>
        <v>0</v>
      </c>
      <c r="AF25" s="49"/>
      <c r="AG25" s="74">
        <f>AG14-AG23</f>
        <v>0</v>
      </c>
      <c r="AH25" s="49"/>
      <c r="AI25" s="49">
        <f>AI14-AI23</f>
        <v>17800</v>
      </c>
      <c r="AJ25" s="49"/>
      <c r="AK25" s="49">
        <f>AK14-AK23</f>
        <v>10300</v>
      </c>
      <c r="AL25" s="49"/>
      <c r="AM25" s="49">
        <f>AM14-AM23</f>
        <v>0</v>
      </c>
      <c r="AN25" s="49"/>
      <c r="AO25" s="49">
        <f>AO14-AO23</f>
        <v>77400</v>
      </c>
      <c r="AP25" s="49"/>
      <c r="AQ25" s="49">
        <f>AQ14-AQ23</f>
        <v>0</v>
      </c>
      <c r="AR25" s="49"/>
      <c r="AS25" s="49">
        <f>AS14-AS23</f>
        <v>0</v>
      </c>
      <c r="AT25" s="49"/>
      <c r="AU25" s="74">
        <f>AU14-AU23</f>
        <v>0</v>
      </c>
      <c r="AV25" s="49"/>
      <c r="AW25" s="74">
        <f>AW14-AW23</f>
        <v>0</v>
      </c>
      <c r="AX25" s="49"/>
      <c r="AY25" s="74">
        <f>AY14-AY23</f>
        <v>0</v>
      </c>
      <c r="AZ25" s="49"/>
      <c r="BA25" s="74">
        <f>BA14-BA23</f>
        <v>0</v>
      </c>
      <c r="BB25" s="49"/>
      <c r="BC25" s="74">
        <f>BC14-BC23</f>
        <v>0</v>
      </c>
      <c r="BD25" s="49"/>
      <c r="BE25" s="49">
        <f>BE14-BE23</f>
        <v>0</v>
      </c>
      <c r="BF25" s="49"/>
      <c r="BG25" s="49">
        <f>BG14-BG23</f>
        <v>0</v>
      </c>
      <c r="BH25" s="49"/>
      <c r="BI25" s="74">
        <f>BI14-BI23</f>
        <v>0</v>
      </c>
      <c r="BJ25" s="49"/>
      <c r="BK25" s="49">
        <f>BK14-BK23</f>
        <v>0</v>
      </c>
      <c r="BL25" s="49"/>
      <c r="BM25" s="49">
        <f>BM14-BM23</f>
        <v>0</v>
      </c>
    </row>
    <row r="26" spans="1:67" x14ac:dyDescent="0.25">
      <c r="A26"/>
    </row>
    <row r="27" spans="1:67" x14ac:dyDescent="0.25">
      <c r="A27" s="14" t="s">
        <v>318</v>
      </c>
      <c r="C27" s="14">
        <v>0</v>
      </c>
      <c r="E27" s="14">
        <v>0</v>
      </c>
      <c r="G27" s="14">
        <v>0</v>
      </c>
      <c r="I27" s="14">
        <v>0</v>
      </c>
      <c r="K27" s="14">
        <v>0</v>
      </c>
      <c r="M27" s="14">
        <v>0</v>
      </c>
      <c r="O27" s="14">
        <v>0</v>
      </c>
      <c r="Q27" s="14">
        <v>0</v>
      </c>
      <c r="S27" s="14">
        <v>0</v>
      </c>
      <c r="U27" s="14">
        <v>0</v>
      </c>
      <c r="W27" s="14">
        <v>0</v>
      </c>
      <c r="Y27" s="14">
        <v>0</v>
      </c>
      <c r="AA27" s="14">
        <v>0</v>
      </c>
      <c r="AC27" s="14">
        <v>0</v>
      </c>
      <c r="AE27" s="14">
        <f>+AE22</f>
        <v>100000</v>
      </c>
      <c r="AG27" s="57">
        <f>100000-12050</f>
        <v>87950</v>
      </c>
      <c r="AI27" s="57">
        <f>100000-12050</f>
        <v>87950</v>
      </c>
      <c r="AK27" s="57">
        <f>+AI27-43000</f>
        <v>44950</v>
      </c>
      <c r="AM27" s="57">
        <f>+AK27</f>
        <v>44950</v>
      </c>
      <c r="AO27" s="57">
        <f>+AM27+AO22</f>
        <v>144950</v>
      </c>
      <c r="AQ27" s="57">
        <f>+AO27-50000</f>
        <v>94950</v>
      </c>
      <c r="AS27" s="57">
        <f>+AQ27</f>
        <v>94950</v>
      </c>
      <c r="AU27" s="57">
        <f>+AS27+AU22</f>
        <v>344950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  <c r="BM27" s="57">
        <v>0</v>
      </c>
    </row>
    <row r="28" spans="1:67" x14ac:dyDescent="0.25">
      <c r="A28" s="14" t="s">
        <v>317</v>
      </c>
      <c r="C28" s="14">
        <v>0</v>
      </c>
      <c r="E28" s="14">
        <v>0</v>
      </c>
      <c r="G28" s="14">
        <v>0</v>
      </c>
      <c r="I28" s="14">
        <v>0</v>
      </c>
      <c r="K28" s="14">
        <f>+K22</f>
        <v>300000</v>
      </c>
      <c r="M28" s="14">
        <f>+M22+K28-M31</f>
        <v>370000</v>
      </c>
      <c r="O28" s="14">
        <f>+O22+M28</f>
        <v>370000</v>
      </c>
      <c r="Q28" s="14">
        <f>+Q22+O28</f>
        <v>370000</v>
      </c>
      <c r="S28" s="14">
        <f>+S22+Q28</f>
        <v>370000</v>
      </c>
      <c r="U28" s="14">
        <f>+S28-370000</f>
        <v>0</v>
      </c>
      <c r="W28" s="14">
        <v>0</v>
      </c>
      <c r="Y28" s="14">
        <f>+Y22+W28-Y31</f>
        <v>0</v>
      </c>
      <c r="AA28" s="14">
        <f>+AA22+Y28-AA31</f>
        <v>0</v>
      </c>
      <c r="AC28" s="14">
        <v>0</v>
      </c>
      <c r="AE28" s="14">
        <v>0</v>
      </c>
      <c r="AG28" s="14">
        <v>0</v>
      </c>
      <c r="AI28" s="57">
        <f>+AI22</f>
        <v>100000</v>
      </c>
      <c r="AK28" s="57">
        <f>+AI28-100000</f>
        <v>0</v>
      </c>
      <c r="AM28" s="57">
        <f>+AK28</f>
        <v>0</v>
      </c>
      <c r="AO28" s="57">
        <f>+AM28</f>
        <v>0</v>
      </c>
      <c r="AQ28" s="57">
        <f>+AO28</f>
        <v>0</v>
      </c>
      <c r="AS28" s="57">
        <f>+AQ28</f>
        <v>0</v>
      </c>
      <c r="AU28" s="57">
        <f>+AS28</f>
        <v>0</v>
      </c>
      <c r="AW28" s="57">
        <f>+AU28</f>
        <v>0</v>
      </c>
      <c r="AY28" s="57">
        <f>+AW28</f>
        <v>0</v>
      </c>
      <c r="BA28" s="57">
        <f>+AY28</f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  <c r="BM28" s="57">
        <v>0</v>
      </c>
    </row>
    <row r="30" spans="1:67" x14ac:dyDescent="0.25">
      <c r="A30" s="79" t="s">
        <v>538</v>
      </c>
      <c r="B30" s="3"/>
      <c r="C30" s="79">
        <f>24000+6500</f>
        <v>30500</v>
      </c>
      <c r="E30" s="79">
        <f>8000+3000</f>
        <v>11000</v>
      </c>
      <c r="F30" s="3"/>
      <c r="G30" s="79">
        <v>46500</v>
      </c>
      <c r="H30" s="3"/>
      <c r="I30" s="79">
        <v>125000</v>
      </c>
      <c r="J30" s="3"/>
      <c r="K30" s="79">
        <v>45000</v>
      </c>
      <c r="L30" s="3"/>
      <c r="M30" s="79">
        <v>47000</v>
      </c>
      <c r="N30" s="3"/>
      <c r="O30" s="79">
        <v>0</v>
      </c>
      <c r="P30" s="3"/>
      <c r="Q30" s="79">
        <v>0</v>
      </c>
      <c r="R30" s="3"/>
      <c r="S30" s="79">
        <f>33000+27000+20000</f>
        <v>80000</v>
      </c>
      <c r="T30" s="3"/>
      <c r="U30" s="79">
        <v>83000</v>
      </c>
      <c r="V30" s="3"/>
      <c r="W30" s="79">
        <v>115500</v>
      </c>
      <c r="X30" s="3"/>
      <c r="Y30" s="79">
        <v>0</v>
      </c>
      <c r="Z30" s="3"/>
      <c r="AA30" s="79">
        <v>87500</v>
      </c>
      <c r="AB30" s="3"/>
      <c r="AC30" s="79">
        <v>92000</v>
      </c>
      <c r="AD30" s="3"/>
      <c r="AE30" s="79">
        <v>76000</v>
      </c>
      <c r="AF30" s="3"/>
      <c r="AG30" s="79">
        <f>43000-2000</f>
        <v>41000</v>
      </c>
      <c r="AH30" s="3"/>
      <c r="AI30" s="79">
        <v>113000</v>
      </c>
      <c r="AJ30" s="3"/>
      <c r="AK30" s="79">
        <v>94000</v>
      </c>
      <c r="AL30" s="3"/>
      <c r="AM30" s="79">
        <v>0</v>
      </c>
      <c r="AN30" s="3"/>
      <c r="AO30" s="79">
        <f>+(98000-5000)</f>
        <v>93000</v>
      </c>
      <c r="AP30" s="3"/>
      <c r="AQ30" s="79">
        <f>19000+(45000-9000)</f>
        <v>55000</v>
      </c>
      <c r="AR30" s="3"/>
      <c r="AS30" s="79">
        <f>11000+10000</f>
        <v>21000</v>
      </c>
      <c r="AT30" s="3"/>
      <c r="AU30" s="79">
        <f>78000+32000</f>
        <v>110000</v>
      </c>
      <c r="AV30" s="3"/>
      <c r="AW30" s="79">
        <f>71000</f>
        <v>71000</v>
      </c>
      <c r="AX30" s="3"/>
      <c r="AY30" s="79">
        <v>169800</v>
      </c>
      <c r="AZ30" s="3"/>
      <c r="BA30" s="79">
        <v>65700</v>
      </c>
      <c r="BB30" s="3"/>
      <c r="BC30" s="79">
        <v>11000</v>
      </c>
      <c r="BD30" s="3"/>
      <c r="BE30" s="79">
        <v>0</v>
      </c>
      <c r="BF30" s="3"/>
      <c r="BG30" s="79">
        <v>0</v>
      </c>
      <c r="BH30" s="3"/>
      <c r="BI30" s="79">
        <v>127000</v>
      </c>
      <c r="BJ30" s="3"/>
      <c r="BK30" s="79">
        <v>48000</v>
      </c>
      <c r="BL30" s="3"/>
      <c r="BM30" s="79">
        <v>24000</v>
      </c>
    </row>
    <row r="31" spans="1:67" ht="17.25" x14ac:dyDescent="0.4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280000</v>
      </c>
      <c r="N31" s="3"/>
      <c r="O31" s="79">
        <v>0</v>
      </c>
      <c r="P31" s="3"/>
      <c r="Q31" s="79">
        <v>0</v>
      </c>
      <c r="R31" s="3"/>
      <c r="S31" s="205">
        <v>-619850</v>
      </c>
      <c r="T31" s="3"/>
      <c r="U31" s="79">
        <v>0</v>
      </c>
      <c r="V31" s="3"/>
      <c r="W31" s="79">
        <v>0</v>
      </c>
      <c r="X31" s="3"/>
      <c r="Y31" s="79">
        <v>0</v>
      </c>
      <c r="Z31" s="3"/>
      <c r="AA31" s="79">
        <v>0</v>
      </c>
      <c r="AB31" s="3"/>
      <c r="AC31" s="79">
        <v>0</v>
      </c>
      <c r="AD31" s="3"/>
      <c r="AE31" s="79">
        <v>0</v>
      </c>
      <c r="AF31" s="3"/>
      <c r="AG31" s="79">
        <f>90000-412000</f>
        <v>-322000</v>
      </c>
      <c r="AH31" s="3"/>
      <c r="AI31" s="79">
        <v>0</v>
      </c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-60000</f>
        <v>-60000</v>
      </c>
      <c r="AV31" s="3"/>
      <c r="AW31" s="79">
        <f>+AU27-260500</f>
        <v>84450</v>
      </c>
      <c r="AX31" s="3"/>
      <c r="AY31" s="79">
        <f>-404000-50000</f>
        <v>-454000</v>
      </c>
      <c r="AZ31" s="3"/>
      <c r="BA31" s="79">
        <f>BA22-21000</f>
        <v>209000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v>0</v>
      </c>
      <c r="BJ31" s="3"/>
      <c r="BK31" s="79">
        <f>-114000-40000</f>
        <v>-154000</v>
      </c>
      <c r="BL31" s="3"/>
      <c r="BM31" s="79">
        <v>0</v>
      </c>
    </row>
    <row r="32" spans="1:67" x14ac:dyDescent="0.25">
      <c r="A32" s="79" t="s">
        <v>394</v>
      </c>
      <c r="B32" s="3"/>
      <c r="C32" s="79">
        <f>SUM(C30:C31)</f>
        <v>30500</v>
      </c>
      <c r="E32" s="79">
        <f>+C32+SUM(E30:E31)</f>
        <v>41500</v>
      </c>
      <c r="F32" s="3"/>
      <c r="G32" s="79">
        <f>+E32+SUM(G30:G31)</f>
        <v>88000</v>
      </c>
      <c r="H32" s="3"/>
      <c r="I32" s="79">
        <f>+G32+SUM(I30:I31)</f>
        <v>213000</v>
      </c>
      <c r="J32" s="3"/>
      <c r="K32" s="79">
        <f>+I32+SUM(K30:K31)</f>
        <v>258000</v>
      </c>
      <c r="L32" s="3"/>
      <c r="M32" s="79">
        <f>+K32+SUM(M30:M31)</f>
        <v>585000</v>
      </c>
      <c r="N32" s="3"/>
      <c r="O32" s="79">
        <f>+M32+SUM(O30:O31)</f>
        <v>585000</v>
      </c>
      <c r="P32" s="3"/>
      <c r="Q32" s="79">
        <f>+O32+SUM(Q30:Q31)</f>
        <v>585000</v>
      </c>
      <c r="R32" s="3"/>
      <c r="S32" s="79">
        <f>+Q32+SUM(S30:S31)</f>
        <v>45150</v>
      </c>
      <c r="T32" s="3"/>
      <c r="U32" s="79">
        <f>+S32+SUM(U30:U31)</f>
        <v>128150</v>
      </c>
      <c r="V32" s="3"/>
      <c r="W32" s="79">
        <f>+U32+SUM(W30:W31)</f>
        <v>243650</v>
      </c>
      <c r="X32" s="3"/>
      <c r="Y32" s="79">
        <f>+W32+SUM(Y30:Y31)</f>
        <v>243650</v>
      </c>
      <c r="Z32" s="3"/>
      <c r="AA32" s="79">
        <f>+Y32+SUM(AA30:AA31)</f>
        <v>331150</v>
      </c>
      <c r="AB32" s="3"/>
      <c r="AC32" s="79">
        <f>+AA32+SUM(AC30:AC31)</f>
        <v>423150</v>
      </c>
      <c r="AD32" s="3"/>
      <c r="AE32" s="79">
        <f>+AC32+SUM(AE30:AE31)</f>
        <v>499150</v>
      </c>
      <c r="AF32" s="3"/>
      <c r="AG32" s="79">
        <f>+AE32+SUM(AG30:AG31)</f>
        <v>218150</v>
      </c>
      <c r="AH32" s="3"/>
      <c r="AI32" s="79">
        <f>+AG32+SUM(AI30:AI31)</f>
        <v>331150</v>
      </c>
      <c r="AJ32" s="3"/>
      <c r="AK32" s="79">
        <f>+AI32+SUM(AK30:AK31)</f>
        <v>425150</v>
      </c>
      <c r="AL32" s="3"/>
      <c r="AM32" s="79">
        <f>+AK32+SUM(AM30:AM31)</f>
        <v>425150</v>
      </c>
      <c r="AN32" s="3"/>
      <c r="AO32" s="79">
        <f>+AM32+SUM(AO30:AO31)</f>
        <v>518150</v>
      </c>
      <c r="AP32" s="3"/>
      <c r="AQ32" s="79">
        <f>+AO32+SUM(AQ30:AQ31)</f>
        <v>573150</v>
      </c>
      <c r="AR32" s="3"/>
      <c r="AS32" s="79">
        <f>+AQ32+SUM(AS30:AS31)</f>
        <v>594150</v>
      </c>
      <c r="AT32" s="3"/>
      <c r="AU32" s="79">
        <f>+AS32+SUM(AU30:AU31)</f>
        <v>644150</v>
      </c>
      <c r="AV32" s="3"/>
      <c r="AW32" s="79">
        <f>+AU32+SUM(AW30:AW31)</f>
        <v>799600</v>
      </c>
      <c r="AX32" s="3"/>
      <c r="AY32" s="79">
        <f>+AW32+SUM(AY30:AY31)</f>
        <v>515400</v>
      </c>
      <c r="AZ32" s="3"/>
      <c r="BA32" s="79">
        <f>+AY32+SUM(BA30:BA31)</f>
        <v>790100</v>
      </c>
      <c r="BB32" s="3"/>
      <c r="BC32" s="79">
        <f>+BA32+SUM(BC30:BC31)</f>
        <v>801100</v>
      </c>
      <c r="BD32" s="3"/>
      <c r="BE32" s="79">
        <f>+BC32+SUM(BE30:BE31)</f>
        <v>801100</v>
      </c>
      <c r="BF32" s="3"/>
      <c r="BG32" s="79">
        <f>+BC32+SUM(BG30:BG31)</f>
        <v>801100</v>
      </c>
      <c r="BH32" s="3"/>
      <c r="BI32" s="79">
        <f>+BG32+SUM(BI30:BI31)</f>
        <v>928100</v>
      </c>
      <c r="BJ32" s="3"/>
      <c r="BK32" s="79">
        <f>+BI32+SUM(BK30:BK31)</f>
        <v>822100</v>
      </c>
      <c r="BL32" s="3"/>
      <c r="BM32" s="79">
        <f>+BK32+SUM(BM30:BM31)</f>
        <v>846100</v>
      </c>
      <c r="BO32" s="9">
        <f>+BM32-Extracto!D1</f>
        <v>20500</v>
      </c>
    </row>
    <row r="33" spans="1:65" x14ac:dyDescent="0.25">
      <c r="A33" s="80" t="s">
        <v>383</v>
      </c>
      <c r="B33" s="3"/>
      <c r="C33" s="80">
        <v>0</v>
      </c>
      <c r="E33" s="80">
        <v>0</v>
      </c>
      <c r="F33" s="3"/>
      <c r="G33" s="80">
        <v>16000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80">
        <v>0</v>
      </c>
      <c r="P33" s="3"/>
      <c r="Q33" s="80">
        <v>0</v>
      </c>
      <c r="R33" s="3"/>
      <c r="S33" s="80">
        <v>11000</v>
      </c>
      <c r="T33" s="3"/>
      <c r="U33" s="80">
        <v>0</v>
      </c>
      <c r="V33" s="3"/>
      <c r="W33" s="80">
        <v>0</v>
      </c>
      <c r="X33" s="3"/>
      <c r="Y33" s="80">
        <v>0</v>
      </c>
      <c r="Z33" s="3"/>
      <c r="AA33" s="80">
        <v>0</v>
      </c>
      <c r="AB33" s="3"/>
      <c r="AC33" s="80">
        <f>3000</f>
        <v>3000</v>
      </c>
      <c r="AD33" s="3"/>
      <c r="AE33" s="80">
        <v>0</v>
      </c>
      <c r="AF33" s="3"/>
      <c r="AG33" s="80">
        <v>0</v>
      </c>
      <c r="AH33" s="3"/>
      <c r="AI33" s="80">
        <f>22000+1000</f>
        <v>23000</v>
      </c>
      <c r="AJ33" s="3"/>
      <c r="AK33" s="80">
        <v>82000</v>
      </c>
      <c r="AL33" s="3"/>
      <c r="AM33" s="80">
        <v>0</v>
      </c>
      <c r="AN33" s="3"/>
      <c r="AO33" s="80">
        <f>23000</f>
        <v>23000</v>
      </c>
      <c r="AP33" s="3"/>
      <c r="AQ33" s="80">
        <v>0</v>
      </c>
      <c r="AR33" s="3"/>
      <c r="AS33" s="80">
        <v>0</v>
      </c>
      <c r="AT33" s="3"/>
      <c r="AU33" s="80">
        <f>15000+8000</f>
        <v>23000</v>
      </c>
      <c r="AV33" s="3"/>
      <c r="AW33" s="80">
        <v>0</v>
      </c>
      <c r="AX33" s="3"/>
      <c r="AY33" s="80">
        <v>11000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0</v>
      </c>
      <c r="BH33" s="3"/>
      <c r="BI33" s="80">
        <v>27000</v>
      </c>
      <c r="BJ33" s="3"/>
      <c r="BK33" s="80">
        <v>11000</v>
      </c>
      <c r="BL33" s="3"/>
      <c r="BM33" s="80">
        <v>0</v>
      </c>
    </row>
    <row r="34" spans="1:65" x14ac:dyDescent="0.25">
      <c r="A34" s="80" t="s">
        <v>544</v>
      </c>
      <c r="B34" s="3"/>
      <c r="C34" s="80">
        <v>0</v>
      </c>
      <c r="E34" s="80">
        <v>0</v>
      </c>
      <c r="F34" s="3"/>
      <c r="G34" s="80">
        <v>0</v>
      </c>
      <c r="H34" s="3"/>
      <c r="I34" s="80">
        <v>0</v>
      </c>
      <c r="J34" s="3"/>
      <c r="K34" s="80">
        <v>0</v>
      </c>
      <c r="L34" s="3"/>
      <c r="M34" s="80">
        <v>0</v>
      </c>
      <c r="N34" s="3"/>
      <c r="O34" s="80">
        <v>0</v>
      </c>
      <c r="P34" s="3"/>
      <c r="Q34" s="80">
        <v>0</v>
      </c>
      <c r="R34" s="3"/>
      <c r="S34" s="80">
        <v>-27000</v>
      </c>
      <c r="T34" s="3"/>
      <c r="U34" s="80">
        <v>0</v>
      </c>
      <c r="V34" s="3"/>
      <c r="W34" s="80"/>
      <c r="X34" s="3"/>
      <c r="Y34" s="80"/>
      <c r="Z34" s="3"/>
      <c r="AA34" s="80"/>
      <c r="AB34" s="3"/>
      <c r="AC34" s="80">
        <v>0</v>
      </c>
      <c r="AD34" s="3"/>
      <c r="AE34" s="80">
        <v>76000</v>
      </c>
      <c r="AF34" s="3"/>
      <c r="AG34" s="80">
        <v>90000</v>
      </c>
      <c r="AH34" s="3"/>
      <c r="AI34" s="80">
        <v>0</v>
      </c>
      <c r="AK34" s="80"/>
      <c r="AL34" s="3"/>
      <c r="AM34" s="80"/>
      <c r="AN34" s="3"/>
      <c r="AO34" s="80"/>
      <c r="AP34" s="3"/>
      <c r="AQ34" s="80"/>
      <c r="AR34" s="3"/>
      <c r="AS34" s="80">
        <v>0</v>
      </c>
      <c r="AT34" s="3"/>
      <c r="AU34" s="80">
        <v>0</v>
      </c>
      <c r="AV34" s="3"/>
      <c r="AW34" s="80"/>
      <c r="AX34" s="3"/>
      <c r="AY34" s="80"/>
      <c r="AZ34" s="3"/>
      <c r="BA34" s="80"/>
      <c r="BB34" s="3"/>
      <c r="BC34" s="80"/>
      <c r="BD34" s="3"/>
      <c r="BE34" s="80"/>
      <c r="BF34" s="3"/>
      <c r="BG34" s="80"/>
      <c r="BH34" s="3"/>
      <c r="BI34" s="80"/>
      <c r="BJ34" s="3"/>
      <c r="BK34" s="80"/>
      <c r="BL34" s="3"/>
      <c r="BM34" s="80"/>
    </row>
    <row r="35" spans="1:65" x14ac:dyDescent="0.25">
      <c r="A35" s="80" t="s">
        <v>393</v>
      </c>
      <c r="B35" s="3"/>
      <c r="C35" s="80">
        <f>+C33</f>
        <v>0</v>
      </c>
      <c r="E35" s="80">
        <f>+E33+C35</f>
        <v>0</v>
      </c>
      <c r="F35" s="3"/>
      <c r="G35" s="80">
        <f>+G33+E35</f>
        <v>16000</v>
      </c>
      <c r="H35" s="3"/>
      <c r="I35" s="80">
        <f>+I33+G35</f>
        <v>16000</v>
      </c>
      <c r="J35" s="3"/>
      <c r="K35" s="80">
        <f>+K33+I35</f>
        <v>27000</v>
      </c>
      <c r="L35" s="3"/>
      <c r="M35" s="80">
        <f>+M33+K35</f>
        <v>27000</v>
      </c>
      <c r="N35" s="3"/>
      <c r="O35" s="80">
        <f>+O33+M35</f>
        <v>27000</v>
      </c>
      <c r="P35" s="3"/>
      <c r="Q35" s="80">
        <f>+Q33+O35</f>
        <v>27000</v>
      </c>
      <c r="R35" s="3"/>
      <c r="S35" s="80">
        <f>+Q35+SUM(S33:S34)</f>
        <v>11000</v>
      </c>
      <c r="T35" s="3"/>
      <c r="U35" s="80">
        <f>+S35+SUM(U33:U34)</f>
        <v>11000</v>
      </c>
      <c r="V35" s="3"/>
      <c r="W35" s="80">
        <f>+U35+SUM(W33:W34)</f>
        <v>11000</v>
      </c>
      <c r="X35" s="3"/>
      <c r="Y35" s="80">
        <f>+W35+SUM(Y33:Y34)</f>
        <v>11000</v>
      </c>
      <c r="Z35" s="3"/>
      <c r="AA35" s="80">
        <f>+Y35+SUM(AA33:AA34)</f>
        <v>11000</v>
      </c>
      <c r="AB35" s="3"/>
      <c r="AC35" s="80">
        <f>+AA35+SUM(AC33:AC34)</f>
        <v>14000</v>
      </c>
      <c r="AD35" s="3"/>
      <c r="AE35" s="80">
        <f>+AC35+SUM(AE33:AE34)</f>
        <v>90000</v>
      </c>
      <c r="AF35" s="3"/>
      <c r="AG35" s="80">
        <f>+AE35+AG33-AG34</f>
        <v>0</v>
      </c>
      <c r="AH35" s="3"/>
      <c r="AI35" s="80">
        <f>+AI33</f>
        <v>23000</v>
      </c>
      <c r="AJ35" s="3"/>
      <c r="AK35" s="80">
        <f>+AK33+AI35</f>
        <v>105000</v>
      </c>
      <c r="AL35" s="3"/>
      <c r="AM35" s="80">
        <f>+AM33+AK35</f>
        <v>105000</v>
      </c>
      <c r="AN35" s="3"/>
      <c r="AO35" s="80">
        <f>+AO33+AM35</f>
        <v>128000</v>
      </c>
      <c r="AP35" s="3"/>
      <c r="AQ35" s="80">
        <f>+AQ33+AO35</f>
        <v>128000</v>
      </c>
      <c r="AR35" s="3"/>
      <c r="AS35" s="80">
        <f>+AS33+AQ35</f>
        <v>128000</v>
      </c>
      <c r="AT35" s="3"/>
      <c r="AU35" s="80">
        <f>+AU33+AS35</f>
        <v>151000</v>
      </c>
      <c r="AV35" s="3"/>
      <c r="AW35" s="80">
        <f>+AW33+AU35</f>
        <v>151000</v>
      </c>
      <c r="AX35" s="3"/>
      <c r="AY35" s="80">
        <f>+AY33+AW35</f>
        <v>162000</v>
      </c>
      <c r="AZ35" s="3"/>
      <c r="BA35" s="80">
        <f>+BA33+AY35</f>
        <v>162000</v>
      </c>
      <c r="BB35" s="3"/>
      <c r="BC35" s="80">
        <f>+BC33+BA35</f>
        <v>162000</v>
      </c>
      <c r="BD35" s="3"/>
      <c r="BE35" s="80">
        <f>+BE33+BC35</f>
        <v>162000</v>
      </c>
      <c r="BF35" s="3"/>
      <c r="BG35" s="80">
        <f>+BG33+BC35</f>
        <v>162000</v>
      </c>
      <c r="BH35" s="3"/>
      <c r="BI35" s="80">
        <f>+BI33+BG35</f>
        <v>189000</v>
      </c>
      <c r="BJ35" s="3"/>
      <c r="BK35" s="80">
        <f>+BK33+BI35</f>
        <v>200000</v>
      </c>
      <c r="BL35" s="3"/>
      <c r="BM35" s="80">
        <f>+BM33+BK35</f>
        <v>200000</v>
      </c>
    </row>
    <row r="36" spans="1:65" x14ac:dyDescent="0.25">
      <c r="C36"/>
    </row>
    <row r="37" spans="1:65" x14ac:dyDescent="0.25">
      <c r="A37" s="67" t="s">
        <v>132</v>
      </c>
      <c r="C37" s="106">
        <f>+C20+C30+C33</f>
        <v>222500</v>
      </c>
      <c r="E37" s="106">
        <f>+E20+E30+E33</f>
        <v>224000</v>
      </c>
      <c r="G37" s="106">
        <f>+G20+G30+G33</f>
        <v>406500</v>
      </c>
      <c r="I37" s="106">
        <f>+I20+I30+I33</f>
        <v>209000</v>
      </c>
      <c r="K37" s="106">
        <f>+K20+K30+K33</f>
        <v>242000</v>
      </c>
      <c r="M37" s="106">
        <f>+M20+M30+M33</f>
        <v>503500</v>
      </c>
      <c r="O37" s="106">
        <f>+O20+O30+O33</f>
        <v>0</v>
      </c>
      <c r="Q37" s="106">
        <f>+Q20+Q30+Q33</f>
        <v>60000</v>
      </c>
      <c r="S37" s="106">
        <f>+S20+S30+S33</f>
        <v>196000</v>
      </c>
      <c r="U37" s="106">
        <f>+U20+U30+U33</f>
        <v>343000</v>
      </c>
      <c r="W37" s="106">
        <f>+W20+W30+W33</f>
        <v>259000</v>
      </c>
      <c r="Y37" s="106">
        <f>+Y20+Y30+Y33</f>
        <v>0</v>
      </c>
      <c r="AA37" s="106">
        <f>+AA20+AA30+AA33</f>
        <v>298500</v>
      </c>
      <c r="AC37" s="106">
        <f>+AC20+AC30+AC33</f>
        <v>218500</v>
      </c>
      <c r="AE37" s="106">
        <f>+AE20+AE30+AE33</f>
        <v>248500</v>
      </c>
      <c r="AG37" s="106">
        <f>+AG20+AG30+AG33</f>
        <v>92000</v>
      </c>
      <c r="AI37" s="106">
        <f>+AI20+AI30+AI33</f>
        <v>474500</v>
      </c>
      <c r="AK37" s="106">
        <f>+AK20+AK30+AK33</f>
        <v>243000</v>
      </c>
      <c r="AM37" s="106">
        <f>+AM20+AM30+AM33</f>
        <v>132500</v>
      </c>
      <c r="AO37" s="106">
        <f>+AO20+AO30+AO33</f>
        <v>387000</v>
      </c>
      <c r="AQ37" s="106">
        <f>+AQ20+AQ30+AQ33</f>
        <v>154000</v>
      </c>
      <c r="AS37" s="106">
        <f>+AS20+AS30+AS33</f>
        <v>120000</v>
      </c>
      <c r="AU37" s="106">
        <f>+AU20+AU30+AU33</f>
        <v>309500</v>
      </c>
      <c r="AW37" s="106">
        <f>+AW20+AW30+AW33</f>
        <v>148250</v>
      </c>
      <c r="AY37" s="106">
        <f>+AY20+AY30+AY33</f>
        <v>388500</v>
      </c>
      <c r="BA37" s="106">
        <f>+BA20+BA30+BA33</f>
        <v>172700</v>
      </c>
      <c r="BC37" s="106">
        <f>+BC20+BC30+BC33</f>
        <v>137500</v>
      </c>
      <c r="BE37" s="106">
        <f>+BE20+BE30+BE33</f>
        <v>0</v>
      </c>
      <c r="BG37" s="106">
        <f>+BG20+BG30+BG33</f>
        <v>0</v>
      </c>
      <c r="BI37" s="106">
        <f>+BI20+BI30+BI33</f>
        <v>292700</v>
      </c>
      <c r="BK37" s="106">
        <f>+BK20+BK30+BK33</f>
        <v>117500</v>
      </c>
      <c r="BM37" s="106">
        <f>+BM20+BM30+BM33</f>
        <v>128000</v>
      </c>
    </row>
    <row r="38" spans="1:65" x14ac:dyDescent="0.25">
      <c r="A38" s="197" t="s">
        <v>651</v>
      </c>
      <c r="C38" s="198">
        <f>+C23+C32+C35</f>
        <v>236100</v>
      </c>
      <c r="E38" s="198">
        <f>+E23+E32+E35</f>
        <v>357100</v>
      </c>
      <c r="G38" s="198">
        <f>+G23+G32+G35</f>
        <v>516900</v>
      </c>
      <c r="I38" s="198">
        <f>+I23+I32+I35</f>
        <v>634000</v>
      </c>
      <c r="K38" s="198">
        <f>+K23+K32+K35</f>
        <v>328100</v>
      </c>
      <c r="M38" s="198">
        <f>+M23+M32+M35</f>
        <v>753400</v>
      </c>
      <c r="O38" s="198">
        <f>+M38</f>
        <v>753400</v>
      </c>
      <c r="Q38" s="198">
        <f>+Q23+Q32+Q35</f>
        <v>813400</v>
      </c>
      <c r="S38" s="198">
        <f>+S23+S32+S35</f>
        <v>303850</v>
      </c>
      <c r="U38" s="198">
        <f>+U23+U32+U35</f>
        <v>238400</v>
      </c>
      <c r="W38" s="198">
        <f>+W23+W32+W35</f>
        <v>412000</v>
      </c>
      <c r="Y38" s="198">
        <f>+W38</f>
        <v>412000</v>
      </c>
      <c r="AA38" s="198">
        <f>+AA23+AA32+AA35</f>
        <v>495700</v>
      </c>
      <c r="AC38" s="198">
        <f>+AC23+AC32+AC35</f>
        <v>557350</v>
      </c>
      <c r="AE38" s="198">
        <f>+AE23+AE32+AE35</f>
        <v>689150</v>
      </c>
      <c r="AG38" s="198">
        <f>+AG23+AG32+AG35</f>
        <v>369150</v>
      </c>
      <c r="AI38" s="198">
        <f>+AI23+AI32+AI35</f>
        <v>442550</v>
      </c>
      <c r="AK38" s="198">
        <f>+AK23+AK32+AK35</f>
        <v>604100</v>
      </c>
      <c r="AM38" s="198">
        <f>+AM23+AM32+AM35</f>
        <v>736600</v>
      </c>
      <c r="AO38" s="198">
        <f>+AO23+AO32+AO35</f>
        <v>772100</v>
      </c>
      <c r="AQ38" s="198">
        <f>+AQ23+AQ32+AQ35</f>
        <v>789150</v>
      </c>
      <c r="AS38" s="198">
        <f>+AS23+AS32+AS35</f>
        <v>894150</v>
      </c>
      <c r="AU38" s="198">
        <f>+AU23+AU32+AU35</f>
        <v>890650</v>
      </c>
      <c r="AW38" s="198">
        <f>+AW23+AW32+AW35</f>
        <v>1123350</v>
      </c>
      <c r="AY38" s="198">
        <f>+AY23+AY32+AY35</f>
        <v>1008600</v>
      </c>
      <c r="BA38" s="198">
        <f>+BA23+BA32+BA35</f>
        <v>1060300</v>
      </c>
      <c r="BC38" s="198">
        <f>+BC23+BC32+BC35</f>
        <v>1107800</v>
      </c>
      <c r="BE38" s="198">
        <f>+BE23+BE32+BE35</f>
        <v>1107800</v>
      </c>
      <c r="BG38" s="198">
        <f>+BG23+BG32+BG35</f>
        <v>1107800</v>
      </c>
      <c r="BI38" s="198">
        <f>+BI23+BI32+BI35</f>
        <v>1332300</v>
      </c>
      <c r="BK38" s="198">
        <f>+BK23+BK32+BK35</f>
        <v>1272950</v>
      </c>
      <c r="BM38" s="198">
        <f>+BM23+BM32+BM35</f>
        <v>1380950</v>
      </c>
    </row>
    <row r="39" spans="1:65" x14ac:dyDescent="0.25">
      <c r="C39"/>
    </row>
    <row r="40" spans="1:65" x14ac:dyDescent="0.25">
      <c r="A40" s="11" t="s">
        <v>395</v>
      </c>
      <c r="B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79"/>
      <c r="AJ40" s="3"/>
      <c r="AK40" s="79">
        <v>24000</v>
      </c>
      <c r="AL40" s="3"/>
      <c r="AM40" s="79">
        <f>16000+AK40</f>
        <v>40000</v>
      </c>
      <c r="AN40" s="3"/>
      <c r="AO40" s="11">
        <f>8000*5</f>
        <v>40000</v>
      </c>
      <c r="AP40" s="3"/>
      <c r="AQ40" s="79"/>
      <c r="AR40" s="3"/>
      <c r="AS40" s="11">
        <f>16000+AO40</f>
        <v>56000</v>
      </c>
      <c r="AT40" s="3"/>
      <c r="AU40" s="79"/>
      <c r="AV40" s="3"/>
      <c r="AW40" s="79"/>
      <c r="AX40" s="3"/>
      <c r="AY40" s="79"/>
      <c r="AZ40" s="3"/>
      <c r="BA40" s="79"/>
      <c r="BB40" s="3"/>
      <c r="BC40" s="79"/>
      <c r="BD40" s="3"/>
      <c r="BE40" s="79"/>
      <c r="BF40" s="3"/>
      <c r="BG40" s="79"/>
      <c r="BH40" s="3"/>
      <c r="BI40" s="79"/>
      <c r="BJ40" s="3"/>
      <c r="BK40" s="79"/>
      <c r="BL40" s="3"/>
      <c r="BM40" s="79"/>
    </row>
    <row r="41" spans="1:65" x14ac:dyDescent="0.25">
      <c r="A41" s="11" t="s">
        <v>391</v>
      </c>
      <c r="BA41" s="3">
        <v>423300</v>
      </c>
      <c r="BC41" s="9">
        <f>+BA41</f>
        <v>423300</v>
      </c>
      <c r="BE41" s="9">
        <f>+BC41</f>
        <v>423300</v>
      </c>
      <c r="BG41" s="9">
        <f>+BC41</f>
        <v>423300</v>
      </c>
      <c r="BI41" s="9">
        <f>+BE41</f>
        <v>423300</v>
      </c>
      <c r="BK41" s="9">
        <f>+BI41</f>
        <v>423300</v>
      </c>
      <c r="BM41" s="9">
        <f>+BK41</f>
        <v>423300</v>
      </c>
    </row>
    <row r="43" spans="1:65" x14ac:dyDescent="0.25">
      <c r="AO43" s="9">
        <f>+SUM(AO23,AO27,AO32,AO35)</f>
        <v>917050</v>
      </c>
    </row>
    <row r="45" spans="1:65" x14ac:dyDescent="0.25">
      <c r="AO45" s="9"/>
    </row>
  </sheetData>
  <mergeCells count="10">
    <mergeCell ref="BG3:BG13"/>
    <mergeCell ref="AS3:AS13"/>
    <mergeCell ref="BK3:BK13"/>
    <mergeCell ref="BM3:BM13"/>
    <mergeCell ref="G3:G13"/>
    <mergeCell ref="S3:S13"/>
    <mergeCell ref="O3:O13"/>
    <mergeCell ref="Y3:Y13"/>
    <mergeCell ref="AM3:AM13"/>
    <mergeCell ref="BE3:BE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B1:K18"/>
  <sheetViews>
    <sheetView workbookViewId="0">
      <selection activeCell="F3" sqref="F3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405</v>
      </c>
      <c r="D1" t="s">
        <v>404</v>
      </c>
      <c r="E1" t="s">
        <v>406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374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374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374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403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7" filterMode="1">
    <tabColor rgb="FF9966FF"/>
  </sheetPr>
  <dimension ref="A1:N129"/>
  <sheetViews>
    <sheetView zoomScale="115" zoomScaleNormal="115" workbookViewId="0">
      <pane ySplit="5" topLeftCell="A14" activePane="bottomLeft" state="frozen"/>
      <selection activeCell="C1" sqref="C1"/>
      <selection pane="bottomLeft" activeCell="I61" sqref="A61:XFD61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825600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48"/>
    </row>
    <row r="3" spans="1:11" ht="15.75" thickTop="1" x14ac:dyDescent="0.25">
      <c r="D3" s="3">
        <f>+SUM(D6:D1048576)</f>
        <v>1025600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hidden="1" x14ac:dyDescent="0.25">
      <c r="A6" s="2">
        <v>46076</v>
      </c>
      <c r="B6" s="2" t="str">
        <f t="shared" ref="B6:B17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hidden="1" x14ac:dyDescent="0.25">
      <c r="A7" s="2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hidden="1" x14ac:dyDescent="0.25">
      <c r="A8" s="2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G8" s="77" t="s">
        <v>659</v>
      </c>
      <c r="I8" s="25" t="s">
        <v>136</v>
      </c>
      <c r="J8" t="s">
        <v>146</v>
      </c>
    </row>
    <row r="9" spans="1:11" hidden="1" x14ac:dyDescent="0.25">
      <c r="A9" s="2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G9" s="77" t="s">
        <v>659</v>
      </c>
      <c r="I9" s="25" t="s">
        <v>136</v>
      </c>
      <c r="J9" t="s">
        <v>145</v>
      </c>
    </row>
    <row r="10" spans="1:11" hidden="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hidden="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hidden="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hidden="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hidden="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hidden="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hidden="1" x14ac:dyDescent="0.25">
      <c r="A17" s="2">
        <v>46079</v>
      </c>
      <c r="B17" s="2" t="str">
        <f t="shared" si="0"/>
        <v>jue</v>
      </c>
      <c r="C17" s="27">
        <v>0.72777777777777775</v>
      </c>
      <c r="D17" s="100">
        <v>49000</v>
      </c>
      <c r="E17" s="100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ref="B18:B22" si="1">+TEXT(A18,"ddd")</f>
        <v>vie</v>
      </c>
      <c r="C18" s="27">
        <v>0.82291666666666663</v>
      </c>
      <c r="D18" s="100">
        <v>11000</v>
      </c>
      <c r="E18" s="100"/>
      <c r="F18" s="3" t="s">
        <v>216</v>
      </c>
      <c r="I18" s="26" t="s">
        <v>141</v>
      </c>
      <c r="J18" t="s">
        <v>140</v>
      </c>
      <c r="K18" t="s">
        <v>141</v>
      </c>
    </row>
    <row r="19" spans="1:11" hidden="1" x14ac:dyDescent="0.25">
      <c r="A19" s="2">
        <v>46080</v>
      </c>
      <c r="B19" s="2" t="str">
        <f t="shared" si="1"/>
        <v>vie</v>
      </c>
      <c r="C19" s="27">
        <v>0.84236111111111112</v>
      </c>
      <c r="D19" s="100">
        <v>10000</v>
      </c>
      <c r="E19" s="100"/>
      <c r="F19" s="3" t="s">
        <v>216</v>
      </c>
      <c r="I19" s="25" t="s">
        <v>136</v>
      </c>
      <c r="J19" t="s">
        <v>192</v>
      </c>
    </row>
    <row r="20" spans="1:11" hidden="1" x14ac:dyDescent="0.25">
      <c r="A20" s="2">
        <v>46080</v>
      </c>
      <c r="B20" s="2" t="str">
        <f t="shared" si="1"/>
        <v>vie</v>
      </c>
      <c r="C20" s="27">
        <v>0.7631944444444444</v>
      </c>
      <c r="D20" s="100">
        <v>24000</v>
      </c>
      <c r="E20" s="100"/>
      <c r="F20" s="3" t="s">
        <v>216</v>
      </c>
      <c r="I20" s="25" t="s">
        <v>136</v>
      </c>
      <c r="J20" t="s">
        <v>193</v>
      </c>
    </row>
    <row r="21" spans="1:11" hidden="1" x14ac:dyDescent="0.25">
      <c r="A21" s="2">
        <v>46080</v>
      </c>
      <c r="B21" s="2" t="str">
        <f t="shared" si="1"/>
        <v>vie</v>
      </c>
      <c r="C21" s="27">
        <v>0.75972222222222219</v>
      </c>
      <c r="D21" s="100">
        <v>11000</v>
      </c>
      <c r="E21" s="100"/>
      <c r="F21" s="3" t="s">
        <v>216</v>
      </c>
      <c r="I21" s="25" t="s">
        <v>136</v>
      </c>
      <c r="J21" t="s">
        <v>194</v>
      </c>
    </row>
    <row r="22" spans="1:11" hidden="1" x14ac:dyDescent="0.25">
      <c r="A22" s="2">
        <v>46081</v>
      </c>
      <c r="B22" s="2" t="str">
        <f t="shared" si="1"/>
        <v>sáb</v>
      </c>
      <c r="C22" s="27"/>
      <c r="D22" s="100">
        <v>280000</v>
      </c>
      <c r="E22" s="100"/>
      <c r="F22" s="3" t="s">
        <v>216</v>
      </c>
      <c r="I22" s="25" t="s">
        <v>136</v>
      </c>
      <c r="J22" t="s">
        <v>202</v>
      </c>
      <c r="K22" t="s">
        <v>210</v>
      </c>
    </row>
    <row r="23" spans="1:11" hidden="1" x14ac:dyDescent="0.25">
      <c r="A23" s="2">
        <v>46081</v>
      </c>
      <c r="B23" s="2" t="str">
        <f t="shared" ref="B23:B30" si="2">+TEXT(A23,"ddd")</f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hidden="1" x14ac:dyDescent="0.25">
      <c r="A24" s="2">
        <v>46081</v>
      </c>
      <c r="B24" s="2" t="str">
        <f t="shared" si="2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hidden="1" x14ac:dyDescent="0.25">
      <c r="A25" s="2">
        <v>46081</v>
      </c>
      <c r="B25" s="2" t="str">
        <f t="shared" si="2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2"/>
        <v>mar</v>
      </c>
      <c r="C26" s="28"/>
      <c r="D26" s="101">
        <f>-(D18+D14)</f>
        <v>-27000</v>
      </c>
      <c r="E26" s="101"/>
      <c r="F26" s="3" t="s">
        <v>218</v>
      </c>
      <c r="I26" s="26" t="s">
        <v>141</v>
      </c>
      <c r="J26" t="s">
        <v>219</v>
      </c>
    </row>
    <row r="27" spans="1:11" hidden="1" x14ac:dyDescent="0.25">
      <c r="A27" s="2">
        <v>46084</v>
      </c>
      <c r="B27" s="2" t="str">
        <f t="shared" si="2"/>
        <v>mar</v>
      </c>
      <c r="C27" s="28"/>
      <c r="D27" s="49">
        <v>27000</v>
      </c>
      <c r="F27" s="3" t="s">
        <v>216</v>
      </c>
      <c r="I27" s="25" t="s">
        <v>136</v>
      </c>
      <c r="J27" t="s">
        <v>660</v>
      </c>
    </row>
    <row r="28" spans="1:11" hidden="1" x14ac:dyDescent="0.25">
      <c r="A28" s="2">
        <v>46084</v>
      </c>
      <c r="B28" s="2" t="str">
        <f>+TEXT(A28,"ddd")</f>
        <v>mar</v>
      </c>
      <c r="C28" s="1"/>
      <c r="D28" s="49">
        <f>5000*4</f>
        <v>20000</v>
      </c>
      <c r="F28" s="3" t="s">
        <v>216</v>
      </c>
      <c r="I28" s="25" t="s">
        <v>136</v>
      </c>
      <c r="J28" t="s">
        <v>661</v>
      </c>
    </row>
    <row r="29" spans="1:11" hidden="1" x14ac:dyDescent="0.25">
      <c r="A29" s="2">
        <v>46084</v>
      </c>
      <c r="B29" s="2" t="str">
        <f>+TEXT(A29,"ddd")</f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hidden="1" x14ac:dyDescent="0.25">
      <c r="A30" s="2">
        <v>46084</v>
      </c>
      <c r="B30" s="2" t="str">
        <f t="shared" si="2"/>
        <v>mar</v>
      </c>
      <c r="C30" s="1"/>
      <c r="D30" s="49">
        <v>-619850</v>
      </c>
      <c r="F30" s="3" t="s">
        <v>218</v>
      </c>
      <c r="I30" s="25" t="s">
        <v>136</v>
      </c>
      <c r="J30" t="s">
        <v>215</v>
      </c>
    </row>
    <row r="31" spans="1:11" hidden="1" x14ac:dyDescent="0.25">
      <c r="A31" s="2">
        <v>46085</v>
      </c>
      <c r="B31" s="2" t="str">
        <f t="shared" ref="B31:B41" si="3">+TEXT(A31,"ddd")</f>
        <v>mié</v>
      </c>
      <c r="D31" s="49">
        <v>19000</v>
      </c>
      <c r="F31" s="3" t="s">
        <v>216</v>
      </c>
      <c r="I31" s="25" t="s">
        <v>136</v>
      </c>
      <c r="J31" t="s">
        <v>254</v>
      </c>
    </row>
    <row r="32" spans="1:11" hidden="1" x14ac:dyDescent="0.25">
      <c r="A32" s="2">
        <v>46085</v>
      </c>
      <c r="B32" s="2" t="str">
        <f t="shared" si="3"/>
        <v>mié</v>
      </c>
      <c r="D32" s="49">
        <v>8000</v>
      </c>
      <c r="F32" s="3" t="s">
        <v>216</v>
      </c>
      <c r="I32" s="25" t="s">
        <v>136</v>
      </c>
      <c r="J32" t="s">
        <v>253</v>
      </c>
    </row>
    <row r="33" spans="1:14" hidden="1" x14ac:dyDescent="0.25">
      <c r="A33" s="2">
        <v>46085</v>
      </c>
      <c r="B33" s="2" t="str">
        <f t="shared" si="3"/>
        <v>mié</v>
      </c>
      <c r="D33" s="49">
        <v>18000</v>
      </c>
      <c r="F33" s="3" t="s">
        <v>216</v>
      </c>
      <c r="I33" s="25" t="s">
        <v>136</v>
      </c>
      <c r="J33" t="s">
        <v>252</v>
      </c>
    </row>
    <row r="34" spans="1:14" hidden="1" x14ac:dyDescent="0.25">
      <c r="A34" s="2">
        <v>46085</v>
      </c>
      <c r="B34" s="2" t="str">
        <f t="shared" si="3"/>
        <v>mié</v>
      </c>
      <c r="D34" s="49">
        <v>8000</v>
      </c>
      <c r="F34" s="3" t="s">
        <v>216</v>
      </c>
      <c r="I34" s="25" t="s">
        <v>136</v>
      </c>
      <c r="J34" t="s">
        <v>251</v>
      </c>
    </row>
    <row r="35" spans="1:14" hidden="1" x14ac:dyDescent="0.25">
      <c r="A35" s="2">
        <v>46085</v>
      </c>
      <c r="B35" s="2" t="str">
        <f t="shared" si="3"/>
        <v>mié</v>
      </c>
      <c r="D35" s="49">
        <v>64000</v>
      </c>
      <c r="F35" s="3" t="s">
        <v>216</v>
      </c>
      <c r="I35" s="25" t="s">
        <v>136</v>
      </c>
      <c r="J35" t="s">
        <v>250</v>
      </c>
      <c r="N35" s="3">
        <f>+SUM(D31:D35)</f>
        <v>117000</v>
      </c>
    </row>
    <row r="36" spans="1:14" hidden="1" x14ac:dyDescent="0.25">
      <c r="A36" s="2">
        <v>46086</v>
      </c>
      <c r="B36" s="2" t="str">
        <f t="shared" si="3"/>
        <v>jue</v>
      </c>
      <c r="D36" s="49">
        <v>30000</v>
      </c>
      <c r="F36" s="3" t="s">
        <v>216</v>
      </c>
      <c r="I36" s="25" t="s">
        <v>136</v>
      </c>
      <c r="J36" t="s">
        <v>259</v>
      </c>
      <c r="N36" s="3" t="e">
        <f>#REF!+8000</f>
        <v>#REF!</v>
      </c>
    </row>
    <row r="37" spans="1:14" hidden="1" x14ac:dyDescent="0.25">
      <c r="A37" s="2">
        <v>46086</v>
      </c>
      <c r="B37" s="2" t="str">
        <f t="shared" si="3"/>
        <v>jue</v>
      </c>
      <c r="D37" s="49">
        <v>11000</v>
      </c>
      <c r="F37" s="3" t="s">
        <v>216</v>
      </c>
      <c r="I37" s="25" t="s">
        <v>136</v>
      </c>
      <c r="J37" t="s">
        <v>258</v>
      </c>
    </row>
    <row r="38" spans="1:14" hidden="1" x14ac:dyDescent="0.25">
      <c r="A38" s="2">
        <v>46086</v>
      </c>
      <c r="B38" s="2" t="str">
        <f t="shared" si="3"/>
        <v>jue</v>
      </c>
      <c r="D38" s="49">
        <v>16000</v>
      </c>
      <c r="F38" s="3" t="s">
        <v>216</v>
      </c>
      <c r="I38" s="25" t="s">
        <v>136</v>
      </c>
      <c r="J38" t="s">
        <v>257</v>
      </c>
    </row>
    <row r="39" spans="1:14" hidden="1" x14ac:dyDescent="0.25">
      <c r="A39" s="2">
        <v>46086</v>
      </c>
      <c r="B39" s="2" t="str">
        <f t="shared" si="3"/>
        <v>jue</v>
      </c>
      <c r="D39" s="49">
        <v>39500</v>
      </c>
      <c r="F39" s="3" t="s">
        <v>216</v>
      </c>
      <c r="I39" s="25" t="s">
        <v>136</v>
      </c>
      <c r="J39" t="s">
        <v>256</v>
      </c>
      <c r="N39" t="e">
        <f>+#REF!</f>
        <v>#REF!</v>
      </c>
    </row>
    <row r="40" spans="1:14" hidden="1" x14ac:dyDescent="0.25">
      <c r="A40" s="2">
        <v>46086</v>
      </c>
      <c r="B40" s="2" t="str">
        <f t="shared" si="3"/>
        <v>jue</v>
      </c>
      <c r="D40" s="49">
        <v>35000</v>
      </c>
      <c r="F40" s="3" t="s">
        <v>216</v>
      </c>
      <c r="I40" s="25" t="s">
        <v>136</v>
      </c>
      <c r="J40" t="s">
        <v>255</v>
      </c>
      <c r="N40" s="9">
        <f>+SUM(D36:D40)</f>
        <v>131500</v>
      </c>
    </row>
    <row r="41" spans="1:14" hidden="1" x14ac:dyDescent="0.25">
      <c r="A41" s="2">
        <v>46088</v>
      </c>
      <c r="B41" s="2" t="str">
        <f t="shared" si="3"/>
        <v>sáb</v>
      </c>
      <c r="D41" s="49">
        <v>28000</v>
      </c>
      <c r="F41" s="3" t="s">
        <v>216</v>
      </c>
      <c r="I41" s="25" t="s">
        <v>136</v>
      </c>
      <c r="J41" t="s">
        <v>305</v>
      </c>
      <c r="N41" s="9"/>
    </row>
    <row r="42" spans="1:14" hidden="1" x14ac:dyDescent="0.25">
      <c r="A42" s="2">
        <v>46088</v>
      </c>
      <c r="B42" s="2" t="str">
        <f t="shared" ref="B42" si="4">+TEXT(A42,"ddd")</f>
        <v>sáb</v>
      </c>
      <c r="D42" s="49">
        <v>43000</v>
      </c>
      <c r="F42" s="3" t="s">
        <v>216</v>
      </c>
      <c r="I42" s="25" t="s">
        <v>136</v>
      </c>
      <c r="J42" t="s">
        <v>260</v>
      </c>
      <c r="N42" s="9"/>
    </row>
    <row r="43" spans="1:14" hidden="1" x14ac:dyDescent="0.25">
      <c r="A43" s="2">
        <v>46089</v>
      </c>
      <c r="B43" s="2" t="str">
        <f t="shared" ref="B43:B46" si="5">+TEXT(A43,"ddd")</f>
        <v>dom</v>
      </c>
      <c r="D43" s="49">
        <v>30000</v>
      </c>
      <c r="F43" s="3" t="s">
        <v>216</v>
      </c>
      <c r="I43" s="25" t="s">
        <v>136</v>
      </c>
      <c r="J43" t="s">
        <v>349</v>
      </c>
    </row>
    <row r="44" spans="1:14" hidden="1" x14ac:dyDescent="0.25">
      <c r="A44" s="2">
        <v>46089</v>
      </c>
      <c r="B44" s="2" t="str">
        <f t="shared" si="5"/>
        <v>dom</v>
      </c>
      <c r="D44" s="49">
        <v>54000</v>
      </c>
      <c r="F44" s="3" t="s">
        <v>216</v>
      </c>
      <c r="I44" s="25" t="s">
        <v>136</v>
      </c>
      <c r="J44" t="s">
        <v>351</v>
      </c>
    </row>
    <row r="45" spans="1:14" hidden="1" x14ac:dyDescent="0.25">
      <c r="A45" s="2">
        <v>46089</v>
      </c>
      <c r="B45" s="2" t="str">
        <f t="shared" si="5"/>
        <v>dom</v>
      </c>
      <c r="D45" s="49">
        <v>8000</v>
      </c>
      <c r="F45" s="3" t="s">
        <v>216</v>
      </c>
      <c r="I45" s="25" t="s">
        <v>136</v>
      </c>
      <c r="J45" t="s">
        <v>350</v>
      </c>
    </row>
    <row r="46" spans="1:14" hidden="1" x14ac:dyDescent="0.25">
      <c r="A46" s="2">
        <v>46089</v>
      </c>
      <c r="B46" s="2" t="str">
        <f t="shared" si="5"/>
        <v>dom</v>
      </c>
      <c r="D46" s="49">
        <v>30000</v>
      </c>
      <c r="F46" s="3" t="s">
        <v>216</v>
      </c>
      <c r="I46" s="25" t="s">
        <v>136</v>
      </c>
      <c r="J46" t="s">
        <v>352</v>
      </c>
    </row>
    <row r="47" spans="1:14" hidden="1" x14ac:dyDescent="0.25">
      <c r="A47" s="2">
        <v>46089</v>
      </c>
      <c r="B47" s="2" t="str">
        <f t="shared" ref="B47" si="6">+TEXT(A47,"ddd")</f>
        <v>dom</v>
      </c>
      <c r="D47" s="204">
        <v>16000</v>
      </c>
      <c r="E47" s="204"/>
      <c r="F47" s="3" t="s">
        <v>216</v>
      </c>
      <c r="I47" s="25" t="s">
        <v>136</v>
      </c>
      <c r="J47" s="1" t="s">
        <v>306</v>
      </c>
    </row>
    <row r="48" spans="1:14" hidden="1" x14ac:dyDescent="0.25">
      <c r="A48" s="2">
        <v>46091</v>
      </c>
      <c r="B48" s="2" t="str">
        <f>+TEXT(A48,"ddd")</f>
        <v>mar</v>
      </c>
      <c r="D48" s="49">
        <v>90000</v>
      </c>
      <c r="F48" s="3" t="s">
        <v>216</v>
      </c>
      <c r="I48" s="25" t="s">
        <v>136</v>
      </c>
      <c r="J48" s="26" t="s">
        <v>340</v>
      </c>
    </row>
    <row r="49" spans="1:10" hidden="1" x14ac:dyDescent="0.25">
      <c r="A49" s="2">
        <v>46091</v>
      </c>
      <c r="B49" s="2" t="str">
        <f>+TEXT(A49,"ddd")</f>
        <v>mar</v>
      </c>
      <c r="D49" s="49">
        <v>-412000</v>
      </c>
      <c r="I49" s="25" t="s">
        <v>136</v>
      </c>
      <c r="J49" t="s">
        <v>341</v>
      </c>
    </row>
    <row r="50" spans="1:10" hidden="1" x14ac:dyDescent="0.25">
      <c r="A50" s="2">
        <v>46091</v>
      </c>
      <c r="B50" s="2" t="str">
        <f>+TEXT(A50,"ddd")</f>
        <v>mar</v>
      </c>
      <c r="D50" s="49">
        <v>30000</v>
      </c>
      <c r="F50" s="3" t="s">
        <v>216</v>
      </c>
      <c r="I50" s="25" t="s">
        <v>136</v>
      </c>
      <c r="J50" t="s">
        <v>342</v>
      </c>
    </row>
    <row r="51" spans="1:10" hidden="1" x14ac:dyDescent="0.25">
      <c r="A51" s="2">
        <v>46091</v>
      </c>
      <c r="B51" s="2" t="str">
        <f>+TEXT(A51,"ddd")</f>
        <v>mar</v>
      </c>
      <c r="D51" s="49">
        <v>11000</v>
      </c>
      <c r="F51" s="3" t="s">
        <v>216</v>
      </c>
      <c r="I51" s="25" t="s">
        <v>136</v>
      </c>
      <c r="J51" t="s">
        <v>339</v>
      </c>
    </row>
    <row r="52" spans="1:10" hidden="1" x14ac:dyDescent="0.25">
      <c r="A52" s="2">
        <v>46092</v>
      </c>
      <c r="B52" s="2" t="str">
        <f t="shared" ref="B52:B65" si="7">+TEXT(A52,"ddd")</f>
        <v>mié</v>
      </c>
      <c r="D52" s="49">
        <v>8000</v>
      </c>
      <c r="F52" s="3" t="s">
        <v>216</v>
      </c>
      <c r="I52" s="25" t="s">
        <v>136</v>
      </c>
      <c r="J52" t="s">
        <v>343</v>
      </c>
    </row>
    <row r="53" spans="1:10" hidden="1" x14ac:dyDescent="0.25">
      <c r="A53" s="2">
        <v>46092</v>
      </c>
      <c r="B53" s="2" t="str">
        <f t="shared" si="7"/>
        <v>mié</v>
      </c>
      <c r="D53" s="204">
        <v>24000</v>
      </c>
      <c r="E53" s="204"/>
      <c r="F53" s="3" t="s">
        <v>216</v>
      </c>
      <c r="I53" s="25" t="s">
        <v>136</v>
      </c>
      <c r="J53" t="s">
        <v>344</v>
      </c>
    </row>
    <row r="54" spans="1:10" hidden="1" x14ac:dyDescent="0.25">
      <c r="A54" s="2">
        <v>46092</v>
      </c>
      <c r="B54" s="2" t="str">
        <f t="shared" si="7"/>
        <v>mié</v>
      </c>
      <c r="D54" s="49">
        <v>22000</v>
      </c>
      <c r="F54" s="3" t="s">
        <v>216</v>
      </c>
      <c r="I54" s="25" t="s">
        <v>136</v>
      </c>
      <c r="J54" t="s">
        <v>339</v>
      </c>
    </row>
    <row r="55" spans="1:10" hidden="1" x14ac:dyDescent="0.25">
      <c r="A55" s="2">
        <v>46092</v>
      </c>
      <c r="B55" s="2" t="str">
        <f t="shared" si="7"/>
        <v>mié</v>
      </c>
      <c r="D55" s="49">
        <v>8000</v>
      </c>
      <c r="F55" s="3" t="s">
        <v>216</v>
      </c>
      <c r="I55" s="25" t="s">
        <v>136</v>
      </c>
      <c r="J55" t="s">
        <v>345</v>
      </c>
    </row>
    <row r="56" spans="1:10" hidden="1" x14ac:dyDescent="0.25">
      <c r="A56" s="2">
        <v>46092</v>
      </c>
      <c r="B56" s="2" t="str">
        <f t="shared" si="7"/>
        <v>mié</v>
      </c>
      <c r="D56" s="49">
        <v>32000</v>
      </c>
      <c r="F56" s="3" t="s">
        <v>216</v>
      </c>
      <c r="I56" s="25" t="s">
        <v>136</v>
      </c>
      <c r="J56" t="s">
        <v>348</v>
      </c>
    </row>
    <row r="57" spans="1:10" hidden="1" x14ac:dyDescent="0.25">
      <c r="A57" s="2">
        <v>46092</v>
      </c>
      <c r="B57" s="2" t="str">
        <f t="shared" si="7"/>
        <v>mié</v>
      </c>
      <c r="D57" s="49">
        <v>8000</v>
      </c>
      <c r="F57" s="3" t="s">
        <v>216</v>
      </c>
      <c r="I57" s="25" t="s">
        <v>136</v>
      </c>
      <c r="J57" t="s">
        <v>346</v>
      </c>
    </row>
    <row r="58" spans="1:10" hidden="1" x14ac:dyDescent="0.25">
      <c r="A58" s="2">
        <v>46092</v>
      </c>
      <c r="B58" s="2" t="str">
        <f t="shared" si="7"/>
        <v>mié</v>
      </c>
      <c r="D58" s="49">
        <v>11000</v>
      </c>
      <c r="F58" s="3" t="s">
        <v>216</v>
      </c>
      <c r="I58" s="25" t="s">
        <v>136</v>
      </c>
      <c r="J58" t="s">
        <v>347</v>
      </c>
    </row>
    <row r="59" spans="1:10" x14ac:dyDescent="0.25">
      <c r="A59" s="2">
        <v>46084</v>
      </c>
      <c r="B59" s="2" t="str">
        <f t="shared" ref="B59:B63" si="8">+TEXT(A59,"ddd")</f>
        <v>mar</v>
      </c>
      <c r="D59" s="49">
        <v>11000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8"/>
        <v>dom</v>
      </c>
      <c r="D60" s="49">
        <v>3000</v>
      </c>
      <c r="F60" s="3" t="s">
        <v>216</v>
      </c>
      <c r="I60" s="26" t="s">
        <v>141</v>
      </c>
    </row>
    <row r="61" spans="1:10" x14ac:dyDescent="0.25">
      <c r="A61" s="2">
        <v>46090</v>
      </c>
      <c r="B61" s="2" t="str">
        <f t="shared" si="8"/>
        <v>lun</v>
      </c>
      <c r="D61" s="49">
        <v>76000</v>
      </c>
      <c r="F61" s="3" t="s">
        <v>654</v>
      </c>
      <c r="I61" s="26" t="s">
        <v>141</v>
      </c>
      <c r="J61" t="s">
        <v>662</v>
      </c>
    </row>
    <row r="62" spans="1:10" x14ac:dyDescent="0.25">
      <c r="A62" s="2">
        <v>46091</v>
      </c>
      <c r="B62" s="2" t="str">
        <f t="shared" si="8"/>
        <v>mar</v>
      </c>
      <c r="D62" s="49">
        <v>-90000</v>
      </c>
      <c r="F62" s="3" t="s">
        <v>218</v>
      </c>
      <c r="I62" s="26" t="s">
        <v>141</v>
      </c>
    </row>
    <row r="63" spans="1:10" x14ac:dyDescent="0.25">
      <c r="A63" s="2">
        <v>46092</v>
      </c>
      <c r="B63" s="2" t="str">
        <f t="shared" si="8"/>
        <v>mié</v>
      </c>
      <c r="D63" s="49">
        <v>1000</v>
      </c>
      <c r="F63" s="3" t="s">
        <v>216</v>
      </c>
      <c r="I63" s="26" t="s">
        <v>141</v>
      </c>
    </row>
    <row r="64" spans="1:10" x14ac:dyDescent="0.25">
      <c r="A64" s="2">
        <v>46092</v>
      </c>
      <c r="B64" s="2" t="str">
        <f t="shared" si="7"/>
        <v>mié</v>
      </c>
      <c r="D64" s="49">
        <v>22000</v>
      </c>
      <c r="F64" s="3" t="s">
        <v>216</v>
      </c>
      <c r="I64" s="26" t="s">
        <v>141</v>
      </c>
    </row>
    <row r="65" spans="1:10" x14ac:dyDescent="0.25">
      <c r="A65" s="2">
        <v>46093</v>
      </c>
      <c r="B65" s="2" t="str">
        <f t="shared" si="7"/>
        <v>jue</v>
      </c>
      <c r="D65" s="49">
        <v>82000</v>
      </c>
      <c r="F65" s="3" t="s">
        <v>216</v>
      </c>
      <c r="G65" s="77" t="s">
        <v>354</v>
      </c>
      <c r="I65" s="26" t="s">
        <v>141</v>
      </c>
    </row>
    <row r="66" spans="1:10" hidden="1" x14ac:dyDescent="0.25">
      <c r="A66" s="2">
        <v>46093</v>
      </c>
      <c r="B66" s="2" t="str">
        <f t="shared" ref="B66:B67" si="9">+TEXT(A66,"ddd")</f>
        <v>jue</v>
      </c>
      <c r="C66" s="27">
        <v>0.73124999999999996</v>
      </c>
      <c r="D66" s="49">
        <v>11000</v>
      </c>
      <c r="F66" s="3" t="s">
        <v>216</v>
      </c>
      <c r="G66" s="77" t="s">
        <v>367</v>
      </c>
      <c r="I66" s="25" t="s">
        <v>136</v>
      </c>
      <c r="J66" t="s">
        <v>339</v>
      </c>
    </row>
    <row r="67" spans="1:10" hidden="1" x14ac:dyDescent="0.25">
      <c r="A67" s="2">
        <v>46093</v>
      </c>
      <c r="B67" s="2" t="str">
        <f t="shared" si="9"/>
        <v>jue</v>
      </c>
      <c r="C67" s="27">
        <v>0.78611111111111109</v>
      </c>
      <c r="D67" s="49">
        <v>24000</v>
      </c>
      <c r="F67" s="3" t="s">
        <v>216</v>
      </c>
      <c r="G67" s="77" t="s">
        <v>368</v>
      </c>
      <c r="I67" s="25" t="s">
        <v>136</v>
      </c>
      <c r="J67" t="s">
        <v>362</v>
      </c>
    </row>
    <row r="68" spans="1:10" hidden="1" x14ac:dyDescent="0.25">
      <c r="A68" s="2">
        <v>46093</v>
      </c>
      <c r="B68" s="2" t="str">
        <f t="shared" ref="B68:B77" si="10">+TEXT(A68,"ddd")</f>
        <v>jue</v>
      </c>
      <c r="D68" s="49">
        <v>24000</v>
      </c>
      <c r="F68" s="3" t="s">
        <v>216</v>
      </c>
      <c r="G68" s="77" t="s">
        <v>392</v>
      </c>
      <c r="I68" s="25" t="s">
        <v>136</v>
      </c>
      <c r="J68" t="s">
        <v>363</v>
      </c>
    </row>
    <row r="69" spans="1:10" hidden="1" x14ac:dyDescent="0.25">
      <c r="A69" s="2">
        <v>46093</v>
      </c>
      <c r="B69" s="2" t="str">
        <f t="shared" si="10"/>
        <v>jue</v>
      </c>
      <c r="D69" s="49">
        <v>11000</v>
      </c>
      <c r="F69" s="3" t="s">
        <v>216</v>
      </c>
      <c r="I69" s="25" t="s">
        <v>136</v>
      </c>
      <c r="J69" t="s">
        <v>364</v>
      </c>
    </row>
    <row r="70" spans="1:10" x14ac:dyDescent="0.25">
      <c r="A70" s="2">
        <v>46095</v>
      </c>
      <c r="B70" s="2" t="str">
        <f t="shared" si="10"/>
        <v>sáb</v>
      </c>
      <c r="D70" s="49">
        <v>23000</v>
      </c>
      <c r="F70" s="3" t="s">
        <v>216</v>
      </c>
      <c r="G70" s="77" t="s">
        <v>354</v>
      </c>
      <c r="I70" s="26" t="s">
        <v>141</v>
      </c>
    </row>
    <row r="71" spans="1:10" hidden="1" x14ac:dyDescent="0.25">
      <c r="A71" s="2">
        <v>46095</v>
      </c>
      <c r="B71" s="2" t="str">
        <f t="shared" si="10"/>
        <v>sáb</v>
      </c>
      <c r="D71" s="49">
        <v>11000</v>
      </c>
      <c r="F71" s="3" t="s">
        <v>216</v>
      </c>
      <c r="G71" s="77" t="s">
        <v>390</v>
      </c>
      <c r="I71" s="25" t="s">
        <v>136</v>
      </c>
      <c r="J71" t="s">
        <v>384</v>
      </c>
    </row>
    <row r="72" spans="1:10" hidden="1" x14ac:dyDescent="0.25">
      <c r="A72" s="2">
        <v>46095</v>
      </c>
      <c r="B72" s="2" t="str">
        <f t="shared" si="10"/>
        <v>sáb</v>
      </c>
      <c r="D72" s="49">
        <v>11000</v>
      </c>
      <c r="F72" s="3" t="s">
        <v>216</v>
      </c>
      <c r="G72" s="77" t="s">
        <v>389</v>
      </c>
      <c r="I72" s="25" t="s">
        <v>136</v>
      </c>
      <c r="J72" t="s">
        <v>385</v>
      </c>
    </row>
    <row r="73" spans="1:10" hidden="1" x14ac:dyDescent="0.25">
      <c r="A73" s="2">
        <v>46095</v>
      </c>
      <c r="B73" s="2" t="str">
        <f t="shared" si="10"/>
        <v>sáb</v>
      </c>
      <c r="D73" s="49">
        <v>57500</v>
      </c>
      <c r="F73" s="3" t="s">
        <v>216</v>
      </c>
      <c r="G73" s="77"/>
      <c r="I73" s="25" t="s">
        <v>136</v>
      </c>
      <c r="J73" t="s">
        <v>386</v>
      </c>
    </row>
    <row r="74" spans="1:10" hidden="1" x14ac:dyDescent="0.25">
      <c r="A74" s="2">
        <v>46095</v>
      </c>
      <c r="B74" s="2" t="str">
        <f t="shared" si="10"/>
        <v>sáb</v>
      </c>
      <c r="D74" s="49">
        <v>13500</v>
      </c>
      <c r="F74" s="3" t="s">
        <v>216</v>
      </c>
      <c r="G74" s="77" t="s">
        <v>388</v>
      </c>
      <c r="I74" s="25" t="s">
        <v>136</v>
      </c>
      <c r="J74" t="s">
        <v>387</v>
      </c>
    </row>
    <row r="75" spans="1:10" hidden="1" x14ac:dyDescent="0.25">
      <c r="A75" s="2">
        <v>46096</v>
      </c>
      <c r="B75" s="2" t="str">
        <f t="shared" si="10"/>
        <v>dom</v>
      </c>
      <c r="D75" s="49">
        <v>19000</v>
      </c>
      <c r="F75" s="3" t="s">
        <v>216</v>
      </c>
      <c r="I75" s="25" t="s">
        <v>136</v>
      </c>
      <c r="J75" t="s">
        <v>407</v>
      </c>
    </row>
    <row r="76" spans="1:10" hidden="1" x14ac:dyDescent="0.25">
      <c r="A76" s="2">
        <v>46096</v>
      </c>
      <c r="B76" s="2" t="str">
        <f t="shared" si="10"/>
        <v>dom</v>
      </c>
      <c r="C76" s="27">
        <v>0.78819444444444442</v>
      </c>
      <c r="D76" s="49">
        <v>36000</v>
      </c>
      <c r="F76" s="3" t="s">
        <v>216</v>
      </c>
      <c r="I76" s="25" t="s">
        <v>136</v>
      </c>
      <c r="J76" t="s">
        <v>387</v>
      </c>
    </row>
    <row r="77" spans="1:10" hidden="1" x14ac:dyDescent="0.25">
      <c r="A77" s="2">
        <v>46097</v>
      </c>
      <c r="B77" s="2" t="str">
        <f t="shared" si="10"/>
        <v>lun</v>
      </c>
      <c r="D77" s="49">
        <v>10000</v>
      </c>
      <c r="F77" s="3" t="s">
        <v>216</v>
      </c>
      <c r="I77" s="25" t="s">
        <v>136</v>
      </c>
      <c r="J77" t="s">
        <v>408</v>
      </c>
    </row>
    <row r="78" spans="1:10" hidden="1" x14ac:dyDescent="0.25">
      <c r="A78" s="2">
        <v>46097</v>
      </c>
      <c r="B78" s="2" t="str">
        <f t="shared" ref="B78:B80" si="11">+TEXT(A78,"ddd")</f>
        <v>lun</v>
      </c>
      <c r="D78" s="49">
        <v>11000</v>
      </c>
      <c r="F78" s="3" t="s">
        <v>216</v>
      </c>
      <c r="I78" s="25" t="s">
        <v>136</v>
      </c>
      <c r="J78" t="s">
        <v>409</v>
      </c>
    </row>
    <row r="79" spans="1:10" x14ac:dyDescent="0.25">
      <c r="A79" s="2">
        <v>46098</v>
      </c>
      <c r="B79" s="2" t="str">
        <f t="shared" si="11"/>
        <v>mar</v>
      </c>
      <c r="D79" s="49">
        <v>8000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1"/>
        <v>mar</v>
      </c>
      <c r="D80" s="49">
        <v>15000</v>
      </c>
      <c r="F80" s="3" t="s">
        <v>216</v>
      </c>
      <c r="I80" s="26" t="s">
        <v>141</v>
      </c>
    </row>
    <row r="81" spans="1:10" hidden="1" x14ac:dyDescent="0.25">
      <c r="A81" s="2">
        <v>46098</v>
      </c>
      <c r="B81" s="2" t="str">
        <f t="shared" ref="B81" si="12">+TEXT(A81,"ddd")</f>
        <v>mar</v>
      </c>
      <c r="C81" s="27">
        <v>0.66041666666666665</v>
      </c>
      <c r="D81" s="49">
        <v>50000</v>
      </c>
      <c r="F81" s="3" t="s">
        <v>216</v>
      </c>
      <c r="G81" s="77" t="s">
        <v>658</v>
      </c>
      <c r="I81" s="25" t="s">
        <v>136</v>
      </c>
      <c r="J81" t="s">
        <v>410</v>
      </c>
    </row>
    <row r="82" spans="1:10" hidden="1" x14ac:dyDescent="0.25">
      <c r="A82" s="2">
        <v>46098</v>
      </c>
      <c r="B82" s="2" t="str">
        <f t="shared" ref="B82:B85" si="13">+TEXT(A82,"ddd")</f>
        <v>mar</v>
      </c>
      <c r="D82" s="49">
        <v>11000</v>
      </c>
      <c r="F82" s="3" t="s">
        <v>216</v>
      </c>
      <c r="G82" s="77" t="s">
        <v>657</v>
      </c>
      <c r="I82" s="25" t="s">
        <v>136</v>
      </c>
      <c r="J82" t="s">
        <v>411</v>
      </c>
    </row>
    <row r="83" spans="1:10" hidden="1" x14ac:dyDescent="0.25">
      <c r="A83" s="2">
        <v>46098</v>
      </c>
      <c r="B83" s="2" t="str">
        <f t="shared" si="13"/>
        <v>mar</v>
      </c>
      <c r="D83" s="49">
        <v>8000</v>
      </c>
      <c r="F83" s="3" t="s">
        <v>216</v>
      </c>
      <c r="G83" s="77" t="s">
        <v>656</v>
      </c>
      <c r="I83" s="25" t="s">
        <v>136</v>
      </c>
      <c r="J83" t="s">
        <v>412</v>
      </c>
    </row>
    <row r="84" spans="1:10" hidden="1" x14ac:dyDescent="0.25">
      <c r="A84" s="2">
        <v>46098</v>
      </c>
      <c r="B84" s="2" t="str">
        <f t="shared" si="13"/>
        <v>mar</v>
      </c>
      <c r="D84" s="49">
        <v>9000</v>
      </c>
      <c r="F84" s="3" t="s">
        <v>216</v>
      </c>
      <c r="G84" s="77" t="s">
        <v>655</v>
      </c>
      <c r="I84" s="25" t="s">
        <v>136</v>
      </c>
      <c r="J84" t="s">
        <v>413</v>
      </c>
    </row>
    <row r="85" spans="1:10" hidden="1" x14ac:dyDescent="0.25">
      <c r="A85" s="2">
        <v>46098</v>
      </c>
      <c r="B85" s="2" t="str">
        <f t="shared" si="13"/>
        <v>mar</v>
      </c>
      <c r="D85" s="49">
        <f>-(40000+20000)</f>
        <v>-60000</v>
      </c>
      <c r="F85" s="3" t="s">
        <v>414</v>
      </c>
      <c r="I85" s="25" t="s">
        <v>136</v>
      </c>
      <c r="J85" t="s">
        <v>415</v>
      </c>
    </row>
    <row r="86" spans="1:10" hidden="1" x14ac:dyDescent="0.25">
      <c r="A86" s="2">
        <v>46099</v>
      </c>
      <c r="B86" s="2" t="str">
        <f t="shared" ref="B86" si="14">+TEXT(A86,"ddd")</f>
        <v>mié</v>
      </c>
      <c r="D86" s="49">
        <v>344950</v>
      </c>
      <c r="F86" s="3" t="s">
        <v>133</v>
      </c>
      <c r="I86" s="25" t="s">
        <v>136</v>
      </c>
      <c r="J86" t="s">
        <v>421</v>
      </c>
    </row>
    <row r="87" spans="1:10" hidden="1" x14ac:dyDescent="0.25">
      <c r="A87" s="2">
        <v>46098</v>
      </c>
      <c r="B87" s="10" t="str">
        <f>+TEXT(A87,"ddd")</f>
        <v>mar</v>
      </c>
      <c r="C87" s="1"/>
      <c r="D87" s="60">
        <v>24000</v>
      </c>
      <c r="E87" s="60"/>
      <c r="F87" s="11" t="s">
        <v>216</v>
      </c>
      <c r="G87" s="11" t="s">
        <v>426</v>
      </c>
      <c r="H87" s="11" t="s">
        <v>365</v>
      </c>
      <c r="I87" s="25" t="s">
        <v>136</v>
      </c>
      <c r="J87" s="11" t="s">
        <v>423</v>
      </c>
    </row>
    <row r="88" spans="1:10" hidden="1" x14ac:dyDescent="0.25">
      <c r="A88" s="2">
        <v>46098</v>
      </c>
      <c r="B88" s="10" t="str">
        <f>+TEXT(A88,"ddd")</f>
        <v>mar</v>
      </c>
      <c r="C88" s="1"/>
      <c r="D88" s="60">
        <v>-24000</v>
      </c>
      <c r="E88" s="60"/>
      <c r="F88" s="11" t="s">
        <v>216</v>
      </c>
      <c r="G88" s="11" t="s">
        <v>426</v>
      </c>
      <c r="H88" s="11" t="s">
        <v>365</v>
      </c>
      <c r="I88" s="25" t="s">
        <v>136</v>
      </c>
      <c r="J88" s="11" t="s">
        <v>424</v>
      </c>
    </row>
    <row r="89" spans="1:10" hidden="1" x14ac:dyDescent="0.25">
      <c r="A89" s="2">
        <v>46098</v>
      </c>
      <c r="B89" s="10" t="str">
        <f>+TEXT(A89,"ddd")</f>
        <v>mar</v>
      </c>
      <c r="C89" s="1"/>
      <c r="D89" s="60">
        <f>8000*4</f>
        <v>32000</v>
      </c>
      <c r="E89" s="60"/>
      <c r="F89" s="11" t="s">
        <v>216</v>
      </c>
      <c r="G89" s="77" t="s">
        <v>425</v>
      </c>
      <c r="H89" s="11" t="s">
        <v>365</v>
      </c>
      <c r="I89" s="25" t="s">
        <v>136</v>
      </c>
      <c r="J89" s="11" t="s">
        <v>423</v>
      </c>
    </row>
    <row r="90" spans="1:10" hidden="1" x14ac:dyDescent="0.25">
      <c r="A90" s="2">
        <v>46099</v>
      </c>
      <c r="B90" s="2" t="str">
        <f t="shared" ref="B90" si="15">+TEXT(A90,"ddd")</f>
        <v>mié</v>
      </c>
      <c r="D90" s="49">
        <v>-40000</v>
      </c>
      <c r="F90" s="3" t="s">
        <v>414</v>
      </c>
      <c r="I90" s="25" t="s">
        <v>136</v>
      </c>
      <c r="J90" t="s">
        <v>420</v>
      </c>
    </row>
    <row r="91" spans="1:10" hidden="1" x14ac:dyDescent="0.25">
      <c r="A91" s="2">
        <v>46099</v>
      </c>
      <c r="B91" s="2" t="str">
        <f t="shared" ref="B91" si="16">+TEXT(A91,"ddd")</f>
        <v>mié</v>
      </c>
      <c r="D91" s="49">
        <v>-40000</v>
      </c>
      <c r="F91" s="3" t="s">
        <v>414</v>
      </c>
      <c r="I91" s="25" t="s">
        <v>136</v>
      </c>
      <c r="J91" t="s">
        <v>422</v>
      </c>
    </row>
    <row r="92" spans="1:10" hidden="1" x14ac:dyDescent="0.25">
      <c r="A92" s="2">
        <v>46099</v>
      </c>
      <c r="B92" s="2" t="str">
        <f t="shared" ref="B92" si="17">+TEXT(A92,"ddd")</f>
        <v>mié</v>
      </c>
      <c r="D92" s="49">
        <v>-116000</v>
      </c>
      <c r="F92" s="3" t="s">
        <v>414</v>
      </c>
      <c r="I92" s="25" t="s">
        <v>136</v>
      </c>
      <c r="J92" s="11" t="s">
        <v>436</v>
      </c>
    </row>
    <row r="93" spans="1:10" hidden="1" x14ac:dyDescent="0.25">
      <c r="A93" s="2">
        <v>46099</v>
      </c>
      <c r="B93" s="2" t="str">
        <f t="shared" ref="B93" si="18">+TEXT(A93,"ddd")</f>
        <v>mié</v>
      </c>
      <c r="D93" s="101">
        <f>+-8500-6000</f>
        <v>-14500</v>
      </c>
      <c r="E93" s="101"/>
      <c r="F93" s="3" t="s">
        <v>414</v>
      </c>
      <c r="I93" s="25" t="s">
        <v>136</v>
      </c>
      <c r="J93" s="11" t="s">
        <v>437</v>
      </c>
    </row>
    <row r="94" spans="1:10" hidden="1" x14ac:dyDescent="0.25">
      <c r="A94" s="2">
        <v>46099</v>
      </c>
      <c r="B94" s="2" t="str">
        <f>+TEXT(A94,"ddd")</f>
        <v>mié</v>
      </c>
      <c r="D94" s="101">
        <v>-50000</v>
      </c>
      <c r="E94" s="101"/>
      <c r="F94" s="3" t="s">
        <v>414</v>
      </c>
      <c r="I94" s="25" t="s">
        <v>136</v>
      </c>
      <c r="J94" t="s">
        <v>440</v>
      </c>
    </row>
    <row r="95" spans="1:10" hidden="1" x14ac:dyDescent="0.25">
      <c r="A95" s="2">
        <v>46099</v>
      </c>
      <c r="B95" s="2" t="str">
        <f t="shared" ref="B95:B97" si="19">+TEXT(A95,"ddd")</f>
        <v>mié</v>
      </c>
      <c r="D95" s="49">
        <v>38000</v>
      </c>
      <c r="F95" s="3" t="s">
        <v>216</v>
      </c>
      <c r="I95" s="25" t="s">
        <v>136</v>
      </c>
    </row>
    <row r="96" spans="1:10" hidden="1" x14ac:dyDescent="0.25">
      <c r="A96" s="2">
        <v>46099</v>
      </c>
      <c r="B96" s="2" t="str">
        <f t="shared" si="19"/>
        <v>mié</v>
      </c>
      <c r="D96" s="49">
        <v>16000</v>
      </c>
      <c r="F96" s="3" t="s">
        <v>216</v>
      </c>
      <c r="I96" s="25" t="s">
        <v>136</v>
      </c>
    </row>
    <row r="97" spans="1:10" hidden="1" x14ac:dyDescent="0.25">
      <c r="A97" s="2">
        <v>46099</v>
      </c>
      <c r="B97" s="2" t="str">
        <f t="shared" si="19"/>
        <v>mié</v>
      </c>
      <c r="D97" s="49">
        <v>8000</v>
      </c>
      <c r="F97" s="3" t="s">
        <v>216</v>
      </c>
      <c r="I97" s="25" t="s">
        <v>136</v>
      </c>
    </row>
    <row r="98" spans="1:10" hidden="1" x14ac:dyDescent="0.25">
      <c r="A98" s="2">
        <v>46099</v>
      </c>
      <c r="B98" s="2" t="str">
        <f t="shared" ref="B98" si="20">+TEXT(A98,"ddd")</f>
        <v>mié</v>
      </c>
      <c r="D98" s="49">
        <v>9000</v>
      </c>
      <c r="F98" s="3" t="s">
        <v>216</v>
      </c>
      <c r="I98" s="25" t="s">
        <v>136</v>
      </c>
    </row>
    <row r="99" spans="1:10" x14ac:dyDescent="0.25">
      <c r="A99" s="2">
        <v>46100</v>
      </c>
      <c r="B99" s="2" t="str">
        <f t="shared" ref="B99" si="21">+TEXT(A99,"ddd")</f>
        <v>jue</v>
      </c>
      <c r="D99" s="49">
        <v>11000</v>
      </c>
      <c r="F99" s="3" t="s">
        <v>216</v>
      </c>
      <c r="I99" s="26" t="s">
        <v>141</v>
      </c>
    </row>
    <row r="100" spans="1:10" hidden="1" x14ac:dyDescent="0.25">
      <c r="A100" s="2">
        <v>46100</v>
      </c>
      <c r="B100" s="2" t="str">
        <f t="shared" ref="B100" si="22">+TEXT(A100,"ddd")</f>
        <v>jue</v>
      </c>
      <c r="D100" s="49">
        <v>8000</v>
      </c>
      <c r="F100" s="3" t="s">
        <v>216</v>
      </c>
      <c r="G100" s="104">
        <v>268</v>
      </c>
      <c r="I100" s="25" t="s">
        <v>136</v>
      </c>
      <c r="J100" t="s">
        <v>513</v>
      </c>
    </row>
    <row r="101" spans="1:10" hidden="1" x14ac:dyDescent="0.25">
      <c r="A101" s="2">
        <v>46100</v>
      </c>
      <c r="B101" s="2" t="str">
        <f t="shared" ref="B101" si="23">+TEXT(A101,"ddd")</f>
        <v>jue</v>
      </c>
      <c r="D101" s="49">
        <v>40000</v>
      </c>
      <c r="F101" s="3" t="s">
        <v>216</v>
      </c>
      <c r="G101" s="103">
        <v>285</v>
      </c>
      <c r="I101" s="25" t="s">
        <v>136</v>
      </c>
      <c r="J101" t="s">
        <v>520</v>
      </c>
    </row>
    <row r="102" spans="1:10" hidden="1" x14ac:dyDescent="0.25">
      <c r="A102" s="2">
        <v>46100</v>
      </c>
      <c r="B102" s="2" t="str">
        <f>+TEXT(A102,"ddd")</f>
        <v>jue</v>
      </c>
      <c r="D102" s="49">
        <v>8000</v>
      </c>
      <c r="F102" s="3" t="s">
        <v>216</v>
      </c>
      <c r="G102" s="105">
        <v>270</v>
      </c>
      <c r="I102" s="25" t="s">
        <v>136</v>
      </c>
      <c r="J102" t="s">
        <v>514</v>
      </c>
    </row>
    <row r="103" spans="1:10" hidden="1" x14ac:dyDescent="0.25">
      <c r="A103" s="2">
        <v>46100</v>
      </c>
      <c r="B103" s="2" t="str">
        <f>+TEXT(A103,"ddd")</f>
        <v>jue</v>
      </c>
      <c r="D103" s="49">
        <v>2800</v>
      </c>
      <c r="F103" s="3" t="s">
        <v>216</v>
      </c>
      <c r="G103" s="104">
        <v>286</v>
      </c>
      <c r="I103" s="25" t="s">
        <v>136</v>
      </c>
      <c r="J103" t="s">
        <v>514</v>
      </c>
    </row>
    <row r="104" spans="1:10" hidden="1" x14ac:dyDescent="0.25">
      <c r="A104" s="2">
        <v>46100</v>
      </c>
      <c r="B104" s="2" t="str">
        <f t="shared" ref="B104" si="24">+TEXT(A104,"ddd")</f>
        <v>jue</v>
      </c>
      <c r="D104" s="49">
        <v>16000</v>
      </c>
      <c r="F104" s="3" t="s">
        <v>216</v>
      </c>
      <c r="G104" s="104">
        <v>278</v>
      </c>
      <c r="I104" s="25" t="s">
        <v>136</v>
      </c>
      <c r="J104" t="s">
        <v>517</v>
      </c>
    </row>
    <row r="105" spans="1:10" hidden="1" x14ac:dyDescent="0.25">
      <c r="A105" s="2">
        <v>46100</v>
      </c>
      <c r="B105" s="2" t="str">
        <f>+TEXT(A105,"ddd")</f>
        <v>jue</v>
      </c>
      <c r="D105" s="49">
        <v>16000</v>
      </c>
      <c r="F105" s="3" t="s">
        <v>216</v>
      </c>
      <c r="G105" s="103">
        <v>279</v>
      </c>
      <c r="I105" s="25" t="s">
        <v>136</v>
      </c>
      <c r="J105" t="s">
        <v>518</v>
      </c>
    </row>
    <row r="106" spans="1:10" hidden="1" x14ac:dyDescent="0.25">
      <c r="A106" s="2">
        <v>46100</v>
      </c>
      <c r="B106" s="2" t="str">
        <f>+TEXT(A106,"ddd")</f>
        <v>jue</v>
      </c>
      <c r="D106" s="49">
        <v>19000</v>
      </c>
      <c r="F106" s="3" t="s">
        <v>216</v>
      </c>
      <c r="G106" s="103">
        <v>272</v>
      </c>
      <c r="I106" s="25" t="s">
        <v>136</v>
      </c>
      <c r="J106" t="s">
        <v>516</v>
      </c>
    </row>
    <row r="107" spans="1:10" hidden="1" x14ac:dyDescent="0.25">
      <c r="A107" s="2">
        <v>46100</v>
      </c>
      <c r="B107" s="2" t="str">
        <f>+TEXT(A107,"ddd")</f>
        <v>jue</v>
      </c>
      <c r="D107" s="49">
        <v>30000</v>
      </c>
      <c r="F107" s="3" t="s">
        <v>216</v>
      </c>
      <c r="G107" s="104">
        <v>271</v>
      </c>
      <c r="I107" s="25" t="s">
        <v>136</v>
      </c>
      <c r="J107" t="s">
        <v>515</v>
      </c>
    </row>
    <row r="108" spans="1:10" hidden="1" x14ac:dyDescent="0.25">
      <c r="A108" s="2">
        <v>46100</v>
      </c>
      <c r="B108" s="2" t="str">
        <f>+TEXT(A108,"ddd")</f>
        <v>jue</v>
      </c>
      <c r="C108" s="27">
        <v>0.79166666666666663</v>
      </c>
      <c r="D108" s="60">
        <v>8000</v>
      </c>
      <c r="E108" s="60"/>
      <c r="F108" s="3" t="s">
        <v>216</v>
      </c>
      <c r="G108" s="104">
        <v>282</v>
      </c>
      <c r="I108" s="25" t="s">
        <v>136</v>
      </c>
      <c r="J108" t="s">
        <v>519</v>
      </c>
    </row>
    <row r="109" spans="1:10" hidden="1" x14ac:dyDescent="0.25">
      <c r="A109" s="2">
        <v>46100</v>
      </c>
      <c r="B109" s="2" t="str">
        <f t="shared" ref="B109" si="25">+TEXT(A109,"ddd")</f>
        <v>jue</v>
      </c>
      <c r="D109" s="49">
        <v>14000</v>
      </c>
      <c r="F109" s="3" t="s">
        <v>216</v>
      </c>
      <c r="G109" s="105">
        <v>270</v>
      </c>
      <c r="I109" s="25" t="s">
        <v>136</v>
      </c>
      <c r="J109" t="s">
        <v>514</v>
      </c>
    </row>
    <row r="110" spans="1:10" hidden="1" x14ac:dyDescent="0.25">
      <c r="A110" s="2">
        <v>46100</v>
      </c>
      <c r="B110" s="2" t="str">
        <f t="shared" ref="B110:B111" si="26">+TEXT(A110,"ddd")</f>
        <v>jue</v>
      </c>
      <c r="C110" s="27">
        <v>0.84930555555555554</v>
      </c>
      <c r="D110" s="60">
        <v>8000</v>
      </c>
      <c r="E110" s="60"/>
      <c r="F110" s="3" t="s">
        <v>216</v>
      </c>
      <c r="I110" s="25" t="s">
        <v>136</v>
      </c>
      <c r="J110" t="s">
        <v>522</v>
      </c>
    </row>
    <row r="111" spans="1:10" hidden="1" x14ac:dyDescent="0.25">
      <c r="A111" s="2">
        <v>46100</v>
      </c>
      <c r="B111" s="2" t="str">
        <f t="shared" si="26"/>
        <v>jue</v>
      </c>
      <c r="D111" s="49">
        <f>-40000-10000</f>
        <v>-50000</v>
      </c>
      <c r="F111" s="3" t="s">
        <v>414</v>
      </c>
      <c r="I111" s="25" t="s">
        <v>136</v>
      </c>
      <c r="J111" t="s">
        <v>403</v>
      </c>
    </row>
    <row r="112" spans="1:10" hidden="1" x14ac:dyDescent="0.25">
      <c r="A112" s="2">
        <v>46100</v>
      </c>
      <c r="B112" s="2" t="str">
        <f t="shared" ref="B112:B116" si="27">+TEXT(A112,"ddd")</f>
        <v>jue</v>
      </c>
      <c r="D112" s="49">
        <v>-404000</v>
      </c>
      <c r="F112" s="3" t="s">
        <v>216</v>
      </c>
      <c r="I112" s="25" t="s">
        <v>136</v>
      </c>
      <c r="J112" t="s">
        <v>521</v>
      </c>
    </row>
    <row r="113" spans="1:10" hidden="1" x14ac:dyDescent="0.25">
      <c r="A113" s="2">
        <v>46101</v>
      </c>
      <c r="B113" s="2" t="str">
        <f t="shared" si="27"/>
        <v>vie</v>
      </c>
      <c r="D113" s="49">
        <v>33000</v>
      </c>
      <c r="F113" s="3" t="s">
        <v>216</v>
      </c>
      <c r="I113" s="25" t="s">
        <v>136</v>
      </c>
      <c r="J113" t="s">
        <v>540</v>
      </c>
    </row>
    <row r="114" spans="1:10" hidden="1" x14ac:dyDescent="0.25">
      <c r="A114" s="2">
        <v>46101</v>
      </c>
      <c r="B114" s="2" t="str">
        <f t="shared" si="27"/>
        <v>vie</v>
      </c>
      <c r="D114" s="49">
        <v>32700</v>
      </c>
      <c r="F114" s="3" t="s">
        <v>216</v>
      </c>
      <c r="I114" s="25" t="s">
        <v>136</v>
      </c>
      <c r="J114" t="s">
        <v>539</v>
      </c>
    </row>
    <row r="115" spans="1:10" hidden="1" x14ac:dyDescent="0.25">
      <c r="A115" s="2">
        <v>46101</v>
      </c>
      <c r="B115" s="2" t="str">
        <f t="shared" si="27"/>
        <v>vie</v>
      </c>
      <c r="D115" s="49">
        <v>230000</v>
      </c>
      <c r="F115" s="3" t="s">
        <v>541</v>
      </c>
      <c r="I115" s="25" t="s">
        <v>136</v>
      </c>
      <c r="J115" t="s">
        <v>542</v>
      </c>
    </row>
    <row r="116" spans="1:10" hidden="1" x14ac:dyDescent="0.25">
      <c r="A116" s="2">
        <v>46101</v>
      </c>
      <c r="B116" s="2" t="str">
        <f t="shared" si="27"/>
        <v>vie</v>
      </c>
      <c r="D116" s="49">
        <v>-21000</v>
      </c>
      <c r="F116" s="3" t="s">
        <v>414</v>
      </c>
      <c r="I116" s="25" t="s">
        <v>136</v>
      </c>
      <c r="J116" t="s">
        <v>543</v>
      </c>
    </row>
    <row r="117" spans="1:10" hidden="1" x14ac:dyDescent="0.25">
      <c r="A117" s="2">
        <v>46102</v>
      </c>
      <c r="B117" s="2" t="str">
        <f>+TEXT(A117,"ddd")</f>
        <v>sáb</v>
      </c>
      <c r="D117" s="49">
        <v>11000</v>
      </c>
      <c r="F117" s="3" t="s">
        <v>216</v>
      </c>
      <c r="I117" s="25" t="s">
        <v>136</v>
      </c>
      <c r="J117" t="s">
        <v>581</v>
      </c>
    </row>
    <row r="118" spans="1:10" x14ac:dyDescent="0.25">
      <c r="A118" s="2">
        <v>46105</v>
      </c>
      <c r="B118" s="2" t="str">
        <f t="shared" ref="B118" si="28">+TEXT(A118,"ddd")</f>
        <v>mar</v>
      </c>
      <c r="D118" s="49">
        <v>27000</v>
      </c>
      <c r="F118" s="3" t="s">
        <v>216</v>
      </c>
      <c r="I118" s="26" t="s">
        <v>141</v>
      </c>
    </row>
    <row r="119" spans="1:10" hidden="1" x14ac:dyDescent="0.25">
      <c r="A119" s="2">
        <v>46105</v>
      </c>
      <c r="B119" s="2" t="str">
        <f>+TEXT(A119,"ddd")</f>
        <v>mar</v>
      </c>
      <c r="D119" s="49">
        <v>13000</v>
      </c>
      <c r="F119" s="3" t="s">
        <v>216</v>
      </c>
      <c r="I119" s="25" t="s">
        <v>136</v>
      </c>
    </row>
    <row r="120" spans="1:10" hidden="1" x14ac:dyDescent="0.25">
      <c r="A120" s="2">
        <v>46105</v>
      </c>
      <c r="B120" s="2" t="str">
        <f t="shared" ref="B120:B126" si="29">+TEXT(A120,"ddd")</f>
        <v>mar</v>
      </c>
      <c r="D120" s="49">
        <v>10000</v>
      </c>
      <c r="F120" s="3" t="s">
        <v>216</v>
      </c>
      <c r="I120" s="25" t="s">
        <v>136</v>
      </c>
    </row>
    <row r="121" spans="1:10" hidden="1" x14ac:dyDescent="0.25">
      <c r="A121" s="2">
        <v>46105</v>
      </c>
      <c r="B121" s="2" t="str">
        <f t="shared" si="29"/>
        <v>mar</v>
      </c>
      <c r="D121" s="49">
        <v>16000</v>
      </c>
      <c r="F121" s="3" t="s">
        <v>216</v>
      </c>
      <c r="I121" s="25" t="s">
        <v>136</v>
      </c>
    </row>
    <row r="122" spans="1:10" hidden="1" x14ac:dyDescent="0.25">
      <c r="A122" s="2">
        <v>46105</v>
      </c>
      <c r="B122" s="2" t="str">
        <f t="shared" si="29"/>
        <v>mar</v>
      </c>
      <c r="D122" s="49">
        <v>88000</v>
      </c>
      <c r="F122" s="3" t="s">
        <v>216</v>
      </c>
      <c r="I122" s="25" t="s">
        <v>136</v>
      </c>
    </row>
    <row r="123" spans="1:10" x14ac:dyDescent="0.25">
      <c r="A123" s="2">
        <v>46106</v>
      </c>
      <c r="B123" s="2" t="str">
        <f t="shared" si="29"/>
        <v>mié</v>
      </c>
      <c r="D123" s="49">
        <v>11000</v>
      </c>
      <c r="F123" s="3" t="s">
        <v>216</v>
      </c>
      <c r="I123" s="26" t="s">
        <v>141</v>
      </c>
    </row>
    <row r="124" spans="1:10" hidden="1" x14ac:dyDescent="0.25">
      <c r="A124" s="2">
        <v>46106</v>
      </c>
      <c r="B124" s="2" t="str">
        <f t="shared" ref="B124" si="30">+TEXT(A124,"ddd")</f>
        <v>mié</v>
      </c>
      <c r="D124" s="49">
        <v>4000</v>
      </c>
      <c r="F124" s="3" t="s">
        <v>216</v>
      </c>
      <c r="I124" s="25" t="s">
        <v>136</v>
      </c>
      <c r="J124" t="s">
        <v>621</v>
      </c>
    </row>
    <row r="125" spans="1:10" hidden="1" x14ac:dyDescent="0.25">
      <c r="A125" s="2">
        <v>46106</v>
      </c>
      <c r="B125" s="2" t="str">
        <f t="shared" si="29"/>
        <v>mié</v>
      </c>
      <c r="D125" s="49">
        <v>11000</v>
      </c>
      <c r="F125" s="3" t="s">
        <v>216</v>
      </c>
      <c r="I125" s="25" t="s">
        <v>136</v>
      </c>
      <c r="J125" t="s">
        <v>620</v>
      </c>
    </row>
    <row r="126" spans="1:10" hidden="1" x14ac:dyDescent="0.25">
      <c r="A126" s="2">
        <v>46106</v>
      </c>
      <c r="B126" s="2" t="str">
        <f t="shared" si="29"/>
        <v>mié</v>
      </c>
      <c r="D126" s="60">
        <v>33000</v>
      </c>
      <c r="E126" s="60"/>
      <c r="F126" s="3" t="s">
        <v>216</v>
      </c>
      <c r="I126" s="25" t="s">
        <v>136</v>
      </c>
      <c r="J126" t="s">
        <v>622</v>
      </c>
    </row>
    <row r="127" spans="1:10" hidden="1" x14ac:dyDescent="0.25">
      <c r="A127" s="2">
        <v>46106</v>
      </c>
      <c r="B127" s="2" t="str">
        <f t="shared" ref="B127:B129" si="31">+TEXT(A127,"ddd")</f>
        <v>mié</v>
      </c>
      <c r="D127" s="49">
        <v>-154000</v>
      </c>
      <c r="F127" s="3" t="s">
        <v>414</v>
      </c>
      <c r="I127" s="25" t="s">
        <v>136</v>
      </c>
      <c r="J127" t="s">
        <v>623</v>
      </c>
    </row>
    <row r="128" spans="1:10" hidden="1" x14ac:dyDescent="0.25">
      <c r="A128" s="2">
        <v>46107</v>
      </c>
      <c r="B128" s="2" t="str">
        <f t="shared" si="31"/>
        <v>jue</v>
      </c>
      <c r="C128" s="27">
        <v>0.77152777777777781</v>
      </c>
      <c r="D128" s="49">
        <v>16000</v>
      </c>
      <c r="F128" s="3" t="s">
        <v>216</v>
      </c>
      <c r="I128" s="25" t="s">
        <v>136</v>
      </c>
      <c r="J128" t="s">
        <v>650</v>
      </c>
    </row>
    <row r="129" spans="1:10" hidden="1" x14ac:dyDescent="0.25">
      <c r="A129" s="2">
        <v>46107</v>
      </c>
      <c r="B129" s="2" t="str">
        <f t="shared" si="31"/>
        <v>jue</v>
      </c>
      <c r="C129" s="27">
        <v>0.77777777777777779</v>
      </c>
      <c r="D129" s="49">
        <v>8000</v>
      </c>
      <c r="F129" s="3" t="s">
        <v>216</v>
      </c>
      <c r="I129" s="25" t="s">
        <v>136</v>
      </c>
      <c r="J129" t="s">
        <v>649</v>
      </c>
    </row>
  </sheetData>
  <autoFilter ref="A5:K129" xr:uid="{00000000-0001-0000-0400-000000000000}">
    <filterColumn colId="8">
      <filters>
        <filter val="DaviPlata"/>
      </filters>
    </filterColumn>
  </autoFilter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70CC1-A7DB-4889-8CDA-2773170A332A}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48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100">
        <v>49000</v>
      </c>
      <c r="E17" s="100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100">
        <v>11000</v>
      </c>
      <c r="E18" s="100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100">
        <v>10000</v>
      </c>
      <c r="E19" s="100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100">
        <v>24000</v>
      </c>
      <c r="E20" s="100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100">
        <v>11000</v>
      </c>
      <c r="E21" s="100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100">
        <v>280000</v>
      </c>
      <c r="E22" s="100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101">
        <f>-(D18+D14)</f>
        <v>-27000</v>
      </c>
      <c r="E26" s="101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349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351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350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352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340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341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342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339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343</v>
      </c>
    </row>
    <row r="52" spans="1:10" x14ac:dyDescent="0.25">
      <c r="A52" s="2">
        <v>46092</v>
      </c>
      <c r="B52" s="2" t="str">
        <f t="shared" si="1"/>
        <v>mié</v>
      </c>
      <c r="D52" s="102">
        <v>24000</v>
      </c>
      <c r="E52" s="102"/>
      <c r="F52" s="3" t="s">
        <v>216</v>
      </c>
      <c r="I52" s="25" t="s">
        <v>136</v>
      </c>
      <c r="J52" t="s">
        <v>344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339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345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348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346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347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654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354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367</v>
      </c>
      <c r="I65" s="25" t="s">
        <v>136</v>
      </c>
      <c r="J65" t="s">
        <v>339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368</v>
      </c>
      <c r="I66" s="25" t="s">
        <v>136</v>
      </c>
      <c r="J66" t="s">
        <v>362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392</v>
      </c>
      <c r="I67" s="25" t="s">
        <v>136</v>
      </c>
      <c r="J67" t="s">
        <v>363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364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354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390</v>
      </c>
      <c r="I70" s="25" t="s">
        <v>136</v>
      </c>
      <c r="J70" t="s">
        <v>384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389</v>
      </c>
      <c r="I71" s="25" t="s">
        <v>136</v>
      </c>
      <c r="J71" t="s">
        <v>385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386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388</v>
      </c>
      <c r="I73" s="25" t="s">
        <v>136</v>
      </c>
      <c r="J73" t="s">
        <v>387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407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387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408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409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658</v>
      </c>
      <c r="I80" s="25" t="s">
        <v>136</v>
      </c>
      <c r="J80" t="s">
        <v>410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657</v>
      </c>
      <c r="I81" s="25" t="s">
        <v>136</v>
      </c>
      <c r="J81" t="s">
        <v>411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656</v>
      </c>
      <c r="I82" s="25" t="s">
        <v>136</v>
      </c>
      <c r="J82" t="s">
        <v>412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655</v>
      </c>
      <c r="I83" s="25" t="s">
        <v>136</v>
      </c>
      <c r="J83" t="s">
        <v>413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414</v>
      </c>
      <c r="I84" s="25" t="s">
        <v>136</v>
      </c>
      <c r="J84" t="s">
        <v>415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421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426</v>
      </c>
      <c r="H86" s="11" t="s">
        <v>365</v>
      </c>
      <c r="I86" s="25" t="s">
        <v>136</v>
      </c>
      <c r="J86" s="11" t="s">
        <v>423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426</v>
      </c>
      <c r="H87" s="11" t="s">
        <v>365</v>
      </c>
      <c r="I87" s="25" t="s">
        <v>136</v>
      </c>
      <c r="J87" s="11" t="s">
        <v>424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425</v>
      </c>
      <c r="H88" s="11" t="s">
        <v>365</v>
      </c>
      <c r="I88" s="25" t="s">
        <v>136</v>
      </c>
      <c r="J88" s="11" t="s">
        <v>423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414</v>
      </c>
      <c r="I89" s="25" t="s">
        <v>136</v>
      </c>
      <c r="J89" t="s">
        <v>420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414</v>
      </c>
      <c r="I90" s="25" t="s">
        <v>136</v>
      </c>
      <c r="J90" t="s">
        <v>422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414</v>
      </c>
      <c r="I91" s="25" t="s">
        <v>136</v>
      </c>
      <c r="J91" s="11" t="s">
        <v>436</v>
      </c>
    </row>
    <row r="92" spans="1:10" x14ac:dyDescent="0.25">
      <c r="A92" s="2">
        <v>46099</v>
      </c>
      <c r="B92" s="2" t="str">
        <f t="shared" si="2"/>
        <v>mié</v>
      </c>
      <c r="D92" s="101">
        <f>+-8500-6000</f>
        <v>-14500</v>
      </c>
      <c r="E92" s="101"/>
      <c r="F92" s="3" t="s">
        <v>414</v>
      </c>
      <c r="I92" s="25" t="s">
        <v>136</v>
      </c>
      <c r="J92" s="11" t="s">
        <v>437</v>
      </c>
    </row>
    <row r="93" spans="1:10" x14ac:dyDescent="0.25">
      <c r="A93" s="2">
        <v>46099</v>
      </c>
      <c r="B93" s="2" t="str">
        <f>+TEXT(A93,"ddd")</f>
        <v>mié</v>
      </c>
      <c r="D93" s="101">
        <v>-50000</v>
      </c>
      <c r="E93" s="101"/>
      <c r="F93" s="3" t="s">
        <v>414</v>
      </c>
      <c r="I93" s="25" t="s">
        <v>136</v>
      </c>
      <c r="J93" t="s">
        <v>440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4">
        <v>268</v>
      </c>
      <c r="I99" s="25" t="s">
        <v>136</v>
      </c>
      <c r="J99" t="s">
        <v>513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5">
        <v>270</v>
      </c>
      <c r="I100" s="25" t="s">
        <v>136</v>
      </c>
      <c r="J100" t="s">
        <v>514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5">
        <v>270</v>
      </c>
      <c r="I101" s="25" t="s">
        <v>136</v>
      </c>
      <c r="J101" t="s">
        <v>514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4">
        <v>271</v>
      </c>
      <c r="I102" s="25" t="s">
        <v>136</v>
      </c>
      <c r="J102" t="s">
        <v>515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3">
        <v>272</v>
      </c>
      <c r="I103" s="25" t="s">
        <v>136</v>
      </c>
      <c r="J103" t="s">
        <v>516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4">
        <v>278</v>
      </c>
      <c r="I104" s="25" t="s">
        <v>136</v>
      </c>
      <c r="J104" t="s">
        <v>517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3">
        <v>279</v>
      </c>
      <c r="I105" s="25" t="s">
        <v>136</v>
      </c>
      <c r="J105" t="s">
        <v>518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4">
        <v>286</v>
      </c>
      <c r="I106" s="25" t="s">
        <v>136</v>
      </c>
      <c r="J106" t="s">
        <v>514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4">
        <v>282</v>
      </c>
      <c r="I107" s="25" t="s">
        <v>136</v>
      </c>
      <c r="J107" t="s">
        <v>519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3">
        <v>285</v>
      </c>
      <c r="I108" s="25" t="s">
        <v>136</v>
      </c>
      <c r="J108" t="s">
        <v>520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522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414</v>
      </c>
      <c r="I110" s="25" t="s">
        <v>136</v>
      </c>
      <c r="J110" t="s">
        <v>403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521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540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539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541</v>
      </c>
      <c r="I114" s="25" t="s">
        <v>136</v>
      </c>
      <c r="J114" t="s">
        <v>542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414</v>
      </c>
      <c r="I115" s="25" t="s">
        <v>136</v>
      </c>
      <c r="J115" t="s">
        <v>543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581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621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620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622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414</v>
      </c>
      <c r="I126" s="25" t="s">
        <v>136</v>
      </c>
      <c r="J126" t="s">
        <v>623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650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649</v>
      </c>
    </row>
  </sheetData>
  <autoFilter ref="A5:K128" xr:uid="{00000000-0001-0000-0400-000000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4">
    <tabColor rgb="FF00B0F0"/>
  </sheetPr>
  <dimension ref="A1:D29"/>
  <sheetViews>
    <sheetView zoomScale="145" zoomScaleNormal="145" workbookViewId="0">
      <pane ySplit="2" topLeftCell="A27" activePane="bottomLeft" state="frozen"/>
      <selection pane="bottomLeft" activeCell="C19" sqref="C3:C19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114040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358</v>
      </c>
      <c r="C25" s="49">
        <v>-100000</v>
      </c>
    </row>
    <row r="26" spans="1:4" x14ac:dyDescent="0.25">
      <c r="A26" s="2">
        <v>46093</v>
      </c>
      <c r="B26" t="s">
        <v>357</v>
      </c>
      <c r="C26" s="49">
        <v>23990</v>
      </c>
      <c r="D26" t="s">
        <v>356</v>
      </c>
    </row>
    <row r="27" spans="1:4" x14ac:dyDescent="0.25">
      <c r="A27" s="2">
        <v>46093</v>
      </c>
      <c r="B27" t="s">
        <v>359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  <row r="29" spans="1:4" x14ac:dyDescent="0.25">
      <c r="A29" s="2">
        <v>46106</v>
      </c>
      <c r="B29" s="61" t="s">
        <v>619</v>
      </c>
      <c r="C29" s="49">
        <f>38000*3</f>
        <v>114000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92003-CB26-41A8-B9DB-C10439D1F6C7}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318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317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538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394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383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393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6">
        <f>+C20+C30+C33</f>
        <v>224000</v>
      </c>
      <c r="E36" s="106">
        <f>+E20+E30+E33</f>
        <v>221000</v>
      </c>
      <c r="G36" s="106">
        <f>+G20+G30+G33</f>
        <v>390500</v>
      </c>
      <c r="I36" s="106">
        <f>+I20+I30+I33</f>
        <v>209000</v>
      </c>
      <c r="K36" s="106">
        <f>+K20+K30+K33</f>
        <v>248000</v>
      </c>
      <c r="M36" s="106">
        <f>+M20+M30+M33</f>
        <v>503500</v>
      </c>
      <c r="AS36" s="106">
        <f>+AS20+AS30+AS33</f>
        <v>277500</v>
      </c>
      <c r="AU36" s="106">
        <f>+AU20+AU30+AU33</f>
        <v>180250</v>
      </c>
      <c r="AW36" s="106">
        <f>+AW20+AW30+AW33</f>
        <v>388500</v>
      </c>
      <c r="AY36" s="106">
        <f>+AY20+AY30+AY33</f>
        <v>172700</v>
      </c>
      <c r="BA36" s="106">
        <f>+BA20+BA30+BA33</f>
        <v>137500</v>
      </c>
      <c r="BC36" s="106">
        <f>+BC20+BC30+BC33</f>
        <v>0</v>
      </c>
      <c r="BE36" s="106">
        <f>+BE20+BE30+BE33</f>
        <v>0</v>
      </c>
      <c r="BG36" s="106">
        <f>+BG20+BG30+BG33</f>
        <v>292700</v>
      </c>
      <c r="BI36" s="106">
        <f>+BI20+BI30+BI33</f>
        <v>117500</v>
      </c>
      <c r="BK36" s="106">
        <f>+BK20+BK30+BK33</f>
        <v>128000</v>
      </c>
    </row>
    <row r="37" spans="1:63" x14ac:dyDescent="0.25">
      <c r="A37" s="197" t="s">
        <v>651</v>
      </c>
      <c r="C37" s="198">
        <f>+C23+C32+C34</f>
        <v>237600</v>
      </c>
      <c r="E37" s="198">
        <f>+E23+E32+E34</f>
        <v>355600</v>
      </c>
      <c r="G37" s="198">
        <f>+G23+G32+G34</f>
        <v>499400</v>
      </c>
      <c r="I37" s="198">
        <f>+I23+I32+I34</f>
        <v>616500</v>
      </c>
      <c r="K37" s="198">
        <f>+K23+K32+K34</f>
        <v>316600</v>
      </c>
      <c r="M37" s="198">
        <f>+M23+M32+M34</f>
        <v>455600</v>
      </c>
      <c r="AS37" s="198">
        <f>+AS23+AS32+AS34</f>
        <v>775150</v>
      </c>
      <c r="AU37" s="198">
        <f>+AU23+AU32+AU34</f>
        <v>1039850</v>
      </c>
      <c r="AW37" s="198">
        <f>+AW23+AW32+AW34</f>
        <v>925100</v>
      </c>
      <c r="AY37" s="198">
        <f>+AY23+AY32+AY34</f>
        <v>976800</v>
      </c>
      <c r="BA37" s="198">
        <f>+BA23+BA32+BA34</f>
        <v>1024300</v>
      </c>
      <c r="BC37" s="198">
        <f>+BC23+BC32+BC34</f>
        <v>1024300</v>
      </c>
      <c r="BE37" s="198">
        <f>+BE23+BE32+BE34</f>
        <v>1024300</v>
      </c>
      <c r="BG37" s="198">
        <f>+BG23+BG32+BG34</f>
        <v>1248800</v>
      </c>
      <c r="BI37" s="198">
        <f>+BI23+BI32+BI34</f>
        <v>1151450</v>
      </c>
      <c r="BK37" s="198">
        <f>+BK23+BK32+BK34</f>
        <v>1259450</v>
      </c>
    </row>
    <row r="38" spans="1:63" x14ac:dyDescent="0.25">
      <c r="C38"/>
    </row>
    <row r="39" spans="1:63" x14ac:dyDescent="0.25">
      <c r="A39" s="11" t="s">
        <v>395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391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8"/>
  <dimension ref="C2:G4"/>
  <sheetViews>
    <sheetView workbookViewId="0">
      <selection activeCell="C13" sqref="C13"/>
    </sheetView>
  </sheetViews>
  <sheetFormatPr baseColWidth="10" defaultRowHeight="15" x14ac:dyDescent="0.25"/>
  <sheetData>
    <row r="2" spans="3:7" x14ac:dyDescent="0.25">
      <c r="D2" t="s">
        <v>616</v>
      </c>
    </row>
    <row r="3" spans="3:7" x14ac:dyDescent="0.25">
      <c r="E3" t="s">
        <v>614</v>
      </c>
    </row>
    <row r="4" spans="3:7" x14ac:dyDescent="0.25">
      <c r="C4" t="s">
        <v>244</v>
      </c>
      <c r="D4">
        <v>106500</v>
      </c>
      <c r="E4">
        <v>6.66</v>
      </c>
      <c r="F4" t="s">
        <v>614</v>
      </c>
      <c r="G4" t="s">
        <v>615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9"/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400</v>
      </c>
      <c r="C10" s="11">
        <v>116300</v>
      </c>
      <c r="D10" t="s">
        <v>401</v>
      </c>
    </row>
    <row r="11" spans="1:8" x14ac:dyDescent="0.25">
      <c r="B11" t="s">
        <v>398</v>
      </c>
      <c r="C11" s="3">
        <v>17400</v>
      </c>
    </row>
    <row r="12" spans="1:8" x14ac:dyDescent="0.25">
      <c r="B12" t="s">
        <v>399</v>
      </c>
      <c r="C12" s="3">
        <v>8000</v>
      </c>
    </row>
    <row r="13" spans="1:8" x14ac:dyDescent="0.25">
      <c r="B13" t="s">
        <v>402</v>
      </c>
      <c r="C13" s="3">
        <v>72150</v>
      </c>
      <c r="D13" s="9">
        <f>+C13+C14</f>
        <v>79650</v>
      </c>
    </row>
    <row r="14" spans="1:8" x14ac:dyDescent="0.25">
      <c r="B14" t="s">
        <v>402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0"/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382</v>
      </c>
      <c r="F4" t="s">
        <v>380</v>
      </c>
    </row>
    <row r="5" spans="1:7" x14ac:dyDescent="0.25">
      <c r="A5" s="1">
        <v>2</v>
      </c>
      <c r="B5" s="1" t="s">
        <v>372</v>
      </c>
      <c r="C5" s="76">
        <v>16000</v>
      </c>
      <c r="D5" t="s">
        <v>382</v>
      </c>
      <c r="F5" t="s">
        <v>381</v>
      </c>
    </row>
    <row r="6" spans="1:7" x14ac:dyDescent="0.25">
      <c r="A6" s="1">
        <v>2</v>
      </c>
      <c r="B6" s="1" t="s">
        <v>375</v>
      </c>
      <c r="C6" s="76">
        <v>6000</v>
      </c>
      <c r="D6">
        <v>3</v>
      </c>
    </row>
    <row r="7" spans="1:7" x14ac:dyDescent="0.25">
      <c r="A7">
        <v>3</v>
      </c>
      <c r="B7" t="s">
        <v>379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372</v>
      </c>
      <c r="C8" s="76">
        <v>24000</v>
      </c>
    </row>
    <row r="9" spans="1:7" x14ac:dyDescent="0.25">
      <c r="A9" s="1">
        <v>3</v>
      </c>
      <c r="B9" s="1" t="s">
        <v>375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379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372</v>
      </c>
      <c r="C19">
        <v>16000</v>
      </c>
    </row>
    <row r="20" spans="1:5" x14ac:dyDescent="0.25">
      <c r="A20">
        <v>2</v>
      </c>
      <c r="B20" t="s">
        <v>375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374</v>
      </c>
      <c r="C22" s="1">
        <v>3000</v>
      </c>
    </row>
    <row r="23" spans="1:5" x14ac:dyDescent="0.25">
      <c r="A23">
        <v>2</v>
      </c>
      <c r="B23" t="s">
        <v>376</v>
      </c>
      <c r="C23">
        <v>9000</v>
      </c>
    </row>
    <row r="24" spans="1:5" x14ac:dyDescent="0.25">
      <c r="A24" s="1">
        <v>2</v>
      </c>
      <c r="B24" s="1" t="s">
        <v>372</v>
      </c>
      <c r="C24" s="1">
        <v>16000</v>
      </c>
    </row>
    <row r="25" spans="1:5" x14ac:dyDescent="0.25">
      <c r="A25" s="1">
        <v>2</v>
      </c>
      <c r="B25" s="1" t="s">
        <v>375</v>
      </c>
      <c r="C25" s="1">
        <v>6000</v>
      </c>
    </row>
    <row r="27" spans="1:5" x14ac:dyDescent="0.25">
      <c r="A27">
        <v>1</v>
      </c>
      <c r="B27" t="s">
        <v>373</v>
      </c>
      <c r="C27">
        <v>37000</v>
      </c>
      <c r="D27" t="s">
        <v>377</v>
      </c>
      <c r="E27">
        <f>30+7</f>
        <v>37</v>
      </c>
    </row>
    <row r="28" spans="1:5" x14ac:dyDescent="0.25">
      <c r="A28" s="1">
        <v>3</v>
      </c>
      <c r="B28" s="1" t="s">
        <v>372</v>
      </c>
      <c r="C28" s="1">
        <v>24000</v>
      </c>
    </row>
    <row r="29" spans="1:5" x14ac:dyDescent="0.25">
      <c r="A29" s="1">
        <v>1</v>
      </c>
      <c r="B29" s="1" t="s">
        <v>371</v>
      </c>
      <c r="C29" s="1">
        <v>15000</v>
      </c>
    </row>
    <row r="30" spans="1:5" x14ac:dyDescent="0.25">
      <c r="A30" s="1">
        <v>1</v>
      </c>
      <c r="B30" s="1" t="s">
        <v>374</v>
      </c>
      <c r="C30" s="1">
        <v>3000</v>
      </c>
    </row>
    <row r="31" spans="1:5" x14ac:dyDescent="0.25">
      <c r="B31" t="s">
        <v>373</v>
      </c>
      <c r="C31" s="1">
        <v>23000</v>
      </c>
      <c r="D31" t="s">
        <v>378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374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1">
    <tabColor rgb="FF92D050"/>
  </sheetPr>
  <dimension ref="B1:F43"/>
  <sheetViews>
    <sheetView showGridLines="0" tabSelected="1" zoomScale="115" zoomScaleNormal="115" workbookViewId="0">
      <pane ySplit="2" topLeftCell="A30" activePane="bottomLeft" state="frozen"/>
      <selection pane="bottomLeft" activeCell="C35" sqref="A35:XFD35"/>
    </sheetView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53.85546875" style="84" bestFit="1" customWidth="1"/>
    <col min="4" max="4" width="11" style="110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210" t="s">
        <v>338</v>
      </c>
      <c r="C1" s="210"/>
      <c r="D1" s="210"/>
      <c r="E1" s="210"/>
      <c r="F1" s="210"/>
    </row>
    <row r="2" spans="2:6" x14ac:dyDescent="0.25">
      <c r="B2" s="86" t="s">
        <v>5</v>
      </c>
      <c r="C2" s="86" t="s">
        <v>321</v>
      </c>
      <c r="D2" s="107" t="s">
        <v>294</v>
      </c>
      <c r="E2" s="86" t="s">
        <v>337</v>
      </c>
      <c r="F2" s="87" t="s">
        <v>291</v>
      </c>
    </row>
    <row r="3" spans="2:6" ht="30" x14ac:dyDescent="0.25">
      <c r="B3" s="111">
        <v>46090</v>
      </c>
      <c r="C3" s="88" t="s">
        <v>439</v>
      </c>
      <c r="D3" s="108" t="s">
        <v>295</v>
      </c>
      <c r="E3" s="88" t="s">
        <v>292</v>
      </c>
      <c r="F3" s="89" t="s">
        <v>293</v>
      </c>
    </row>
    <row r="4" spans="2:6" ht="30" x14ac:dyDescent="0.25">
      <c r="B4" s="111">
        <v>46090</v>
      </c>
      <c r="C4" s="88" t="s">
        <v>438</v>
      </c>
      <c r="D4" s="108" t="s">
        <v>295</v>
      </c>
      <c r="E4" s="88" t="s">
        <v>296</v>
      </c>
      <c r="F4" s="89" t="s">
        <v>297</v>
      </c>
    </row>
    <row r="5" spans="2:6" ht="30" x14ac:dyDescent="0.25">
      <c r="B5" s="111">
        <v>46093</v>
      </c>
      <c r="C5" s="88" t="s">
        <v>324</v>
      </c>
      <c r="D5" s="108" t="s">
        <v>295</v>
      </c>
      <c r="E5" s="88" t="s">
        <v>322</v>
      </c>
      <c r="F5" s="89" t="s">
        <v>323</v>
      </c>
    </row>
    <row r="6" spans="2:6" ht="60" customHeight="1" x14ac:dyDescent="0.25">
      <c r="B6" s="111">
        <v>46093</v>
      </c>
      <c r="C6" s="88" t="s">
        <v>327</v>
      </c>
      <c r="D6" s="108" t="s">
        <v>295</v>
      </c>
      <c r="E6" s="88" t="s">
        <v>325</v>
      </c>
      <c r="F6" s="89" t="s">
        <v>326</v>
      </c>
    </row>
    <row r="7" spans="2:6" ht="30" x14ac:dyDescent="0.25">
      <c r="B7" s="111">
        <v>46093</v>
      </c>
      <c r="C7" s="88" t="s">
        <v>328</v>
      </c>
      <c r="D7" s="108" t="s">
        <v>295</v>
      </c>
      <c r="E7" s="88" t="s">
        <v>330</v>
      </c>
      <c r="F7" s="89" t="s">
        <v>329</v>
      </c>
    </row>
    <row r="8" spans="2:6" ht="30" x14ac:dyDescent="0.25">
      <c r="B8" s="111">
        <v>46093</v>
      </c>
      <c r="C8" s="88" t="s">
        <v>334</v>
      </c>
      <c r="D8" s="108" t="s">
        <v>295</v>
      </c>
      <c r="E8" s="88" t="s">
        <v>331</v>
      </c>
      <c r="F8" s="89" t="s">
        <v>332</v>
      </c>
    </row>
    <row r="9" spans="2:6" ht="45" x14ac:dyDescent="0.25">
      <c r="B9" s="111">
        <v>46093</v>
      </c>
      <c r="C9" s="88" t="s">
        <v>335</v>
      </c>
      <c r="D9" s="108" t="s">
        <v>295</v>
      </c>
      <c r="E9" s="88" t="s">
        <v>333</v>
      </c>
      <c r="F9" s="89" t="s">
        <v>336</v>
      </c>
    </row>
    <row r="10" spans="2:6" x14ac:dyDescent="0.25">
      <c r="B10" s="111">
        <v>46093</v>
      </c>
      <c r="C10" s="88" t="s">
        <v>360</v>
      </c>
      <c r="D10" s="108" t="s">
        <v>295</v>
      </c>
      <c r="E10" s="88" t="s">
        <v>361</v>
      </c>
      <c r="F10" s="89" t="s">
        <v>353</v>
      </c>
    </row>
    <row r="11" spans="2:6" ht="30" x14ac:dyDescent="0.25">
      <c r="B11" s="111">
        <v>46093</v>
      </c>
      <c r="C11" s="88" t="s">
        <v>370</v>
      </c>
      <c r="D11" s="108" t="s">
        <v>295</v>
      </c>
      <c r="E11" s="88" t="s">
        <v>369</v>
      </c>
      <c r="F11" s="89" t="s">
        <v>417</v>
      </c>
    </row>
    <row r="12" spans="2:6" ht="30" x14ac:dyDescent="0.25">
      <c r="B12" s="111">
        <v>46099</v>
      </c>
      <c r="C12" s="88" t="s">
        <v>418</v>
      </c>
      <c r="D12" s="108" t="s">
        <v>295</v>
      </c>
      <c r="E12" s="88" t="s">
        <v>416</v>
      </c>
      <c r="F12" s="89" t="s">
        <v>419</v>
      </c>
    </row>
    <row r="13" spans="2:6" ht="30" x14ac:dyDescent="0.25">
      <c r="B13" s="111">
        <v>46099</v>
      </c>
      <c r="C13" s="88" t="s">
        <v>428</v>
      </c>
      <c r="D13" s="108" t="s">
        <v>295</v>
      </c>
      <c r="E13" s="88" t="s">
        <v>427</v>
      </c>
      <c r="F13" s="89" t="s">
        <v>355</v>
      </c>
    </row>
    <row r="14" spans="2:6" ht="30" x14ac:dyDescent="0.25">
      <c r="B14" s="111">
        <v>46100</v>
      </c>
      <c r="C14" s="88" t="s">
        <v>441</v>
      </c>
      <c r="D14" s="108" t="s">
        <v>295</v>
      </c>
      <c r="E14" s="88" t="s">
        <v>429</v>
      </c>
      <c r="F14" s="89" t="s">
        <v>442</v>
      </c>
    </row>
    <row r="15" spans="2:6" ht="30" x14ac:dyDescent="0.25">
      <c r="B15" s="111">
        <v>46100</v>
      </c>
      <c r="C15" s="88" t="s">
        <v>443</v>
      </c>
      <c r="D15" s="108" t="s">
        <v>295</v>
      </c>
      <c r="E15" s="88" t="s">
        <v>427</v>
      </c>
      <c r="F15" s="89" t="s">
        <v>355</v>
      </c>
    </row>
    <row r="16" spans="2:6" ht="30" x14ac:dyDescent="0.25">
      <c r="B16" s="111">
        <v>46100</v>
      </c>
      <c r="C16" s="88" t="s">
        <v>446</v>
      </c>
      <c r="D16" s="108" t="s">
        <v>295</v>
      </c>
      <c r="E16" s="88" t="s">
        <v>445</v>
      </c>
      <c r="F16" s="90" t="s">
        <v>444</v>
      </c>
    </row>
    <row r="17" spans="2:6" ht="30" x14ac:dyDescent="0.25">
      <c r="B17" s="111">
        <v>46100</v>
      </c>
      <c r="C17" s="88" t="s">
        <v>449</v>
      </c>
      <c r="D17" s="108" t="s">
        <v>295</v>
      </c>
      <c r="E17" s="88" t="s">
        <v>535</v>
      </c>
      <c r="F17" s="89" t="s">
        <v>448</v>
      </c>
    </row>
    <row r="18" spans="2:6" ht="30" x14ac:dyDescent="0.25">
      <c r="B18" s="111">
        <v>46100</v>
      </c>
      <c r="C18" s="88" t="s">
        <v>512</v>
      </c>
      <c r="D18" s="108" t="s">
        <v>295</v>
      </c>
      <c r="E18" s="88" t="s">
        <v>510</v>
      </c>
      <c r="F18" s="89" t="s">
        <v>511</v>
      </c>
    </row>
    <row r="19" spans="2:6" ht="30" x14ac:dyDescent="0.25">
      <c r="B19" s="111">
        <v>46100</v>
      </c>
      <c r="C19" s="88" t="s">
        <v>524</v>
      </c>
      <c r="D19" s="108" t="s">
        <v>295</v>
      </c>
      <c r="E19" s="88" t="s">
        <v>523</v>
      </c>
      <c r="F19" s="89" t="s">
        <v>525</v>
      </c>
    </row>
    <row r="20" spans="2:6" ht="30" x14ac:dyDescent="0.25">
      <c r="B20" s="111">
        <v>46101</v>
      </c>
      <c r="C20" s="88" t="s">
        <v>528</v>
      </c>
      <c r="D20" s="108" t="s">
        <v>295</v>
      </c>
      <c r="E20" s="88" t="s">
        <v>526</v>
      </c>
      <c r="F20" s="89" t="s">
        <v>527</v>
      </c>
    </row>
    <row r="21" spans="2:6" ht="45" x14ac:dyDescent="0.25">
      <c r="B21" s="111">
        <v>46101</v>
      </c>
      <c r="C21" s="88" t="s">
        <v>531</v>
      </c>
      <c r="D21" s="108" t="s">
        <v>295</v>
      </c>
      <c r="E21" s="88" t="s">
        <v>530</v>
      </c>
      <c r="F21" s="89" t="s">
        <v>532</v>
      </c>
    </row>
    <row r="22" spans="2:6" ht="45" x14ac:dyDescent="0.25">
      <c r="B22" s="111">
        <v>46101</v>
      </c>
      <c r="C22" s="88" t="s">
        <v>534</v>
      </c>
      <c r="D22" s="108" t="s">
        <v>295</v>
      </c>
      <c r="E22" s="88" t="s">
        <v>533</v>
      </c>
      <c r="F22" s="89" t="s">
        <v>532</v>
      </c>
    </row>
    <row r="23" spans="2:6" x14ac:dyDescent="0.25">
      <c r="B23" s="111">
        <v>46101</v>
      </c>
      <c r="C23" s="88" t="s">
        <v>536</v>
      </c>
      <c r="D23" s="108" t="s">
        <v>295</v>
      </c>
      <c r="E23" s="88" t="s">
        <v>447</v>
      </c>
      <c r="F23" s="89" t="s">
        <v>537</v>
      </c>
    </row>
    <row r="24" spans="2:6" ht="30" x14ac:dyDescent="0.25">
      <c r="B24" s="111">
        <v>46102</v>
      </c>
      <c r="C24" s="88" t="s">
        <v>558</v>
      </c>
      <c r="D24" s="108" t="s">
        <v>295</v>
      </c>
      <c r="E24" s="88" t="s">
        <v>556</v>
      </c>
      <c r="F24" s="89" t="s">
        <v>557</v>
      </c>
    </row>
    <row r="25" spans="2:6" ht="30" x14ac:dyDescent="0.25">
      <c r="B25" s="111">
        <v>46102</v>
      </c>
      <c r="C25" s="88" t="s">
        <v>560</v>
      </c>
      <c r="D25" s="108" t="s">
        <v>295</v>
      </c>
      <c r="E25" s="88" t="s">
        <v>559</v>
      </c>
      <c r="F25" s="89" t="s">
        <v>565</v>
      </c>
    </row>
    <row r="26" spans="2:6" x14ac:dyDescent="0.25">
      <c r="B26" s="111">
        <v>46102</v>
      </c>
      <c r="C26" s="88" t="s">
        <v>563</v>
      </c>
      <c r="D26" s="108" t="s">
        <v>295</v>
      </c>
      <c r="E26" s="88" t="s">
        <v>561</v>
      </c>
      <c r="F26" s="88" t="s">
        <v>562</v>
      </c>
    </row>
    <row r="27" spans="2:6" x14ac:dyDescent="0.25">
      <c r="B27" s="111">
        <v>46102</v>
      </c>
      <c r="C27" s="88" t="s">
        <v>569</v>
      </c>
      <c r="D27" s="108" t="s">
        <v>295</v>
      </c>
      <c r="E27" s="88" t="s">
        <v>564</v>
      </c>
      <c r="F27" s="88" t="s">
        <v>567</v>
      </c>
    </row>
    <row r="28" spans="2:6" x14ac:dyDescent="0.25">
      <c r="B28" s="111">
        <v>46102</v>
      </c>
      <c r="C28" s="88" t="s">
        <v>570</v>
      </c>
      <c r="D28" s="108" t="s">
        <v>295</v>
      </c>
      <c r="E28" s="88" t="s">
        <v>566</v>
      </c>
      <c r="F28" s="88" t="s">
        <v>568</v>
      </c>
    </row>
    <row r="29" spans="2:6" x14ac:dyDescent="0.25">
      <c r="B29" s="111">
        <v>46102</v>
      </c>
      <c r="C29" s="88" t="s">
        <v>579</v>
      </c>
      <c r="D29" s="108" t="s">
        <v>295</v>
      </c>
      <c r="E29" s="88" t="s">
        <v>578</v>
      </c>
      <c r="F29" s="88" t="s">
        <v>580</v>
      </c>
    </row>
    <row r="30" spans="2:6" ht="30" x14ac:dyDescent="0.25">
      <c r="B30" s="111">
        <v>46104</v>
      </c>
      <c r="C30" s="88" t="s">
        <v>583</v>
      </c>
      <c r="D30" s="108" t="s">
        <v>295</v>
      </c>
      <c r="E30" s="88" t="s">
        <v>582</v>
      </c>
      <c r="F30" s="89" t="s">
        <v>586</v>
      </c>
    </row>
    <row r="31" spans="2:6" x14ac:dyDescent="0.25">
      <c r="B31" s="111">
        <v>46104</v>
      </c>
      <c r="C31" s="88" t="s">
        <v>584</v>
      </c>
      <c r="D31" s="108" t="s">
        <v>295</v>
      </c>
      <c r="E31" s="88" t="s">
        <v>585</v>
      </c>
      <c r="F31" s="88" t="s">
        <v>587</v>
      </c>
    </row>
    <row r="32" spans="2:6" ht="30" x14ac:dyDescent="0.25">
      <c r="B32" s="111">
        <v>46106</v>
      </c>
      <c r="C32" s="88" t="s">
        <v>626</v>
      </c>
      <c r="D32" s="108" t="s">
        <v>295</v>
      </c>
      <c r="E32" s="88" t="s">
        <v>624</v>
      </c>
      <c r="F32" s="89" t="s">
        <v>625</v>
      </c>
    </row>
    <row r="33" spans="2:6" ht="30" x14ac:dyDescent="0.25">
      <c r="B33" s="111">
        <v>46107</v>
      </c>
      <c r="C33" s="88" t="s">
        <v>627</v>
      </c>
      <c r="D33" s="108" t="s">
        <v>295</v>
      </c>
      <c r="E33" s="88" t="s">
        <v>629</v>
      </c>
      <c r="F33" s="89" t="s">
        <v>628</v>
      </c>
    </row>
    <row r="34" spans="2:6" ht="30" x14ac:dyDescent="0.25">
      <c r="B34" s="111">
        <v>46109</v>
      </c>
      <c r="C34" s="88" t="s">
        <v>663</v>
      </c>
      <c r="D34" s="108" t="s">
        <v>295</v>
      </c>
      <c r="E34" s="88" t="s">
        <v>664</v>
      </c>
      <c r="F34" s="89" t="s">
        <v>665</v>
      </c>
    </row>
    <row r="35" spans="2:6" x14ac:dyDescent="0.25">
      <c r="B35" s="111"/>
      <c r="C35" s="90"/>
      <c r="D35" s="109" t="s">
        <v>294</v>
      </c>
      <c r="E35" s="88"/>
      <c r="F35" s="90" t="s">
        <v>630</v>
      </c>
    </row>
    <row r="36" spans="2:6" x14ac:dyDescent="0.25">
      <c r="B36" s="111"/>
      <c r="C36" s="90"/>
      <c r="D36" s="109"/>
      <c r="E36" s="88"/>
      <c r="F36" s="90" t="s">
        <v>545</v>
      </c>
    </row>
    <row r="37" spans="2:6" x14ac:dyDescent="0.25">
      <c r="B37" s="112"/>
      <c r="C37" s="88" t="s">
        <v>239</v>
      </c>
      <c r="D37" s="109" t="s">
        <v>294</v>
      </c>
      <c r="E37" s="88"/>
      <c r="F37" s="88" t="s">
        <v>239</v>
      </c>
    </row>
    <row r="38" spans="2:6" x14ac:dyDescent="0.25">
      <c r="B38" s="112"/>
      <c r="C38" s="88" t="s">
        <v>238</v>
      </c>
      <c r="D38" s="109" t="s">
        <v>294</v>
      </c>
      <c r="E38" s="88"/>
      <c r="F38" s="88" t="s">
        <v>238</v>
      </c>
    </row>
    <row r="39" spans="2:6" x14ac:dyDescent="0.25">
      <c r="B39" s="112"/>
      <c r="C39" s="88" t="s">
        <v>529</v>
      </c>
      <c r="D39" s="109" t="s">
        <v>294</v>
      </c>
      <c r="E39" s="88"/>
      <c r="F39" s="88"/>
    </row>
    <row r="40" spans="2:6" x14ac:dyDescent="0.25">
      <c r="B40" s="112"/>
      <c r="C40" s="88" t="s">
        <v>240</v>
      </c>
      <c r="D40" s="109" t="s">
        <v>294</v>
      </c>
      <c r="E40" s="88"/>
      <c r="F40" s="88" t="s">
        <v>240</v>
      </c>
    </row>
    <row r="41" spans="2:6" x14ac:dyDescent="0.25">
      <c r="B41" s="112"/>
      <c r="C41" s="88" t="s">
        <v>241</v>
      </c>
      <c r="D41" s="109" t="s">
        <v>294</v>
      </c>
      <c r="E41" s="88"/>
      <c r="F41" s="88" t="s">
        <v>241</v>
      </c>
    </row>
    <row r="42" spans="2:6" x14ac:dyDescent="0.25">
      <c r="B42" s="112"/>
      <c r="C42" s="88" t="s">
        <v>246</v>
      </c>
      <c r="D42" s="109" t="s">
        <v>294</v>
      </c>
      <c r="E42" s="88"/>
      <c r="F42" s="88" t="s">
        <v>246</v>
      </c>
    </row>
    <row r="43" spans="2:6" x14ac:dyDescent="0.25">
      <c r="B43" s="112"/>
      <c r="C43" s="88" t="s">
        <v>247</v>
      </c>
      <c r="D43" s="109" t="s">
        <v>294</v>
      </c>
      <c r="E43" s="88"/>
      <c r="F43" s="88" t="s">
        <v>247</v>
      </c>
    </row>
  </sheetData>
  <autoFilter ref="B2:F43" xr:uid="{00000000-0009-0000-0000-000009000000}"/>
  <mergeCells count="1">
    <mergeCell ref="B1:F1"/>
  </mergeCells>
  <conditionalFormatting sqref="E3:E43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2"/>
  <dimension ref="B1:Y72"/>
  <sheetViews>
    <sheetView showGridLines="0" zoomScale="85" zoomScaleNormal="85" workbookViewId="0">
      <selection activeCell="J12" sqref="J12:J1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33" customWidth="1" outlineLevel="1"/>
    <col min="7" max="7" width="18.5703125" style="34" customWidth="1" outlineLevel="1"/>
    <col min="8" max="8" width="18.140625" style="33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450</v>
      </c>
    </row>
    <row r="2" spans="2:25" x14ac:dyDescent="0.25">
      <c r="D2" t="s">
        <v>451</v>
      </c>
      <c r="F2" s="33">
        <v>3400</v>
      </c>
    </row>
    <row r="4" spans="2:25" x14ac:dyDescent="0.25">
      <c r="F4" s="91"/>
      <c r="J4" s="92" t="s">
        <v>463</v>
      </c>
    </row>
    <row r="5" spans="2:25" x14ac:dyDescent="0.25">
      <c r="B5" s="92" t="s">
        <v>5</v>
      </c>
      <c r="C5" s="92" t="s">
        <v>546</v>
      </c>
      <c r="D5" s="92" t="s">
        <v>179</v>
      </c>
      <c r="E5" s="92" t="s">
        <v>450</v>
      </c>
      <c r="F5" s="95" t="s">
        <v>452</v>
      </c>
      <c r="G5" s="97" t="s">
        <v>454</v>
      </c>
      <c r="H5" s="93" t="s">
        <v>453</v>
      </c>
      <c r="I5" s="92" t="s">
        <v>455</v>
      </c>
      <c r="J5" s="92" t="s">
        <v>456</v>
      </c>
      <c r="K5" s="94" t="s">
        <v>457</v>
      </c>
      <c r="O5" t="s">
        <v>549</v>
      </c>
      <c r="P5" t="s">
        <v>550</v>
      </c>
      <c r="Q5" s="3" t="s">
        <v>551</v>
      </c>
      <c r="S5" s="92" t="s">
        <v>464</v>
      </c>
    </row>
    <row r="6" spans="2:25" x14ac:dyDescent="0.25">
      <c r="B6" s="56">
        <v>46076</v>
      </c>
      <c r="C6" s="56" t="s">
        <v>548</v>
      </c>
      <c r="D6" s="1" t="s">
        <v>185</v>
      </c>
      <c r="E6" s="1"/>
      <c r="F6" s="117"/>
      <c r="G6" s="118"/>
      <c r="H6" s="119"/>
      <c r="I6" s="11">
        <f>+J6*K6</f>
        <v>1277500</v>
      </c>
      <c r="J6" s="1">
        <v>365</v>
      </c>
      <c r="K6" s="11">
        <v>3500</v>
      </c>
      <c r="O6">
        <v>7000</v>
      </c>
      <c r="P6" s="9">
        <f>+O6-K6</f>
        <v>3500</v>
      </c>
      <c r="Q6" s="3">
        <f>+J6*O6</f>
        <v>2555000</v>
      </c>
    </row>
    <row r="7" spans="2:25" x14ac:dyDescent="0.25">
      <c r="B7" s="47">
        <v>46073</v>
      </c>
      <c r="C7" s="47" t="s">
        <v>547</v>
      </c>
      <c r="D7" s="15" t="s">
        <v>462</v>
      </c>
      <c r="F7" s="96">
        <v>30</v>
      </c>
      <c r="G7" s="99">
        <v>6</v>
      </c>
      <c r="H7" s="98">
        <v>36000</v>
      </c>
      <c r="I7" s="120">
        <f>+H7*G7</f>
        <v>216000</v>
      </c>
      <c r="J7">
        <f>+F7*G7</f>
        <v>180</v>
      </c>
      <c r="K7" s="122">
        <f>+I7/J7</f>
        <v>1200</v>
      </c>
      <c r="O7">
        <v>3000</v>
      </c>
      <c r="P7" s="9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9">
        <f>+V7*K7</f>
        <v>39600</v>
      </c>
    </row>
    <row r="8" spans="2:25" x14ac:dyDescent="0.25">
      <c r="B8" s="47">
        <v>46073</v>
      </c>
      <c r="C8" s="47" t="s">
        <v>547</v>
      </c>
      <c r="D8" s="115" t="s">
        <v>458</v>
      </c>
      <c r="F8" s="96">
        <v>30</v>
      </c>
      <c r="G8" s="99">
        <v>3</v>
      </c>
      <c r="H8" s="98">
        <v>35000</v>
      </c>
      <c r="I8" s="3">
        <f>+H8*G8</f>
        <v>105000</v>
      </c>
      <c r="J8">
        <f>+F8*G8</f>
        <v>90</v>
      </c>
      <c r="K8" s="122">
        <f>+I8/J8</f>
        <v>1166.6666666666667</v>
      </c>
      <c r="O8">
        <v>3000</v>
      </c>
      <c r="P8" s="9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9">
        <f>+V8*K8</f>
        <v>40833.333333333336</v>
      </c>
    </row>
    <row r="9" spans="2:25" x14ac:dyDescent="0.25">
      <c r="B9" s="47">
        <v>46073</v>
      </c>
      <c r="C9" s="47" t="s">
        <v>547</v>
      </c>
      <c r="D9" s="114" t="s">
        <v>460</v>
      </c>
      <c r="F9" s="96">
        <v>12</v>
      </c>
      <c r="G9" s="99">
        <v>2</v>
      </c>
      <c r="H9" s="98">
        <v>29000</v>
      </c>
      <c r="I9" s="3">
        <f>+H9*G9</f>
        <v>58000</v>
      </c>
      <c r="J9">
        <f>+F9*G9</f>
        <v>24</v>
      </c>
      <c r="K9" s="122">
        <f t="shared" ref="K9:K10" si="0">+I9/J9</f>
        <v>2416.6666666666665</v>
      </c>
      <c r="O9">
        <v>4500</v>
      </c>
      <c r="P9" s="9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9">
        <f>+V9*K9</f>
        <v>29000</v>
      </c>
      <c r="Y9" s="9">
        <f>+SUM(W9:W10)</f>
        <v>37250</v>
      </c>
    </row>
    <row r="10" spans="2:25" x14ac:dyDescent="0.25">
      <c r="B10" s="47">
        <v>46073</v>
      </c>
      <c r="C10" s="47" t="s">
        <v>547</v>
      </c>
      <c r="D10" s="113" t="s">
        <v>459</v>
      </c>
      <c r="F10" s="96">
        <v>24</v>
      </c>
      <c r="G10" s="99">
        <v>1</v>
      </c>
      <c r="H10" s="98">
        <v>33000</v>
      </c>
      <c r="I10" s="3">
        <f>+H10*G10</f>
        <v>33000</v>
      </c>
      <c r="J10">
        <f>+F10*G10</f>
        <v>24</v>
      </c>
      <c r="K10" s="122">
        <f t="shared" si="0"/>
        <v>1375</v>
      </c>
      <c r="O10">
        <v>3000</v>
      </c>
      <c r="P10" s="9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9">
        <f>+V10*K10</f>
        <v>8250</v>
      </c>
    </row>
    <row r="11" spans="2:25" x14ac:dyDescent="0.25">
      <c r="B11" s="47">
        <v>46077</v>
      </c>
      <c r="C11" s="47" t="s">
        <v>548</v>
      </c>
      <c r="D11" t="s">
        <v>552</v>
      </c>
      <c r="F11" s="96"/>
      <c r="G11" s="99"/>
      <c r="H11" s="98"/>
      <c r="J11">
        <v>50</v>
      </c>
      <c r="K11" s="67"/>
      <c r="P11" s="9"/>
    </row>
    <row r="12" spans="2:25" x14ac:dyDescent="0.25">
      <c r="B12" s="47">
        <v>46089</v>
      </c>
      <c r="C12" s="47" t="s">
        <v>548</v>
      </c>
      <c r="D12" t="s">
        <v>185</v>
      </c>
      <c r="F12" s="96"/>
      <c r="G12" s="99"/>
      <c r="H12" s="98"/>
      <c r="J12">
        <v>500</v>
      </c>
      <c r="K12" s="67">
        <v>3500</v>
      </c>
      <c r="P12" s="9"/>
    </row>
    <row r="13" spans="2:25" x14ac:dyDescent="0.25">
      <c r="B13" s="47">
        <v>46106</v>
      </c>
      <c r="C13" s="47" t="s">
        <v>548</v>
      </c>
      <c r="D13" t="s">
        <v>185</v>
      </c>
      <c r="F13" s="96"/>
      <c r="G13" s="99"/>
      <c r="H13" s="98"/>
      <c r="J13">
        <v>230</v>
      </c>
      <c r="K13" s="67">
        <v>3500</v>
      </c>
      <c r="P13" s="9"/>
    </row>
    <row r="14" spans="2:25" x14ac:dyDescent="0.25">
      <c r="B14" s="56">
        <v>46089</v>
      </c>
      <c r="C14" s="56" t="s">
        <v>548</v>
      </c>
      <c r="D14" s="1" t="s">
        <v>553</v>
      </c>
      <c r="E14" s="1"/>
      <c r="F14" s="117"/>
      <c r="G14" s="118"/>
      <c r="H14" s="119"/>
      <c r="I14" s="11"/>
      <c r="J14" s="1">
        <v>100</v>
      </c>
      <c r="K14" s="11"/>
      <c r="P14" s="9"/>
    </row>
    <row r="15" spans="2:25" x14ac:dyDescent="0.25">
      <c r="B15" s="47">
        <v>46072</v>
      </c>
      <c r="C15" s="47" t="s">
        <v>548</v>
      </c>
      <c r="D15" t="s">
        <v>554</v>
      </c>
      <c r="E15" t="s">
        <v>555</v>
      </c>
      <c r="F15" s="96">
        <f>+(250)/3</f>
        <v>83.333333333333329</v>
      </c>
      <c r="G15" s="99">
        <v>2</v>
      </c>
      <c r="H15" s="98">
        <v>70000</v>
      </c>
      <c r="I15" s="3">
        <f t="shared" ref="I15" si="2">+H15*G15</f>
        <v>140000</v>
      </c>
      <c r="J15">
        <f>(F15*G15)</f>
        <v>166.66666666666666</v>
      </c>
      <c r="K15" s="123">
        <f>+I15/J15</f>
        <v>840</v>
      </c>
      <c r="P15" s="9"/>
    </row>
    <row r="16" spans="2:25" x14ac:dyDescent="0.25">
      <c r="B16" s="47">
        <v>46112</v>
      </c>
      <c r="C16" s="47" t="s">
        <v>548</v>
      </c>
      <c r="D16" t="s">
        <v>554</v>
      </c>
      <c r="E16" t="s">
        <v>555</v>
      </c>
      <c r="F16" s="96">
        <f>+(250)/3</f>
        <v>83.333333333333329</v>
      </c>
      <c r="G16" s="99">
        <v>2</v>
      </c>
      <c r="H16" s="98">
        <v>70000</v>
      </c>
      <c r="I16" s="3">
        <f t="shared" ref="I16:I20" si="3">+H16*G16</f>
        <v>140000</v>
      </c>
      <c r="J16">
        <f>(F16*G16)</f>
        <v>166.66666666666666</v>
      </c>
      <c r="K16" s="123">
        <f>+I16/J16</f>
        <v>840</v>
      </c>
      <c r="P16" s="9"/>
    </row>
    <row r="17" spans="2:19" x14ac:dyDescent="0.25">
      <c r="B17" s="47">
        <v>46100</v>
      </c>
      <c r="C17" s="47" t="s">
        <v>547</v>
      </c>
      <c r="D17" s="15" t="s">
        <v>462</v>
      </c>
      <c r="F17" s="96">
        <v>30</v>
      </c>
      <c r="G17" s="99">
        <v>5</v>
      </c>
      <c r="H17" s="98">
        <v>36000</v>
      </c>
      <c r="I17" s="3">
        <f t="shared" si="3"/>
        <v>180000</v>
      </c>
      <c r="J17">
        <f>+F17*G17</f>
        <v>150</v>
      </c>
      <c r="K17" s="123">
        <f>+I17/J17</f>
        <v>1200</v>
      </c>
      <c r="L17" s="3">
        <f>+ROUND(K17,2)</f>
        <v>1200</v>
      </c>
      <c r="M17" s="3">
        <f>+J17*L17</f>
        <v>180000</v>
      </c>
      <c r="N17" s="3">
        <f>+I17-M17</f>
        <v>0</v>
      </c>
      <c r="O17">
        <v>3000</v>
      </c>
      <c r="P17" s="9">
        <f>+O17-K17</f>
        <v>1800</v>
      </c>
      <c r="Q17" s="3">
        <f>+J17*O17</f>
        <v>450000</v>
      </c>
      <c r="S17">
        <f>+K17*J17</f>
        <v>180000</v>
      </c>
    </row>
    <row r="18" spans="2:19" x14ac:dyDescent="0.25">
      <c r="B18" s="47">
        <v>46100</v>
      </c>
      <c r="C18" s="47" t="s">
        <v>547</v>
      </c>
      <c r="D18" t="s">
        <v>461</v>
      </c>
      <c r="F18" s="96">
        <v>12</v>
      </c>
      <c r="G18" s="99">
        <v>2</v>
      </c>
      <c r="H18" s="98">
        <v>15000</v>
      </c>
      <c r="I18" s="3">
        <f t="shared" si="3"/>
        <v>30000</v>
      </c>
      <c r="J18">
        <f>+F18*G18</f>
        <v>24</v>
      </c>
      <c r="K18" s="123">
        <f>+I18/J18</f>
        <v>1250</v>
      </c>
      <c r="L18" s="3">
        <f t="shared" ref="L18:L21" si="4">+ROUND(K18,2)</f>
        <v>1250</v>
      </c>
      <c r="M18" s="3">
        <f t="shared" ref="M18:M21" si="5">+J18*L18</f>
        <v>30000</v>
      </c>
      <c r="N18" s="3">
        <f t="shared" ref="N18:N21" si="6">+I18-M18</f>
        <v>0</v>
      </c>
      <c r="O18">
        <v>3200</v>
      </c>
      <c r="P18" s="9">
        <f>+O18-K18</f>
        <v>1950</v>
      </c>
      <c r="Q18" s="3">
        <f>+J18*O18</f>
        <v>76800</v>
      </c>
      <c r="S18">
        <f>+K18*J18</f>
        <v>30000</v>
      </c>
    </row>
    <row r="19" spans="2:19" x14ac:dyDescent="0.25">
      <c r="B19" s="47">
        <v>46100</v>
      </c>
      <c r="C19" s="47" t="s">
        <v>547</v>
      </c>
      <c r="D19" s="115" t="s">
        <v>458</v>
      </c>
      <c r="F19" s="96">
        <v>30</v>
      </c>
      <c r="G19" s="99">
        <v>3</v>
      </c>
      <c r="H19" s="98">
        <v>34000</v>
      </c>
      <c r="I19" s="3">
        <f t="shared" si="3"/>
        <v>102000</v>
      </c>
      <c r="J19">
        <f>+F19*G19</f>
        <v>90</v>
      </c>
      <c r="K19" s="123">
        <f>+I19/J19</f>
        <v>1133.3333333333333</v>
      </c>
      <c r="L19" s="3">
        <f t="shared" si="4"/>
        <v>1133.33</v>
      </c>
      <c r="M19" s="3">
        <f t="shared" si="5"/>
        <v>101999.7</v>
      </c>
      <c r="N19" s="3">
        <f t="shared" si="6"/>
        <v>0.30000000000291038</v>
      </c>
      <c r="O19">
        <v>3000</v>
      </c>
      <c r="P19" s="9">
        <f>+O19-K19</f>
        <v>1866.6666666666667</v>
      </c>
      <c r="Q19" s="3">
        <f>+J19*O19</f>
        <v>270000</v>
      </c>
      <c r="S19">
        <f>+K19*J19</f>
        <v>102000</v>
      </c>
    </row>
    <row r="20" spans="2:19" x14ac:dyDescent="0.25">
      <c r="B20" s="47">
        <v>46100</v>
      </c>
      <c r="C20" s="47" t="s">
        <v>547</v>
      </c>
      <c r="D20" s="114" t="s">
        <v>460</v>
      </c>
      <c r="F20" s="96">
        <v>12</v>
      </c>
      <c r="G20" s="99">
        <v>2</v>
      </c>
      <c r="H20" s="98">
        <v>29000</v>
      </c>
      <c r="I20" s="3">
        <f t="shared" si="3"/>
        <v>58000</v>
      </c>
      <c r="J20">
        <f>+F20*G20</f>
        <v>24</v>
      </c>
      <c r="K20" s="124">
        <f t="shared" ref="K20:K23" si="7">+I20/J20</f>
        <v>2416.6666666666665</v>
      </c>
      <c r="L20" s="3">
        <f t="shared" si="4"/>
        <v>2416.67</v>
      </c>
      <c r="M20" s="3">
        <f t="shared" si="5"/>
        <v>58000.08</v>
      </c>
      <c r="N20" s="3">
        <f t="shared" si="6"/>
        <v>-8.000000000174623E-2</v>
      </c>
      <c r="O20">
        <v>4500</v>
      </c>
      <c r="P20" s="9">
        <f>+O20-K20</f>
        <v>2083.3333333333335</v>
      </c>
      <c r="Q20" s="3">
        <f>+J20*O20</f>
        <v>108000</v>
      </c>
      <c r="S20" s="121">
        <f>+K20*J20</f>
        <v>58000</v>
      </c>
    </row>
    <row r="21" spans="2:19" x14ac:dyDescent="0.25">
      <c r="B21" s="47">
        <v>46100</v>
      </c>
      <c r="C21" s="47" t="s">
        <v>547</v>
      </c>
      <c r="D21" s="113" t="s">
        <v>459</v>
      </c>
      <c r="F21" s="96">
        <v>24</v>
      </c>
      <c r="G21" s="99">
        <v>1</v>
      </c>
      <c r="H21" s="98">
        <v>34000</v>
      </c>
      <c r="I21" s="3">
        <f>+H21*G21</f>
        <v>34000</v>
      </c>
      <c r="J21">
        <f>+F21*G21</f>
        <v>24</v>
      </c>
      <c r="K21" s="123">
        <f t="shared" si="7"/>
        <v>1416.6666666666667</v>
      </c>
      <c r="L21" s="3">
        <f t="shared" si="4"/>
        <v>1416.67</v>
      </c>
      <c r="M21" s="3">
        <f t="shared" si="5"/>
        <v>34000.080000000002</v>
      </c>
      <c r="N21" s="3">
        <f t="shared" si="6"/>
        <v>-8.000000000174623E-2</v>
      </c>
      <c r="O21">
        <v>3000</v>
      </c>
      <c r="P21" s="9">
        <f>+O21-K21</f>
        <v>1583.3333333333333</v>
      </c>
      <c r="Q21" s="3">
        <f>+J21*O21</f>
        <v>72000</v>
      </c>
      <c r="S21">
        <f>+K21*J21</f>
        <v>34000</v>
      </c>
    </row>
    <row r="22" spans="2:19" x14ac:dyDescent="0.25">
      <c r="B22" s="47"/>
      <c r="C22" s="47"/>
      <c r="F22" s="96"/>
      <c r="G22" s="99"/>
      <c r="H22" s="98"/>
      <c r="S22">
        <f>+SUM(S17:S21)</f>
        <v>404000</v>
      </c>
    </row>
    <row r="23" spans="2:19" x14ac:dyDescent="0.25">
      <c r="B23" s="47">
        <v>46102</v>
      </c>
      <c r="C23" s="47" t="s">
        <v>547</v>
      </c>
      <c r="D23" t="s">
        <v>618</v>
      </c>
      <c r="E23" t="s">
        <v>617</v>
      </c>
      <c r="F23" s="99">
        <f>6*4</f>
        <v>24</v>
      </c>
      <c r="G23" s="99">
        <v>1</v>
      </c>
      <c r="H23" s="98">
        <v>38000</v>
      </c>
      <c r="I23" s="3">
        <f>+H23*G23</f>
        <v>38000</v>
      </c>
      <c r="J23">
        <f>+F23*G23</f>
        <v>24</v>
      </c>
      <c r="K23" s="123">
        <f t="shared" si="7"/>
        <v>1583.3333333333333</v>
      </c>
    </row>
    <row r="24" spans="2:19" x14ac:dyDescent="0.25">
      <c r="B24" s="47"/>
      <c r="C24" s="47"/>
      <c r="F24" s="96"/>
      <c r="G24" s="99"/>
      <c r="H24" s="98"/>
      <c r="I24" s="3">
        <f>+I23*3</f>
        <v>114000</v>
      </c>
    </row>
    <row r="25" spans="2:19" x14ac:dyDescent="0.25">
      <c r="B25" s="47"/>
      <c r="C25" s="47"/>
      <c r="F25" s="96"/>
      <c r="G25" s="99"/>
      <c r="H25" s="98"/>
    </row>
    <row r="26" spans="2:19" x14ac:dyDescent="0.25">
      <c r="B26" s="47" t="s">
        <v>589</v>
      </c>
      <c r="C26" s="47"/>
      <c r="F26" s="96"/>
      <c r="G26" s="99"/>
      <c r="H26" s="98"/>
    </row>
    <row r="27" spans="2:19" x14ac:dyDescent="0.25">
      <c r="B27" s="47" t="s">
        <v>588</v>
      </c>
      <c r="C27" s="47"/>
      <c r="F27" s="96"/>
      <c r="G27" s="99"/>
      <c r="H27" s="98"/>
      <c r="S27" t="e">
        <f>+#REF!-S22</f>
        <v>#REF!</v>
      </c>
    </row>
    <row r="28" spans="2:19" x14ac:dyDescent="0.25">
      <c r="B28" s="27">
        <v>0.66666666666666663</v>
      </c>
      <c r="C28" s="27"/>
      <c r="D28" t="s">
        <v>462</v>
      </c>
      <c r="F28" s="96"/>
      <c r="G28" s="99"/>
      <c r="H28" s="98"/>
      <c r="J28" s="1">
        <v>25</v>
      </c>
    </row>
    <row r="29" spans="2:19" x14ac:dyDescent="0.25">
      <c r="D29" t="s">
        <v>458</v>
      </c>
      <c r="F29" s="96"/>
      <c r="G29" s="99"/>
      <c r="H29" s="98"/>
      <c r="J29">
        <v>11</v>
      </c>
    </row>
    <row r="30" spans="2:19" x14ac:dyDescent="0.25">
      <c r="D30" t="s">
        <v>459</v>
      </c>
      <c r="F30" s="96"/>
      <c r="G30" s="99"/>
      <c r="H30" s="98"/>
      <c r="J30" s="1">
        <v>6</v>
      </c>
    </row>
    <row r="31" spans="2:19" x14ac:dyDescent="0.25">
      <c r="F31" s="96"/>
      <c r="G31" s="99"/>
      <c r="H31" s="98"/>
    </row>
    <row r="32" spans="2:19" x14ac:dyDescent="0.25">
      <c r="F32" s="91"/>
    </row>
    <row r="33" spans="6:6" x14ac:dyDescent="0.25">
      <c r="F33" s="91"/>
    </row>
    <row r="34" spans="6:6" x14ac:dyDescent="0.25">
      <c r="F34" s="91"/>
    </row>
    <row r="35" spans="6:6" x14ac:dyDescent="0.25">
      <c r="F35" s="91"/>
    </row>
    <row r="36" spans="6:6" x14ac:dyDescent="0.25">
      <c r="F36" s="91"/>
    </row>
    <row r="37" spans="6:6" x14ac:dyDescent="0.25">
      <c r="F37" s="91"/>
    </row>
    <row r="38" spans="6:6" x14ac:dyDescent="0.25">
      <c r="F38" s="91"/>
    </row>
    <row r="39" spans="6:6" x14ac:dyDescent="0.25">
      <c r="F39" s="91"/>
    </row>
    <row r="40" spans="6:6" x14ac:dyDescent="0.25">
      <c r="F40" s="91"/>
    </row>
    <row r="41" spans="6:6" x14ac:dyDescent="0.25">
      <c r="F41" s="91"/>
    </row>
    <row r="42" spans="6:6" x14ac:dyDescent="0.25">
      <c r="F42" s="91"/>
    </row>
    <row r="43" spans="6:6" x14ac:dyDescent="0.25">
      <c r="F43" s="91"/>
    </row>
    <row r="44" spans="6:6" x14ac:dyDescent="0.25">
      <c r="F44" s="91"/>
    </row>
    <row r="45" spans="6:6" x14ac:dyDescent="0.25">
      <c r="F45" s="91"/>
    </row>
    <row r="46" spans="6:6" x14ac:dyDescent="0.25">
      <c r="F46" s="91"/>
    </row>
    <row r="47" spans="6:6" x14ac:dyDescent="0.25">
      <c r="F47" s="91"/>
    </row>
    <row r="48" spans="6:6" x14ac:dyDescent="0.25">
      <c r="F48" s="91"/>
    </row>
    <row r="49" spans="6:6" x14ac:dyDescent="0.25">
      <c r="F49" s="91"/>
    </row>
    <row r="50" spans="6:6" x14ac:dyDescent="0.25">
      <c r="F50" s="91"/>
    </row>
    <row r="51" spans="6:6" x14ac:dyDescent="0.25">
      <c r="F51" s="91"/>
    </row>
    <row r="52" spans="6:6" x14ac:dyDescent="0.25">
      <c r="F52" s="91"/>
    </row>
    <row r="53" spans="6:6" x14ac:dyDescent="0.25">
      <c r="F53" s="91"/>
    </row>
    <row r="54" spans="6:6" x14ac:dyDescent="0.25">
      <c r="F54" s="91"/>
    </row>
    <row r="55" spans="6:6" x14ac:dyDescent="0.25">
      <c r="F55" s="91"/>
    </row>
    <row r="56" spans="6:6" x14ac:dyDescent="0.25">
      <c r="F56" s="91"/>
    </row>
    <row r="57" spans="6:6" x14ac:dyDescent="0.25">
      <c r="F57" s="91"/>
    </row>
    <row r="58" spans="6:6" x14ac:dyDescent="0.25">
      <c r="F58" s="91"/>
    </row>
    <row r="59" spans="6:6" x14ac:dyDescent="0.25">
      <c r="F59" s="91"/>
    </row>
    <row r="60" spans="6:6" x14ac:dyDescent="0.25">
      <c r="F60" s="91"/>
    </row>
    <row r="61" spans="6:6" x14ac:dyDescent="0.25">
      <c r="F61" s="91"/>
    </row>
    <row r="62" spans="6:6" x14ac:dyDescent="0.25">
      <c r="F62" s="91"/>
    </row>
    <row r="63" spans="6:6" x14ac:dyDescent="0.25">
      <c r="F63" s="91"/>
    </row>
    <row r="64" spans="6:6" x14ac:dyDescent="0.25">
      <c r="F64" s="91"/>
    </row>
    <row r="65" spans="6:6" x14ac:dyDescent="0.25">
      <c r="F65" s="91"/>
    </row>
    <row r="66" spans="6:6" x14ac:dyDescent="0.25">
      <c r="F66" s="91"/>
    </row>
    <row r="67" spans="6:6" x14ac:dyDescent="0.25">
      <c r="F67" s="91"/>
    </row>
    <row r="68" spans="6:6" x14ac:dyDescent="0.25">
      <c r="F68" s="91"/>
    </row>
    <row r="69" spans="6:6" x14ac:dyDescent="0.25">
      <c r="F69" s="91"/>
    </row>
    <row r="70" spans="6:6" x14ac:dyDescent="0.25">
      <c r="F70" s="91"/>
    </row>
    <row r="71" spans="6:6" x14ac:dyDescent="0.25">
      <c r="F71" s="91"/>
    </row>
    <row r="72" spans="6:6" x14ac:dyDescent="0.25">
      <c r="F72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/>
  <dimension ref="A1:AK52"/>
  <sheetViews>
    <sheetView showGridLines="0" zoomScale="85" zoomScaleNormal="85" workbookViewId="0">
      <pane ySplit="3" topLeftCell="A31" activePane="bottomLeft" state="frozen"/>
      <selection pane="bottomLeft" activeCell="B54" sqref="B54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33">
        <v>1416.67</v>
      </c>
      <c r="AD2" s="3">
        <v>1200</v>
      </c>
      <c r="AE2" s="3">
        <v>1200</v>
      </c>
      <c r="AF2" s="3">
        <v>1250</v>
      </c>
      <c r="AG2" s="133">
        <v>2416.67</v>
      </c>
      <c r="AH2" s="133">
        <v>1133.33</v>
      </c>
      <c r="AI2" s="133">
        <v>1133.33</v>
      </c>
    </row>
    <row r="3" spans="1:37" s="85" customFormat="1" ht="45" x14ac:dyDescent="0.25">
      <c r="A3" s="132" t="s">
        <v>590</v>
      </c>
      <c r="B3" s="126" t="s">
        <v>179</v>
      </c>
      <c r="C3" s="127" t="s">
        <v>591</v>
      </c>
      <c r="D3" s="128" t="s">
        <v>603</v>
      </c>
      <c r="E3" s="129" t="s">
        <v>596</v>
      </c>
      <c r="F3" s="134" t="s">
        <v>597</v>
      </c>
      <c r="G3" s="130" t="s">
        <v>289</v>
      </c>
      <c r="H3" s="131" t="s">
        <v>601</v>
      </c>
      <c r="I3" s="131" t="s">
        <v>612</v>
      </c>
      <c r="J3" s="131" t="s">
        <v>613</v>
      </c>
      <c r="K3" s="131" t="s">
        <v>606</v>
      </c>
      <c r="L3" s="131" t="s">
        <v>611</v>
      </c>
      <c r="M3" s="131" t="s">
        <v>610</v>
      </c>
      <c r="N3" s="131" t="s">
        <v>609</v>
      </c>
      <c r="O3" s="131" t="s">
        <v>608</v>
      </c>
      <c r="P3" s="131" t="s">
        <v>607</v>
      </c>
      <c r="Q3" s="131" t="s">
        <v>605</v>
      </c>
      <c r="R3" s="131" t="s">
        <v>602</v>
      </c>
      <c r="S3" s="131" t="s">
        <v>604</v>
      </c>
      <c r="T3" s="131" t="s">
        <v>552</v>
      </c>
      <c r="U3" s="131" t="s">
        <v>483</v>
      </c>
      <c r="V3" s="131" t="s">
        <v>300</v>
      </c>
      <c r="W3" s="131" t="s">
        <v>600</v>
      </c>
      <c r="X3" s="130" t="s">
        <v>595</v>
      </c>
      <c r="Y3" s="131" t="s">
        <v>598</v>
      </c>
      <c r="Z3" s="131" t="s">
        <v>599</v>
      </c>
      <c r="AA3" s="136" t="s">
        <v>506</v>
      </c>
      <c r="AB3" s="136" t="s">
        <v>507</v>
      </c>
      <c r="AC3" s="85" t="s">
        <v>468</v>
      </c>
      <c r="AD3" s="85" t="s">
        <v>466</v>
      </c>
      <c r="AE3" s="85" t="s">
        <v>592</v>
      </c>
      <c r="AF3" s="85" t="s">
        <v>509</v>
      </c>
      <c r="AG3" s="85" t="s">
        <v>471</v>
      </c>
      <c r="AH3" s="85" t="s">
        <v>593</v>
      </c>
      <c r="AI3" s="85" t="s">
        <v>467</v>
      </c>
    </row>
    <row r="4" spans="1:37" x14ac:dyDescent="0.25">
      <c r="A4" s="34">
        <v>1</v>
      </c>
      <c r="B4" t="s">
        <v>465</v>
      </c>
      <c r="C4" s="20">
        <v>8000</v>
      </c>
      <c r="D4" s="125">
        <f t="shared" ref="D4:D51" si="0">+SUMPRODUCT(G4:AI4,G$2:AI$2)</f>
        <v>4340</v>
      </c>
      <c r="E4" s="3">
        <f>+C4-D4</f>
        <v>3660</v>
      </c>
      <c r="F4" s="135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x14ac:dyDescent="0.25">
      <c r="A5" s="34">
        <v>39</v>
      </c>
      <c r="B5" t="s">
        <v>501</v>
      </c>
      <c r="C5" s="20">
        <v>7000</v>
      </c>
      <c r="D5" s="125">
        <f t="shared" si="0"/>
        <v>3500</v>
      </c>
      <c r="E5" s="3">
        <f t="shared" ref="E5:E7" si="1">+C5-D5</f>
        <v>3500</v>
      </c>
      <c r="F5" s="135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x14ac:dyDescent="0.25">
      <c r="A6" s="34">
        <v>19</v>
      </c>
      <c r="B6" t="s">
        <v>482</v>
      </c>
      <c r="C6" s="20">
        <v>25000</v>
      </c>
      <c r="D6" s="125">
        <f t="shared" si="0"/>
        <v>7440</v>
      </c>
      <c r="E6" s="3">
        <f t="shared" si="1"/>
        <v>17560</v>
      </c>
      <c r="F6" s="135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x14ac:dyDescent="0.25">
      <c r="A7" s="34">
        <v>24</v>
      </c>
      <c r="B7" t="s">
        <v>487</v>
      </c>
      <c r="C7" s="20">
        <v>30000</v>
      </c>
      <c r="D7" s="125">
        <f t="shared" si="0"/>
        <v>7440</v>
      </c>
      <c r="E7" s="3">
        <f t="shared" si="1"/>
        <v>22560</v>
      </c>
      <c r="F7" s="135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x14ac:dyDescent="0.25">
      <c r="A8" s="34">
        <v>29</v>
      </c>
      <c r="B8" t="s">
        <v>492</v>
      </c>
      <c r="C8" s="20">
        <v>35000</v>
      </c>
      <c r="D8" s="125">
        <f t="shared" si="0"/>
        <v>7440</v>
      </c>
      <c r="E8" s="3">
        <f>+C8-D8</f>
        <v>27560</v>
      </c>
      <c r="F8" s="135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506</v>
      </c>
      <c r="C9" s="20">
        <v>4500</v>
      </c>
      <c r="D9" s="125">
        <f t="shared" si="0"/>
        <v>2800</v>
      </c>
      <c r="E9" s="3">
        <f t="shared" ref="E9:E50" si="3">+C9-D9</f>
        <v>1700</v>
      </c>
      <c r="F9" s="135">
        <f t="shared" ref="F9:F50" si="4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x14ac:dyDescent="0.25">
      <c r="A10" s="34">
        <v>45</v>
      </c>
      <c r="B10" t="s">
        <v>507</v>
      </c>
      <c r="C10" s="20">
        <v>6000</v>
      </c>
      <c r="D10" s="125">
        <f t="shared" si="0"/>
        <v>3200</v>
      </c>
      <c r="E10" s="3">
        <f>+C10-D10</f>
        <v>2800</v>
      </c>
      <c r="F10" s="135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468</v>
      </c>
      <c r="C11" s="20">
        <v>3500</v>
      </c>
      <c r="D11" s="125">
        <f t="shared" si="0"/>
        <v>1416.67</v>
      </c>
      <c r="E11" s="3">
        <f t="shared" si="3"/>
        <v>2083.33</v>
      </c>
      <c r="F11" s="135">
        <f t="shared" si="4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x14ac:dyDescent="0.25">
      <c r="A12" s="34">
        <v>2</v>
      </c>
      <c r="B12" t="s">
        <v>466</v>
      </c>
      <c r="C12" s="20">
        <v>3000</v>
      </c>
      <c r="D12" s="125">
        <f t="shared" si="0"/>
        <v>1200</v>
      </c>
      <c r="E12" s="3">
        <f t="shared" si="3"/>
        <v>1800</v>
      </c>
      <c r="F12" s="135">
        <f t="shared" si="4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x14ac:dyDescent="0.25">
      <c r="A13" s="34">
        <v>49</v>
      </c>
      <c r="B13" t="s">
        <v>592</v>
      </c>
      <c r="C13" s="23">
        <v>1200</v>
      </c>
      <c r="D13" s="125">
        <f t="shared" si="0"/>
        <v>1200</v>
      </c>
      <c r="E13" s="3">
        <f>+C13-D13</f>
        <v>0</v>
      </c>
      <c r="F13" s="135">
        <f t="shared" si="4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x14ac:dyDescent="0.25">
      <c r="A14" s="34">
        <v>48</v>
      </c>
      <c r="B14" t="s">
        <v>509</v>
      </c>
      <c r="C14" s="20">
        <v>3200</v>
      </c>
      <c r="D14" s="125">
        <f t="shared" si="0"/>
        <v>1250</v>
      </c>
      <c r="E14" s="3">
        <f t="shared" si="3"/>
        <v>1950</v>
      </c>
      <c r="F14" s="135">
        <f t="shared" si="4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x14ac:dyDescent="0.25">
      <c r="A15" s="34">
        <v>7</v>
      </c>
      <c r="B15" t="s">
        <v>471</v>
      </c>
      <c r="C15" s="20">
        <v>4500</v>
      </c>
      <c r="D15" s="125">
        <f t="shared" si="0"/>
        <v>2416.67</v>
      </c>
      <c r="E15" s="3">
        <f t="shared" si="3"/>
        <v>2083.33</v>
      </c>
      <c r="F15" s="135">
        <f t="shared" si="4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x14ac:dyDescent="0.25">
      <c r="A16" s="34">
        <v>50</v>
      </c>
      <c r="B16" t="s">
        <v>593</v>
      </c>
      <c r="C16" s="23">
        <v>3000</v>
      </c>
      <c r="D16" s="125">
        <f t="shared" si="0"/>
        <v>1133.33</v>
      </c>
      <c r="E16" s="3">
        <f t="shared" si="3"/>
        <v>1866.67</v>
      </c>
      <c r="F16" s="135">
        <f t="shared" si="4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x14ac:dyDescent="0.25">
      <c r="A17" s="34">
        <v>3</v>
      </c>
      <c r="B17" t="s">
        <v>467</v>
      </c>
      <c r="C17" s="20">
        <v>3000</v>
      </c>
      <c r="D17" s="125">
        <f t="shared" si="0"/>
        <v>1133.33</v>
      </c>
      <c r="E17" s="3">
        <f t="shared" si="3"/>
        <v>1866.67</v>
      </c>
      <c r="F17" s="135">
        <f t="shared" si="4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x14ac:dyDescent="0.25">
      <c r="A18" s="34">
        <v>42</v>
      </c>
      <c r="B18" t="s">
        <v>504</v>
      </c>
      <c r="C18" s="20">
        <v>20000</v>
      </c>
      <c r="D18" s="125">
        <f t="shared" si="0"/>
        <v>15600</v>
      </c>
      <c r="E18" s="3">
        <f t="shared" si="3"/>
        <v>4400</v>
      </c>
      <c r="F18" s="135">
        <f t="shared" si="4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x14ac:dyDescent="0.25">
      <c r="A19" s="34">
        <v>33</v>
      </c>
      <c r="B19" t="s">
        <v>496</v>
      </c>
      <c r="C19" s="20">
        <v>40000</v>
      </c>
      <c r="D19" s="125">
        <f t="shared" si="0"/>
        <v>21600</v>
      </c>
      <c r="E19" s="3">
        <f t="shared" si="3"/>
        <v>18400</v>
      </c>
      <c r="F19" s="135">
        <f t="shared" si="4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x14ac:dyDescent="0.25">
      <c r="A20" s="34">
        <v>41</v>
      </c>
      <c r="B20" t="s">
        <v>503</v>
      </c>
      <c r="C20" s="20">
        <v>23000</v>
      </c>
      <c r="D20" s="125">
        <f t="shared" si="0"/>
        <v>15600</v>
      </c>
      <c r="E20" s="3">
        <f t="shared" si="3"/>
        <v>7400</v>
      </c>
      <c r="F20" s="135">
        <f t="shared" si="4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x14ac:dyDescent="0.25">
      <c r="A21" s="34">
        <v>11</v>
      </c>
      <c r="B21" t="s">
        <v>475</v>
      </c>
      <c r="C21" s="20">
        <v>30000</v>
      </c>
      <c r="D21" s="125">
        <f t="shared" si="0"/>
        <v>22600</v>
      </c>
      <c r="E21" s="3">
        <f t="shared" si="3"/>
        <v>7400</v>
      </c>
      <c r="F21" s="135">
        <f t="shared" si="4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x14ac:dyDescent="0.25">
      <c r="A22" s="34">
        <v>27</v>
      </c>
      <c r="B22" t="s">
        <v>490</v>
      </c>
      <c r="C22" s="20">
        <v>50000</v>
      </c>
      <c r="D22" s="125">
        <f t="shared" si="0"/>
        <v>28600</v>
      </c>
      <c r="E22" s="3">
        <f t="shared" si="3"/>
        <v>21400</v>
      </c>
      <c r="F22" s="135">
        <f t="shared" si="4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x14ac:dyDescent="0.25">
      <c r="A23" s="34">
        <v>14</v>
      </c>
      <c r="B23" t="s">
        <v>478</v>
      </c>
      <c r="C23" s="20">
        <v>25000</v>
      </c>
      <c r="D23" s="125">
        <f t="shared" si="0"/>
        <v>15600</v>
      </c>
      <c r="E23" s="3">
        <f t="shared" si="3"/>
        <v>9400</v>
      </c>
      <c r="F23" s="135">
        <f t="shared" si="4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x14ac:dyDescent="0.25">
      <c r="A24" s="34">
        <v>12</v>
      </c>
      <c r="B24" t="s">
        <v>476</v>
      </c>
      <c r="C24" s="20">
        <v>25000</v>
      </c>
      <c r="D24" s="125">
        <f t="shared" si="0"/>
        <v>19600</v>
      </c>
      <c r="E24" s="3">
        <f t="shared" si="3"/>
        <v>5400</v>
      </c>
      <c r="F24" s="135">
        <f t="shared" si="4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x14ac:dyDescent="0.25">
      <c r="A25" s="34">
        <v>40</v>
      </c>
      <c r="B25" t="s">
        <v>502</v>
      </c>
      <c r="C25" s="20">
        <v>15000</v>
      </c>
      <c r="D25" s="125">
        <f t="shared" si="0"/>
        <v>14000</v>
      </c>
      <c r="E25" s="3">
        <f t="shared" si="3"/>
        <v>1000</v>
      </c>
      <c r="F25" s="135">
        <f t="shared" si="4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x14ac:dyDescent="0.25">
      <c r="A26" s="34">
        <v>46</v>
      </c>
      <c r="B26" t="s">
        <v>508</v>
      </c>
      <c r="C26" s="20">
        <v>30000</v>
      </c>
      <c r="D26" s="125">
        <f t="shared" si="0"/>
        <v>15600</v>
      </c>
      <c r="E26" s="3">
        <f t="shared" si="3"/>
        <v>14400</v>
      </c>
      <c r="F26" s="135">
        <f t="shared" si="4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x14ac:dyDescent="0.25">
      <c r="A27" s="34">
        <v>13</v>
      </c>
      <c r="B27" t="s">
        <v>477</v>
      </c>
      <c r="C27" s="20">
        <v>25000</v>
      </c>
      <c r="D27" s="125">
        <f t="shared" si="0"/>
        <v>12600</v>
      </c>
      <c r="E27" s="3">
        <f t="shared" si="3"/>
        <v>12400</v>
      </c>
      <c r="F27" s="135">
        <f t="shared" si="4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x14ac:dyDescent="0.25">
      <c r="A28" s="34">
        <v>15</v>
      </c>
      <c r="B28" t="s">
        <v>479</v>
      </c>
      <c r="C28" s="20">
        <v>25000</v>
      </c>
      <c r="D28" s="125">
        <f t="shared" si="0"/>
        <v>2600</v>
      </c>
      <c r="E28" s="3">
        <f t="shared" si="3"/>
        <v>22400</v>
      </c>
      <c r="F28" s="135">
        <f t="shared" si="4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x14ac:dyDescent="0.25">
      <c r="A29" s="34">
        <v>26</v>
      </c>
      <c r="B29" t="s">
        <v>489</v>
      </c>
      <c r="C29" s="20">
        <v>10000</v>
      </c>
      <c r="D29" s="125">
        <f t="shared" si="0"/>
        <v>3900</v>
      </c>
      <c r="E29" s="3">
        <f t="shared" si="3"/>
        <v>6100</v>
      </c>
      <c r="F29" s="135">
        <f t="shared" si="4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x14ac:dyDescent="0.25">
      <c r="A30" s="34">
        <v>9</v>
      </c>
      <c r="B30" t="s">
        <v>473</v>
      </c>
      <c r="C30" s="20">
        <v>20000</v>
      </c>
      <c r="D30" s="125">
        <f t="shared" si="0"/>
        <v>8500</v>
      </c>
      <c r="E30" s="3">
        <f t="shared" si="3"/>
        <v>11500</v>
      </c>
      <c r="F30" s="135">
        <f t="shared" si="4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x14ac:dyDescent="0.25">
      <c r="A31" s="34">
        <v>10</v>
      </c>
      <c r="B31" t="s">
        <v>474</v>
      </c>
      <c r="C31" s="20">
        <v>25000</v>
      </c>
      <c r="D31" s="125">
        <f t="shared" si="0"/>
        <v>10500</v>
      </c>
      <c r="E31" s="3">
        <f t="shared" si="3"/>
        <v>14500</v>
      </c>
      <c r="F31" s="135">
        <f t="shared" si="4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x14ac:dyDescent="0.25">
      <c r="A32" s="34">
        <v>38</v>
      </c>
      <c r="B32" t="s">
        <v>500</v>
      </c>
      <c r="C32" s="20">
        <v>27000</v>
      </c>
      <c r="D32" s="125">
        <f t="shared" si="0"/>
        <v>10500</v>
      </c>
      <c r="E32" s="3">
        <f t="shared" si="3"/>
        <v>16500</v>
      </c>
      <c r="F32" s="135">
        <f t="shared" si="4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x14ac:dyDescent="0.25">
      <c r="A33" s="34">
        <v>6</v>
      </c>
      <c r="B33" t="s">
        <v>470</v>
      </c>
      <c r="C33" s="20">
        <v>22000</v>
      </c>
      <c r="D33" s="125">
        <f t="shared" si="0"/>
        <v>10500</v>
      </c>
      <c r="E33" s="3">
        <f t="shared" si="3"/>
        <v>11500</v>
      </c>
      <c r="F33" s="135">
        <f t="shared" si="4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x14ac:dyDescent="0.25">
      <c r="A34" s="34">
        <v>5</v>
      </c>
      <c r="B34" t="s">
        <v>469</v>
      </c>
      <c r="C34" s="20">
        <v>17000</v>
      </c>
      <c r="D34" s="125">
        <f t="shared" si="0"/>
        <v>8500</v>
      </c>
      <c r="E34" s="3">
        <f t="shared" si="3"/>
        <v>8500</v>
      </c>
      <c r="F34" s="135">
        <f t="shared" si="4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x14ac:dyDescent="0.25">
      <c r="A35" s="34">
        <v>37</v>
      </c>
      <c r="B35" t="s">
        <v>499</v>
      </c>
      <c r="C35" s="20">
        <v>1000000</v>
      </c>
      <c r="D35" s="125">
        <f t="shared" si="0"/>
        <v>2000</v>
      </c>
      <c r="E35" s="3">
        <f t="shared" si="3"/>
        <v>998000</v>
      </c>
      <c r="F35" s="135">
        <f t="shared" si="4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x14ac:dyDescent="0.25">
      <c r="A36" s="34">
        <v>30</v>
      </c>
      <c r="B36" t="s">
        <v>493</v>
      </c>
      <c r="C36" s="20">
        <v>2000</v>
      </c>
      <c r="D36" s="125">
        <f t="shared" si="0"/>
        <v>0</v>
      </c>
      <c r="E36" s="3">
        <f t="shared" si="3"/>
        <v>2000</v>
      </c>
      <c r="F36" s="135">
        <f t="shared" si="4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x14ac:dyDescent="0.25">
      <c r="A37" s="34">
        <v>31</v>
      </c>
      <c r="B37" t="s">
        <v>494</v>
      </c>
      <c r="C37" s="20">
        <v>15000</v>
      </c>
      <c r="D37" s="125">
        <f t="shared" si="0"/>
        <v>0</v>
      </c>
      <c r="E37" s="3">
        <f t="shared" si="3"/>
        <v>15000</v>
      </c>
      <c r="F37" s="135">
        <f t="shared" si="4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x14ac:dyDescent="0.25">
      <c r="A38" s="34">
        <v>35</v>
      </c>
      <c r="B38" t="s">
        <v>497</v>
      </c>
      <c r="C38" s="20">
        <v>30000</v>
      </c>
      <c r="D38" s="125">
        <f t="shared" si="0"/>
        <v>17940</v>
      </c>
      <c r="E38" s="3">
        <f t="shared" si="3"/>
        <v>12060</v>
      </c>
      <c r="F38" s="135">
        <f t="shared" si="4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x14ac:dyDescent="0.25">
      <c r="A39" s="34">
        <v>18</v>
      </c>
      <c r="B39" t="s">
        <v>481</v>
      </c>
      <c r="C39" s="20">
        <v>35000</v>
      </c>
      <c r="D39" s="125">
        <f t="shared" si="0"/>
        <v>17940</v>
      </c>
      <c r="E39" s="3">
        <f t="shared" si="3"/>
        <v>17060</v>
      </c>
      <c r="F39" s="135">
        <f t="shared" si="4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x14ac:dyDescent="0.25">
      <c r="A40" s="34">
        <v>23</v>
      </c>
      <c r="B40" t="s">
        <v>486</v>
      </c>
      <c r="C40" s="20">
        <v>40000</v>
      </c>
      <c r="D40" s="125">
        <f t="shared" si="0"/>
        <v>17940</v>
      </c>
      <c r="E40" s="3">
        <f t="shared" si="3"/>
        <v>22060</v>
      </c>
      <c r="F40" s="135">
        <f t="shared" si="4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x14ac:dyDescent="0.25">
      <c r="A41" s="34">
        <v>21</v>
      </c>
      <c r="B41" t="s">
        <v>484</v>
      </c>
      <c r="C41" s="20">
        <v>48000</v>
      </c>
      <c r="D41" s="125">
        <f t="shared" si="0"/>
        <v>17940</v>
      </c>
      <c r="E41" s="3">
        <f t="shared" si="3"/>
        <v>30060</v>
      </c>
      <c r="F41" s="135">
        <f t="shared" si="4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x14ac:dyDescent="0.25">
      <c r="A42" s="34">
        <v>43</v>
      </c>
      <c r="B42" t="s">
        <v>505</v>
      </c>
      <c r="C42" s="20">
        <v>50000</v>
      </c>
      <c r="D42" s="125">
        <f t="shared" si="0"/>
        <v>17940</v>
      </c>
      <c r="E42" s="3">
        <f t="shared" si="3"/>
        <v>32060</v>
      </c>
      <c r="F42" s="135">
        <f t="shared" si="4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x14ac:dyDescent="0.25">
      <c r="A43" s="34">
        <v>32</v>
      </c>
      <c r="B43" t="s">
        <v>495</v>
      </c>
      <c r="C43" s="20">
        <v>60000</v>
      </c>
      <c r="D43" s="125">
        <f t="shared" si="0"/>
        <v>36940</v>
      </c>
      <c r="E43" s="3">
        <f t="shared" si="3"/>
        <v>23060</v>
      </c>
      <c r="F43" s="135">
        <f t="shared" si="4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x14ac:dyDescent="0.25">
      <c r="A44" s="34">
        <v>22</v>
      </c>
      <c r="B44" t="s">
        <v>485</v>
      </c>
      <c r="C44" s="20">
        <v>70000</v>
      </c>
      <c r="D44" s="125">
        <f t="shared" si="0"/>
        <v>36940</v>
      </c>
      <c r="E44" s="3">
        <f t="shared" si="3"/>
        <v>33060</v>
      </c>
      <c r="F44" s="135">
        <f t="shared" si="4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x14ac:dyDescent="0.25">
      <c r="A45" s="34">
        <v>28</v>
      </c>
      <c r="B45" t="s">
        <v>491</v>
      </c>
      <c r="C45" s="20">
        <v>5000</v>
      </c>
      <c r="D45" s="125">
        <f t="shared" si="0"/>
        <v>0</v>
      </c>
      <c r="E45" s="3">
        <f t="shared" si="3"/>
        <v>5000</v>
      </c>
      <c r="F45" s="135">
        <f t="shared" si="4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x14ac:dyDescent="0.25">
      <c r="A46" s="34">
        <v>20</v>
      </c>
      <c r="B46" t="s">
        <v>483</v>
      </c>
      <c r="C46" s="20">
        <v>2000</v>
      </c>
      <c r="D46" s="125">
        <f t="shared" si="0"/>
        <v>800</v>
      </c>
      <c r="E46" s="3">
        <f t="shared" si="3"/>
        <v>1200</v>
      </c>
      <c r="F46" s="135">
        <f t="shared" si="4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x14ac:dyDescent="0.25">
      <c r="A47" s="34">
        <v>47</v>
      </c>
      <c r="B47" t="s">
        <v>594</v>
      </c>
      <c r="C47" s="6">
        <v>3500</v>
      </c>
      <c r="D47" s="125">
        <f t="shared" si="0"/>
        <v>3500</v>
      </c>
      <c r="E47" s="3">
        <f t="shared" si="3"/>
        <v>0</v>
      </c>
      <c r="F47" s="135">
        <f t="shared" si="4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x14ac:dyDescent="0.25">
      <c r="A48" s="34">
        <v>17</v>
      </c>
      <c r="B48" t="s">
        <v>480</v>
      </c>
      <c r="C48" s="23">
        <v>4500</v>
      </c>
      <c r="D48" s="125">
        <f t="shared" si="0"/>
        <v>3500</v>
      </c>
      <c r="E48" s="3">
        <f t="shared" si="3"/>
        <v>1000</v>
      </c>
      <c r="F48" s="135">
        <f t="shared" si="4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x14ac:dyDescent="0.25">
      <c r="A49" s="34">
        <v>25</v>
      </c>
      <c r="B49" t="s">
        <v>488</v>
      </c>
      <c r="C49" s="23">
        <v>5000</v>
      </c>
      <c r="D49" s="125">
        <f t="shared" si="0"/>
        <v>0</v>
      </c>
      <c r="E49" s="3">
        <f t="shared" si="3"/>
        <v>5000</v>
      </c>
      <c r="F49" s="135">
        <f t="shared" si="4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x14ac:dyDescent="0.25">
      <c r="A50" s="34">
        <v>36</v>
      </c>
      <c r="B50" t="s">
        <v>498</v>
      </c>
      <c r="C50" s="23">
        <v>70000</v>
      </c>
      <c r="D50" s="125">
        <f t="shared" si="0"/>
        <v>0</v>
      </c>
      <c r="E50" s="3">
        <f t="shared" si="3"/>
        <v>70000</v>
      </c>
      <c r="F50" s="135">
        <f t="shared" si="4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x14ac:dyDescent="0.25">
      <c r="A51" s="34">
        <v>8</v>
      </c>
      <c r="B51" t="s">
        <v>472</v>
      </c>
      <c r="C51" s="23">
        <v>1000</v>
      </c>
      <c r="D51" s="125">
        <f t="shared" si="0"/>
        <v>0</v>
      </c>
      <c r="E51" s="3">
        <f t="shared" ref="E51" si="5">+C51-D51</f>
        <v>1000</v>
      </c>
      <c r="F51" s="135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 xr:uid="{00000000-0009-0000-0000-00000B000000}"/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4"/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430</v>
      </c>
      <c r="F5" t="s">
        <v>432</v>
      </c>
      <c r="G5" t="s">
        <v>433</v>
      </c>
      <c r="H5" t="s">
        <v>431</v>
      </c>
      <c r="I5" t="s">
        <v>434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435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5"/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319</v>
      </c>
      <c r="B1" t="s">
        <v>320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6"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396</v>
      </c>
      <c r="B17">
        <v>9000</v>
      </c>
      <c r="C17">
        <v>20</v>
      </c>
      <c r="D17">
        <f>+B17/C17</f>
        <v>450</v>
      </c>
      <c r="E17" t="s">
        <v>397</v>
      </c>
    </row>
    <row r="18" spans="1:5" x14ac:dyDescent="0.25">
      <c r="A18" t="s">
        <v>396</v>
      </c>
      <c r="B18">
        <v>8400</v>
      </c>
      <c r="C18">
        <v>20</v>
      </c>
      <c r="D18">
        <f>+B18/C18</f>
        <v>420</v>
      </c>
      <c r="E18" t="s">
        <v>397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7"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316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648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9"/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21"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22"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307</v>
      </c>
      <c r="E2" t="s">
        <v>314</v>
      </c>
    </row>
    <row r="3" spans="2:7" x14ac:dyDescent="0.25">
      <c r="B3" t="s">
        <v>308</v>
      </c>
    </row>
    <row r="4" spans="2:7" x14ac:dyDescent="0.25">
      <c r="B4" t="s">
        <v>309</v>
      </c>
    </row>
    <row r="5" spans="2:7" x14ac:dyDescent="0.25">
      <c r="B5" t="s">
        <v>310</v>
      </c>
      <c r="D5">
        <v>7</v>
      </c>
      <c r="E5" t="s">
        <v>313</v>
      </c>
    </row>
    <row r="6" spans="2:7" x14ac:dyDescent="0.25">
      <c r="B6" s="17">
        <v>0</v>
      </c>
      <c r="C6" t="s">
        <v>312</v>
      </c>
      <c r="G6" t="s">
        <v>315</v>
      </c>
    </row>
    <row r="7" spans="2:7" x14ac:dyDescent="0.25">
      <c r="G7">
        <v>26</v>
      </c>
    </row>
    <row r="8" spans="2:7" x14ac:dyDescent="0.25">
      <c r="B8" t="s">
        <v>311</v>
      </c>
      <c r="D8" s="3">
        <v>10000</v>
      </c>
    </row>
    <row r="9" spans="2:7" x14ac:dyDescent="0.25">
      <c r="D9" s="3">
        <f>+E9*D8</f>
        <v>2300</v>
      </c>
      <c r="E9" s="17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25"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6BBDD3B-5549-4B7F-A242-39E079346B51}">
  <ds:schemaRefs/>
</ds:datastoreItem>
</file>

<file path=customXml/itemProps3.xml><?xml version="1.0" encoding="utf-8"?>
<ds:datastoreItem xmlns:ds="http://schemas.openxmlformats.org/officeDocument/2006/customXml" ds:itemID="{3BFDF280-F210-4B3E-AFDE-1E932821F2B6}">
  <ds:schemaRefs/>
</ds:datastoreItem>
</file>

<file path=customXml/itemProps4.xml><?xml version="1.0" encoding="utf-8"?>
<ds:datastoreItem xmlns:ds="http://schemas.openxmlformats.org/officeDocument/2006/customXml" ds:itemID="{C6966FDC-54C0-4686-84FA-DB32BA161069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788789B1-0D01-44D2-92B3-AE3C27D29AF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chorizo</vt:lpstr>
      <vt:lpstr>choriboni</vt:lpstr>
      <vt:lpstr>maquina</vt:lpstr>
      <vt:lpstr>costeo</vt:lpstr>
      <vt:lpstr>Arqueo de Caja</vt:lpstr>
      <vt:lpstr>16mar</vt:lpstr>
      <vt:lpstr>Extracto</vt:lpstr>
      <vt:lpstr>Extracto (2)</vt:lpstr>
      <vt:lpstr>Prestamos</vt:lpstr>
      <vt:lpstr>Arqueo de Caja (2)</vt:lpstr>
      <vt:lpstr>25 marzo</vt:lpstr>
      <vt:lpstr>Gas</vt:lpstr>
      <vt:lpstr>Registros</vt:lpstr>
      <vt:lpstr>DevOps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2026-03-28T15:51:03Z</dcterms:modified>
</cp:coreProperties>
</file>