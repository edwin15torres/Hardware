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20370" yWindow="-2070" windowWidth="21840" windowHeight="13140" tabRatio="738" firstSheet="9" activeTab="10"/>
  </bookViews>
  <sheets>
    <sheet name="chorizo" sheetId="3" state="hidden" r:id="rId1"/>
    <sheet name="choriboni" sheetId="4" state="hidden" r:id="rId2"/>
    <sheet name="16mar" sheetId="34" state="hidden" r:id="rId3"/>
    <sheet name="Arqueo de Caja" sheetId="9" r:id="rId4"/>
    <sheet name="Extracto" sheetId="10" r:id="rId5"/>
    <sheet name="Gas" sheetId="32" state="hidden" r:id="rId6"/>
    <sheet name="Registros" sheetId="31" state="hidden" r:id="rId7"/>
    <sheet name="DevOps" sheetId="21" r:id="rId8"/>
    <sheet name="MP" sheetId="37" r:id="rId9"/>
    <sheet name="MP2" sheetId="38" r:id="rId10"/>
    <sheet name="sàbad" sheetId="39" r:id="rId11"/>
    <sheet name="Hoja2" sheetId="36" state="hidden" r:id="rId12"/>
    <sheet name="Clientes" sheetId="24" state="hidden" r:id="rId13"/>
    <sheet name="Empaques" sheetId="25" r:id="rId14"/>
    <sheet name="proveedores" sheetId="7" state="hidden" r:id="rId15"/>
    <sheet name="informe" sheetId="6" state="hidden" r:id="rId16"/>
    <sheet name="Costos" sheetId="8" state="hidden" r:id="rId17"/>
    <sheet name="Inventario" sheetId="27" state="hidden" r:id="rId18"/>
    <sheet name="Reporte" sheetId="11" r:id="rId19"/>
    <sheet name="Rappi" sheetId="26" r:id="rId20"/>
    <sheet name="7-MARZO" sheetId="22" state="hidden" r:id="rId21"/>
    <sheet name="Prestamos" sheetId="12" r:id="rId22"/>
    <sheet name="maquina" sheetId="23" r:id="rId23"/>
    <sheet name="Informe ventas" sheetId="13" state="hidden" r:id="rId24"/>
    <sheet name="historial de venta" sheetId="14" state="hidden" r:id="rId25"/>
  </sheets>
  <definedNames>
    <definedName name="_xlnm._FilterDatabase" localSheetId="1" hidden="1">choriboni!$B$17:$I$69</definedName>
    <definedName name="_xlnm._FilterDatabase" localSheetId="7" hidden="1">DevOps!$B$2:$F$44</definedName>
    <definedName name="_xlnm._FilterDatabase" localSheetId="4" hidden="1">Extracto!$A$5:$M$86</definedName>
    <definedName name="_xlnm._FilterDatabase" localSheetId="9" hidden="1">'MP2'!$A$3:$AK$51</definedName>
  </definedNames>
  <calcPr calcId="162913"/>
  <pivotCaches>
    <pivotCache cacheId="0" r:id="rId26"/>
    <pivotCache cacheId="1" r:id="rId27"/>
    <pivotCache cacheId="2" r:id="rId28"/>
    <pivotCache cacheId="3" r:id="rId29"/>
    <pivotCache cacheId="4" r:id="rId30"/>
    <pivotCache cacheId="5" r:id="rId3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9" l="1"/>
  <c r="C10" i="39"/>
  <c r="C4" i="39"/>
  <c r="C3" i="39"/>
  <c r="D39" i="38" l="1"/>
  <c r="BE18" i="9"/>
  <c r="BE39" i="9"/>
  <c r="BE36" i="9"/>
  <c r="BE34" i="9"/>
  <c r="BE32" i="9"/>
  <c r="BE23" i="9"/>
  <c r="BE13" i="9"/>
  <c r="BE12" i="9"/>
  <c r="BE11" i="9"/>
  <c r="BE10" i="9"/>
  <c r="BE9" i="9"/>
  <c r="BE8" i="9"/>
  <c r="BE7" i="9"/>
  <c r="BE6" i="9"/>
  <c r="BE5" i="9"/>
  <c r="BE4" i="9"/>
  <c r="BE3" i="9"/>
  <c r="BE14" i="9" s="1"/>
  <c r="BE2" i="9"/>
  <c r="BE1" i="9"/>
  <c r="BE17" i="9" s="1"/>
  <c r="BE25" i="9" l="1"/>
  <c r="D46" i="38"/>
  <c r="F46" i="38" s="1"/>
  <c r="D13" i="38"/>
  <c r="E13" i="38" s="1"/>
  <c r="D5" i="38"/>
  <c r="F5" i="38" s="1"/>
  <c r="D6" i="38"/>
  <c r="E6" i="38" s="1"/>
  <c r="D7" i="38"/>
  <c r="F7" i="38" s="1"/>
  <c r="D8" i="38"/>
  <c r="F8" i="38" s="1"/>
  <c r="D9" i="38"/>
  <c r="E9" i="38" s="1"/>
  <c r="D10" i="38"/>
  <c r="F10" i="38" s="1"/>
  <c r="D11" i="38"/>
  <c r="E11" i="38" s="1"/>
  <c r="D12" i="38"/>
  <c r="F12" i="38" s="1"/>
  <c r="D14" i="38"/>
  <c r="F14" i="38" s="1"/>
  <c r="D15" i="38"/>
  <c r="F15" i="38" s="1"/>
  <c r="D16" i="38"/>
  <c r="F16" i="38" s="1"/>
  <c r="D17" i="38"/>
  <c r="E17" i="38" s="1"/>
  <c r="D18" i="38"/>
  <c r="F18" i="38" s="1"/>
  <c r="D19" i="38"/>
  <c r="F19" i="38" s="1"/>
  <c r="D20" i="38"/>
  <c r="F20" i="38" s="1"/>
  <c r="D21" i="38"/>
  <c r="E21" i="38" s="1"/>
  <c r="D22" i="38"/>
  <c r="F22" i="38" s="1"/>
  <c r="D23" i="38"/>
  <c r="F23" i="38" s="1"/>
  <c r="D24" i="38"/>
  <c r="E24" i="38" s="1"/>
  <c r="D25" i="38"/>
  <c r="E25" i="38" s="1"/>
  <c r="D26" i="38"/>
  <c r="F26" i="38" s="1"/>
  <c r="D27" i="38"/>
  <c r="F27" i="38" s="1"/>
  <c r="D28" i="38"/>
  <c r="E28" i="38" s="1"/>
  <c r="D29" i="38"/>
  <c r="E29" i="38" s="1"/>
  <c r="D30" i="38"/>
  <c r="F30" i="38" s="1"/>
  <c r="D31" i="38"/>
  <c r="F31" i="38" s="1"/>
  <c r="D32" i="38"/>
  <c r="F32" i="38" s="1"/>
  <c r="D33" i="38"/>
  <c r="E33" i="38" s="1"/>
  <c r="D34" i="38"/>
  <c r="F34" i="38" s="1"/>
  <c r="D35" i="38"/>
  <c r="F35" i="38" s="1"/>
  <c r="D36" i="38"/>
  <c r="F36" i="38" s="1"/>
  <c r="D37" i="38"/>
  <c r="E37" i="38" s="1"/>
  <c r="D38" i="38"/>
  <c r="F38" i="38" s="1"/>
  <c r="F39" i="38"/>
  <c r="D40" i="38"/>
  <c r="F40" i="38" s="1"/>
  <c r="D41" i="38"/>
  <c r="E41" i="38" s="1"/>
  <c r="D42" i="38"/>
  <c r="F42" i="38" s="1"/>
  <c r="D43" i="38"/>
  <c r="F43" i="38" s="1"/>
  <c r="D44" i="38"/>
  <c r="F44" i="38" s="1"/>
  <c r="D45" i="38"/>
  <c r="E45" i="38" s="1"/>
  <c r="D47" i="38"/>
  <c r="F47" i="38" s="1"/>
  <c r="D48" i="38"/>
  <c r="F48" i="38" s="1"/>
  <c r="D49" i="38"/>
  <c r="E49" i="38" s="1"/>
  <c r="D50" i="38"/>
  <c r="F50" i="38" s="1"/>
  <c r="D51" i="38"/>
  <c r="F51" i="38" s="1"/>
  <c r="D4" i="38"/>
  <c r="F4" i="38" s="1"/>
  <c r="F14" i="37"/>
  <c r="J14" i="37" s="1"/>
  <c r="I14" i="37"/>
  <c r="K14" i="37" s="1"/>
  <c r="B113" i="10"/>
  <c r="I6" i="37"/>
  <c r="C16" i="23"/>
  <c r="J15" i="37"/>
  <c r="I15" i="37"/>
  <c r="K15" i="37" s="1"/>
  <c r="L15" i="37" s="1"/>
  <c r="M15" i="37" s="1"/>
  <c r="N15" i="37" s="1"/>
  <c r="B5" i="23"/>
  <c r="B6" i="23"/>
  <c r="B8" i="23"/>
  <c r="B9" i="23"/>
  <c r="D8" i="23"/>
  <c r="F11" i="23"/>
  <c r="F10" i="23"/>
  <c r="F8" i="23"/>
  <c r="F7" i="23"/>
  <c r="F4" i="23"/>
  <c r="P6" i="37"/>
  <c r="Q6" i="37"/>
  <c r="V9" i="37"/>
  <c r="V10" i="37"/>
  <c r="V8" i="37"/>
  <c r="V7" i="37"/>
  <c r="BA18" i="9"/>
  <c r="BC39" i="9"/>
  <c r="BA39" i="9"/>
  <c r="BC36" i="9"/>
  <c r="BC34" i="9"/>
  <c r="BC13" i="9"/>
  <c r="BC12" i="9"/>
  <c r="BC11" i="9"/>
  <c r="BC10" i="9"/>
  <c r="BC9" i="9"/>
  <c r="BC8" i="9"/>
  <c r="BC7" i="9"/>
  <c r="BC6" i="9"/>
  <c r="BC5" i="9"/>
  <c r="BC4" i="9"/>
  <c r="BC3" i="9"/>
  <c r="BC2" i="9"/>
  <c r="BC1" i="9"/>
  <c r="BC17" i="9" s="1"/>
  <c r="BA36" i="9"/>
  <c r="BA34" i="9"/>
  <c r="BA32" i="9"/>
  <c r="BA23" i="9"/>
  <c r="BA13" i="9"/>
  <c r="BA12" i="9"/>
  <c r="BA11" i="9"/>
  <c r="BA10" i="9"/>
  <c r="BA9" i="9"/>
  <c r="BA8" i="9"/>
  <c r="BA7" i="9"/>
  <c r="BA6" i="9"/>
  <c r="BA5" i="9"/>
  <c r="BA4" i="9"/>
  <c r="BA3" i="9"/>
  <c r="BA2" i="9"/>
  <c r="BA1" i="9" s="1"/>
  <c r="BA17" i="9" s="1"/>
  <c r="AY36" i="9"/>
  <c r="B95" i="10"/>
  <c r="AY31" i="9"/>
  <c r="B112" i="10"/>
  <c r="AY21" i="9"/>
  <c r="B111" i="10"/>
  <c r="B110" i="10"/>
  <c r="AY13" i="9"/>
  <c r="AY12" i="9"/>
  <c r="AY11" i="9"/>
  <c r="AY10" i="9"/>
  <c r="AY9" i="9"/>
  <c r="AY8" i="9"/>
  <c r="AY7" i="9"/>
  <c r="AY6" i="9"/>
  <c r="AY5" i="9"/>
  <c r="AY4" i="9"/>
  <c r="AY3" i="9"/>
  <c r="AY14" i="9" s="1"/>
  <c r="B109" i="10"/>
  <c r="AW36" i="9"/>
  <c r="E16" i="38" l="1"/>
  <c r="F28" i="38"/>
  <c r="E48" i="38"/>
  <c r="F11" i="38"/>
  <c r="E12" i="38"/>
  <c r="F29" i="38"/>
  <c r="E32" i="38"/>
  <c r="F45" i="38"/>
  <c r="E4" i="38"/>
  <c r="F41" i="38"/>
  <c r="E44" i="38"/>
  <c r="F25" i="38"/>
  <c r="F37" i="38"/>
  <c r="E40" i="38"/>
  <c r="F9" i="38"/>
  <c r="F17" i="38"/>
  <c r="E20" i="38"/>
  <c r="F24" i="38"/>
  <c r="F33" i="38"/>
  <c r="E36" i="38"/>
  <c r="F49" i="38"/>
  <c r="F6" i="38"/>
  <c r="F21" i="38"/>
  <c r="E5" i="38"/>
  <c r="F13" i="38"/>
  <c r="E15" i="38"/>
  <c r="E19" i="38"/>
  <c r="E23" i="38"/>
  <c r="E27" i="38"/>
  <c r="E31" i="38"/>
  <c r="E35" i="38"/>
  <c r="E39" i="38"/>
  <c r="E43" i="38"/>
  <c r="E47" i="38"/>
  <c r="E14" i="38"/>
  <c r="E18" i="38"/>
  <c r="E22" i="38"/>
  <c r="E26" i="38"/>
  <c r="E30" i="38"/>
  <c r="E34" i="38"/>
  <c r="E38" i="38"/>
  <c r="E42" i="38"/>
  <c r="E46" i="38"/>
  <c r="E50" i="38"/>
  <c r="E51" i="38"/>
  <c r="E8" i="38"/>
  <c r="E10" i="38"/>
  <c r="E7" i="38"/>
  <c r="BC32" i="9"/>
  <c r="BC14" i="9"/>
  <c r="BA14" i="9"/>
  <c r="B107" i="10"/>
  <c r="B106" i="10"/>
  <c r="B101" i="10"/>
  <c r="D107" i="10"/>
  <c r="B105" i="10"/>
  <c r="B104" i="10"/>
  <c r="B103" i="10"/>
  <c r="B102" i="10"/>
  <c r="B100" i="10"/>
  <c r="B99" i="10"/>
  <c r="B98" i="10"/>
  <c r="B97" i="10"/>
  <c r="B108" i="10"/>
  <c r="B96" i="10"/>
  <c r="BA25" i="9" l="1"/>
  <c r="BC18" i="9"/>
  <c r="BC23" i="9" s="1"/>
  <c r="BC25" i="9" s="1"/>
  <c r="AW21" i="9"/>
  <c r="AW13" i="9"/>
  <c r="AW12" i="9"/>
  <c r="AW11" i="9"/>
  <c r="AW10" i="9"/>
  <c r="AW9" i="9"/>
  <c r="AW8" i="9"/>
  <c r="AW7" i="9"/>
  <c r="AW6" i="9"/>
  <c r="AW5" i="9"/>
  <c r="AW4" i="9"/>
  <c r="AW3" i="9"/>
  <c r="AW14" i="9" l="1"/>
  <c r="AY18" i="9" s="1"/>
  <c r="AY23" i="9" s="1"/>
  <c r="AY25" i="9" s="1"/>
  <c r="J7" i="37"/>
  <c r="Q7" i="37" s="1"/>
  <c r="I7" i="37"/>
  <c r="J8" i="37"/>
  <c r="Q8" i="37" s="1"/>
  <c r="I8" i="37"/>
  <c r="J10" i="37"/>
  <c r="Q10" i="37" s="1"/>
  <c r="I10" i="37"/>
  <c r="J9" i="37"/>
  <c r="Q9" i="37" s="1"/>
  <c r="I9" i="37"/>
  <c r="I18" i="37"/>
  <c r="J18" i="37"/>
  <c r="I19" i="37"/>
  <c r="J19" i="37"/>
  <c r="I17" i="37"/>
  <c r="J17" i="37"/>
  <c r="Q15" i="37"/>
  <c r="J16" i="37"/>
  <c r="Q16" i="37" s="1"/>
  <c r="I16" i="37"/>
  <c r="Q17" i="37" l="1"/>
  <c r="Q18" i="37"/>
  <c r="Q19" i="37"/>
  <c r="K18" i="37"/>
  <c r="L18" i="37" s="1"/>
  <c r="M18" i="37" s="1"/>
  <c r="N18" i="37" s="1"/>
  <c r="K16" i="37"/>
  <c r="L16" i="37" s="1"/>
  <c r="M16" i="37" s="1"/>
  <c r="N16" i="37" s="1"/>
  <c r="K19" i="37"/>
  <c r="L19" i="37" s="1"/>
  <c r="M19" i="37" s="1"/>
  <c r="N19" i="37" s="1"/>
  <c r="K7" i="37"/>
  <c r="K8" i="37"/>
  <c r="K10" i="37"/>
  <c r="K9" i="37"/>
  <c r="P9" i="37" s="1"/>
  <c r="K17" i="37"/>
  <c r="L17" i="37" s="1"/>
  <c r="M17" i="37" s="1"/>
  <c r="N17" i="37" s="1"/>
  <c r="AU30" i="9"/>
  <c r="P15" i="37" l="1"/>
  <c r="S15" i="37"/>
  <c r="P19" i="37"/>
  <c r="S19" i="37"/>
  <c r="P16" i="37"/>
  <c r="S16" i="37"/>
  <c r="P17" i="37"/>
  <c r="S17" i="37"/>
  <c r="P18" i="37"/>
  <c r="S18" i="37"/>
  <c r="P7" i="37"/>
  <c r="S7" i="37"/>
  <c r="S9" i="37"/>
  <c r="P10" i="37"/>
  <c r="S10" i="37"/>
  <c r="P8" i="37"/>
  <c r="S8" i="37"/>
  <c r="W10" i="37"/>
  <c r="W8" i="37"/>
  <c r="W7" i="37"/>
  <c r="W9" i="37"/>
  <c r="B93" i="10"/>
  <c r="B92" i="10"/>
  <c r="B91" i="10"/>
  <c r="B90" i="10"/>
  <c r="B89" i="10"/>
  <c r="D88" i="10"/>
  <c r="B88" i="10"/>
  <c r="B87" i="10"/>
  <c r="S20" i="37" l="1"/>
  <c r="S25" i="37" s="1"/>
  <c r="Y9" i="37"/>
  <c r="F6" i="36"/>
  <c r="G6" i="36" s="1"/>
  <c r="D6" i="36"/>
  <c r="I6" i="36" s="1"/>
  <c r="C6" i="36"/>
  <c r="H6" i="36" s="1"/>
  <c r="B83" i="10"/>
  <c r="D86" i="10"/>
  <c r="I13" i="34"/>
  <c r="B85" i="10"/>
  <c r="B84" i="10"/>
  <c r="B81" i="10"/>
  <c r="AU13" i="9"/>
  <c r="AU12" i="9"/>
  <c r="AU11" i="9"/>
  <c r="AU10" i="9"/>
  <c r="AU9" i="9"/>
  <c r="AU8" i="9"/>
  <c r="AU7" i="9"/>
  <c r="AU6" i="9"/>
  <c r="AU5" i="9"/>
  <c r="AU4" i="9"/>
  <c r="AU3" i="9"/>
  <c r="J6" i="36" l="1"/>
  <c r="J7" i="36"/>
  <c r="J9" i="36" s="1"/>
  <c r="AU14" i="9"/>
  <c r="AW18" i="9" s="1"/>
  <c r="AW23" i="9" l="1"/>
  <c r="AW25" i="9" s="1"/>
  <c r="D80" i="10"/>
  <c r="D1" i="10" s="1"/>
  <c r="K7" i="34"/>
  <c r="B80" i="10"/>
  <c r="AS33" i="9"/>
  <c r="B75" i="10"/>
  <c r="B74" i="10"/>
  <c r="B79" i="10"/>
  <c r="B78" i="10"/>
  <c r="B77" i="10"/>
  <c r="B76" i="10"/>
  <c r="B73" i="10"/>
  <c r="B72" i="10"/>
  <c r="AQ30" i="9"/>
  <c r="B71" i="10"/>
  <c r="B70" i="10"/>
  <c r="AO30" i="9"/>
  <c r="AS13" i="9" l="1"/>
  <c r="AS12" i="9"/>
  <c r="AS11" i="9"/>
  <c r="AS10" i="9"/>
  <c r="AS9" i="9"/>
  <c r="AS8" i="9"/>
  <c r="AS7" i="9"/>
  <c r="AS6" i="9"/>
  <c r="AS5" i="9"/>
  <c r="AS4" i="9"/>
  <c r="AS3" i="9"/>
  <c r="AS2" i="9"/>
  <c r="AU2" i="9" s="1"/>
  <c r="AQ2" i="9"/>
  <c r="AQ1" i="9" s="1"/>
  <c r="AQ17" i="9" s="1"/>
  <c r="AQ13" i="9"/>
  <c r="AQ12" i="9"/>
  <c r="AQ11" i="9"/>
  <c r="AQ10" i="9"/>
  <c r="AQ9" i="9"/>
  <c r="AQ8" i="9"/>
  <c r="AQ7" i="9"/>
  <c r="AQ6" i="9"/>
  <c r="AQ5" i="9"/>
  <c r="AQ4" i="9"/>
  <c r="AQ3" i="9"/>
  <c r="G18" i="34"/>
  <c r="I7" i="34"/>
  <c r="I5" i="34"/>
  <c r="AU1" i="9" l="1"/>
  <c r="AU17" i="9" s="1"/>
  <c r="AW2" i="9"/>
  <c r="AS14" i="9"/>
  <c r="AS1" i="9"/>
  <c r="AS17" i="9" s="1"/>
  <c r="AQ14" i="9"/>
  <c r="F11" i="34"/>
  <c r="AQ19" i="9" s="1"/>
  <c r="AW1" i="9" l="1"/>
  <c r="AW17" i="9" s="1"/>
  <c r="AY2" i="9"/>
  <c r="AY1" i="9" s="1"/>
  <c r="AY17" i="9" s="1"/>
  <c r="D4" i="34"/>
  <c r="D2" i="34" s="1"/>
  <c r="F2" i="34" s="1"/>
  <c r="C15" i="32" l="1"/>
  <c r="AO21" i="9" s="1"/>
  <c r="D13" i="32"/>
  <c r="AM21" i="9"/>
  <c r="D18" i="25"/>
  <c r="D17" i="25"/>
  <c r="E6" i="32"/>
  <c r="E7" i="32" s="1"/>
  <c r="B4" i="32"/>
  <c r="B5" i="32" s="1"/>
  <c r="A3" i="32"/>
  <c r="AM38" i="9" l="1"/>
  <c r="AQ38" i="9" s="1"/>
  <c r="AM33" i="9"/>
  <c r="AE30" i="9"/>
  <c r="AE32" i="9" s="1"/>
  <c r="AG32" i="9" s="1"/>
  <c r="AK38" i="9"/>
  <c r="AM30" i="9"/>
  <c r="B69" i="10"/>
  <c r="B68" i="10"/>
  <c r="B67" i="10"/>
  <c r="B66" i="10"/>
  <c r="AG33" i="9"/>
  <c r="AG34" i="9" s="1"/>
  <c r="AI34" i="9" s="1"/>
  <c r="AK34" i="9" s="1"/>
  <c r="B65" i="10"/>
  <c r="AI32" i="9" l="1"/>
  <c r="AK32" i="9" s="1"/>
  <c r="AM32" i="9" s="1"/>
  <c r="AO32" i="9" s="1"/>
  <c r="AQ32" i="9" s="1"/>
  <c r="AS32" i="9" s="1"/>
  <c r="AM34" i="9"/>
  <c r="AO34" i="9" s="1"/>
  <c r="AQ34" i="9" s="1"/>
  <c r="AS34" i="9" s="1"/>
  <c r="AU34" i="9" s="1"/>
  <c r="AW34" i="9" s="1"/>
  <c r="AY34" i="9" s="1"/>
  <c r="AO13" i="9" l="1"/>
  <c r="AO12" i="9"/>
  <c r="AO11" i="9"/>
  <c r="AO10" i="9"/>
  <c r="AO9" i="9"/>
  <c r="AO8" i="9"/>
  <c r="AO7" i="9"/>
  <c r="AO6" i="9"/>
  <c r="AO5" i="9"/>
  <c r="AO4" i="9"/>
  <c r="AO3" i="9"/>
  <c r="AO1" i="9"/>
  <c r="AO17" i="9" s="1"/>
  <c r="AM13" i="9"/>
  <c r="AM12" i="9"/>
  <c r="AM11" i="9"/>
  <c r="AM10" i="9"/>
  <c r="AM9" i="9"/>
  <c r="AM8" i="9"/>
  <c r="AM7" i="9"/>
  <c r="AM6" i="9"/>
  <c r="AM5" i="9"/>
  <c r="AM4" i="9"/>
  <c r="AM3" i="9"/>
  <c r="AM1" i="9"/>
  <c r="AM17" i="9" s="1"/>
  <c r="AK14" i="9"/>
  <c r="AK1" i="9"/>
  <c r="AK17" i="9" s="1"/>
  <c r="E2" i="31"/>
  <c r="C9" i="31"/>
  <c r="C10" i="31"/>
  <c r="C7" i="31"/>
  <c r="E27" i="31"/>
  <c r="C13" i="31" l="1"/>
  <c r="AK20" i="9" s="1"/>
  <c r="AO14" i="9"/>
  <c r="AQ18" i="9" s="1"/>
  <c r="AQ23" i="9" s="1"/>
  <c r="AS18" i="9" s="1"/>
  <c r="AS23" i="9" s="1"/>
  <c r="AU18" i="9" s="1"/>
  <c r="AM14" i="9"/>
  <c r="B86" i="10"/>
  <c r="B64" i="10"/>
  <c r="B63" i="10"/>
  <c r="B62" i="10"/>
  <c r="B61" i="10"/>
  <c r="B82" i="10"/>
  <c r="AI21" i="9"/>
  <c r="AI22" i="9"/>
  <c r="C1" i="27"/>
  <c r="AS25" i="9" l="1"/>
  <c r="AQ25" i="9"/>
  <c r="AO18" i="9"/>
  <c r="G6" i="32"/>
  <c r="H6" i="32" s="1"/>
  <c r="B60" i="10"/>
  <c r="B59" i="10"/>
  <c r="B58" i="10"/>
  <c r="B57" i="10"/>
  <c r="B56" i="10"/>
  <c r="B55" i="10"/>
  <c r="B54" i="10"/>
  <c r="B53" i="10"/>
  <c r="B52" i="10"/>
  <c r="B51" i="10"/>
  <c r="B50" i="10"/>
  <c r="B49" i="10"/>
  <c r="AU23" i="9" l="1"/>
  <c r="AU25" i="9" s="1"/>
  <c r="AG21" i="9"/>
  <c r="AI13" i="9"/>
  <c r="AI12" i="9"/>
  <c r="AI11" i="9"/>
  <c r="AI10" i="9"/>
  <c r="AI9" i="9"/>
  <c r="AI8" i="9"/>
  <c r="AI7" i="9"/>
  <c r="AI6" i="9"/>
  <c r="AI5" i="9"/>
  <c r="AI4" i="9"/>
  <c r="AI3" i="9"/>
  <c r="AI1" i="9"/>
  <c r="AI17" i="9" s="1"/>
  <c r="AG27" i="9"/>
  <c r="AI27" i="9" s="1"/>
  <c r="AK27" i="9" s="1"/>
  <c r="G11" i="26"/>
  <c r="D9" i="26"/>
  <c r="AE13" i="9"/>
  <c r="AE12" i="9"/>
  <c r="AE11" i="9"/>
  <c r="AE10" i="9"/>
  <c r="AE9" i="9"/>
  <c r="AE8" i="9"/>
  <c r="AE7" i="9"/>
  <c r="AE6" i="9"/>
  <c r="AE5" i="9"/>
  <c r="AE4" i="9"/>
  <c r="AE3" i="9"/>
  <c r="AG13" i="9"/>
  <c r="AG12" i="9"/>
  <c r="AG11" i="9"/>
  <c r="AG10" i="9"/>
  <c r="AG9" i="9"/>
  <c r="AG8" i="9"/>
  <c r="AG7" i="9"/>
  <c r="AG6" i="9"/>
  <c r="AG5" i="9"/>
  <c r="AG4" i="9"/>
  <c r="AG3" i="9"/>
  <c r="AE27" i="9"/>
  <c r="AG1" i="9"/>
  <c r="AG17" i="9" s="1"/>
  <c r="AM27" i="9" l="1"/>
  <c r="AO27" i="9" s="1"/>
  <c r="AQ27" i="9" s="1"/>
  <c r="AS27" i="9" s="1"/>
  <c r="AU32" i="9" s="1"/>
  <c r="AW32" i="9" s="1"/>
  <c r="AY32" i="9" s="1"/>
  <c r="AI14" i="9"/>
  <c r="AK18" i="9" s="1"/>
  <c r="AG14" i="9"/>
  <c r="AI18" i="9" s="1"/>
  <c r="AE14" i="9"/>
  <c r="AK23" i="9" l="1"/>
  <c r="AM18" i="9" s="1"/>
  <c r="AM23" i="9" s="1"/>
  <c r="AI23" i="9"/>
  <c r="AI25" i="9" s="1"/>
  <c r="AE23" i="9"/>
  <c r="AM25" i="9" l="1"/>
  <c r="AM41" i="9"/>
  <c r="AK25" i="9"/>
  <c r="AG18" i="9"/>
  <c r="AG23" i="9" s="1"/>
  <c r="AG25" i="9" s="1"/>
  <c r="B48" i="10"/>
  <c r="B45" i="10"/>
  <c r="B44" i="10"/>
  <c r="B43" i="10"/>
  <c r="B42" i="10"/>
  <c r="B47" i="10"/>
  <c r="B46" i="10"/>
  <c r="B41" i="10"/>
  <c r="B40" i="10"/>
  <c r="AO23" i="9" l="1"/>
  <c r="AO25" i="9" s="1"/>
  <c r="AE1" i="9"/>
  <c r="AE17" i="9" s="1"/>
  <c r="AC4" i="9" l="1"/>
  <c r="AC3" i="9"/>
  <c r="AC13" i="9"/>
  <c r="AC12" i="9"/>
  <c r="AC11" i="9"/>
  <c r="AC10" i="9"/>
  <c r="AC9" i="9"/>
  <c r="AC8" i="9"/>
  <c r="AC7" i="9"/>
  <c r="AC6" i="9"/>
  <c r="AC5" i="9"/>
  <c r="E6" i="25"/>
  <c r="C2" i="25"/>
  <c r="AE25" i="9" l="1"/>
  <c r="AA21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22" i="12"/>
  <c r="F22" i="22"/>
  <c r="F12" i="22"/>
  <c r="G16" i="22"/>
  <c r="F15" i="22"/>
  <c r="F14" i="22"/>
  <c r="F13" i="22"/>
  <c r="F11" i="22"/>
  <c r="F10" i="22"/>
  <c r="F5" i="22"/>
  <c r="Y13" i="9"/>
  <c r="Y12" i="9"/>
  <c r="Y11" i="9"/>
  <c r="Y10" i="9"/>
  <c r="Y9" i="9"/>
  <c r="Y8" i="9"/>
  <c r="Y7" i="9"/>
  <c r="Y6" i="9"/>
  <c r="Y5" i="9"/>
  <c r="Y4" i="9"/>
  <c r="Y1" i="9"/>
  <c r="Y17" i="9" s="1"/>
  <c r="F1" i="22" l="1"/>
  <c r="AA14" i="9"/>
  <c r="AC14" i="9"/>
  <c r="Y14" i="9"/>
  <c r="AA18" i="9" s="1"/>
  <c r="AA23" i="9" s="1"/>
  <c r="B1" i="23"/>
  <c r="C1" i="23" s="1"/>
  <c r="M39" i="10"/>
  <c r="B39" i="10"/>
  <c r="B38" i="10"/>
  <c r="B37" i="10"/>
  <c r="B36" i="10"/>
  <c r="B35" i="10"/>
  <c r="B34" i="10"/>
  <c r="B33" i="10"/>
  <c r="B32" i="10"/>
  <c r="B31" i="10"/>
  <c r="B30" i="10"/>
  <c r="M34" i="10"/>
  <c r="W21" i="9"/>
  <c r="AC18" i="9" l="1"/>
  <c r="AC23" i="9" s="1"/>
  <c r="AC25" i="9" s="1"/>
  <c r="AA25" i="9"/>
  <c r="H1" i="22"/>
  <c r="I1" i="22" s="1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M38" i="10" s="1"/>
  <c r="U21" i="9"/>
  <c r="U5" i="9"/>
  <c r="U4" i="9"/>
  <c r="S21" i="9"/>
  <c r="U1" i="9"/>
  <c r="U17" i="9" s="1"/>
  <c r="S1" i="9"/>
  <c r="S17" i="9" s="1"/>
  <c r="Q1" i="9"/>
  <c r="Q17" i="9" s="1"/>
  <c r="O1" i="9"/>
  <c r="O17" i="9" s="1"/>
  <c r="U13" i="9" l="1"/>
  <c r="U12" i="9"/>
  <c r="U11" i="9"/>
  <c r="U10" i="9"/>
  <c r="U9" i="9"/>
  <c r="U8" i="9"/>
  <c r="U7" i="9"/>
  <c r="U6" i="9"/>
  <c r="U14" i="9" l="1"/>
  <c r="B29" i="10"/>
  <c r="B28" i="10"/>
  <c r="B27" i="10"/>
  <c r="B26" i="10"/>
  <c r="D26" i="10"/>
  <c r="C9" i="12"/>
  <c r="C1" i="12" s="1"/>
  <c r="D2" i="10" l="1"/>
  <c r="D3" i="10"/>
  <c r="Q13" i="9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3" i="10"/>
  <c r="B24" i="10"/>
  <c r="B25" i="10"/>
  <c r="M21" i="9" l="1"/>
  <c r="M23" i="9" s="1"/>
  <c r="B22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21" i="10"/>
  <c r="B20" i="10"/>
  <c r="B19" i="10"/>
  <c r="B18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15" i="9" l="1"/>
  <c r="S25" i="9"/>
  <c r="U18" i="9"/>
  <c r="M35" i="10" s="1"/>
  <c r="H37" i="14"/>
  <c r="H31" i="14"/>
  <c r="E4" i="11"/>
  <c r="E5" i="11"/>
  <c r="B6" i="10"/>
  <c r="B7" i="10"/>
  <c r="B8" i="10"/>
  <c r="B9" i="10"/>
  <c r="B10" i="10"/>
  <c r="B11" i="10"/>
  <c r="B12" i="10"/>
  <c r="B13" i="10"/>
  <c r="B14" i="10"/>
  <c r="B15" i="10"/>
  <c r="B16" i="10"/>
  <c r="B17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3" i="9" l="1"/>
  <c r="G25" i="9"/>
  <c r="I23" i="9"/>
  <c r="I25" i="9" s="1"/>
  <c r="D9" i="8"/>
  <c r="C14" i="9"/>
  <c r="C25" i="9" s="1"/>
  <c r="C41" i="4"/>
  <c r="C40" i="4"/>
  <c r="C31" i="4"/>
  <c r="C39" i="4"/>
  <c r="C19" i="4"/>
  <c r="C58" i="4"/>
  <c r="C20" i="4"/>
  <c r="C54" i="4"/>
  <c r="C55" i="4"/>
  <c r="C43" i="4"/>
  <c r="C18" i="4"/>
  <c r="W25" i="9" l="1"/>
  <c r="Y18" i="9"/>
  <c r="Y23" i="9" s="1"/>
  <c r="Y25" i="9" s="1"/>
  <c r="C1" i="9"/>
  <c r="C26" i="4"/>
  <c r="C3" i="4" s="1"/>
  <c r="C4" i="4"/>
  <c r="C5" i="4" l="1"/>
  <c r="C7" i="4" s="1"/>
  <c r="C16" i="4" l="1"/>
  <c r="C14" i="4"/>
  <c r="I11" i="4" s="1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8" authorId="0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PC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M21" authorId="1" shapeId="0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Y21" authorId="0" shapeId="0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mojarra
aguacate</t>
        </r>
      </text>
    </comment>
    <comment ref="AA22" authorId="0" shapeId="0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S22" authorId="0" shapeId="0">
      <text>
        <r>
          <rPr>
            <b/>
            <sz val="9"/>
            <color indexed="81"/>
            <rFont val="Tahoma"/>
            <charset val="1"/>
          </rPr>
          <t>Ajuste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I25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  <comment ref="AO27" authorId="1" shapeId="0">
      <text>
        <r>
          <rPr>
            <b/>
            <sz val="9"/>
            <color indexed="81"/>
            <rFont val="Tahoma"/>
            <charset val="1"/>
          </rPr>
          <t>Saldo:</t>
        </r>
        <r>
          <rPr>
            <sz val="9"/>
            <color indexed="81"/>
            <rFont val="Tahoma"/>
            <charset val="1"/>
          </rPr>
          <t xml:space="preserve">
Transportes</t>
        </r>
      </text>
    </comment>
    <comment ref="AE30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AE32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32" authorId="0" shapeId="0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W32" authorId="0" shapeId="0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Y39" authorId="0" shapeId="0">
      <text>
        <r>
          <rPr>
            <b/>
            <sz val="9"/>
            <color indexed="81"/>
            <rFont val="Tahoma"/>
            <charset val="1"/>
          </rPr>
          <t>SIRV</t>
        </r>
      </text>
    </comment>
  </commentList>
</comments>
</file>

<file path=xl/comments3.xml><?xml version="1.0" encoding="utf-8"?>
<comments xmlns="http://schemas.openxmlformats.org/spreadsheetml/2006/main">
  <authors>
    <author>PC</author>
  </authors>
  <commentList>
    <comment ref="H82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3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6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7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4.xml><?xml version="1.0" encoding="utf-8"?>
<comments xmlns="http://schemas.openxmlformats.org/spreadsheetml/2006/main">
  <authors>
    <author>PC</author>
  </authors>
  <commentList>
    <comment ref="E6" authorId="0" shapeId="0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J6" authorId="0" shapeId="0">
      <text>
        <r>
          <rPr>
            <b/>
            <sz val="9"/>
            <color indexed="81"/>
            <rFont val="Tahoma"/>
            <family val="2"/>
          </rPr>
          <t>610</t>
        </r>
      </text>
    </comment>
    <comment ref="F14" authorId="0" shapeId="0">
      <text>
        <r>
          <rPr>
            <b/>
            <sz val="9"/>
            <color indexed="81"/>
            <rFont val="Tahoma"/>
            <charset val="1"/>
          </rPr>
          <t>3 papa por venta de chorizo/plata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C13" authorId="0" shapeId="0">
      <text>
        <r>
          <rPr>
            <b/>
            <sz val="9"/>
            <color indexed="81"/>
            <rFont val="Tahoma"/>
            <family val="2"/>
          </rPr>
          <t>1,2000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</rPr>
          <t>1,100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>
  <authors>
    <author>PC</author>
  </authors>
  <commentList>
    <comment ref="B13" authorId="0" shapeId="0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8.xml><?xml version="1.0" encoding="utf-8"?>
<comments xmlns="http://schemas.openxmlformats.org/spreadsheetml/2006/main">
  <authors>
    <author>PC</author>
  </authors>
  <commentList>
    <comment ref="D9" authorId="0" shapeId="0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9.xml><?xml version="1.0" encoding="utf-8"?>
<comments xmlns="http://schemas.openxmlformats.org/spreadsheetml/2006/main">
  <authors>
    <author>PC</author>
  </authors>
  <commentList>
    <comment ref="J1" authorId="0" shapeId="0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F2" authorId="0" shapeId="0">
      <text>
        <r>
          <rPr>
            <b/>
            <sz val="9"/>
            <color indexed="81"/>
            <rFont val="Tahoma"/>
            <family val="2"/>
          </rPr>
          <t>3 días de producción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<sst xmlns="http://schemas.openxmlformats.org/spreadsheetml/2006/main" count="1439" uniqueCount="636">
  <si>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</si>
  <si>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</si>
  <si>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</si>
  <si>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</si>
  <si>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</si>
  <si>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</si>
  <si>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</si>
  <si>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</si>
  <si>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</si>
  <si>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</si>
  <si>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</si>
  <si>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</si>
  <si>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</si>
  <si>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</si>
  <si>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</si>
  <si>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</si>
  <si>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</si>
  <si>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</si>
  <si>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</si>
  <si>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</si>
  <si>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</si>
  <si>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</si>
  <si>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</si>
  <si>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</si>
  <si>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</si>
  <si>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</si>
  <si>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</si>
  <si>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</si>
  <si>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</si>
  <si>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</si>
  <si>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</si>
  <si>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</si>
  <si>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</si>
  <si>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</si>
  <si>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</si>
  <si>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</si>
  <si>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</si>
  <si>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</si>
  <si>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</si>
  <si>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</si>
  <si>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</si>
  <si>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</si>
  <si>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</si>
  <si>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</si>
  <si>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</si>
  <si>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</si>
  <si>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</si>
  <si>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</si>
  <si>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</si>
  <si>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</si>
  <si>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</si>
  <si>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</si>
  <si>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</si>
  <si>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</si>
  <si>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</si>
  <si>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</si>
  <si>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</si>
  <si>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</si>
  <si>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</si>
  <si>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</si>
  <si>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</si>
  <si>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</si>
  <si>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</si>
  <si>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</si>
  <si>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</si>
  <si>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</si>
  <si>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</si>
  <si>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</si>
  <si>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</si>
  <si>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</si>
  <si>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</si>
  <si>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</si>
  <si>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</si>
  <si>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</si>
  <si>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</si>
  <si>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</si>
  <si>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</si>
  <si>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</si>
  <si>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</si>
  <si>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</si>
  <si>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</si>
  <si>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</si>
  <si>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</si>
  <si>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</si>
  <si>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</si>
  <si>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</si>
  <si>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</si>
  <si>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</si>
  <si>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</si>
  <si>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</si>
  <si>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</si>
  <si>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</si>
  <si>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</si>
  <si>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</si>
  <si>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</si>
  <si>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</si>
  <si>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</si>
  <si>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</si>
  <si>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</si>
  <si>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</si>
  <si>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</si>
  <si>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</si>
  <si>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</si>
  <si>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</si>
  <si>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</si>
  <si>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</si>
  <si>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</si>
  <si>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</si>
  <si>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</si>
  <si>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</si>
  <si>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</si>
  <si>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</si>
  <si>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</si>
  <si>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</si>
  <si>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</si>
  <si>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</si>
  <si>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</si>
  <si>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</si>
  <si>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</si>
  <si>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</si>
  <si>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</si>
  <si>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</si>
  <si>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</si>
  <si>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</si>
  <si>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</si>
  <si>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</si>
  <si>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</si>
  <si>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</si>
  <si>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</si>
  <si>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</si>
  <si>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</si>
  <si>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</si>
  <si>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</si>
  <si>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</si>
  <si>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</si>
  <si>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</si>
  <si>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</si>
  <si>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</si>
  <si>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</si>
  <si>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</si>
  <si>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</si>
  <si>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</si>
  <si>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</si>
  <si>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</si>
  <si>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</si>
  <si>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</si>
  <si>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</si>
  <si>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</si>
  <si>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</si>
  <si>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</si>
  <si>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</si>
  <si>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</si>
  <si>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</si>
  <si>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</si>
  <si>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</si>
  <si>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</si>
  <si>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</si>
  <si>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</si>
  <si>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</si>
  <si>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</si>
  <si>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</si>
  <si>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</si>
  <si>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</si>
  <si>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</si>
  <si>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</si>
  <si>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</si>
  <si>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</si>
  <si>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</si>
  <si>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</si>
  <si>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</si>
  <si>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</si>
  <si>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</si>
  <si>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</si>
  <si>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</si>
  <si>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</si>
  <si>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</si>
  <si>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</si>
  <si>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</si>
  <si>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</si>
  <si>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</si>
  <si>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</si>
  <si>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</si>
  <si>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</si>
  <si>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</si>
  <si>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</si>
  <si>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</si>
  <si>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</si>
  <si>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</si>
  <si>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</si>
  <si>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</si>
  <si>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</si>
  <si>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</si>
  <si>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</si>
  <si>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</si>
  <si>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</si>
  <si>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</si>
  <si>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</si>
  <si>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</si>
  <si>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</si>
  <si>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</si>
  <si>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</si>
  <si>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</si>
  <si>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</si>
  <si>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</si>
  <si>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</si>
  <si>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</si>
  <si>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</si>
  <si>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</si>
  <si>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</si>
  <si>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</si>
  <si>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</si>
  <si>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</si>
  <si>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</si>
  <si>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</si>
  <si>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</si>
  <si>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</si>
  <si>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</si>
  <si>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</si>
  <si>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</si>
  <si>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</si>
  <si>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</si>
  <si>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</si>
  <si>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</si>
  <si>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</si>
  <si>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</si>
  <si>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</si>
  <si>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</si>
  <si>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</si>
  <si>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</si>
  <si>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</si>
  <si>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</si>
  <si>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</si>
  <si>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</si>
  <si>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</si>
  <si>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</si>
  <si>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</si>
  <si>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</si>
  <si>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</si>
  <si>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</si>
  <si>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</si>
  <si>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</si>
  <si>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</si>
  <si>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</si>
  <si>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</si>
  <si>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</si>
  <si>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</si>
  <si>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picadas, no hay manera de digitar picadas</t>
  </si>
  <si>
    <t>el visor no es muy pràctico</t>
  </si>
  <si>
    <t>Transferencia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</si>
  <si>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</si>
  <si>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</si>
  <si>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</si>
  <si>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</si>
  <si>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</si>
  <si>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</si>
  <si>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</si>
  <si>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</si>
  <si>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</si>
  <si>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</si>
  <si>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</si>
  <si>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</si>
  <si>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</si>
  <si>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</si>
  <si>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</si>
  <si>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</si>
  <si>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</si>
  <si>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</si>
  <si>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</si>
  <si>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</si>
  <si>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</si>
  <si>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</si>
  <si>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</si>
  <si>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</si>
  <si>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</si>
  <si>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</si>
  <si>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</si>
  <si>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</si>
  <si>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</si>
  <si>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</si>
  <si>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</si>
  <si>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</si>
  <si>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</si>
  <si>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</si>
  <si>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</si>
  <si>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</si>
  <si>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</si>
  <si>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</si>
  <si>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</si>
  <si>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</si>
  <si>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</si>
  <si>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</si>
  <si>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</si>
  <si>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</si>
  <si>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</si>
  <si>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</si>
  <si>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</si>
  <si>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</si>
  <si>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</si>
  <si>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</si>
  <si>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8 de marzo</t>
  </si>
  <si>
    <t>Detalle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</si>
  <si>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</si>
  <si>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</si>
  <si>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</si>
  <si>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</si>
  <si>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</si>
  <si>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</si>
  <si>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</si>
  <si>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</si>
  <si>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</si>
  <si>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</si>
  <si>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</si>
  <si>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</si>
  <si>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</si>
  <si>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</si>
  <si>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</si>
  <si>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</si>
  <si>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</si>
  <si>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</si>
  <si>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</si>
  <si>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</si>
  <si>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</si>
  <si>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</si>
  <si>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</si>
  <si>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</si>
  <si>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</si>
  <si>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</si>
  <si>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</si>
  <si>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</si>
  <si>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</si>
  <si>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</si>
  <si>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</si>
  <si>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</si>
  <si>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</si>
  <si>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</si>
  <si>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</si>
  <si>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</si>
  <si>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</si>
  <si>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</si>
  <si>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</si>
  <si>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</si>
  <si>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</si>
  <si>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</si>
  <si>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</si>
  <si>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</si>
  <si>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</si>
  <si>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</si>
  <si>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</si>
  <si>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</si>
  <si>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</si>
  <si>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</si>
  <si>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</si>
  <si>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</si>
  <si>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</si>
  <si>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</si>
  <si>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</si>
  <si>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</si>
  <si>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</si>
  <si>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</si>
  <si>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</si>
  <si>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</si>
  <si>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</si>
  <si>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</si>
  <si>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</si>
  <si>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</si>
  <si>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Contar chorizos para la venta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</si>
  <si>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</si>
  <si>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</si>
  <si>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</si>
  <si>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</si>
  <si>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</si>
  <si>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</si>
  <si>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</si>
  <si>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</si>
  <si>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</si>
  <si>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Pendiente</t>
  </si>
  <si>
    <t>dia_sem</t>
  </si>
  <si>
    <t>000198</t>
  </si>
  <si>
    <t>000202</t>
  </si>
  <si>
    <t>HU39</t>
  </si>
  <si>
    <t>HU39: Filtrar Medio de pago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</si>
  <si>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</si>
  <si>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</si>
  <si>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</si>
  <si>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</si>
  <si>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</si>
  <si>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</si>
  <si>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</si>
  <si>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</si>
  <si>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</si>
  <si>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</si>
  <si>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</si>
  <si>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</si>
  <si>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</si>
  <si>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</si>
  <si>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</si>
  <si>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</si>
  <si>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</si>
  <si>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</si>
  <si>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</si>
  <si>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</si>
  <si>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</si>
  <si>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</si>
  <si>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</si>
  <si>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</si>
  <si>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</si>
  <si>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</si>
  <si>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</si>
  <si>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</si>
  <si>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</si>
  <si>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</si>
  <si>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</si>
  <si>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</si>
  <si>
    <t>Transportes</t>
  </si>
  <si>
    <t>16 de marzo</t>
  </si>
  <si>
    <t>15 de marzo</t>
  </si>
  <si>
    <t>17 de marzo</t>
  </si>
  <si>
    <t>JUAN JOYA</t>
  </si>
  <si>
    <t>DANIEL RAMOS</t>
  </si>
  <si>
    <t>FELIPE GUTIERREZ</t>
  </si>
  <si>
    <t>LIDIA CAMACHO CARRERO</t>
  </si>
  <si>
    <t>BRI***STI***SAN***</t>
  </si>
  <si>
    <t>JESUS BOJACA</t>
  </si>
  <si>
    <t>CAROLINA LEON</t>
  </si>
  <si>
    <t>Egreso</t>
  </si>
  <si>
    <t>Pago publicidad - banner y registradora</t>
  </si>
  <si>
    <t>BU008</t>
  </si>
  <si>
    <t>Como cajero, quiero filtrar el medio de pago de las facturas y egresos para facilizar la conciliación bancaria</t>
  </si>
  <si>
    <t>BU008: "Usabilidad y consistencia de la información"</t>
  </si>
  <si>
    <t>Como cajero, quiero poder hacer un descuento a un producto para agilizar el proceso y ser consistente con la información</t>
  </si>
  <si>
    <t>Pago transportes Ed</t>
  </si>
  <si>
    <t>Transferencia del efectivo</t>
  </si>
  <si>
    <t>Pago transportes JG y Ed - 17 de marzo</t>
  </si>
  <si>
    <t>Chorizos el de publicidad</t>
  </si>
  <si>
    <t>Ajuste administrativo, si se tuvo en cuenta en el acumulado</t>
  </si>
  <si>
    <t>00255</t>
  </si>
  <si>
    <t>uni</t>
  </si>
  <si>
    <t>BU009</t>
  </si>
  <si>
    <t>BU009: "Usabilidad y consistencia de la información"</t>
  </si>
  <si>
    <t>BU010</t>
  </si>
  <si>
    <t>meta por mes</t>
  </si>
  <si>
    <t>ingresos free lance</t>
  </si>
  <si>
    <t>vendedores</t>
  </si>
  <si>
    <t>meta equipo</t>
  </si>
  <si>
    <t>ingresos Digilivo una persona</t>
  </si>
  <si>
    <t>Impuesto</t>
  </si>
  <si>
    <t>Servicio de gas</t>
  </si>
  <si>
    <t>Llaves y ganchos</t>
  </si>
  <si>
    <t>BU001: El título de la sección no corresponde</t>
  </si>
  <si>
    <t>HU38: Botón de emergencia</t>
  </si>
  <si>
    <t>Transportes EA y JG</t>
  </si>
  <si>
    <t>BU010: "UX-Design"</t>
  </si>
  <si>
    <t>Como usuaio quiero ver estilo de colores en el dashboard para diferenciar más las transacciones.</t>
  </si>
  <si>
    <t>Hotfix - BU009</t>
  </si>
  <si>
    <t>transacciones: se agrega columna "tipo_venta"
productos: se agrega columna "tipo_producto" y "tipo_unidad"</t>
  </si>
  <si>
    <t>BU011</t>
  </si>
  <si>
    <t>BU011:  "consistencia de la información"</t>
  </si>
  <si>
    <t>BU013</t>
  </si>
  <si>
    <t>Como admin requiero ver el tipo de producto y unidad para discriminar mis costos</t>
  </si>
  <si>
    <t>BU012: "Usabilidad y consistencia de la información"</t>
  </si>
  <si>
    <t>tipo_unidad</t>
  </si>
  <si>
    <t>10 un</t>
  </si>
  <si>
    <t>embalaje</t>
  </si>
  <si>
    <t>precio_embalaje</t>
  </si>
  <si>
    <t>unidades_embalaje</t>
  </si>
  <si>
    <t>total</t>
  </si>
  <si>
    <t>total_unidades</t>
  </si>
  <si>
    <t>precio_unidad</t>
  </si>
  <si>
    <t>Postobon -250ML</t>
  </si>
  <si>
    <t>Agua -600ML</t>
  </si>
  <si>
    <t>Hit-500ML</t>
  </si>
  <si>
    <t>Coca Cola Zero -250ML</t>
  </si>
  <si>
    <t>Coca Cola -237ML</t>
  </si>
  <si>
    <t>entradas</t>
  </si>
  <si>
    <t>salidas</t>
  </si>
  <si>
    <t xml:space="preserve"> Chorizo con papa/arepa</t>
  </si>
  <si>
    <t>BEBIDA - Coca Cola</t>
  </si>
  <si>
    <t>BEBIDA - Postobón</t>
  </si>
  <si>
    <t>BEBIDA - Botella de Agua</t>
  </si>
  <si>
    <t>Ham. sencilla</t>
  </si>
  <si>
    <t>Ham. combo</t>
  </si>
  <si>
    <t>BEBIDA - Jugo Hit</t>
  </si>
  <si>
    <t>z. MP - Arepa</t>
  </si>
  <si>
    <t>Ham. Choriboni</t>
  </si>
  <si>
    <t>Ham. Choriboni - Combo</t>
  </si>
  <si>
    <t>CARNES - Churrasco Gaucho - 30</t>
  </si>
  <si>
    <t>CARNES - Lomo de Cerdo -25</t>
  </si>
  <si>
    <t>CARNES - Pechuga</t>
  </si>
  <si>
    <t>CARNES - Costillas BBQ - 25</t>
  </si>
  <si>
    <t>CARNES - Sobrebarriga - 25</t>
  </si>
  <si>
    <t>z. MP -  Chorizo CRUDO</t>
  </si>
  <si>
    <t>Parrillada de 35</t>
  </si>
  <si>
    <t>Bandeja Choriboni - 25</t>
  </si>
  <si>
    <t>Tinto</t>
  </si>
  <si>
    <t>Parrillada de 48</t>
  </si>
  <si>
    <t>Parrillada de 70</t>
  </si>
  <si>
    <t>Parrillada de 40</t>
  </si>
  <si>
    <t>Bandeja Choriboni - 30</t>
  </si>
  <si>
    <t>z. MP -  Hamb. CRUDA</t>
  </si>
  <si>
    <t>ChoriPan</t>
  </si>
  <si>
    <t>CARNES - Costillas BBQ  - 50</t>
  </si>
  <si>
    <t>Propina - Gustavo</t>
  </si>
  <si>
    <t>Bandeja Choriboni - 35</t>
  </si>
  <si>
    <t>PROMO pedazo de carne</t>
  </si>
  <si>
    <t>PROMO: promo vecino de jenesano</t>
  </si>
  <si>
    <t>Parrillada de 60</t>
  </si>
  <si>
    <t>CARNES - Carne Asada de 40</t>
  </si>
  <si>
    <t>Parrillada de 30</t>
  </si>
  <si>
    <t>z. MP -  papa</t>
  </si>
  <si>
    <t>PORCIÒN - papa francesa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</si>
  <si>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</si>
  <si>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</si>
  <si>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</si>
  <si>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</si>
  <si>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</si>
  <si>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Parrillada de 50</t>
  </si>
  <si>
    <t>BEBIDA - Aguila</t>
  </si>
  <si>
    <t>BEBIDA - Club Colombia</t>
  </si>
  <si>
    <t>CARNES - Mojarra</t>
  </si>
  <si>
    <t>BEBIDA - Coca Cola ZERO</t>
  </si>
  <si>
    <t>HU40</t>
  </si>
  <si>
    <t>Como cajero requiero anotar el segundo método de pago para que el cliente tenga la flexibilidad de pagar en caso de no contar con todo el efectivo</t>
  </si>
  <si>
    <t>HU40: Registrar segundo método de pago</t>
  </si>
  <si>
    <t>ALEXA PENA</t>
  </si>
  <si>
    <t>JULIAN NIETO</t>
  </si>
  <si>
    <t>LUI***FER***DIA</t>
  </si>
  <si>
    <t>ENMANUEL LEON</t>
  </si>
  <si>
    <t>LUIS NIETO</t>
  </si>
  <si>
    <t>JUAN DIEGO RODRIGUEZ REY</t>
  </si>
  <si>
    <t>FREDERICH JIMENEZ</t>
  </si>
  <si>
    <t>MAYURI MURCIA</t>
  </si>
  <si>
    <t>Gaseosa</t>
  </si>
  <si>
    <t>LUIS ALBERTO ROMERO CALDERON - TICO</t>
  </si>
  <si>
    <t>HU41</t>
  </si>
  <si>
    <t>HU41: Filtrar fecha de transacciones</t>
  </si>
  <si>
    <t>Como usuario quiero filtrar el día de dashboard transacciones para poder auditar las transacciones realizadas</t>
  </si>
  <si>
    <t>HU42</t>
  </si>
  <si>
    <t>Como cajero quiero filtrar el díade facturación para poder auditar las transacciones realizadas</t>
  </si>
  <si>
    <t>HU42: Filtrar fecha facturas por día</t>
  </si>
  <si>
    <t>el caja se abre cada rato</t>
  </si>
  <si>
    <t>HU43</t>
  </si>
  <si>
    <t>HU43: Guardar la información del valor de la transacción</t>
  </si>
  <si>
    <t>Como SuperAdministrador requiero guardar la información del valor de la transacción de la fecha para analizar la variación del precio de los productos y materias primas en el tiempo</t>
  </si>
  <si>
    <t>HU44</t>
  </si>
  <si>
    <t>HU44: Guardar la información del descuento</t>
  </si>
  <si>
    <t>BU012</t>
  </si>
  <si>
    <t>BU013: "consistencia e integridad de la información"</t>
  </si>
  <si>
    <t>Diferenciar producto terminado de la materia prima</t>
  </si>
  <si>
    <t>NEQUI - venta</t>
  </si>
  <si>
    <t>Valor de venta en facturas y valor venta al generar</t>
  </si>
  <si>
    <t>Agregar "Cantidad"</t>
  </si>
  <si>
    <t>Color por default "AMARILLO" en facuto</t>
  </si>
  <si>
    <t>Relacionar materia prima con producto</t>
  </si>
  <si>
    <t>ZAR***SAH**ARI***OR</t>
  </si>
  <si>
    <t>JAIME RIVERA</t>
  </si>
  <si>
    <t>Transfe</t>
  </si>
  <si>
    <t>Tranferencia de efectivo a nequi</t>
  </si>
  <si>
    <t>TRANSPORTES</t>
  </si>
  <si>
    <t>NEQUI - transfer/egreso</t>
  </si>
  <si>
    <t>Filtrar mejor las transacciones, nequi, suma gastos</t>
  </si>
  <si>
    <t>Categoria</t>
  </si>
  <si>
    <t>BEBIDA</t>
  </si>
  <si>
    <t>MATERIA PRIMA</t>
  </si>
  <si>
    <t>precio_unidad_venta</t>
  </si>
  <si>
    <t>mg</t>
  </si>
  <si>
    <t>precio_total_venta</t>
  </si>
  <si>
    <t>Hamburguesa</t>
  </si>
  <si>
    <t>arepa</t>
  </si>
  <si>
    <t>papa salada</t>
  </si>
  <si>
    <t>Bulto</t>
  </si>
  <si>
    <t>BU014</t>
  </si>
  <si>
    <t>Como usuario admon quiero elegir la información de mp para distinguir entre materia prima y producto terminado</t>
  </si>
  <si>
    <t>BU014: "consistencia de la información - tabla mp"</t>
  </si>
  <si>
    <t>HU45</t>
  </si>
  <si>
    <t>HU44: Asociar materias primas a un producto terminado</t>
  </si>
  <si>
    <t>BU15</t>
  </si>
  <si>
    <t>Ventana máximizada por default</t>
  </si>
  <si>
    <t>BU015: "UX-Design"</t>
  </si>
  <si>
    <t>BU16</t>
  </si>
  <si>
    <t>Como administrador quiero  a sociar materias primas a un producto terminado</t>
  </si>
  <si>
    <t>BU17</t>
  </si>
  <si>
    <t>Corregir la información del stock de inventarios de materias primas - entradas</t>
  </si>
  <si>
    <t>Corregir la información del stock de inventarios de materias primas -  salidas</t>
  </si>
  <si>
    <t>Hotfix (BU016)- HU24:  Dashboard de Inventarios - entradas</t>
  </si>
  <si>
    <t>Hotfix (BU017)- HU24:  Dashboard de Inventarios - salidas</t>
  </si>
  <si>
    <t>Unidades</t>
  </si>
  <si>
    <t>precio por unidad</t>
  </si>
  <si>
    <t>Costo total materias priams</t>
  </si>
  <si>
    <t>costo por unidad de producción</t>
  </si>
  <si>
    <t>venta de producción</t>
  </si>
  <si>
    <t>Margen de Ganancia</t>
  </si>
  <si>
    <t>Venta en punto comercial</t>
  </si>
  <si>
    <t>BU18</t>
  </si>
  <si>
    <t>BU018: "UX-Design - Visualización Inventarios"</t>
  </si>
  <si>
    <t>Mejora la visualización de la ventana de inventarios</t>
  </si>
  <si>
    <t>DARWIN HERRERA</t>
  </si>
  <si>
    <t>BU19</t>
  </si>
  <si>
    <t>BU019: "Disponibilidad de infomración"</t>
  </si>
  <si>
    <t>BU020: "Disponibilidad de información"</t>
  </si>
  <si>
    <t>BU20</t>
  </si>
  <si>
    <t>Acceso al api a la series de  mps y producto-mp
Creación del array de mps y agregar columna de costo</t>
  </si>
  <si>
    <t>Correcto calculo del costo por item</t>
  </si>
  <si>
    <t>jueves o viernes</t>
  </si>
  <si>
    <t>18 al 20 de marzo</t>
  </si>
  <si>
    <t>id_producto</t>
  </si>
  <si>
    <t>precio</t>
  </si>
  <si>
    <t>BEBIDA - Coca Cola 237ML</t>
  </si>
  <si>
    <t>BEBIDA - Postobon 350ML</t>
  </si>
  <si>
    <t>chorixo solo</t>
  </si>
  <si>
    <t>papa (3 papas)</t>
  </si>
  <si>
    <t>MG</t>
  </si>
  <si>
    <t>%MG</t>
  </si>
  <si>
    <t>patacon</t>
  </si>
  <si>
    <t>guacamole</t>
  </si>
  <si>
    <t>pan choriboni</t>
  </si>
  <si>
    <t>Carne
250 gr</t>
  </si>
  <si>
    <t>Carne
350 gr</t>
  </si>
  <si>
    <t>costo</t>
  </si>
  <si>
    <t>Pan Bimbo</t>
  </si>
  <si>
    <t>Pechuga
250 pg</t>
  </si>
  <si>
    <t>Costillas 
BBQ 
250gr</t>
  </si>
  <si>
    <t>Costillas 
BBQ 
400gr</t>
  </si>
  <si>
    <t>Mojarra</t>
  </si>
  <si>
    <t>Medìa Carne</t>
  </si>
  <si>
    <t>Churrasco</t>
  </si>
  <si>
    <t>lomo cerdo</t>
  </si>
  <si>
    <t>Carne asada
250 gr</t>
  </si>
  <si>
    <t>Carne asada
400 gr</t>
  </si>
  <si>
    <t>3 chorizos crudos</t>
  </si>
  <si>
    <t>1 chorizo + gaseosa</t>
  </si>
  <si>
    <t xml:space="preserve">1 chorizo </t>
  </si>
  <si>
    <t>Picada</t>
  </si>
  <si>
    <t>2 chorizos</t>
  </si>
  <si>
    <t>2 chorizos +  gaseosa</t>
  </si>
  <si>
    <t>1 picada</t>
  </si>
  <si>
    <t>amigo alvaro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</si>
</sst>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  <numFmt numFmtId="167" formatCode="_-&quot;$&quot;\ * #,##0.0_-;\-&quot;$&quot;\ * #,##0.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26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9" tint="-0.499984740745262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49998474074526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8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0" fillId="0" borderId="3" xfId="0" applyBorder="1"/>
    <xf numFmtId="164" fontId="0" fillId="6" borderId="0" xfId="1" applyNumberFormat="1" applyFont="1" applyFill="1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164" fontId="0" fillId="0" borderId="0" xfId="1" quotePrefix="1" applyNumberFormat="1" applyFont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  <xf numFmtId="0" fontId="0" fillId="21" borderId="0" xfId="0" applyFill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0" fillId="19" borderId="3" xfId="0" applyFont="1" applyFill="1" applyBorder="1" applyAlignment="1">
      <alignment vertical="center"/>
    </xf>
    <xf numFmtId="0" fontId="10" fillId="19" borderId="3" xfId="0" applyFont="1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0" borderId="0" xfId="1" applyNumberFormat="1" applyFont="1" applyAlignment="1">
      <alignment horizontal="center"/>
    </xf>
    <xf numFmtId="0" fontId="10" fillId="22" borderId="0" xfId="0" applyFont="1" applyFill="1"/>
    <xf numFmtId="164" fontId="10" fillId="22" borderId="0" xfId="1" applyNumberFormat="1" applyFont="1" applyFill="1" applyAlignment="1">
      <alignment horizontal="center"/>
    </xf>
    <xf numFmtId="164" fontId="10" fillId="22" borderId="0" xfId="1" applyNumberFormat="1" applyFont="1" applyFill="1"/>
    <xf numFmtId="0" fontId="10" fillId="22" borderId="0" xfId="1" applyNumberFormat="1" applyFont="1" applyFill="1" applyAlignment="1">
      <alignment horizontal="center"/>
    </xf>
    <xf numFmtId="0" fontId="0" fillId="17" borderId="0" xfId="1" applyNumberFormat="1" applyFont="1" applyFill="1" applyAlignment="1">
      <alignment horizontal="center"/>
    </xf>
    <xf numFmtId="0" fontId="10" fillId="22" borderId="0" xfId="0" applyFont="1" applyFill="1" applyAlignment="1">
      <alignment horizontal="center"/>
    </xf>
    <xf numFmtId="164" fontId="0" fillId="17" borderId="0" xfId="1" applyNumberFormat="1" applyFont="1" applyFill="1" applyAlignment="1">
      <alignment horizontal="center"/>
    </xf>
    <xf numFmtId="0" fontId="0" fillId="17" borderId="0" xfId="0" applyFill="1" applyAlignment="1">
      <alignment horizontal="center"/>
    </xf>
    <xf numFmtId="166" fontId="0" fillId="0" borderId="0" xfId="1" applyNumberFormat="1" applyFont="1" applyBorder="1"/>
    <xf numFmtId="166" fontId="12" fillId="0" borderId="0" xfId="1" applyNumberFormat="1" applyFont="1"/>
    <xf numFmtId="166" fontId="0" fillId="14" borderId="0" xfId="1" applyNumberFormat="1" applyFont="1" applyFill="1"/>
    <xf numFmtId="0" fontId="0" fillId="0" borderId="5" xfId="0" applyBorder="1"/>
    <xf numFmtId="0" fontId="0" fillId="12" borderId="5" xfId="0" applyFill="1" applyBorder="1"/>
    <xf numFmtId="0" fontId="0" fillId="2" borderId="5" xfId="0" applyFill="1" applyBorder="1"/>
    <xf numFmtId="164" fontId="0" fillId="17" borderId="0" xfId="0" applyNumberFormat="1" applyFill="1"/>
    <xf numFmtId="0" fontId="10" fillId="19" borderId="3" xfId="0" applyFont="1" applyFill="1" applyBorder="1" applyAlignment="1">
      <alignment horizontal="center" vertical="center"/>
    </xf>
    <xf numFmtId="0" fontId="6" fillId="5" borderId="3" xfId="3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0" borderId="3" xfId="0" applyNumberForma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7" fillId="0" borderId="0" xfId="0" applyFont="1"/>
    <xf numFmtId="0" fontId="18" fillId="0" borderId="0" xfId="0" applyFont="1"/>
    <xf numFmtId="0" fontId="19" fillId="0" borderId="0" xfId="0" applyFont="1"/>
    <xf numFmtId="1" fontId="0" fillId="0" borderId="0" xfId="1" applyNumberFormat="1" applyFont="1"/>
    <xf numFmtId="0" fontId="0" fillId="2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164" fontId="0" fillId="23" borderId="0" xfId="1" applyNumberFormat="1" applyFont="1" applyFill="1"/>
    <xf numFmtId="0" fontId="0" fillId="23" borderId="0" xfId="0" applyFill="1"/>
    <xf numFmtId="167" fontId="0" fillId="17" borderId="0" xfId="1" applyNumberFormat="1" applyFont="1" applyFill="1"/>
    <xf numFmtId="44" fontId="0" fillId="17" borderId="0" xfId="1" applyFont="1" applyFill="1"/>
    <xf numFmtId="44" fontId="0" fillId="23" borderId="0" xfId="1" applyFont="1" applyFill="1"/>
    <xf numFmtId="164" fontId="0" fillId="4" borderId="0" xfId="1" applyNumberFormat="1" applyFont="1" applyFill="1"/>
    <xf numFmtId="0" fontId="2" fillId="0" borderId="0" xfId="0" applyFont="1" applyAlignment="1">
      <alignment vertical="center" wrapText="1"/>
    </xf>
    <xf numFmtId="164" fontId="9" fillId="19" borderId="0" xfId="1" applyNumberFormat="1" applyFont="1" applyFill="1" applyAlignment="1">
      <alignment vertical="center" wrapText="1"/>
    </xf>
    <xf numFmtId="164" fontId="9" fillId="24" borderId="0" xfId="1" applyNumberFormat="1" applyFont="1" applyFill="1" applyAlignment="1">
      <alignment vertical="center" wrapText="1"/>
    </xf>
    <xf numFmtId="164" fontId="2" fillId="0" borderId="0" xfId="1" applyNumberFormat="1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4" fontId="0" fillId="0" borderId="0" xfId="1" applyNumberFormat="1" applyFont="1"/>
    <xf numFmtId="164" fontId="2" fillId="0" borderId="0" xfId="1" applyNumberFormat="1" applyFont="1" applyAlignment="1">
      <alignment horizontal="center" vertical="center" wrapText="1"/>
    </xf>
    <xf numFmtId="9" fontId="0" fillId="0" borderId="0" xfId="6" applyFont="1" applyAlignment="1">
      <alignment horizontal="center"/>
    </xf>
    <xf numFmtId="0" fontId="0" fillId="2" borderId="0" xfId="0" applyFill="1" applyAlignment="1">
      <alignment vertical="center" wrapText="1"/>
    </xf>
    <xf numFmtId="0" fontId="16" fillId="7" borderId="4" xfId="0" applyFont="1" applyFill="1" applyBorder="1" applyAlignment="1">
      <alignment horizontal="center" vertical="center"/>
    </xf>
  </cellXfs>
  <cellStyles count="7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  <cellStyle name="Porcentaje" xfId="6" builtinId="5"/>
  </cellStyles>
  <dxfs count="2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8" tint="-0.499984740745262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CC99FF"/>
      <color rgb="FFFF9933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1.xml"/><Relationship Id="rId3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42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onnections" Target="connections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4.xml"/><Relationship Id="rId41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openxmlformats.org/officeDocument/2006/relationships/powerPivotData" Target="model/item.data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3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6.xml"/><Relationship Id="rId44" Type="http://schemas.openxmlformats.org/officeDocument/2006/relationships/customXml" Target="../customXml/item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2.xml"/><Relationship Id="rId30" Type="http://schemas.openxmlformats.org/officeDocument/2006/relationships/pivotCacheDefinition" Target="pivotCache/pivotCacheDefinition5.xml"/><Relationship Id="rId35" Type="http://schemas.openxmlformats.org/officeDocument/2006/relationships/sharedStrings" Target="sharedStrings.xml"/><Relationship Id="rId43" Type="http://schemas.openxmlformats.org/officeDocument/2006/relationships/customXml" Target="../customXml/item5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PC" refreshedDate="46081.862336342594" createdVersion="8" refreshedVersion="6" minRefreshableVersion="3" recordCount="21">
  <cacheSource type="worksheet">
    <worksheetSource ref="R24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2">
      <pivotArea outline="0" collapsedLevelsAreSubtotals="1" fieldPosition="0"/>
    </format>
    <format dxfId="21">
      <pivotArea outline="0" collapsedLevelsAreSubtotals="1" fieldPosition="0"/>
    </format>
    <format dxfId="2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27">
      <pivotArea outline="0" collapsedLevelsAreSubtotals="1" fieldPosition="0"/>
    </format>
    <format dxfId="26">
      <pivotArea outline="0" collapsedLevelsAreSubtotals="1" fieldPosition="0"/>
    </format>
    <format dxfId="25">
      <pivotArea outline="0" collapsedLevelsAreSubtotals="1" fieldPosition="0"/>
    </format>
    <format dxfId="24">
      <pivotArea outline="0" fieldPosition="0">
        <references count="1">
          <reference field="4294967294" count="1">
            <x v="1"/>
          </reference>
        </references>
      </pivotArea>
    </format>
    <format dxfId="2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8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9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5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6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7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14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8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>
    <tabColor rgb="FF92D050"/>
  </sheetPr>
  <dimension ref="A1:I83"/>
  <sheetViews>
    <sheetView showGridLines="0" zoomScale="90" zoomScaleNormal="90" workbookViewId="0">
      <pane ySplit="17" topLeftCell="A32" activePane="bottomLeft" state="frozen"/>
      <selection pane="bottomLeft" activeCell="C42" sqref="C42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15.140625" style="3" customWidth="1"/>
    <col min="4" max="4" width="18.140625" style="3" bestFit="1" customWidth="1"/>
    <col min="5" max="5" width="22.85546875" style="3" bestFit="1" customWidth="1"/>
    <col min="6" max="6" width="10.5703125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248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hidden="1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hidden="1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229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220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228</v>
      </c>
    </row>
  </sheetData>
  <autoFilter ref="B17:I69">
    <filterColumn colId="4">
      <filters>
        <filter val="Edwin"/>
      </filters>
    </filterColumn>
  </autoFilter>
  <conditionalFormatting sqref="C1:E2 H18:H29 C24:C29 H35:H37 C36:C37 G50 G60">
    <cfRule type="containsText" dxfId="13" priority="19" operator="containsText" text="Patrimonio">
      <formula>NOT(ISERROR(SEARCH("Patrimonio",C1)))</formula>
    </cfRule>
    <cfRule type="containsText" dxfId="12" priority="20" operator="containsText" text="Por Pagar">
      <formula>NOT(ISERROR(SEARCH("Por Pagar",C1)))</formula>
    </cfRule>
  </conditionalFormatting>
  <conditionalFormatting sqref="D5:E1048576">
    <cfRule type="containsText" dxfId="11" priority="1" operator="containsText" text="Patrimonio">
      <formula>NOT(ISERROR(SEARCH("Patrimonio",D5)))</formula>
    </cfRule>
    <cfRule type="containsText" dxfId="10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18"/>
  <sheetViews>
    <sheetView workbookViewId="0">
      <selection activeCell="H12" sqref="H11:H12"/>
    </sheetView>
  </sheetViews>
  <sheetFormatPr baseColWidth="10" defaultRowHeight="15" x14ac:dyDescent="0.25"/>
  <cols>
    <col min="1" max="1" width="3.5703125" customWidth="1"/>
    <col min="3" max="4" width="12" bestFit="1" customWidth="1"/>
  </cols>
  <sheetData>
    <row r="1" spans="2:11" x14ac:dyDescent="0.25">
      <c r="C1" t="s">
        <v>415</v>
      </c>
      <c r="D1" t="s">
        <v>414</v>
      </c>
      <c r="E1" t="s">
        <v>416</v>
      </c>
    </row>
    <row r="2" spans="2:11" s="3" customFormat="1" x14ac:dyDescent="0.25">
      <c r="C2" s="3">
        <v>88000</v>
      </c>
      <c r="D2" s="3">
        <f>SUM(D4:D1048576)</f>
        <v>84000</v>
      </c>
      <c r="E2" s="3">
        <v>176500</v>
      </c>
      <c r="F2" s="3">
        <f>+SUM(C2:E2)</f>
        <v>348500</v>
      </c>
    </row>
    <row r="4" spans="2:11" x14ac:dyDescent="0.25">
      <c r="B4">
        <v>3</v>
      </c>
      <c r="C4" t="s">
        <v>296</v>
      </c>
      <c r="D4">
        <f>8000*3</f>
        <v>24000</v>
      </c>
    </row>
    <row r="5" spans="2:11" x14ac:dyDescent="0.25">
      <c r="B5">
        <v>1</v>
      </c>
      <c r="C5" t="s">
        <v>296</v>
      </c>
      <c r="D5">
        <v>-4000</v>
      </c>
      <c r="I5">
        <f>190+20</f>
        <v>210</v>
      </c>
    </row>
    <row r="6" spans="2:11" x14ac:dyDescent="0.25">
      <c r="B6" s="93">
        <v>1</v>
      </c>
      <c r="C6" s="93" t="s">
        <v>296</v>
      </c>
      <c r="D6" s="93">
        <v>8000</v>
      </c>
    </row>
    <row r="7" spans="2:11" x14ac:dyDescent="0.25">
      <c r="B7" s="93">
        <v>1</v>
      </c>
      <c r="C7" s="93" t="s">
        <v>384</v>
      </c>
      <c r="D7" s="93">
        <v>3000</v>
      </c>
      <c r="I7">
        <f>257-56</f>
        <v>201</v>
      </c>
      <c r="K7">
        <f>8*7</f>
        <v>56</v>
      </c>
    </row>
    <row r="8" spans="2:11" x14ac:dyDescent="0.25">
      <c r="B8">
        <v>1</v>
      </c>
      <c r="C8" t="s">
        <v>296</v>
      </c>
      <c r="D8">
        <v>8000</v>
      </c>
    </row>
    <row r="9" spans="2:11" x14ac:dyDescent="0.25">
      <c r="B9">
        <v>1</v>
      </c>
      <c r="C9" t="s">
        <v>384</v>
      </c>
      <c r="D9">
        <v>3000</v>
      </c>
    </row>
    <row r="10" spans="2:11" x14ac:dyDescent="0.25">
      <c r="B10" s="1">
        <v>6</v>
      </c>
      <c r="C10" s="1" t="s">
        <v>296</v>
      </c>
      <c r="D10" s="1">
        <v>48000</v>
      </c>
      <c r="H10">
        <v>197</v>
      </c>
    </row>
    <row r="11" spans="2:11" x14ac:dyDescent="0.25">
      <c r="B11" s="1">
        <v>3</v>
      </c>
      <c r="C11" s="1" t="s">
        <v>384</v>
      </c>
      <c r="D11" s="1">
        <v>9000</v>
      </c>
      <c r="F11">
        <f>20000+8000+8000+48000+9000+3000+3000</f>
        <v>99000</v>
      </c>
      <c r="H11">
        <v>40</v>
      </c>
    </row>
    <row r="12" spans="2:11" x14ac:dyDescent="0.25">
      <c r="C12" t="s">
        <v>413</v>
      </c>
      <c r="D12">
        <v>-15000</v>
      </c>
      <c r="H12">
        <v>20</v>
      </c>
      <c r="I12">
        <v>50</v>
      </c>
    </row>
    <row r="13" spans="2:11" x14ac:dyDescent="0.25">
      <c r="I13">
        <f>+SUM(H10:H12)-I12</f>
        <v>207</v>
      </c>
    </row>
    <row r="14" spans="2:11" x14ac:dyDescent="0.25">
      <c r="I14" s="1">
        <v>197</v>
      </c>
    </row>
    <row r="15" spans="2:11" x14ac:dyDescent="0.25">
      <c r="B15" s="81" t="s">
        <v>278</v>
      </c>
      <c r="C15" s="81">
        <v>11000</v>
      </c>
    </row>
    <row r="16" spans="2:11" x14ac:dyDescent="0.25">
      <c r="B16" s="81" t="s">
        <v>278</v>
      </c>
      <c r="C16" s="81">
        <v>10000</v>
      </c>
      <c r="G16" s="1">
        <v>207</v>
      </c>
    </row>
    <row r="17" spans="7:7" x14ac:dyDescent="0.25">
      <c r="G17">
        <v>198</v>
      </c>
    </row>
    <row r="18" spans="7:7" x14ac:dyDescent="0.25">
      <c r="G18">
        <f>+G16-G17</f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BE43"/>
  <sheetViews>
    <sheetView showGridLines="0" zoomScaleNormal="100" workbookViewId="0">
      <pane xSplit="1" ySplit="2" topLeftCell="AT15" activePane="bottomRight" state="frozen"/>
      <selection pane="topRight" activeCell="B1" sqref="B1"/>
      <selection pane="bottomLeft" activeCell="A3" sqref="A3"/>
      <selection pane="bottomRight" activeCell="BE24" sqref="BE24"/>
    </sheetView>
  </sheetViews>
  <sheetFormatPr baseColWidth="10" defaultRowHeight="15" outlineLevelRow="1" outlineLevelCol="1" x14ac:dyDescent="0.25"/>
  <cols>
    <col min="1" max="1" width="23.85546875" style="3" bestFit="1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11.42578125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11.42578125" hidden="1" customWidth="1" outlineLevel="1"/>
    <col min="10" max="10" width="3.140625" hidden="1" customWidth="1" outlineLevel="1"/>
    <col min="11" max="11" width="11.42578125" hidden="1" customWidth="1" outlineLevel="1"/>
    <col min="12" max="12" width="3.140625" hidden="1" customWidth="1" outlineLevel="1"/>
    <col min="13" max="13" width="11.42578125" hidden="1" customWidth="1" outlineLevel="1"/>
    <col min="14" max="14" width="3.140625" hidden="1" customWidth="1" outlineLevel="1"/>
    <col min="15" max="15" width="11.42578125" hidden="1" customWidth="1" outlineLevel="1"/>
    <col min="16" max="16" width="3.140625" hidden="1" customWidth="1" outlineLevel="1" collapsed="1"/>
    <col min="17" max="17" width="11.42578125" hidden="1" customWidth="1" outlineLevel="1"/>
    <col min="18" max="18" width="3.140625" hidden="1" customWidth="1" outlineLevel="1" collapsed="1"/>
    <col min="19" max="19" width="11.42578125" hidden="1" customWidth="1" outlineLevel="1"/>
    <col min="20" max="20" width="3.140625" hidden="1" customWidth="1" outlineLevel="1" collapsed="1"/>
    <col min="21" max="21" width="11.42578125" hidden="1" customWidth="1" outlineLevel="1"/>
    <col min="22" max="22" width="3.140625" hidden="1" customWidth="1"/>
    <col min="23" max="23" width="11.42578125" hidden="1" customWidth="1"/>
    <col min="24" max="24" width="3.140625" hidden="1" customWidth="1" collapsed="1"/>
    <col min="25" max="25" width="11.42578125" hidden="1" customWidth="1"/>
    <col min="26" max="26" width="3.140625" hidden="1" customWidth="1" collapsed="1"/>
    <col min="27" max="27" width="11.42578125" hidden="1" customWidth="1"/>
    <col min="28" max="28" width="3.140625" hidden="1" customWidth="1" collapsed="1"/>
    <col min="29" max="29" width="11.42578125" hidden="1" customWidth="1"/>
    <col min="30" max="30" width="3.140625" hidden="1" customWidth="1" collapsed="1"/>
    <col min="31" max="31" width="11.42578125" hidden="1" customWidth="1"/>
    <col min="32" max="32" width="3.140625" hidden="1" customWidth="1" collapsed="1"/>
    <col min="33" max="33" width="11.42578125" hidden="1" customWidth="1"/>
    <col min="34" max="34" width="3.140625" hidden="1" customWidth="1" collapsed="1"/>
    <col min="35" max="35" width="11.42578125" hidden="1" customWidth="1"/>
    <col min="36" max="36" width="3.140625" hidden="1" customWidth="1" collapsed="1"/>
    <col min="37" max="37" width="11.42578125" hidden="1" customWidth="1"/>
    <col min="38" max="38" width="3.140625" hidden="1" customWidth="1" collapsed="1"/>
    <col min="39" max="39" width="11.42578125" hidden="1" customWidth="1"/>
    <col min="40" max="40" width="3.140625" hidden="1" customWidth="1" collapsed="1"/>
    <col min="41" max="41" width="11.42578125" hidden="1" customWidth="1"/>
    <col min="42" max="42" width="3.140625" hidden="1" customWidth="1" collapsed="1"/>
    <col min="43" max="43" width="0" hidden="1" customWidth="1"/>
    <col min="44" max="44" width="3.140625" hidden="1" customWidth="1" collapsed="1"/>
    <col min="45" max="45" width="0" hidden="1" customWidth="1"/>
    <col min="46" max="46" width="3.140625" hidden="1" customWidth="1" collapsed="1"/>
    <col min="47" max="47" width="0" hidden="1" customWidth="1"/>
    <col min="48" max="48" width="3.140625" hidden="1" customWidth="1" collapsed="1"/>
    <col min="49" max="49" width="0" hidden="1" customWidth="1"/>
    <col min="50" max="50" width="3.140625" bestFit="1" customWidth="1" collapsed="1"/>
    <col min="51" max="51" width="13" bestFit="1" customWidth="1"/>
    <col min="52" max="52" width="3.140625" bestFit="1" customWidth="1" collapsed="1"/>
    <col min="54" max="54" width="3.140625" bestFit="1" customWidth="1" collapsed="1"/>
    <col min="55" max="55" width="13" bestFit="1" customWidth="1"/>
    <col min="56" max="56" width="3.140625" bestFit="1" customWidth="1" collapsed="1"/>
    <col min="57" max="57" width="13" bestFit="1" customWidth="1"/>
  </cols>
  <sheetData>
    <row r="1" spans="1:57" x14ac:dyDescent="0.25">
      <c r="A1" s="40"/>
      <c r="C1" s="42">
        <f>+C14-A1</f>
        <v>205600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 t="str">
        <f>+TEXT(AC2,"ddd")</f>
        <v>lun</v>
      </c>
      <c r="AD1" s="41"/>
      <c r="AE1" s="41" t="str">
        <f>+TEXT(AE2,"ddd")</f>
        <v>mar</v>
      </c>
      <c r="AF1" s="41"/>
      <c r="AG1" s="41" t="str">
        <f>+TEXT(AG2,"ddd")</f>
        <v>mié</v>
      </c>
      <c r="AH1" s="41"/>
      <c r="AI1" s="41" t="str">
        <f>+TEXT(AI2,"ddd")</f>
        <v>jue</v>
      </c>
      <c r="AJ1" s="41"/>
      <c r="AK1" s="41" t="str">
        <f>+TEXT(AK2,"ddd")</f>
        <v>vie</v>
      </c>
      <c r="AL1" s="41"/>
      <c r="AM1" s="41" t="str">
        <f>+TEXT(AM2,"ddd")</f>
        <v>sáb</v>
      </c>
      <c r="AN1" s="41"/>
      <c r="AO1" s="41" t="str">
        <f>+TEXT(AO2,"ddd")</f>
        <v>dom</v>
      </c>
      <c r="AP1" s="41"/>
      <c r="AQ1" s="41" t="str">
        <f>+TEXT(AQ2,"ddd")</f>
        <v>lun</v>
      </c>
      <c r="AR1" s="41"/>
      <c r="AS1" s="41" t="str">
        <f>+TEXT(AS2,"ddd")</f>
        <v>mar</v>
      </c>
      <c r="AT1" s="41"/>
      <c r="AU1" s="41" t="str">
        <f>+TEXT(AU2,"ddd")</f>
        <v>mié</v>
      </c>
      <c r="AV1" s="41"/>
      <c r="AW1" s="41" t="str">
        <f>+TEXT(AW2,"ddd")</f>
        <v>jue</v>
      </c>
      <c r="AX1" s="41"/>
      <c r="AY1" s="41" t="str">
        <f>+TEXT(AY2,"ddd")</f>
        <v>vie</v>
      </c>
      <c r="AZ1" s="41"/>
      <c r="BA1" s="41" t="str">
        <f>+TEXT(BA2,"ddd")</f>
        <v>sáb</v>
      </c>
      <c r="BB1" s="41"/>
      <c r="BC1" s="41" t="str">
        <f>+TEXT(BC2,"ddd")</f>
        <v>dom</v>
      </c>
      <c r="BD1" s="41"/>
      <c r="BE1" s="41" t="str">
        <f>+TEXT(BE2,"ddd")</f>
        <v>lun</v>
      </c>
    </row>
    <row r="2" spans="1:57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4" t="s">
        <v>137</v>
      </c>
      <c r="AC2" s="45">
        <v>46090</v>
      </c>
      <c r="AD2" s="44" t="s">
        <v>137</v>
      </c>
      <c r="AE2" s="45">
        <v>46091</v>
      </c>
      <c r="AF2" s="44" t="s">
        <v>137</v>
      </c>
      <c r="AG2" s="45">
        <v>46092</v>
      </c>
      <c r="AH2" s="44" t="s">
        <v>137</v>
      </c>
      <c r="AI2" s="45">
        <v>46093</v>
      </c>
      <c r="AJ2" s="44" t="s">
        <v>137</v>
      </c>
      <c r="AK2" s="45">
        <v>46094</v>
      </c>
      <c r="AL2" s="44" t="s">
        <v>137</v>
      </c>
      <c r="AM2" s="45">
        <v>46095</v>
      </c>
      <c r="AN2" s="44" t="s">
        <v>137</v>
      </c>
      <c r="AO2" s="45">
        <v>46096</v>
      </c>
      <c r="AP2" s="44" t="s">
        <v>137</v>
      </c>
      <c r="AQ2" s="45">
        <f>+AO2+1</f>
        <v>46097</v>
      </c>
      <c r="AR2" s="44" t="s">
        <v>137</v>
      </c>
      <c r="AS2" s="45">
        <f>+AQ2+1</f>
        <v>46098</v>
      </c>
      <c r="AT2" s="44" t="s">
        <v>137</v>
      </c>
      <c r="AU2" s="45">
        <f>+AS2+1</f>
        <v>46099</v>
      </c>
      <c r="AV2" s="44" t="s">
        <v>137</v>
      </c>
      <c r="AW2" s="45">
        <f>+AU2+1</f>
        <v>46100</v>
      </c>
      <c r="AX2" s="44" t="s">
        <v>137</v>
      </c>
      <c r="AY2" s="45">
        <f>+AW2+1</f>
        <v>46101</v>
      </c>
      <c r="AZ2" s="44" t="s">
        <v>137</v>
      </c>
      <c r="BA2" s="45">
        <f>+AY2+1</f>
        <v>46102</v>
      </c>
      <c r="BB2" s="44" t="s">
        <v>137</v>
      </c>
      <c r="BC2" s="45">
        <f>+BA2+1</f>
        <v>46103</v>
      </c>
      <c r="BD2" s="44" t="s">
        <v>137</v>
      </c>
      <c r="BE2" s="45">
        <f>+BC2+1</f>
        <v>46104</v>
      </c>
    </row>
    <row r="3" spans="1:57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  <c r="AP3" s="1"/>
      <c r="AQ3" s="3">
        <f t="shared" ref="AQ3:AQ13" si="5">+$A3*AP3</f>
        <v>0</v>
      </c>
      <c r="AR3" s="1">
        <v>0</v>
      </c>
      <c r="AS3" s="3">
        <f t="shared" ref="AS3:AS13" si="6">+$A3*AR3</f>
        <v>0</v>
      </c>
      <c r="AT3" s="1">
        <v>0</v>
      </c>
      <c r="AU3" s="3">
        <f t="shared" ref="AU3:AU13" si="7">+$A3*AT3</f>
        <v>0</v>
      </c>
      <c r="AV3" s="1">
        <v>1</v>
      </c>
      <c r="AW3" s="3">
        <f t="shared" ref="AW3:AW13" si="8">+$A3*AV3</f>
        <v>100000</v>
      </c>
      <c r="AX3" s="1">
        <v>0</v>
      </c>
      <c r="AY3" s="3">
        <f t="shared" ref="AY3:AY13" si="9">+$A3*AX3</f>
        <v>0</v>
      </c>
      <c r="AZ3" s="1">
        <v>0</v>
      </c>
      <c r="BA3" s="3">
        <f t="shared" ref="BA3:BA13" si="10">+$A3*AZ3</f>
        <v>0</v>
      </c>
      <c r="BB3" s="1">
        <v>0</v>
      </c>
      <c r="BC3" s="3">
        <f t="shared" ref="BC3:BC13" si="11">+$A3*BB3</f>
        <v>0</v>
      </c>
      <c r="BD3" s="1">
        <v>0</v>
      </c>
      <c r="BE3" s="3">
        <f t="shared" ref="BE3:BE13" si="12">+$A3*BD3</f>
        <v>0</v>
      </c>
    </row>
    <row r="4" spans="1:57" outlineLevel="1" x14ac:dyDescent="0.25">
      <c r="A4" s="27">
        <v>50000</v>
      </c>
      <c r="B4" s="26">
        <v>1</v>
      </c>
      <c r="C4" s="3">
        <f t="shared" ref="C4:C13" si="13">+A4*B4</f>
        <v>50000</v>
      </c>
      <c r="D4" s="26">
        <v>1</v>
      </c>
      <c r="E4" s="3">
        <f t="shared" ref="E4:E13" si="14">+$A4*D4</f>
        <v>50000</v>
      </c>
      <c r="F4" s="26">
        <v>1</v>
      </c>
      <c r="G4" s="3"/>
      <c r="H4" s="26">
        <v>0</v>
      </c>
      <c r="I4" s="3">
        <f t="shared" ref="I4" si="15">+$A4*H4</f>
        <v>0</v>
      </c>
      <c r="J4" s="26">
        <v>2</v>
      </c>
      <c r="K4" s="3">
        <f t="shared" ref="K4" si="16">+$A4*J4</f>
        <v>100000</v>
      </c>
      <c r="L4" s="26">
        <v>0</v>
      </c>
      <c r="M4" s="3">
        <f t="shared" ref="M4" si="17">+$A4*L4</f>
        <v>0</v>
      </c>
      <c r="N4" s="26">
        <v>0</v>
      </c>
      <c r="O4" s="3">
        <f t="shared" ref="O4" si="18">+$A4*N4</f>
        <v>0</v>
      </c>
      <c r="P4" s="26">
        <v>1</v>
      </c>
      <c r="Q4" s="3">
        <f t="shared" ref="Q4" si="19">+$A4*P4</f>
        <v>50000</v>
      </c>
      <c r="R4" s="26">
        <v>1</v>
      </c>
      <c r="S4" s="3"/>
      <c r="T4" s="26">
        <v>0</v>
      </c>
      <c r="U4" s="3">
        <f t="shared" ref="U4:U5" si="20">+$A4*T4</f>
        <v>0</v>
      </c>
      <c r="V4" s="1">
        <v>1</v>
      </c>
      <c r="W4" s="3">
        <f t="shared" ref="W4:W5" si="21">+$A4*V4</f>
        <v>50000</v>
      </c>
      <c r="X4" s="1">
        <v>0</v>
      </c>
      <c r="Y4" s="3">
        <f t="shared" ref="Y4:Y5" si="22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  <c r="AP4" s="1"/>
      <c r="AQ4" s="3">
        <f t="shared" si="5"/>
        <v>0</v>
      </c>
      <c r="AR4" s="1">
        <v>0</v>
      </c>
      <c r="AS4" s="3">
        <f t="shared" si="6"/>
        <v>0</v>
      </c>
      <c r="AT4" s="1">
        <v>0</v>
      </c>
      <c r="AU4" s="3">
        <f t="shared" si="7"/>
        <v>0</v>
      </c>
      <c r="AV4" s="1">
        <v>2</v>
      </c>
      <c r="AW4" s="3">
        <f t="shared" si="8"/>
        <v>100000</v>
      </c>
      <c r="AX4" s="1">
        <v>0</v>
      </c>
      <c r="AY4" s="3">
        <f t="shared" si="9"/>
        <v>0</v>
      </c>
      <c r="AZ4" s="1">
        <v>0</v>
      </c>
      <c r="BA4" s="3">
        <f t="shared" si="10"/>
        <v>0</v>
      </c>
      <c r="BB4" s="1">
        <v>0</v>
      </c>
      <c r="BC4" s="3">
        <f t="shared" si="11"/>
        <v>0</v>
      </c>
      <c r="BD4" s="1">
        <v>0</v>
      </c>
      <c r="BE4" s="3">
        <f t="shared" si="12"/>
        <v>0</v>
      </c>
    </row>
    <row r="5" spans="1:57" outlineLevel="1" x14ac:dyDescent="0.25">
      <c r="A5" s="27">
        <v>20000</v>
      </c>
      <c r="B5" s="26">
        <v>4</v>
      </c>
      <c r="C5" s="3">
        <f t="shared" si="13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20"/>
        <v>0</v>
      </c>
      <c r="V5" s="1">
        <v>0</v>
      </c>
      <c r="W5" s="3">
        <f t="shared" si="21"/>
        <v>0</v>
      </c>
      <c r="X5" s="1">
        <v>0</v>
      </c>
      <c r="Y5" s="3">
        <f t="shared" si="22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  <c r="AP5" s="1"/>
      <c r="AQ5" s="3">
        <f t="shared" si="5"/>
        <v>0</v>
      </c>
      <c r="AR5" s="1">
        <v>0</v>
      </c>
      <c r="AS5" s="3">
        <f t="shared" si="6"/>
        <v>0</v>
      </c>
      <c r="AT5" s="1">
        <v>0</v>
      </c>
      <c r="AU5" s="3">
        <f t="shared" si="7"/>
        <v>0</v>
      </c>
      <c r="AV5" s="1">
        <v>0</v>
      </c>
      <c r="AW5" s="3">
        <f t="shared" si="8"/>
        <v>0</v>
      </c>
      <c r="AX5" s="1">
        <v>0</v>
      </c>
      <c r="AY5" s="3">
        <f t="shared" si="9"/>
        <v>0</v>
      </c>
      <c r="AZ5" s="1">
        <v>3</v>
      </c>
      <c r="BA5" s="3">
        <f t="shared" si="10"/>
        <v>60000</v>
      </c>
      <c r="BB5" s="1">
        <v>0</v>
      </c>
      <c r="BC5" s="3">
        <f t="shared" si="11"/>
        <v>0</v>
      </c>
      <c r="BD5" s="1">
        <v>0</v>
      </c>
      <c r="BE5" s="3">
        <f t="shared" si="12"/>
        <v>0</v>
      </c>
    </row>
    <row r="6" spans="1:57" outlineLevel="1" x14ac:dyDescent="0.25">
      <c r="A6" s="27">
        <v>10000</v>
      </c>
      <c r="B6" s="26">
        <v>2</v>
      </c>
      <c r="C6" s="3">
        <f t="shared" si="13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  <c r="AP6" s="1"/>
      <c r="AQ6" s="3">
        <f t="shared" si="5"/>
        <v>0</v>
      </c>
      <c r="AR6" s="1">
        <v>4</v>
      </c>
      <c r="AS6" s="3">
        <f t="shared" si="6"/>
        <v>40000</v>
      </c>
      <c r="AT6" s="1">
        <v>5</v>
      </c>
      <c r="AU6" s="3">
        <f t="shared" si="7"/>
        <v>50000</v>
      </c>
      <c r="AV6" s="1">
        <v>1</v>
      </c>
      <c r="AW6" s="3">
        <f t="shared" si="8"/>
        <v>10000</v>
      </c>
      <c r="AX6" s="1">
        <v>0</v>
      </c>
      <c r="AY6" s="3">
        <f t="shared" si="9"/>
        <v>0</v>
      </c>
      <c r="AZ6" s="1">
        <v>0</v>
      </c>
      <c r="BA6" s="3">
        <f t="shared" si="10"/>
        <v>0</v>
      </c>
      <c r="BB6" s="1">
        <v>0</v>
      </c>
      <c r="BC6" s="3">
        <f t="shared" si="11"/>
        <v>0</v>
      </c>
      <c r="BD6" s="1">
        <v>0</v>
      </c>
      <c r="BE6" s="3">
        <f t="shared" si="12"/>
        <v>0</v>
      </c>
    </row>
    <row r="7" spans="1:57" outlineLevel="1" x14ac:dyDescent="0.25">
      <c r="A7" s="27">
        <v>5000</v>
      </c>
      <c r="B7" s="26">
        <v>2</v>
      </c>
      <c r="C7" s="3">
        <f t="shared" si="13"/>
        <v>10000</v>
      </c>
      <c r="D7" s="26">
        <v>4</v>
      </c>
      <c r="E7" s="3">
        <f t="shared" si="14"/>
        <v>20000</v>
      </c>
      <c r="F7" s="26">
        <v>4</v>
      </c>
      <c r="G7" s="3"/>
      <c r="H7" s="26">
        <v>6</v>
      </c>
      <c r="I7" s="3">
        <f t="shared" ref="I7:I13" si="23">+$A7*H7</f>
        <v>30000</v>
      </c>
      <c r="J7" s="26">
        <v>5</v>
      </c>
      <c r="K7" s="3">
        <f t="shared" ref="K7:K13" si="24">+$A7*J7</f>
        <v>25000</v>
      </c>
      <c r="L7" s="26">
        <v>5</v>
      </c>
      <c r="M7" s="3">
        <f t="shared" ref="M7:M13" si="25">+$A7*L7</f>
        <v>25000</v>
      </c>
      <c r="N7" s="26">
        <v>5</v>
      </c>
      <c r="O7" s="3">
        <f t="shared" ref="O7:O13" si="26">+$A7*N7</f>
        <v>25000</v>
      </c>
      <c r="P7" s="26">
        <v>3</v>
      </c>
      <c r="Q7" s="3">
        <f t="shared" ref="Q7:Q13" si="27">+$A7*P7</f>
        <v>15000</v>
      </c>
      <c r="R7" s="26">
        <v>3</v>
      </c>
      <c r="S7" s="3"/>
      <c r="T7" s="26">
        <v>3</v>
      </c>
      <c r="U7" s="3">
        <f t="shared" ref="U7:U13" si="28">+$A7*T7</f>
        <v>15000</v>
      </c>
      <c r="V7" s="1">
        <v>4</v>
      </c>
      <c r="W7" s="3">
        <f t="shared" ref="W7:W13" si="29">+$A7*V7</f>
        <v>20000</v>
      </c>
      <c r="X7" s="1">
        <v>0</v>
      </c>
      <c r="Y7" s="3">
        <f t="shared" ref="Y7:Y13" si="30">+$A7*X7</f>
        <v>0</v>
      </c>
      <c r="Z7" s="1">
        <v>0</v>
      </c>
      <c r="AA7" s="3">
        <f t="shared" ref="AA7:AC13" si="31">+$A7*Z7</f>
        <v>0</v>
      </c>
      <c r="AB7" s="1">
        <v>3</v>
      </c>
      <c r="AC7" s="3">
        <f t="shared" si="31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  <c r="AP7" s="1"/>
      <c r="AQ7" s="3">
        <f t="shared" si="5"/>
        <v>0</v>
      </c>
      <c r="AR7" s="1">
        <v>3</v>
      </c>
      <c r="AS7" s="3">
        <f t="shared" si="6"/>
        <v>15000</v>
      </c>
      <c r="AT7" s="1">
        <v>10</v>
      </c>
      <c r="AU7" s="3">
        <f t="shared" si="7"/>
        <v>50000</v>
      </c>
      <c r="AV7" s="1">
        <v>8</v>
      </c>
      <c r="AW7" s="3">
        <f t="shared" si="8"/>
        <v>40000</v>
      </c>
      <c r="AX7" s="1">
        <v>6</v>
      </c>
      <c r="AY7" s="3">
        <f t="shared" si="9"/>
        <v>30000</v>
      </c>
      <c r="AZ7" s="1">
        <v>3</v>
      </c>
      <c r="BA7" s="3">
        <f t="shared" si="10"/>
        <v>15000</v>
      </c>
      <c r="BB7" s="1">
        <v>0</v>
      </c>
      <c r="BC7" s="3">
        <f t="shared" si="11"/>
        <v>0</v>
      </c>
      <c r="BD7" s="1">
        <v>0</v>
      </c>
      <c r="BE7" s="3">
        <f t="shared" si="12"/>
        <v>0</v>
      </c>
    </row>
    <row r="8" spans="1:57" outlineLevel="1" x14ac:dyDescent="0.25">
      <c r="A8" s="27">
        <v>2000</v>
      </c>
      <c r="B8" s="26">
        <v>4</v>
      </c>
      <c r="C8" s="3">
        <f t="shared" si="13"/>
        <v>8000</v>
      </c>
      <c r="D8" s="26">
        <v>5</v>
      </c>
      <c r="E8" s="3">
        <f t="shared" si="14"/>
        <v>10000</v>
      </c>
      <c r="F8" s="26">
        <v>5</v>
      </c>
      <c r="G8" s="3"/>
      <c r="H8" s="26">
        <v>12</v>
      </c>
      <c r="I8" s="3">
        <f t="shared" si="23"/>
        <v>24000</v>
      </c>
      <c r="J8" s="26">
        <v>17</v>
      </c>
      <c r="K8" s="3">
        <f t="shared" si="24"/>
        <v>34000</v>
      </c>
      <c r="L8" s="26">
        <v>14</v>
      </c>
      <c r="M8" s="3">
        <f t="shared" si="25"/>
        <v>28000</v>
      </c>
      <c r="N8" s="26">
        <v>14</v>
      </c>
      <c r="O8" s="3">
        <f t="shared" si="26"/>
        <v>28000</v>
      </c>
      <c r="P8" s="26">
        <v>10</v>
      </c>
      <c r="Q8" s="3">
        <f t="shared" si="27"/>
        <v>20000</v>
      </c>
      <c r="R8" s="26">
        <v>10</v>
      </c>
      <c r="S8" s="3"/>
      <c r="T8" s="26">
        <v>12</v>
      </c>
      <c r="U8" s="3">
        <f t="shared" si="28"/>
        <v>24000</v>
      </c>
      <c r="V8" s="1">
        <v>22</v>
      </c>
      <c r="W8" s="3">
        <f t="shared" si="29"/>
        <v>44000</v>
      </c>
      <c r="X8" s="1">
        <v>23</v>
      </c>
      <c r="Y8" s="3">
        <f t="shared" si="30"/>
        <v>46000</v>
      </c>
      <c r="Z8" s="1">
        <v>20</v>
      </c>
      <c r="AA8" s="3">
        <f t="shared" si="31"/>
        <v>40000</v>
      </c>
      <c r="AB8" s="1">
        <v>25</v>
      </c>
      <c r="AC8" s="3">
        <f t="shared" si="31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  <c r="AP8" s="1"/>
      <c r="AQ8" s="3">
        <f t="shared" si="5"/>
        <v>0</v>
      </c>
      <c r="AR8" s="1">
        <v>3</v>
      </c>
      <c r="AS8" s="3">
        <f t="shared" si="6"/>
        <v>6000</v>
      </c>
      <c r="AT8" s="1">
        <v>15</v>
      </c>
      <c r="AU8" s="3">
        <f t="shared" si="7"/>
        <v>30000</v>
      </c>
      <c r="AV8" s="1">
        <v>23</v>
      </c>
      <c r="AW8" s="3">
        <f t="shared" si="8"/>
        <v>46000</v>
      </c>
      <c r="AX8" s="1">
        <v>21</v>
      </c>
      <c r="AY8" s="3">
        <f t="shared" si="9"/>
        <v>42000</v>
      </c>
      <c r="AZ8" s="1">
        <v>18</v>
      </c>
      <c r="BA8" s="3">
        <f t="shared" si="10"/>
        <v>36000</v>
      </c>
      <c r="BB8" s="1">
        <v>0</v>
      </c>
      <c r="BC8" s="3">
        <f t="shared" si="11"/>
        <v>0</v>
      </c>
      <c r="BD8" s="1">
        <v>0</v>
      </c>
      <c r="BE8" s="3">
        <f t="shared" si="12"/>
        <v>0</v>
      </c>
    </row>
    <row r="9" spans="1:57" outlineLevel="1" x14ac:dyDescent="0.25">
      <c r="A9" s="27">
        <v>1000</v>
      </c>
      <c r="B9" s="26">
        <v>7</v>
      </c>
      <c r="C9" s="3">
        <f t="shared" si="13"/>
        <v>7000</v>
      </c>
      <c r="D9" s="26">
        <v>8</v>
      </c>
      <c r="E9" s="3">
        <f t="shared" si="14"/>
        <v>8000</v>
      </c>
      <c r="F9" s="26">
        <v>8</v>
      </c>
      <c r="G9" s="3"/>
      <c r="H9" s="26">
        <v>3</v>
      </c>
      <c r="I9" s="3">
        <f t="shared" si="23"/>
        <v>3000</v>
      </c>
      <c r="J9" s="26">
        <v>2</v>
      </c>
      <c r="K9" s="3">
        <f t="shared" si="24"/>
        <v>2000</v>
      </c>
      <c r="L9" s="26">
        <v>0</v>
      </c>
      <c r="M9" s="3">
        <f t="shared" si="25"/>
        <v>0</v>
      </c>
      <c r="N9" s="26">
        <v>0</v>
      </c>
      <c r="O9" s="3">
        <f t="shared" si="26"/>
        <v>0</v>
      </c>
      <c r="P9" s="26">
        <v>0</v>
      </c>
      <c r="Q9" s="3">
        <f t="shared" si="27"/>
        <v>0</v>
      </c>
      <c r="R9" s="26">
        <v>0</v>
      </c>
      <c r="S9" s="3"/>
      <c r="T9" s="26">
        <v>20</v>
      </c>
      <c r="U9" s="3">
        <f t="shared" si="28"/>
        <v>20000</v>
      </c>
      <c r="V9" s="1">
        <v>16</v>
      </c>
      <c r="W9" s="3">
        <f t="shared" si="29"/>
        <v>16000</v>
      </c>
      <c r="X9" s="1">
        <v>12</v>
      </c>
      <c r="Y9" s="3">
        <f t="shared" si="30"/>
        <v>12000</v>
      </c>
      <c r="Z9" s="1">
        <v>9</v>
      </c>
      <c r="AA9" s="3">
        <f t="shared" si="31"/>
        <v>9000</v>
      </c>
      <c r="AB9" s="1">
        <v>6</v>
      </c>
      <c r="AC9" s="3">
        <f t="shared" si="31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  <c r="AP9" s="1"/>
      <c r="AQ9" s="3">
        <f t="shared" si="5"/>
        <v>0</v>
      </c>
      <c r="AR9" s="1">
        <v>3</v>
      </c>
      <c r="AS9" s="3">
        <f t="shared" si="6"/>
        <v>3000</v>
      </c>
      <c r="AT9" s="1">
        <v>14</v>
      </c>
      <c r="AU9" s="3">
        <f t="shared" si="7"/>
        <v>14000</v>
      </c>
      <c r="AV9" s="1">
        <v>7</v>
      </c>
      <c r="AW9" s="3">
        <f t="shared" si="8"/>
        <v>7000</v>
      </c>
      <c r="AX9" s="1">
        <v>7</v>
      </c>
      <c r="AY9" s="3">
        <f t="shared" si="9"/>
        <v>7000</v>
      </c>
      <c r="AZ9" s="1">
        <v>6</v>
      </c>
      <c r="BA9" s="3">
        <f t="shared" si="10"/>
        <v>6000</v>
      </c>
      <c r="BB9" s="1">
        <v>0</v>
      </c>
      <c r="BC9" s="3">
        <f t="shared" si="11"/>
        <v>0</v>
      </c>
      <c r="BD9" s="1">
        <v>0</v>
      </c>
      <c r="BE9" s="3">
        <f t="shared" si="12"/>
        <v>0</v>
      </c>
    </row>
    <row r="10" spans="1:57" outlineLevel="1" x14ac:dyDescent="0.25">
      <c r="A10" s="27">
        <v>500</v>
      </c>
      <c r="B10" s="26">
        <v>31</v>
      </c>
      <c r="C10" s="3">
        <f t="shared" si="13"/>
        <v>15500</v>
      </c>
      <c r="D10" s="26">
        <v>32</v>
      </c>
      <c r="E10" s="3">
        <f t="shared" si="14"/>
        <v>16000</v>
      </c>
      <c r="F10" s="26">
        <v>32</v>
      </c>
      <c r="G10" s="3"/>
      <c r="H10" s="26">
        <v>38</v>
      </c>
      <c r="I10" s="3">
        <f t="shared" si="23"/>
        <v>19000</v>
      </c>
      <c r="J10" s="26">
        <v>37</v>
      </c>
      <c r="K10" s="3">
        <f t="shared" si="24"/>
        <v>18500</v>
      </c>
      <c r="L10" s="26">
        <v>36</v>
      </c>
      <c r="M10" s="3">
        <f t="shared" si="25"/>
        <v>18000</v>
      </c>
      <c r="N10" s="26">
        <v>36</v>
      </c>
      <c r="O10" s="3">
        <f t="shared" si="26"/>
        <v>18000</v>
      </c>
      <c r="P10" s="26">
        <v>36</v>
      </c>
      <c r="Q10" s="3">
        <f t="shared" si="27"/>
        <v>18000</v>
      </c>
      <c r="R10" s="26">
        <v>36</v>
      </c>
      <c r="S10" s="3"/>
      <c r="T10" s="26">
        <v>40</v>
      </c>
      <c r="U10" s="3">
        <f t="shared" si="28"/>
        <v>20000</v>
      </c>
      <c r="V10" s="1">
        <v>45</v>
      </c>
      <c r="W10" s="3">
        <f t="shared" si="29"/>
        <v>22500</v>
      </c>
      <c r="X10" s="1">
        <v>31</v>
      </c>
      <c r="Y10" s="3">
        <f t="shared" si="30"/>
        <v>15500</v>
      </c>
      <c r="Z10" s="1">
        <v>20</v>
      </c>
      <c r="AA10" s="3">
        <f t="shared" si="31"/>
        <v>10000</v>
      </c>
      <c r="AB10" s="1">
        <v>21</v>
      </c>
      <c r="AC10" s="3">
        <f t="shared" si="31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  <c r="AP10" s="1"/>
      <c r="AQ10" s="3">
        <f t="shared" si="5"/>
        <v>0</v>
      </c>
      <c r="AR10" s="1">
        <v>46</v>
      </c>
      <c r="AS10" s="3">
        <f t="shared" si="6"/>
        <v>23000</v>
      </c>
      <c r="AT10" s="1">
        <v>50</v>
      </c>
      <c r="AU10" s="3">
        <f t="shared" si="7"/>
        <v>25000</v>
      </c>
      <c r="AV10" s="1">
        <v>49</v>
      </c>
      <c r="AW10" s="3">
        <f t="shared" si="8"/>
        <v>24500</v>
      </c>
      <c r="AX10" s="1">
        <v>49</v>
      </c>
      <c r="AY10" s="3">
        <f t="shared" si="9"/>
        <v>24500</v>
      </c>
      <c r="AZ10" s="1">
        <v>48</v>
      </c>
      <c r="BA10" s="3">
        <f t="shared" si="10"/>
        <v>24000</v>
      </c>
      <c r="BB10" s="1">
        <v>0</v>
      </c>
      <c r="BC10" s="3">
        <f t="shared" si="11"/>
        <v>0</v>
      </c>
      <c r="BD10" s="1">
        <v>0</v>
      </c>
      <c r="BE10" s="3">
        <f t="shared" si="12"/>
        <v>0</v>
      </c>
    </row>
    <row r="11" spans="1:57" outlineLevel="1" x14ac:dyDescent="0.25">
      <c r="A11" s="27">
        <v>200</v>
      </c>
      <c r="B11" s="26">
        <v>54</v>
      </c>
      <c r="C11" s="3">
        <f t="shared" si="13"/>
        <v>10800</v>
      </c>
      <c r="D11" s="26">
        <v>56</v>
      </c>
      <c r="E11" s="3">
        <f t="shared" si="14"/>
        <v>11200</v>
      </c>
      <c r="F11" s="26">
        <v>56</v>
      </c>
      <c r="G11" s="3"/>
      <c r="H11" s="26">
        <v>62</v>
      </c>
      <c r="I11" s="3">
        <f t="shared" si="23"/>
        <v>12400</v>
      </c>
      <c r="J11" s="26">
        <v>62</v>
      </c>
      <c r="K11" s="3">
        <f t="shared" si="24"/>
        <v>12400</v>
      </c>
      <c r="L11" s="26">
        <v>68</v>
      </c>
      <c r="M11" s="3">
        <f t="shared" si="25"/>
        <v>13600</v>
      </c>
      <c r="N11" s="26">
        <v>68</v>
      </c>
      <c r="O11" s="3">
        <f t="shared" si="26"/>
        <v>13600</v>
      </c>
      <c r="P11" s="26">
        <v>81</v>
      </c>
      <c r="Q11" s="3">
        <f t="shared" si="27"/>
        <v>16200</v>
      </c>
      <c r="R11" s="26">
        <v>81</v>
      </c>
      <c r="S11" s="3"/>
      <c r="T11" s="26">
        <v>3</v>
      </c>
      <c r="U11" s="3">
        <f t="shared" si="28"/>
        <v>600</v>
      </c>
      <c r="V11" s="1">
        <v>5</v>
      </c>
      <c r="W11" s="3">
        <f t="shared" si="29"/>
        <v>1000</v>
      </c>
      <c r="X11" s="1">
        <v>4</v>
      </c>
      <c r="Y11" s="3">
        <f t="shared" si="30"/>
        <v>800</v>
      </c>
      <c r="Z11" s="1">
        <v>4</v>
      </c>
      <c r="AA11" s="3">
        <f t="shared" si="31"/>
        <v>800</v>
      </c>
      <c r="AB11" s="1">
        <v>7</v>
      </c>
      <c r="AC11" s="3">
        <f t="shared" si="31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  <c r="AP11" s="1"/>
      <c r="AQ11" s="3">
        <f t="shared" si="5"/>
        <v>0</v>
      </c>
      <c r="AR11" s="1">
        <v>25</v>
      </c>
      <c r="AS11" s="3">
        <f t="shared" si="6"/>
        <v>5000</v>
      </c>
      <c r="AT11" s="1">
        <v>10</v>
      </c>
      <c r="AU11" s="3">
        <f t="shared" si="7"/>
        <v>2000</v>
      </c>
      <c r="AV11" s="1">
        <v>10</v>
      </c>
      <c r="AW11" s="3">
        <f t="shared" si="8"/>
        <v>2000</v>
      </c>
      <c r="AX11" s="1">
        <v>14</v>
      </c>
      <c r="AY11" s="3">
        <f t="shared" si="9"/>
        <v>2800</v>
      </c>
      <c r="AZ11" s="1">
        <v>9</v>
      </c>
      <c r="BA11" s="3">
        <f t="shared" si="10"/>
        <v>1800</v>
      </c>
      <c r="BB11" s="1">
        <v>0</v>
      </c>
      <c r="BC11" s="3">
        <f t="shared" si="11"/>
        <v>0</v>
      </c>
      <c r="BD11" s="1">
        <v>0</v>
      </c>
      <c r="BE11" s="3">
        <f t="shared" si="12"/>
        <v>0</v>
      </c>
    </row>
    <row r="12" spans="1:57" outlineLevel="1" x14ac:dyDescent="0.25">
      <c r="A12" s="27">
        <v>100</v>
      </c>
      <c r="B12" s="26">
        <v>38</v>
      </c>
      <c r="C12" s="3">
        <f t="shared" si="13"/>
        <v>3800</v>
      </c>
      <c r="D12" s="26">
        <v>39</v>
      </c>
      <c r="E12" s="3">
        <f t="shared" si="14"/>
        <v>3900</v>
      </c>
      <c r="F12" s="26">
        <v>39</v>
      </c>
      <c r="G12" s="3"/>
      <c r="H12" s="26">
        <v>51</v>
      </c>
      <c r="I12" s="3">
        <f t="shared" si="23"/>
        <v>5100</v>
      </c>
      <c r="J12" s="26">
        <v>48</v>
      </c>
      <c r="K12" s="3">
        <f t="shared" si="24"/>
        <v>4800</v>
      </c>
      <c r="L12" s="26">
        <v>63</v>
      </c>
      <c r="M12" s="3">
        <f t="shared" si="25"/>
        <v>6300</v>
      </c>
      <c r="N12" s="26">
        <v>63</v>
      </c>
      <c r="O12" s="3">
        <f t="shared" si="26"/>
        <v>6300</v>
      </c>
      <c r="P12" s="26">
        <v>77</v>
      </c>
      <c r="Q12" s="3">
        <f t="shared" si="27"/>
        <v>7700</v>
      </c>
      <c r="R12" s="26">
        <v>77</v>
      </c>
      <c r="S12" s="3"/>
      <c r="T12" s="26">
        <v>9</v>
      </c>
      <c r="U12" s="3">
        <f t="shared" si="28"/>
        <v>900</v>
      </c>
      <c r="V12" s="1">
        <v>11</v>
      </c>
      <c r="W12" s="3">
        <f t="shared" si="29"/>
        <v>1100</v>
      </c>
      <c r="X12" s="1">
        <v>13</v>
      </c>
      <c r="Y12" s="3">
        <f t="shared" si="30"/>
        <v>1300</v>
      </c>
      <c r="Z12" s="1">
        <v>13</v>
      </c>
      <c r="AA12" s="3">
        <f t="shared" si="31"/>
        <v>1300</v>
      </c>
      <c r="AB12" s="1">
        <v>14</v>
      </c>
      <c r="AC12" s="3">
        <f t="shared" si="31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  <c r="AP12" s="1"/>
      <c r="AQ12" s="3">
        <f t="shared" si="5"/>
        <v>0</v>
      </c>
      <c r="AR12" s="1">
        <v>30</v>
      </c>
      <c r="AS12" s="3">
        <f t="shared" si="6"/>
        <v>3000</v>
      </c>
      <c r="AT12" s="1">
        <v>12</v>
      </c>
      <c r="AU12" s="3">
        <f t="shared" si="7"/>
        <v>1200</v>
      </c>
      <c r="AV12" s="1">
        <v>11</v>
      </c>
      <c r="AW12" s="3">
        <f t="shared" si="8"/>
        <v>1100</v>
      </c>
      <c r="AX12" s="1">
        <v>13</v>
      </c>
      <c r="AY12" s="3">
        <f t="shared" si="9"/>
        <v>1300</v>
      </c>
      <c r="AZ12" s="1">
        <v>13</v>
      </c>
      <c r="BA12" s="3">
        <f t="shared" si="10"/>
        <v>1300</v>
      </c>
      <c r="BB12" s="1">
        <v>0</v>
      </c>
      <c r="BC12" s="3">
        <f t="shared" si="11"/>
        <v>0</v>
      </c>
      <c r="BD12" s="1">
        <v>0</v>
      </c>
      <c r="BE12" s="3">
        <f t="shared" si="12"/>
        <v>0</v>
      </c>
    </row>
    <row r="13" spans="1:57" ht="15.75" outlineLevel="1" thickBot="1" x14ac:dyDescent="0.3">
      <c r="A13" s="27">
        <v>50</v>
      </c>
      <c r="B13" s="26">
        <v>10</v>
      </c>
      <c r="C13" s="28">
        <f t="shared" si="13"/>
        <v>500</v>
      </c>
      <c r="D13" s="26">
        <v>10</v>
      </c>
      <c r="E13" s="28">
        <f t="shared" si="14"/>
        <v>500</v>
      </c>
      <c r="F13" s="26">
        <v>10</v>
      </c>
      <c r="G13" s="28"/>
      <c r="H13" s="26">
        <v>10</v>
      </c>
      <c r="I13" s="28">
        <f t="shared" si="23"/>
        <v>500</v>
      </c>
      <c r="J13" s="26">
        <v>10</v>
      </c>
      <c r="K13" s="28">
        <f t="shared" si="24"/>
        <v>500</v>
      </c>
      <c r="L13" s="26">
        <v>10</v>
      </c>
      <c r="M13" s="28">
        <f t="shared" si="25"/>
        <v>500</v>
      </c>
      <c r="N13" s="26">
        <v>10</v>
      </c>
      <c r="O13" s="28">
        <f t="shared" si="26"/>
        <v>500</v>
      </c>
      <c r="P13" s="26">
        <v>14</v>
      </c>
      <c r="Q13" s="28">
        <f t="shared" si="27"/>
        <v>700</v>
      </c>
      <c r="R13" s="26">
        <v>14</v>
      </c>
      <c r="S13" s="28"/>
      <c r="T13" s="26">
        <v>9</v>
      </c>
      <c r="U13" s="28">
        <f t="shared" si="28"/>
        <v>450</v>
      </c>
      <c r="V13" s="1">
        <v>9</v>
      </c>
      <c r="W13" s="28">
        <f t="shared" si="29"/>
        <v>450</v>
      </c>
      <c r="X13" s="1">
        <v>8</v>
      </c>
      <c r="Y13" s="28">
        <f t="shared" si="30"/>
        <v>400</v>
      </c>
      <c r="Z13" s="1">
        <v>11</v>
      </c>
      <c r="AA13" s="28">
        <f t="shared" si="31"/>
        <v>550</v>
      </c>
      <c r="AB13" s="1">
        <v>9</v>
      </c>
      <c r="AC13" s="28">
        <f t="shared" si="31"/>
        <v>450</v>
      </c>
      <c r="AD13" s="1">
        <v>8</v>
      </c>
      <c r="AE13" s="28">
        <f t="shared" si="1"/>
        <v>400</v>
      </c>
      <c r="AF13" s="1">
        <v>8</v>
      </c>
      <c r="AG13" s="28">
        <f t="shared" si="1"/>
        <v>400</v>
      </c>
      <c r="AH13" s="1">
        <v>7</v>
      </c>
      <c r="AI13" s="28">
        <f t="shared" si="2"/>
        <v>350</v>
      </c>
      <c r="AJ13" s="1"/>
      <c r="AK13" s="28"/>
      <c r="AL13" s="1">
        <v>9</v>
      </c>
      <c r="AM13" s="28">
        <f t="shared" si="3"/>
        <v>450</v>
      </c>
      <c r="AN13" s="1">
        <v>10</v>
      </c>
      <c r="AO13" s="28">
        <f t="shared" si="4"/>
        <v>500</v>
      </c>
      <c r="AP13" s="1"/>
      <c r="AQ13" s="28">
        <f t="shared" si="5"/>
        <v>0</v>
      </c>
      <c r="AR13" s="1">
        <v>10</v>
      </c>
      <c r="AS13" s="28">
        <f t="shared" si="6"/>
        <v>500</v>
      </c>
      <c r="AT13" s="1">
        <v>11</v>
      </c>
      <c r="AU13" s="28">
        <f t="shared" si="7"/>
        <v>550</v>
      </c>
      <c r="AV13" s="1">
        <v>12</v>
      </c>
      <c r="AW13" s="28">
        <f t="shared" si="8"/>
        <v>600</v>
      </c>
      <c r="AX13" s="1">
        <v>12</v>
      </c>
      <c r="AY13" s="28">
        <f t="shared" si="9"/>
        <v>600</v>
      </c>
      <c r="AZ13" s="1">
        <v>12</v>
      </c>
      <c r="BA13" s="28">
        <f t="shared" si="10"/>
        <v>600</v>
      </c>
      <c r="BB13" s="1">
        <v>0</v>
      </c>
      <c r="BC13" s="28">
        <f t="shared" si="11"/>
        <v>0</v>
      </c>
      <c r="BD13" s="1">
        <v>0</v>
      </c>
      <c r="BE13" s="28">
        <f t="shared" si="12"/>
        <v>0</v>
      </c>
    </row>
    <row r="14" spans="1:57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8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C14" s="17">
        <f>SUM(AC3:AC13)</f>
        <v>304750</v>
      </c>
      <c r="AE14" s="17">
        <f>SUM(AE3:AE13)</f>
        <v>151000</v>
      </c>
      <c r="AG14" s="17">
        <f>SUM(AG3:AG13)</f>
        <v>106200</v>
      </c>
      <c r="AI14" s="17">
        <f>SUM(AI3:AI13)</f>
        <v>84250</v>
      </c>
      <c r="AK14" s="17">
        <f>SUM(AK3:AK13)</f>
        <v>0</v>
      </c>
      <c r="AM14" s="17">
        <f>SUM(AM3:AM13)</f>
        <v>203350</v>
      </c>
      <c r="AO14" s="17">
        <f>SUM(AO3:AO13)</f>
        <v>88000</v>
      </c>
      <c r="AQ14" s="17">
        <f>SUM(AQ3:AQ13)</f>
        <v>0</v>
      </c>
      <c r="AS14" s="17">
        <f>SUM(AS3:AS13)</f>
        <v>95500</v>
      </c>
      <c r="AU14" s="17">
        <f>SUM(AU3:AU13)</f>
        <v>172750</v>
      </c>
      <c r="AW14" s="17">
        <f>SUM(AW3:AW13)</f>
        <v>331200</v>
      </c>
      <c r="AY14" s="17">
        <f>SUM(AY3:AY13)</f>
        <v>108200</v>
      </c>
      <c r="BA14" s="17">
        <f>SUM(BA3:BA13)</f>
        <v>144700</v>
      </c>
      <c r="BC14" s="17">
        <f>SUM(BC3:BC13)</f>
        <v>0</v>
      </c>
      <c r="BE14" s="17">
        <f>SUM(BE3:BE13)</f>
        <v>0</v>
      </c>
    </row>
    <row r="15" spans="1:57" x14ac:dyDescent="0.25">
      <c r="E15" s="18">
        <f>+SUM('historial de venta'!G32:G37)</f>
        <v>76000</v>
      </c>
      <c r="U15">
        <v>324300</v>
      </c>
      <c r="AE15" s="17"/>
      <c r="AG15" s="17"/>
      <c r="AI15" s="17"/>
      <c r="AK15" s="17"/>
      <c r="AM15" s="17"/>
      <c r="AO15" s="17"/>
      <c r="AQ15" s="17"/>
    </row>
    <row r="16" spans="1:57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C16" s="13"/>
      <c r="AE16" s="13"/>
      <c r="AG16" s="13"/>
      <c r="AI16" s="13"/>
      <c r="AK16" s="13"/>
      <c r="AM16" s="13"/>
      <c r="AO16" s="13"/>
      <c r="AQ16" s="13"/>
    </row>
    <row r="17" spans="1:57" x14ac:dyDescent="0.25">
      <c r="A17" s="48" t="s">
        <v>3</v>
      </c>
      <c r="C17" s="48" t="s">
        <v>164</v>
      </c>
      <c r="D17" s="46"/>
      <c r="E17" s="48" t="s">
        <v>165</v>
      </c>
      <c r="F17" s="47"/>
      <c r="G17" s="48" t="s">
        <v>166</v>
      </c>
      <c r="H17" s="47"/>
      <c r="I17" s="48" t="s">
        <v>167</v>
      </c>
      <c r="J17" s="47"/>
      <c r="K17" s="48" t="s">
        <v>195</v>
      </c>
      <c r="L17" s="47"/>
      <c r="M17" s="48" t="s">
        <v>203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47"/>
      <c r="AC17" s="48" t="str">
        <f>+AC1</f>
        <v>lun</v>
      </c>
      <c r="AD17" s="47"/>
      <c r="AE17" s="48" t="str">
        <f>+AE1</f>
        <v>mar</v>
      </c>
      <c r="AF17" s="47"/>
      <c r="AG17" s="48" t="str">
        <f>+AG1</f>
        <v>mié</v>
      </c>
      <c r="AH17" s="47"/>
      <c r="AI17" s="48" t="str">
        <f>+AI1</f>
        <v>jue</v>
      </c>
      <c r="AJ17" s="47"/>
      <c r="AK17" s="48" t="str">
        <f>+AK1</f>
        <v>vie</v>
      </c>
      <c r="AL17" s="47"/>
      <c r="AM17" s="48" t="str">
        <f>+AM1</f>
        <v>sáb</v>
      </c>
      <c r="AN17" s="47"/>
      <c r="AO17" s="48" t="str">
        <f>+AO1</f>
        <v>dom</v>
      </c>
      <c r="AP17" s="47"/>
      <c r="AQ17" s="48" t="str">
        <f>+AQ1</f>
        <v>lun</v>
      </c>
      <c r="AR17" s="47"/>
      <c r="AS17" s="48" t="str">
        <f>+AS1</f>
        <v>mar</v>
      </c>
      <c r="AT17" s="47"/>
      <c r="AU17" s="48" t="str">
        <f>+AU1</f>
        <v>mié</v>
      </c>
      <c r="AV17" s="47"/>
      <c r="AW17" s="48" t="str">
        <f>+AW1</f>
        <v>jue</v>
      </c>
      <c r="AX17" s="47"/>
      <c r="AY17" s="48" t="str">
        <f>+AY1</f>
        <v>vie</v>
      </c>
      <c r="AZ17" s="47"/>
      <c r="BA17" s="48" t="str">
        <f>+BA1</f>
        <v>sáb</v>
      </c>
      <c r="BB17" s="47"/>
      <c r="BC17" s="48" t="str">
        <f>+BC1</f>
        <v>dom</v>
      </c>
      <c r="BD17" s="47"/>
      <c r="BE17" s="48" t="str">
        <f>+BE1</f>
        <v>lun</v>
      </c>
    </row>
    <row r="18" spans="1:57" x14ac:dyDescent="0.25">
      <c r="A18" s="19" t="s">
        <v>139</v>
      </c>
      <c r="C18" s="19">
        <v>73700</v>
      </c>
      <c r="E18" s="49">
        <f>$C$23</f>
        <v>205600</v>
      </c>
      <c r="G18" s="31">
        <f>+E23</f>
        <v>315600</v>
      </c>
      <c r="I18" s="31">
        <f>+G23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+Q23</f>
        <v>201400</v>
      </c>
      <c r="U18" s="67">
        <f>+S23</f>
        <v>252000</v>
      </c>
      <c r="W18" s="19">
        <f>+U23</f>
        <v>103550</v>
      </c>
      <c r="Y18" s="19">
        <f>+W23</f>
        <v>179050</v>
      </c>
      <c r="AA18" s="19">
        <f>$Y$14</f>
        <v>86000</v>
      </c>
      <c r="AC18" s="19">
        <f>+AA14</f>
        <v>141650</v>
      </c>
      <c r="AE18" s="19">
        <v>100000</v>
      </c>
      <c r="AG18" s="19">
        <f>+AE18+AE20</f>
        <v>151000</v>
      </c>
      <c r="AI18" s="19">
        <f>+AG14</f>
        <v>106200</v>
      </c>
      <c r="AK18" s="19">
        <f>+AI14</f>
        <v>84250</v>
      </c>
      <c r="AM18" s="19">
        <f>+AK23</f>
        <v>216750</v>
      </c>
      <c r="AO18" s="19">
        <f>+AM14</f>
        <v>203350</v>
      </c>
      <c r="AQ18" s="19">
        <f>+AO14</f>
        <v>88000</v>
      </c>
      <c r="AS18" s="19">
        <f>+AQ23</f>
        <v>172000</v>
      </c>
      <c r="AU18" s="19">
        <f>+AS23</f>
        <v>95500</v>
      </c>
      <c r="AW18" s="19">
        <f>+AU14</f>
        <v>172750</v>
      </c>
      <c r="AY18" s="19">
        <f>+AW14</f>
        <v>331200</v>
      </c>
      <c r="BA18" s="19">
        <f>+AY23</f>
        <v>108200</v>
      </c>
      <c r="BC18" s="19">
        <f>+BA14</f>
        <v>144700</v>
      </c>
      <c r="BE18" s="19">
        <f>+BA18</f>
        <v>108200</v>
      </c>
    </row>
    <row r="19" spans="1:57" x14ac:dyDescent="0.25">
      <c r="A19" s="19" t="s">
        <v>204</v>
      </c>
      <c r="C19" s="19"/>
      <c r="E19" s="49"/>
      <c r="G19" s="49"/>
      <c r="I19" s="49"/>
      <c r="K19" s="49"/>
      <c r="M19" s="64">
        <v>-350000</v>
      </c>
      <c r="O19" s="66">
        <v>0</v>
      </c>
      <c r="Q19" s="66">
        <v>0</v>
      </c>
      <c r="S19" s="66">
        <v>4300</v>
      </c>
      <c r="U19" s="64"/>
      <c r="W19" s="66">
        <f>+U25</f>
        <v>17400</v>
      </c>
      <c r="Y19" s="66"/>
      <c r="AA19" s="66">
        <v>75050</v>
      </c>
      <c r="AC19" s="66"/>
      <c r="AE19" s="66">
        <v>0</v>
      </c>
      <c r="AG19" s="64">
        <v>-100000</v>
      </c>
      <c r="AI19" s="66">
        <v>0</v>
      </c>
      <c r="AK19" s="66">
        <v>0</v>
      </c>
      <c r="AM19" s="66">
        <v>-100000</v>
      </c>
      <c r="AO19" s="66"/>
      <c r="AQ19" s="66">
        <f>'16mar'!$F$11</f>
        <v>99000</v>
      </c>
      <c r="AS19" s="66">
        <v>-250000</v>
      </c>
      <c r="AU19" s="66">
        <v>0</v>
      </c>
      <c r="AW19" s="66">
        <v>0</v>
      </c>
      <c r="AY19" s="66">
        <v>-230000</v>
      </c>
      <c r="BA19" s="66"/>
      <c r="BC19" s="66"/>
      <c r="BE19" s="66"/>
    </row>
    <row r="20" spans="1:57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6">
        <v>105000</v>
      </c>
      <c r="U20" s="31">
        <v>260000</v>
      </c>
      <c r="W20" s="31">
        <v>143500</v>
      </c>
      <c r="Y20" s="31"/>
      <c r="AA20" s="31">
        <v>123500</v>
      </c>
      <c r="AC20" s="66">
        <v>172500</v>
      </c>
      <c r="AE20" s="66">
        <v>51000</v>
      </c>
      <c r="AG20" s="66">
        <v>335500</v>
      </c>
      <c r="AI20" s="66">
        <v>67000</v>
      </c>
      <c r="AK20" s="66">
        <f>Registros!$C$13</f>
        <v>132500</v>
      </c>
      <c r="AM20" s="66">
        <v>271000</v>
      </c>
      <c r="AO20" s="91">
        <v>99000</v>
      </c>
      <c r="AQ20" s="91"/>
      <c r="AS20" s="91">
        <v>176500</v>
      </c>
      <c r="AU20" s="91">
        <v>77250</v>
      </c>
      <c r="AW20" s="91">
        <v>207700</v>
      </c>
      <c r="AY20" s="66">
        <v>107000</v>
      </c>
      <c r="BA20" s="91">
        <v>130000</v>
      </c>
      <c r="BC20" s="66"/>
      <c r="BE20" s="66"/>
    </row>
    <row r="21" spans="1:57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49">
        <f>10000+20000+26850</f>
        <v>56850</v>
      </c>
      <c r="AC21" s="49">
        <v>30000</v>
      </c>
      <c r="AE21" s="49">
        <v>0</v>
      </c>
      <c r="AG21" s="49">
        <f>140000+1000+20500+55800+43800+40000</f>
        <v>301100</v>
      </c>
      <c r="AI21" s="66">
        <f>4500+21600</f>
        <v>26100</v>
      </c>
      <c r="AK21" s="66"/>
      <c r="AM21" s="66">
        <f>30000+120000+50000+51500</f>
        <v>251500</v>
      </c>
      <c r="AO21" s="66">
        <f>Gas!$C$15</f>
        <v>221350</v>
      </c>
      <c r="AQ21" s="66">
        <v>15000</v>
      </c>
      <c r="AS21" s="66"/>
      <c r="AU21" s="66"/>
      <c r="AW21" s="66">
        <f>13500+7800+27950</f>
        <v>49250</v>
      </c>
      <c r="AY21" s="66">
        <f>30000+70000</f>
        <v>100000</v>
      </c>
      <c r="BA21" s="66"/>
      <c r="BC21" s="66"/>
      <c r="BE21" s="66"/>
    </row>
    <row r="22" spans="1:57" ht="16.5" thickTop="1" thickBot="1" x14ac:dyDescent="0.3">
      <c r="A22" s="19" t="s">
        <v>307</v>
      </c>
      <c r="C22" s="82"/>
      <c r="E22" s="49"/>
      <c r="G22" s="49"/>
      <c r="I22" s="49"/>
      <c r="K22" s="49"/>
      <c r="M22" s="49"/>
      <c r="O22" s="49"/>
      <c r="Q22" s="49"/>
      <c r="S22" s="49"/>
      <c r="U22" s="49"/>
      <c r="W22" s="49"/>
      <c r="Y22" s="49"/>
      <c r="AA22" s="50">
        <v>100000</v>
      </c>
      <c r="AC22" s="50">
        <v>82000</v>
      </c>
      <c r="AE22" s="50">
        <v>0</v>
      </c>
      <c r="AG22" s="50">
        <v>0</v>
      </c>
      <c r="AI22" s="50">
        <f>4000+51350</f>
        <v>55350</v>
      </c>
      <c r="AK22" s="50"/>
      <c r="AM22" s="50"/>
      <c r="AO22" s="50"/>
      <c r="AQ22" s="50"/>
      <c r="AS22" s="50">
        <v>3000</v>
      </c>
      <c r="AU22" s="50">
        <v>0</v>
      </c>
      <c r="AW22" s="50">
        <v>0</v>
      </c>
      <c r="AY22" s="50">
        <v>0</v>
      </c>
      <c r="BA22" s="50">
        <v>0</v>
      </c>
      <c r="BC22" s="50">
        <v>0</v>
      </c>
      <c r="BE22" s="50">
        <v>0</v>
      </c>
    </row>
    <row r="23" spans="1:57" ht="15.75" thickTop="1" x14ac:dyDescent="0.25">
      <c r="C23" s="18">
        <f>+C18+C20-C21</f>
        <v>205600</v>
      </c>
      <c r="E23" s="18">
        <f>+E18+E20-E21</f>
        <v>315600</v>
      </c>
      <c r="G23" s="13">
        <f>+G18+G20-G21</f>
        <v>432900</v>
      </c>
      <c r="I23" s="13">
        <f>+I18+I20-I21</f>
        <v>432900</v>
      </c>
      <c r="K23" s="13">
        <f>+K18+K20-K21</f>
        <v>43100</v>
      </c>
      <c r="M23" s="13">
        <f>+SUM(M18:M20)-M21</f>
        <v>135100</v>
      </c>
      <c r="O23" s="13">
        <f>+SUM(O18:O20)-O21</f>
        <v>141400</v>
      </c>
      <c r="Q23" s="13">
        <f>+SUM(Q18:Q20)-Q21</f>
        <v>201400</v>
      </c>
      <c r="S23" s="13">
        <f>+SUM(S18:S20)-S21</f>
        <v>252000</v>
      </c>
      <c r="U23" s="13">
        <f>+SUM(U18:U20)-U21</f>
        <v>103550</v>
      </c>
      <c r="W23" s="13">
        <f>+SUM(W18:W20)-W21</f>
        <v>179050</v>
      </c>
      <c r="Y23" s="13">
        <f>+SUM(Y18:Y20)-Y21</f>
        <v>179050</v>
      </c>
      <c r="AA23" s="13">
        <f>+SUM(AA18:AA20)-SUM(AA21:AA22)</f>
        <v>127700</v>
      </c>
      <c r="AC23" s="13">
        <f>+SUM(AC18:AC20)-SUM(AC21:AC22)</f>
        <v>202150</v>
      </c>
      <c r="AE23" s="13">
        <f>+SUM(AE18:AE20)-SUM(AE21:AE22)</f>
        <v>151000</v>
      </c>
      <c r="AG23" s="13">
        <f>+SUM(AG18:AG20)-SUM(AG21:AG22)</f>
        <v>85400</v>
      </c>
      <c r="AI23" s="13">
        <f>+SUM(AI18:AI20)-SUM(AI21:AI22)</f>
        <v>91750</v>
      </c>
      <c r="AK23" s="13">
        <f>+SUM(AK18:AK20)-SUM(AK21:AK22)</f>
        <v>216750</v>
      </c>
      <c r="AM23" s="13">
        <f>+SUM(AM18:AM20)-SUM(AM21:AM22)</f>
        <v>136250</v>
      </c>
      <c r="AO23" s="13">
        <f>+SUM(AO18:AO20)-SUM(AO21:AO22)</f>
        <v>81000</v>
      </c>
      <c r="AQ23" s="13">
        <f>+SUM(AQ18:AQ20)-SUM(AQ21:AQ22)</f>
        <v>172000</v>
      </c>
      <c r="AS23" s="13">
        <f>+SUM(AS18:AS20)-SUM(AS21:AS22)</f>
        <v>95500</v>
      </c>
      <c r="AU23" s="13">
        <f>+SUM(AU18:AU20)-SUM(AU21:AU22)</f>
        <v>172750</v>
      </c>
      <c r="AW23" s="13">
        <f>+SUM(AW18:AW20)-SUM(AW21:AW22)</f>
        <v>331200</v>
      </c>
      <c r="AY23" s="13">
        <f>+SUM(AY18:AY20)-SUM(AY21:AY22)</f>
        <v>108200</v>
      </c>
      <c r="BA23" s="13">
        <f>+SUM(BA18:BA20)-SUM(BA21:BA22)</f>
        <v>238200</v>
      </c>
      <c r="BC23" s="13">
        <f>+SUM(BC18:BC20)-SUM(BC21:BC22)</f>
        <v>144700</v>
      </c>
      <c r="BE23" s="13">
        <f>+SUM(BE18:BE20)-SUM(BE21:BE22)</f>
        <v>108200</v>
      </c>
    </row>
    <row r="25" spans="1:57" x14ac:dyDescent="0.25">
      <c r="A25" s="57" t="s">
        <v>197</v>
      </c>
      <c r="C25" s="58">
        <f>C14-C23</f>
        <v>0</v>
      </c>
      <c r="D25" s="58"/>
      <c r="E25" s="58">
        <f>E14-E23</f>
        <v>-76000</v>
      </c>
      <c r="F25" s="58"/>
      <c r="G25" s="58">
        <f>G14-G23</f>
        <v>-432900</v>
      </c>
      <c r="H25" s="58"/>
      <c r="I25" s="58">
        <f>I14-I23</f>
        <v>-27900</v>
      </c>
      <c r="J25" s="58"/>
      <c r="K25" s="58">
        <f>K14-K23</f>
        <v>177100</v>
      </c>
      <c r="L25" s="58"/>
      <c r="M25" s="58">
        <f>M14-M23</f>
        <v>6300</v>
      </c>
      <c r="N25" s="58"/>
      <c r="O25" s="58">
        <f>O14-O23</f>
        <v>0</v>
      </c>
      <c r="P25" s="58"/>
      <c r="Q25" s="58">
        <f>Q14-Q23</f>
        <v>-13800</v>
      </c>
      <c r="R25" s="58"/>
      <c r="S25" s="58">
        <f>S14-S23</f>
        <v>-252000</v>
      </c>
      <c r="T25" s="58"/>
      <c r="U25" s="58">
        <f>U14-U23</f>
        <v>17400</v>
      </c>
      <c r="V25" s="58"/>
      <c r="W25" s="58">
        <f>W14-W23</f>
        <v>-4000</v>
      </c>
      <c r="X25" s="58"/>
      <c r="Y25" s="58">
        <f>Y14-Y23</f>
        <v>-93050</v>
      </c>
      <c r="Z25" s="58"/>
      <c r="AA25" s="58">
        <f>AA14-AA23</f>
        <v>13950</v>
      </c>
      <c r="AB25" s="58"/>
      <c r="AC25" s="58">
        <f>AC14-AC23</f>
        <v>102600</v>
      </c>
      <c r="AD25" s="58"/>
      <c r="AE25" s="84">
        <f>AE14-AE23</f>
        <v>0</v>
      </c>
      <c r="AF25" s="58"/>
      <c r="AG25" s="58">
        <f>AG14-AG23</f>
        <v>20800</v>
      </c>
      <c r="AH25" s="58"/>
      <c r="AI25" s="58">
        <f>AI14-AI23</f>
        <v>-7500</v>
      </c>
      <c r="AJ25" s="58"/>
      <c r="AK25" s="58">
        <f>AK14-AK23</f>
        <v>-216750</v>
      </c>
      <c r="AL25" s="58"/>
      <c r="AM25" s="58">
        <f>AM14-AM23</f>
        <v>67100</v>
      </c>
      <c r="AN25" s="58"/>
      <c r="AO25" s="58">
        <f>AO14-AO23</f>
        <v>7000</v>
      </c>
      <c r="AP25" s="58"/>
      <c r="AQ25" s="58">
        <f>AQ14-AQ23</f>
        <v>-172000</v>
      </c>
      <c r="AR25" s="58"/>
      <c r="AS25" s="58">
        <f>AS14-AS23</f>
        <v>0</v>
      </c>
      <c r="AT25" s="58"/>
      <c r="AU25" s="58">
        <f>AU14-AU23</f>
        <v>0</v>
      </c>
      <c r="AV25" s="58"/>
      <c r="AW25" s="58">
        <f>AW14-AW23</f>
        <v>0</v>
      </c>
      <c r="AX25" s="58"/>
      <c r="AY25" s="58">
        <f>AY14-AY23</f>
        <v>0</v>
      </c>
      <c r="AZ25" s="58"/>
      <c r="BA25" s="58">
        <f>BA14-BA23</f>
        <v>-93500</v>
      </c>
      <c r="BB25" s="58"/>
      <c r="BC25" s="58">
        <f>BC14-BC23</f>
        <v>-144700</v>
      </c>
      <c r="BD25" s="58"/>
      <c r="BE25" s="58">
        <f>BE14-BE23</f>
        <v>-108200</v>
      </c>
    </row>
    <row r="26" spans="1:57" x14ac:dyDescent="0.25">
      <c r="A26"/>
    </row>
    <row r="27" spans="1:57" x14ac:dyDescent="0.25">
      <c r="A27" s="19" t="s">
        <v>327</v>
      </c>
      <c r="AE27" s="66">
        <f>100000-12050</f>
        <v>87950</v>
      </c>
      <c r="AG27" s="66">
        <f>100000-12050</f>
        <v>87950</v>
      </c>
      <c r="AI27" s="66">
        <f>+AG27-43000</f>
        <v>44950</v>
      </c>
      <c r="AK27" s="66">
        <f>+AI27</f>
        <v>44950</v>
      </c>
      <c r="AM27" s="66">
        <f>+AK27+100000</f>
        <v>144950</v>
      </c>
      <c r="AO27" s="66">
        <f>+AM27-50000</f>
        <v>94950</v>
      </c>
      <c r="AQ27" s="66">
        <f>+AO27</f>
        <v>94950</v>
      </c>
      <c r="AS27" s="66">
        <f>+AQ27-AS19</f>
        <v>344950</v>
      </c>
      <c r="AU27" s="66">
        <v>0</v>
      </c>
      <c r="AW27" s="66">
        <v>0</v>
      </c>
      <c r="AY27" s="66">
        <v>0</v>
      </c>
      <c r="BA27" s="66">
        <v>0</v>
      </c>
      <c r="BC27" s="66">
        <v>0</v>
      </c>
      <c r="BE27" s="66">
        <v>0</v>
      </c>
    </row>
    <row r="28" spans="1:57" x14ac:dyDescent="0.25">
      <c r="A28" s="19" t="s">
        <v>326</v>
      </c>
      <c r="W28">
        <v>75050</v>
      </c>
      <c r="Y28">
        <v>75050</v>
      </c>
      <c r="AG28" s="66">
        <v>100000</v>
      </c>
      <c r="AI28" s="66">
        <v>0</v>
      </c>
      <c r="AK28" s="66">
        <v>0</v>
      </c>
      <c r="AM28" s="66">
        <v>0</v>
      </c>
      <c r="AO28" s="66">
        <v>0</v>
      </c>
      <c r="AQ28" s="66">
        <v>0</v>
      </c>
      <c r="AS28" s="66">
        <v>0</v>
      </c>
      <c r="AU28" s="66">
        <v>0</v>
      </c>
      <c r="AW28" s="66">
        <v>0</v>
      </c>
      <c r="AY28" s="66">
        <v>0</v>
      </c>
      <c r="BA28" s="66">
        <v>0</v>
      </c>
      <c r="BC28" s="66">
        <v>0</v>
      </c>
      <c r="BE28" s="66">
        <v>0</v>
      </c>
    </row>
    <row r="30" spans="1:57" x14ac:dyDescent="0.25">
      <c r="A30" s="89" t="s">
        <v>548</v>
      </c>
      <c r="B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89">
        <f>+(32000-2000)+11000+90000+3650</f>
        <v>134650</v>
      </c>
      <c r="AF30" s="3"/>
      <c r="AG30" s="89">
        <v>113000</v>
      </c>
      <c r="AH30" s="3"/>
      <c r="AI30" s="89">
        <v>94000</v>
      </c>
      <c r="AJ30" s="3"/>
      <c r="AK30" s="89">
        <v>0</v>
      </c>
      <c r="AL30" s="3"/>
      <c r="AM30" s="89">
        <f>+(98000-5000)</f>
        <v>93000</v>
      </c>
      <c r="AN30" s="3"/>
      <c r="AO30" s="89">
        <f>19000+(45000-9000)</f>
        <v>55000</v>
      </c>
      <c r="AP30" s="3"/>
      <c r="AQ30" s="89">
        <f>11000+10000</f>
        <v>21000</v>
      </c>
      <c r="AR30" s="3"/>
      <c r="AS30" s="89">
        <v>78000</v>
      </c>
      <c r="AT30" s="3"/>
      <c r="AU30" s="89">
        <f>8000*4-109500</f>
        <v>-77500</v>
      </c>
      <c r="AV30" s="3"/>
      <c r="AW30" s="89">
        <v>169800</v>
      </c>
      <c r="AX30" s="3"/>
      <c r="AY30" s="89">
        <v>65700</v>
      </c>
      <c r="AZ30" s="3"/>
      <c r="BA30" s="89">
        <v>11000</v>
      </c>
      <c r="BB30" s="3"/>
      <c r="BC30" s="89"/>
      <c r="BD30" s="3"/>
      <c r="BE30" s="89"/>
    </row>
    <row r="31" spans="1:57" x14ac:dyDescent="0.25">
      <c r="A31" s="89" t="s">
        <v>558</v>
      </c>
      <c r="B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89"/>
      <c r="AF31" s="3"/>
      <c r="AG31" s="89"/>
      <c r="AH31" s="3"/>
      <c r="AI31" s="89"/>
      <c r="AJ31" s="3"/>
      <c r="AK31" s="89"/>
      <c r="AL31" s="3"/>
      <c r="AM31" s="89"/>
      <c r="AN31" s="3"/>
      <c r="AO31" s="89"/>
      <c r="AP31" s="3"/>
      <c r="AQ31" s="89"/>
      <c r="AR31" s="3"/>
      <c r="AS31" s="89"/>
      <c r="AT31" s="3"/>
      <c r="AU31" s="89"/>
      <c r="AV31" s="3"/>
      <c r="AW31" s="89">
        <v>-454000</v>
      </c>
      <c r="AX31" s="3"/>
      <c r="AY31" s="89">
        <f>230000-21000</f>
        <v>209000</v>
      </c>
      <c r="AZ31" s="3"/>
      <c r="BA31" s="89">
        <v>0</v>
      </c>
      <c r="BB31" s="3"/>
      <c r="BC31" s="89"/>
      <c r="BD31" s="3"/>
      <c r="BE31" s="89"/>
    </row>
    <row r="32" spans="1:57" x14ac:dyDescent="0.25">
      <c r="A32" s="89" t="s">
        <v>404</v>
      </c>
      <c r="B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89">
        <f>+AE30</f>
        <v>134650</v>
      </c>
      <c r="AF32" s="3"/>
      <c r="AG32" s="89">
        <f>+AG30+AE32</f>
        <v>247650</v>
      </c>
      <c r="AH32" s="3"/>
      <c r="AI32" s="89">
        <f>+AI30+AG32</f>
        <v>341650</v>
      </c>
      <c r="AJ32" s="3"/>
      <c r="AK32" s="89">
        <f>+AK30+AI32</f>
        <v>341650</v>
      </c>
      <c r="AL32" s="3"/>
      <c r="AM32" s="89">
        <f>+AM30+AK32</f>
        <v>434650</v>
      </c>
      <c r="AN32" s="3"/>
      <c r="AO32" s="89">
        <f>+AO30+AM32</f>
        <v>489650</v>
      </c>
      <c r="AP32" s="3"/>
      <c r="AQ32" s="89">
        <f>+AQ30+AO32</f>
        <v>510650</v>
      </c>
      <c r="AR32" s="3"/>
      <c r="AS32" s="89">
        <f>+AS30+AQ32-(40000+20000)</f>
        <v>528650</v>
      </c>
      <c r="AT32" s="3"/>
      <c r="AU32" s="89">
        <f>+AS32+AS27-40000-40000+AU30</f>
        <v>716100</v>
      </c>
      <c r="AV32" s="3"/>
      <c r="AW32" s="89">
        <f>+AU32+SUM(AW30:AW31)</f>
        <v>431900</v>
      </c>
      <c r="AX32" s="3"/>
      <c r="AY32" s="89">
        <f>+AW32+SUM(AY30:AY31)</f>
        <v>706600</v>
      </c>
      <c r="AZ32" s="3"/>
      <c r="BA32" s="89">
        <f>+AY32+SUM(BA30:BA31)</f>
        <v>717600</v>
      </c>
      <c r="BB32" s="3"/>
      <c r="BC32" s="89">
        <f>+BA32+SUM(BC30:BC31)</f>
        <v>717600</v>
      </c>
      <c r="BD32" s="3"/>
      <c r="BE32" s="89">
        <f>+BC32+SUM(BE30:BE31)</f>
        <v>717600</v>
      </c>
    </row>
    <row r="33" spans="1:57" x14ac:dyDescent="0.25">
      <c r="A33" s="90" t="s">
        <v>393</v>
      </c>
      <c r="B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90">
        <v>0</v>
      </c>
      <c r="AF33" s="3"/>
      <c r="AG33" s="90">
        <f>22000+1000</f>
        <v>23000</v>
      </c>
      <c r="AH33" s="3"/>
      <c r="AI33" s="90">
        <v>82000</v>
      </c>
      <c r="AJ33" s="3"/>
      <c r="AK33" s="90">
        <v>0</v>
      </c>
      <c r="AL33" s="3"/>
      <c r="AM33" s="90">
        <f>23000</f>
        <v>23000</v>
      </c>
      <c r="AN33" s="3"/>
      <c r="AO33" s="90">
        <v>0</v>
      </c>
      <c r="AP33" s="3"/>
      <c r="AQ33" s="90">
        <v>0</v>
      </c>
      <c r="AR33" s="3"/>
      <c r="AS33" s="90">
        <f>15000+8000</f>
        <v>23000</v>
      </c>
      <c r="AT33" s="3"/>
      <c r="AU33" s="90">
        <v>0</v>
      </c>
      <c r="AV33" s="3"/>
      <c r="AW33" s="90">
        <v>11000</v>
      </c>
      <c r="AX33" s="3"/>
      <c r="AY33" s="90">
        <v>0</v>
      </c>
      <c r="AZ33" s="3"/>
      <c r="BA33" s="90">
        <v>0</v>
      </c>
      <c r="BB33" s="3"/>
      <c r="BC33" s="90">
        <v>0</v>
      </c>
      <c r="BD33" s="3"/>
      <c r="BE33" s="90">
        <v>0</v>
      </c>
    </row>
    <row r="34" spans="1:57" x14ac:dyDescent="0.25">
      <c r="A34" s="90" t="s">
        <v>403</v>
      </c>
      <c r="B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90">
        <v>0</v>
      </c>
      <c r="AF34" s="3"/>
      <c r="AG34" s="90">
        <f>+AG33</f>
        <v>23000</v>
      </c>
      <c r="AH34" s="3"/>
      <c r="AI34" s="90">
        <f>+AI33+AG34</f>
        <v>105000</v>
      </c>
      <c r="AJ34" s="3"/>
      <c r="AK34" s="90">
        <f>+AK33+AI34</f>
        <v>105000</v>
      </c>
      <c r="AL34" s="3"/>
      <c r="AM34" s="90">
        <f>+AM33+AK34</f>
        <v>128000</v>
      </c>
      <c r="AN34" s="3"/>
      <c r="AO34" s="90">
        <f>+AO33+AM34</f>
        <v>128000</v>
      </c>
      <c r="AP34" s="3"/>
      <c r="AQ34" s="90">
        <f>+AQ33+AO34</f>
        <v>128000</v>
      </c>
      <c r="AR34" s="3"/>
      <c r="AS34" s="90">
        <f>+AS33+AQ34</f>
        <v>151000</v>
      </c>
      <c r="AT34" s="3"/>
      <c r="AU34" s="90">
        <f>+AU33+AS34</f>
        <v>151000</v>
      </c>
      <c r="AV34" s="3"/>
      <c r="AW34" s="90">
        <f>+AW33+AU34</f>
        <v>162000</v>
      </c>
      <c r="AX34" s="3"/>
      <c r="AY34" s="90">
        <f>+AY33+AW34</f>
        <v>162000</v>
      </c>
      <c r="AZ34" s="3"/>
      <c r="BA34" s="90">
        <f>+BA33+AY34</f>
        <v>162000</v>
      </c>
      <c r="BB34" s="3"/>
      <c r="BC34" s="90">
        <f>+BC33+BA34</f>
        <v>162000</v>
      </c>
      <c r="BD34" s="3"/>
      <c r="BE34" s="90">
        <f>+BE33+BC34</f>
        <v>162000</v>
      </c>
    </row>
    <row r="36" spans="1:57" x14ac:dyDescent="0.25">
      <c r="A36" s="76" t="s">
        <v>138</v>
      </c>
      <c r="AW36" s="116">
        <f>+AW20+AW30+AW33</f>
        <v>388500</v>
      </c>
      <c r="AY36" s="116">
        <f>+AY20+AY30+AY33</f>
        <v>172700</v>
      </c>
      <c r="BA36" s="116">
        <f>+BA20+BA30+BA33</f>
        <v>141000</v>
      </c>
      <c r="BC36" s="116">
        <f>+BC20+BC30+BC33</f>
        <v>0</v>
      </c>
      <c r="BE36" s="116">
        <f>+BE20+BE30+BE33</f>
        <v>0</v>
      </c>
    </row>
    <row r="38" spans="1:57" x14ac:dyDescent="0.25">
      <c r="A38" s="16" t="s">
        <v>405</v>
      </c>
      <c r="B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89"/>
      <c r="AH38" s="3"/>
      <c r="AI38" s="89">
        <v>24000</v>
      </c>
      <c r="AJ38" s="3"/>
      <c r="AK38" s="89">
        <f>16000+AI38</f>
        <v>40000</v>
      </c>
      <c r="AL38" s="3"/>
      <c r="AM38" s="16">
        <f>8000*5</f>
        <v>40000</v>
      </c>
      <c r="AN38" s="3"/>
      <c r="AO38" s="89"/>
      <c r="AP38" s="3"/>
      <c r="AQ38" s="16">
        <f>16000+AM38</f>
        <v>56000</v>
      </c>
      <c r="AR38" s="3"/>
      <c r="AS38" s="89"/>
      <c r="AT38" s="3"/>
      <c r="AU38" s="89"/>
      <c r="AV38" s="3"/>
      <c r="AW38" s="89"/>
      <c r="AX38" s="3"/>
      <c r="AY38" s="89"/>
      <c r="AZ38" s="3"/>
      <c r="BA38" s="89"/>
      <c r="BB38" s="3"/>
      <c r="BC38" s="89"/>
      <c r="BD38" s="3"/>
      <c r="BE38" s="89"/>
    </row>
    <row r="39" spans="1:57" x14ac:dyDescent="0.25">
      <c r="A39" s="16" t="s">
        <v>401</v>
      </c>
      <c r="AY39" s="3">
        <v>423300</v>
      </c>
      <c r="BA39" s="13">
        <f>+AY39</f>
        <v>423300</v>
      </c>
      <c r="BC39" s="13">
        <f>+BA39</f>
        <v>423300</v>
      </c>
      <c r="BE39" s="13">
        <f>+BC39</f>
        <v>423300</v>
      </c>
    </row>
    <row r="41" spans="1:57" x14ac:dyDescent="0.25">
      <c r="AM41" s="13">
        <f>+SUM(AM23,AM27,AM32,AM34)</f>
        <v>843850</v>
      </c>
    </row>
    <row r="43" spans="1:57" x14ac:dyDescent="0.25">
      <c r="AM43" s="13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1:M113"/>
  <sheetViews>
    <sheetView zoomScale="115" zoomScaleNormal="115" workbookViewId="0">
      <pane ySplit="5" topLeftCell="A107" activePane="bottomLeft" state="frozen"/>
      <selection activeCell="C1" sqref="C1"/>
      <selection pane="bottomLeft" activeCell="E116" sqref="E116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4" width="13.85546875" style="58" customWidth="1"/>
    <col min="5" max="5" width="10.42578125" style="3" bestFit="1" customWidth="1"/>
    <col min="6" max="6" width="8" style="3" bestFit="1" customWidth="1"/>
    <col min="7" max="7" width="11.7109375" style="3" bestFit="1" customWidth="1"/>
    <col min="9" max="9" width="56" bestFit="1" customWidth="1"/>
    <col min="10" max="10" width="13.42578125" customWidth="1"/>
    <col min="13" max="13" width="11.140625" bestFit="1" customWidth="1"/>
  </cols>
  <sheetData>
    <row r="1" spans="1:10" x14ac:dyDescent="0.25">
      <c r="A1" s="13"/>
      <c r="C1" s="32" t="s">
        <v>142</v>
      </c>
      <c r="D1" s="3">
        <f>+SUMIF($H$6:$H$1048576,C1,$D$6:$D$1048576)</f>
        <v>717600</v>
      </c>
    </row>
    <row r="2" spans="1:10" ht="15.75" thickBot="1" x14ac:dyDescent="0.3">
      <c r="C2" s="33" t="s">
        <v>147</v>
      </c>
      <c r="D2" s="28">
        <f>+SUMIF($H$6:$H$1048576,C2,$D$6:$D$1048576)</f>
        <v>162000</v>
      </c>
    </row>
    <row r="3" spans="1:10" ht="15.75" thickTop="1" x14ac:dyDescent="0.25">
      <c r="D3" s="3">
        <f>+SUM(D6:D1048576)</f>
        <v>922600</v>
      </c>
      <c r="H3" s="22" t="s">
        <v>127</v>
      </c>
    </row>
    <row r="4" spans="1:10" x14ac:dyDescent="0.25">
      <c r="D4" s="3"/>
    </row>
    <row r="5" spans="1:10" x14ac:dyDescent="0.25">
      <c r="A5" s="36" t="s">
        <v>5</v>
      </c>
      <c r="B5" s="36" t="s">
        <v>376</v>
      </c>
      <c r="C5" s="36" t="s">
        <v>157</v>
      </c>
      <c r="D5" s="37" t="s">
        <v>6</v>
      </c>
      <c r="E5" s="37" t="s">
        <v>223</v>
      </c>
      <c r="F5" s="37" t="s">
        <v>222</v>
      </c>
      <c r="G5" s="37"/>
      <c r="H5" s="36" t="s">
        <v>156</v>
      </c>
      <c r="I5" s="36" t="s">
        <v>155</v>
      </c>
      <c r="J5" s="36" t="s">
        <v>154</v>
      </c>
    </row>
    <row r="6" spans="1:10" x14ac:dyDescent="0.25">
      <c r="A6" s="2">
        <v>46076</v>
      </c>
      <c r="B6" s="2" t="str">
        <f t="shared" ref="B6:B17" si="0">+TEXT(A6,"ddd")</f>
        <v>lun</v>
      </c>
      <c r="C6" s="34">
        <v>0.72986111111111107</v>
      </c>
      <c r="D6" s="58">
        <v>6500</v>
      </c>
      <c r="E6" s="3" t="s">
        <v>222</v>
      </c>
      <c r="H6" s="32" t="s">
        <v>142</v>
      </c>
      <c r="I6" s="1" t="s">
        <v>143</v>
      </c>
      <c r="J6" t="s">
        <v>215</v>
      </c>
    </row>
    <row r="7" spans="1:10" x14ac:dyDescent="0.25">
      <c r="A7" s="2">
        <v>46076</v>
      </c>
      <c r="B7" s="2" t="str">
        <f t="shared" si="0"/>
        <v>lun</v>
      </c>
      <c r="C7" s="35"/>
      <c r="D7" s="58">
        <v>24000</v>
      </c>
      <c r="E7" s="3" t="s">
        <v>222</v>
      </c>
      <c r="H7" s="32" t="s">
        <v>142</v>
      </c>
      <c r="I7" s="1" t="s">
        <v>153</v>
      </c>
    </row>
    <row r="8" spans="1:10" x14ac:dyDescent="0.25">
      <c r="A8" s="2">
        <v>46077</v>
      </c>
      <c r="B8" s="2" t="str">
        <f t="shared" si="0"/>
        <v>mar</v>
      </c>
      <c r="C8" s="34">
        <v>0.79374999999999996</v>
      </c>
      <c r="D8" s="58">
        <v>3000</v>
      </c>
      <c r="E8" s="3" t="s">
        <v>222</v>
      </c>
      <c r="H8" s="32" t="s">
        <v>142</v>
      </c>
      <c r="I8" t="s">
        <v>152</v>
      </c>
    </row>
    <row r="9" spans="1:10" x14ac:dyDescent="0.25">
      <c r="A9" s="2">
        <v>46077</v>
      </c>
      <c r="B9" s="2" t="str">
        <f t="shared" si="0"/>
        <v>mar</v>
      </c>
      <c r="C9" s="34">
        <v>0.82777777777777772</v>
      </c>
      <c r="D9" s="58">
        <v>8000</v>
      </c>
      <c r="E9" s="3" t="s">
        <v>222</v>
      </c>
      <c r="H9" s="32" t="s">
        <v>142</v>
      </c>
      <c r="I9" t="s">
        <v>151</v>
      </c>
    </row>
    <row r="10" spans="1:10" x14ac:dyDescent="0.25">
      <c r="A10" s="2">
        <v>46078</v>
      </c>
      <c r="B10" s="2" t="str">
        <f t="shared" si="0"/>
        <v>mié</v>
      </c>
      <c r="C10" s="34">
        <v>0.69444444444444442</v>
      </c>
      <c r="D10" s="58">
        <v>8000</v>
      </c>
      <c r="E10" s="3" t="s">
        <v>222</v>
      </c>
      <c r="H10" s="32" t="s">
        <v>142</v>
      </c>
      <c r="I10" t="s">
        <v>150</v>
      </c>
    </row>
    <row r="11" spans="1:10" x14ac:dyDescent="0.25">
      <c r="A11" s="2">
        <v>46078</v>
      </c>
      <c r="B11" s="2" t="str">
        <f t="shared" si="0"/>
        <v>mié</v>
      </c>
      <c r="C11" s="34">
        <v>0.7944444444444444</v>
      </c>
      <c r="D11" s="58">
        <v>8000</v>
      </c>
      <c r="E11" s="3" t="s">
        <v>222</v>
      </c>
      <c r="H11" s="32" t="s">
        <v>142</v>
      </c>
      <c r="I11" t="s">
        <v>149</v>
      </c>
      <c r="J11" t="s">
        <v>214</v>
      </c>
    </row>
    <row r="12" spans="1:10" x14ac:dyDescent="0.25">
      <c r="A12" s="2">
        <v>46078</v>
      </c>
      <c r="B12" s="2" t="str">
        <f t="shared" si="0"/>
        <v>mié</v>
      </c>
      <c r="C12" s="34">
        <v>0.80694444444444446</v>
      </c>
      <c r="D12" s="58">
        <v>22500</v>
      </c>
      <c r="E12" s="3" t="s">
        <v>222</v>
      </c>
      <c r="H12" s="32" t="s">
        <v>142</v>
      </c>
      <c r="I12" s="1" t="s">
        <v>143</v>
      </c>
      <c r="J12" t="s">
        <v>215</v>
      </c>
    </row>
    <row r="13" spans="1:10" x14ac:dyDescent="0.25">
      <c r="A13" s="2">
        <v>46078</v>
      </c>
      <c r="B13" s="2" t="str">
        <f t="shared" si="0"/>
        <v>mié</v>
      </c>
      <c r="C13" s="34">
        <v>0.83958333333333335</v>
      </c>
      <c r="D13" s="58">
        <v>8000</v>
      </c>
      <c r="E13" s="3" t="s">
        <v>222</v>
      </c>
      <c r="H13" s="32" t="s">
        <v>142</v>
      </c>
      <c r="I13" t="s">
        <v>148</v>
      </c>
    </row>
    <row r="14" spans="1:10" x14ac:dyDescent="0.25">
      <c r="A14" s="2">
        <v>46078</v>
      </c>
      <c r="B14" s="2" t="str">
        <f t="shared" si="0"/>
        <v>mié</v>
      </c>
      <c r="C14" s="34">
        <v>0.79374999999999996</v>
      </c>
      <c r="D14" s="58">
        <v>16000</v>
      </c>
      <c r="E14" s="3" t="s">
        <v>222</v>
      </c>
      <c r="H14" s="33" t="s">
        <v>147</v>
      </c>
      <c r="I14" t="s">
        <v>146</v>
      </c>
      <c r="J14" t="s">
        <v>147</v>
      </c>
    </row>
    <row r="15" spans="1:10" x14ac:dyDescent="0.25">
      <c r="A15" s="2">
        <v>46079</v>
      </c>
      <c r="B15" s="2" t="str">
        <f t="shared" si="0"/>
        <v>jue</v>
      </c>
      <c r="C15" s="34">
        <v>0.56458333333333333</v>
      </c>
      <c r="D15" s="58">
        <v>25000</v>
      </c>
      <c r="E15" s="3" t="s">
        <v>222</v>
      </c>
      <c r="H15" s="32" t="s">
        <v>142</v>
      </c>
      <c r="I15" t="s">
        <v>145</v>
      </c>
      <c r="J15" t="s">
        <v>144</v>
      </c>
    </row>
    <row r="16" spans="1:10" x14ac:dyDescent="0.25">
      <c r="A16" s="2">
        <v>46079</v>
      </c>
      <c r="B16" s="2" t="str">
        <f t="shared" si="0"/>
        <v>jue</v>
      </c>
      <c r="C16" s="34">
        <v>0.84513888888888888</v>
      </c>
      <c r="D16" s="58">
        <v>51000</v>
      </c>
      <c r="E16" s="3" t="s">
        <v>222</v>
      </c>
      <c r="H16" s="32" t="s">
        <v>142</v>
      </c>
      <c r="I16" s="1" t="s">
        <v>143</v>
      </c>
      <c r="J16" t="s">
        <v>215</v>
      </c>
    </row>
    <row r="17" spans="1:10" x14ac:dyDescent="0.25">
      <c r="A17" s="2">
        <v>46079</v>
      </c>
      <c r="B17" s="2" t="str">
        <f t="shared" si="0"/>
        <v>jue</v>
      </c>
      <c r="C17" s="34">
        <v>0.72777777777777775</v>
      </c>
      <c r="D17" s="110">
        <v>49000</v>
      </c>
      <c r="E17" s="3" t="s">
        <v>222</v>
      </c>
      <c r="H17" s="32" t="s">
        <v>142</v>
      </c>
      <c r="I17" t="s">
        <v>141</v>
      </c>
    </row>
    <row r="18" spans="1:10" x14ac:dyDescent="0.25">
      <c r="A18" s="2">
        <v>46080</v>
      </c>
      <c r="B18" s="2" t="str">
        <f t="shared" ref="B18:B22" si="1">+TEXT(A18,"ddd")</f>
        <v>vie</v>
      </c>
      <c r="C18" s="34">
        <v>0.82291666666666663</v>
      </c>
      <c r="D18" s="110">
        <v>11000</v>
      </c>
      <c r="E18" s="3" t="s">
        <v>222</v>
      </c>
      <c r="H18" s="33" t="s">
        <v>147</v>
      </c>
      <c r="I18" t="s">
        <v>146</v>
      </c>
      <c r="J18" t="s">
        <v>147</v>
      </c>
    </row>
    <row r="19" spans="1:10" x14ac:dyDescent="0.25">
      <c r="A19" s="2">
        <v>46080</v>
      </c>
      <c r="B19" s="2" t="str">
        <f t="shared" si="1"/>
        <v>vie</v>
      </c>
      <c r="C19" s="34">
        <v>0.84236111111111112</v>
      </c>
      <c r="D19" s="110">
        <v>10000</v>
      </c>
      <c r="E19" s="3" t="s">
        <v>222</v>
      </c>
      <c r="H19" s="32" t="s">
        <v>142</v>
      </c>
      <c r="I19" t="s">
        <v>198</v>
      </c>
    </row>
    <row r="20" spans="1:10" x14ac:dyDescent="0.25">
      <c r="A20" s="2">
        <v>46080</v>
      </c>
      <c r="B20" s="2" t="str">
        <f t="shared" si="1"/>
        <v>vie</v>
      </c>
      <c r="C20" s="34">
        <v>0.7631944444444444</v>
      </c>
      <c r="D20" s="110">
        <v>24000</v>
      </c>
      <c r="E20" s="3" t="s">
        <v>222</v>
      </c>
      <c r="H20" s="32" t="s">
        <v>142</v>
      </c>
      <c r="I20" t="s">
        <v>199</v>
      </c>
    </row>
    <row r="21" spans="1:10" x14ac:dyDescent="0.25">
      <c r="A21" s="2">
        <v>46080</v>
      </c>
      <c r="B21" s="2" t="str">
        <f t="shared" si="1"/>
        <v>vie</v>
      </c>
      <c r="C21" s="34">
        <v>0.75972222222222219</v>
      </c>
      <c r="D21" s="110">
        <v>11000</v>
      </c>
      <c r="E21" s="3" t="s">
        <v>222</v>
      </c>
      <c r="H21" s="32" t="s">
        <v>142</v>
      </c>
      <c r="I21" t="s">
        <v>200</v>
      </c>
    </row>
    <row r="22" spans="1:10" x14ac:dyDescent="0.25">
      <c r="A22" s="2">
        <v>46081</v>
      </c>
      <c r="B22" s="2" t="str">
        <f t="shared" si="1"/>
        <v>sáb</v>
      </c>
      <c r="C22" s="34"/>
      <c r="D22" s="110">
        <v>280000</v>
      </c>
      <c r="E22" s="3" t="s">
        <v>222</v>
      </c>
      <c r="H22" s="32" t="s">
        <v>142</v>
      </c>
      <c r="I22" t="s">
        <v>208</v>
      </c>
      <c r="J22" t="s">
        <v>216</v>
      </c>
    </row>
    <row r="23" spans="1:10" x14ac:dyDescent="0.25">
      <c r="A23" s="2">
        <v>46081</v>
      </c>
      <c r="B23" s="2" t="str">
        <f t="shared" ref="B23:B29" si="2">+TEXT(A23,"ddd")</f>
        <v>sáb</v>
      </c>
      <c r="C23" s="34">
        <v>0.79305555555555562</v>
      </c>
      <c r="D23" s="58">
        <v>18000</v>
      </c>
      <c r="E23" s="3" t="s">
        <v>222</v>
      </c>
      <c r="H23" s="32" t="s">
        <v>142</v>
      </c>
      <c r="I23" t="s">
        <v>209</v>
      </c>
      <c r="J23" t="s">
        <v>214</v>
      </c>
    </row>
    <row r="24" spans="1:10" x14ac:dyDescent="0.25">
      <c r="A24" s="2">
        <v>46081</v>
      </c>
      <c r="B24" s="2" t="str">
        <f t="shared" si="2"/>
        <v>sáb</v>
      </c>
      <c r="C24" s="34">
        <v>0.65208333333333335</v>
      </c>
      <c r="D24" s="58">
        <v>16000</v>
      </c>
      <c r="E24" s="3" t="s">
        <v>222</v>
      </c>
      <c r="H24" s="32" t="s">
        <v>142</v>
      </c>
      <c r="I24" t="s">
        <v>210</v>
      </c>
      <c r="J24" t="s">
        <v>212</v>
      </c>
    </row>
    <row r="25" spans="1:10" x14ac:dyDescent="0.25">
      <c r="A25" s="2">
        <v>46081</v>
      </c>
      <c r="B25" s="2" t="str">
        <f t="shared" si="2"/>
        <v>sáb</v>
      </c>
      <c r="C25" s="34">
        <v>0.65138888888888891</v>
      </c>
      <c r="D25" s="58">
        <v>13000</v>
      </c>
      <c r="E25" s="3" t="s">
        <v>222</v>
      </c>
      <c r="H25" s="32" t="s">
        <v>142</v>
      </c>
      <c r="I25" t="s">
        <v>198</v>
      </c>
      <c r="J25" t="s">
        <v>213</v>
      </c>
    </row>
    <row r="26" spans="1:10" x14ac:dyDescent="0.25">
      <c r="A26" s="2">
        <v>46084</v>
      </c>
      <c r="B26" s="2" t="str">
        <f t="shared" si="2"/>
        <v>mar</v>
      </c>
      <c r="C26" s="35"/>
      <c r="D26" s="111">
        <f>-(D18+D14)</f>
        <v>-27000</v>
      </c>
      <c r="E26" s="3" t="s">
        <v>224</v>
      </c>
      <c r="H26" s="33" t="s">
        <v>147</v>
      </c>
      <c r="I26" t="s">
        <v>225</v>
      </c>
    </row>
    <row r="27" spans="1:10" x14ac:dyDescent="0.25">
      <c r="A27" s="2">
        <v>46084</v>
      </c>
      <c r="B27" s="2" t="str">
        <f t="shared" si="2"/>
        <v>mar</v>
      </c>
      <c r="C27" s="35"/>
      <c r="D27" s="58">
        <v>27000</v>
      </c>
      <c r="E27" s="3" t="s">
        <v>224</v>
      </c>
      <c r="H27" s="32" t="s">
        <v>142</v>
      </c>
      <c r="I27" t="s">
        <v>225</v>
      </c>
    </row>
    <row r="28" spans="1:10" x14ac:dyDescent="0.25">
      <c r="A28" s="2">
        <v>46084</v>
      </c>
      <c r="B28" s="2" t="str">
        <f t="shared" si="2"/>
        <v>mar</v>
      </c>
      <c r="C28" s="1"/>
      <c r="D28" s="58">
        <v>-619850</v>
      </c>
      <c r="E28" s="3" t="s">
        <v>224</v>
      </c>
      <c r="H28" s="32" t="s">
        <v>142</v>
      </c>
      <c r="I28" t="s">
        <v>221</v>
      </c>
    </row>
    <row r="29" spans="1:10" x14ac:dyDescent="0.25">
      <c r="A29" s="2">
        <v>46084</v>
      </c>
      <c r="B29" s="2" t="str">
        <f t="shared" si="2"/>
        <v>mar</v>
      </c>
      <c r="C29" s="1"/>
      <c r="D29" s="58">
        <v>33000</v>
      </c>
      <c r="E29" s="3" t="s">
        <v>222</v>
      </c>
      <c r="H29" s="32" t="s">
        <v>142</v>
      </c>
      <c r="I29" t="s">
        <v>226</v>
      </c>
    </row>
    <row r="30" spans="1:10" x14ac:dyDescent="0.25">
      <c r="A30" s="2">
        <v>46085</v>
      </c>
      <c r="B30" s="2" t="str">
        <f t="shared" ref="B30:B40" si="3">+TEXT(A30,"ddd")</f>
        <v>mié</v>
      </c>
      <c r="D30" s="58">
        <v>19000</v>
      </c>
      <c r="E30" s="3" t="s">
        <v>222</v>
      </c>
      <c r="H30" s="32" t="s">
        <v>142</v>
      </c>
      <c r="I30" t="s">
        <v>261</v>
      </c>
    </row>
    <row r="31" spans="1:10" x14ac:dyDescent="0.25">
      <c r="A31" s="2">
        <v>46085</v>
      </c>
      <c r="B31" s="2" t="str">
        <f t="shared" si="3"/>
        <v>mié</v>
      </c>
      <c r="D31" s="58">
        <v>8000</v>
      </c>
      <c r="E31" s="3" t="s">
        <v>222</v>
      </c>
      <c r="H31" s="32" t="s">
        <v>142</v>
      </c>
      <c r="I31" t="s">
        <v>260</v>
      </c>
    </row>
    <row r="32" spans="1:10" x14ac:dyDescent="0.25">
      <c r="A32" s="2">
        <v>46085</v>
      </c>
      <c r="B32" s="2" t="str">
        <f t="shared" si="3"/>
        <v>mié</v>
      </c>
      <c r="D32" s="58">
        <v>18000</v>
      </c>
      <c r="E32" s="3" t="s">
        <v>222</v>
      </c>
      <c r="H32" s="32" t="s">
        <v>142</v>
      </c>
      <c r="I32" t="s">
        <v>259</v>
      </c>
    </row>
    <row r="33" spans="1:13" x14ac:dyDescent="0.25">
      <c r="A33" s="2">
        <v>46085</v>
      </c>
      <c r="B33" s="2" t="str">
        <f t="shared" si="3"/>
        <v>mié</v>
      </c>
      <c r="D33" s="58">
        <v>8000</v>
      </c>
      <c r="E33" s="3" t="s">
        <v>222</v>
      </c>
      <c r="H33" s="32" t="s">
        <v>142</v>
      </c>
      <c r="I33" t="s">
        <v>258</v>
      </c>
    </row>
    <row r="34" spans="1:13" x14ac:dyDescent="0.25">
      <c r="A34" s="2">
        <v>46085</v>
      </c>
      <c r="B34" s="2" t="str">
        <f t="shared" si="3"/>
        <v>mié</v>
      </c>
      <c r="D34" s="58">
        <v>64000</v>
      </c>
      <c r="E34" s="3" t="s">
        <v>222</v>
      </c>
      <c r="H34" s="32" t="s">
        <v>142</v>
      </c>
      <c r="I34" t="s">
        <v>257</v>
      </c>
      <c r="M34" s="3">
        <f>+SUM(D30:D34)</f>
        <v>117000</v>
      </c>
    </row>
    <row r="35" spans="1:13" x14ac:dyDescent="0.25">
      <c r="A35" s="2">
        <v>46086</v>
      </c>
      <c r="B35" s="2" t="str">
        <f t="shared" si="3"/>
        <v>jue</v>
      </c>
      <c r="D35" s="58">
        <v>30000</v>
      </c>
      <c r="E35" s="3" t="s">
        <v>222</v>
      </c>
      <c r="H35" s="32" t="s">
        <v>142</v>
      </c>
      <c r="I35" t="s">
        <v>266</v>
      </c>
      <c r="M35" s="3">
        <f>'Arqueo de Caja'!$U$18+8000</f>
        <v>260000</v>
      </c>
    </row>
    <row r="36" spans="1:13" x14ac:dyDescent="0.25">
      <c r="A36" s="2">
        <v>46086</v>
      </c>
      <c r="B36" s="2" t="str">
        <f t="shared" si="3"/>
        <v>jue</v>
      </c>
      <c r="D36" s="58">
        <v>11000</v>
      </c>
      <c r="E36" s="3" t="s">
        <v>222</v>
      </c>
      <c r="H36" s="32" t="s">
        <v>142</v>
      </c>
      <c r="I36" t="s">
        <v>265</v>
      </c>
    </row>
    <row r="37" spans="1:13" x14ac:dyDescent="0.25">
      <c r="A37" s="2">
        <v>46086</v>
      </c>
      <c r="B37" s="2" t="str">
        <f t="shared" si="3"/>
        <v>jue</v>
      </c>
      <c r="D37" s="58">
        <v>16000</v>
      </c>
      <c r="E37" s="3" t="s">
        <v>222</v>
      </c>
      <c r="H37" s="32" t="s">
        <v>142</v>
      </c>
      <c r="I37" t="s">
        <v>264</v>
      </c>
    </row>
    <row r="38" spans="1:13" x14ac:dyDescent="0.25">
      <c r="A38" s="2">
        <v>46086</v>
      </c>
      <c r="B38" s="2" t="str">
        <f t="shared" si="3"/>
        <v>jue</v>
      </c>
      <c r="D38" s="58">
        <v>39500</v>
      </c>
      <c r="E38" s="3" t="s">
        <v>222</v>
      </c>
      <c r="H38" s="32" t="s">
        <v>142</v>
      </c>
      <c r="I38" t="s">
        <v>263</v>
      </c>
      <c r="M38">
        <f>+'Arqueo de Caja'!W14</f>
        <v>175050</v>
      </c>
    </row>
    <row r="39" spans="1:13" x14ac:dyDescent="0.25">
      <c r="A39" s="2">
        <v>46086</v>
      </c>
      <c r="B39" s="2" t="str">
        <f t="shared" si="3"/>
        <v>jue</v>
      </c>
      <c r="D39" s="58">
        <v>35000</v>
      </c>
      <c r="E39" s="3" t="s">
        <v>222</v>
      </c>
      <c r="H39" s="32" t="s">
        <v>142</v>
      </c>
      <c r="I39" t="s">
        <v>262</v>
      </c>
      <c r="M39" s="13">
        <f>+SUM(D35:D39)</f>
        <v>131500</v>
      </c>
    </row>
    <row r="40" spans="1:13" x14ac:dyDescent="0.25">
      <c r="A40" s="2">
        <v>46088</v>
      </c>
      <c r="B40" s="2" t="str">
        <f t="shared" si="3"/>
        <v>sáb</v>
      </c>
      <c r="D40" s="58">
        <v>28000</v>
      </c>
      <c r="E40" s="3" t="s">
        <v>222</v>
      </c>
      <c r="H40" s="32" t="s">
        <v>142</v>
      </c>
      <c r="I40" t="s">
        <v>314</v>
      </c>
      <c r="M40" s="13"/>
    </row>
    <row r="41" spans="1:13" x14ac:dyDescent="0.25">
      <c r="A41" s="2">
        <v>46088</v>
      </c>
      <c r="B41" s="2" t="str">
        <f t="shared" ref="B41" si="4">+TEXT(A41,"ddd")</f>
        <v>sáb</v>
      </c>
      <c r="D41" s="58">
        <v>43000</v>
      </c>
      <c r="E41" s="3" t="s">
        <v>222</v>
      </c>
      <c r="H41" s="32"/>
      <c r="I41" t="s">
        <v>267</v>
      </c>
      <c r="M41" s="13"/>
    </row>
    <row r="42" spans="1:13" x14ac:dyDescent="0.25">
      <c r="A42" s="2">
        <v>46089</v>
      </c>
      <c r="B42" s="2" t="str">
        <f t="shared" ref="B42:B45" si="5">+TEXT(A42,"ddd")</f>
        <v>dom</v>
      </c>
      <c r="D42" s="58">
        <v>30000</v>
      </c>
      <c r="E42" s="3" t="s">
        <v>222</v>
      </c>
      <c r="H42" s="32" t="s">
        <v>142</v>
      </c>
      <c r="I42" t="s">
        <v>358</v>
      </c>
    </row>
    <row r="43" spans="1:13" x14ac:dyDescent="0.25">
      <c r="A43" s="2">
        <v>46089</v>
      </c>
      <c r="B43" s="2" t="str">
        <f t="shared" si="5"/>
        <v>dom</v>
      </c>
      <c r="D43" s="58">
        <v>54000</v>
      </c>
      <c r="E43" s="3" t="s">
        <v>222</v>
      </c>
      <c r="H43" s="32" t="s">
        <v>142</v>
      </c>
      <c r="I43" t="s">
        <v>360</v>
      </c>
    </row>
    <row r="44" spans="1:13" x14ac:dyDescent="0.25">
      <c r="A44" s="2">
        <v>46089</v>
      </c>
      <c r="B44" s="2" t="str">
        <f t="shared" si="5"/>
        <v>dom</v>
      </c>
      <c r="D44" s="58">
        <v>8000</v>
      </c>
      <c r="E44" s="3" t="s">
        <v>222</v>
      </c>
      <c r="H44" s="32" t="s">
        <v>142</v>
      </c>
      <c r="I44" t="s">
        <v>359</v>
      </c>
    </row>
    <row r="45" spans="1:13" x14ac:dyDescent="0.25">
      <c r="A45" s="2">
        <v>46089</v>
      </c>
      <c r="B45" s="2" t="str">
        <f t="shared" si="5"/>
        <v>dom</v>
      </c>
      <c r="D45" s="58">
        <v>30000</v>
      </c>
      <c r="E45" s="3" t="s">
        <v>222</v>
      </c>
      <c r="H45" s="32" t="s">
        <v>142</v>
      </c>
      <c r="I45" t="s">
        <v>361</v>
      </c>
    </row>
    <row r="46" spans="1:13" x14ac:dyDescent="0.25">
      <c r="A46" s="2" t="s">
        <v>0</v>
      </c>
      <c r="B46" s="2" t="str">
        <f>+TEXT(A46,"ddd")</f>
        <v xml:space="preserve"> </v>
      </c>
      <c r="C46" t="s">
        <v>268</v>
      </c>
      <c r="D46" s="69">
        <v>16000</v>
      </c>
      <c r="E46" s="3" t="s">
        <v>222</v>
      </c>
      <c r="H46" s="32" t="s">
        <v>142</v>
      </c>
      <c r="I46" s="1" t="s">
        <v>315</v>
      </c>
    </row>
    <row r="47" spans="1:13" x14ac:dyDescent="0.25">
      <c r="A47" s="2">
        <v>46091</v>
      </c>
      <c r="B47" s="2" t="str">
        <f>+TEXT(A47,"ddd")</f>
        <v>mar</v>
      </c>
      <c r="D47" s="58">
        <v>90000</v>
      </c>
      <c r="E47" s="3" t="s">
        <v>222</v>
      </c>
      <c r="H47" s="32" t="s">
        <v>142</v>
      </c>
      <c r="I47" s="33" t="s">
        <v>349</v>
      </c>
    </row>
    <row r="48" spans="1:13" x14ac:dyDescent="0.25">
      <c r="A48" s="2">
        <v>46091</v>
      </c>
      <c r="B48" s="2" t="str">
        <f>+TEXT(A48,"ddd")</f>
        <v>mar</v>
      </c>
      <c r="D48" s="58">
        <v>-412000</v>
      </c>
      <c r="H48" s="32" t="s">
        <v>142</v>
      </c>
      <c r="I48" t="s">
        <v>350</v>
      </c>
    </row>
    <row r="49" spans="1:9" x14ac:dyDescent="0.25">
      <c r="A49" s="2">
        <v>46091</v>
      </c>
      <c r="B49" s="2" t="str">
        <f>+TEXT(A49,"ddd")</f>
        <v>mar</v>
      </c>
      <c r="D49" s="58">
        <v>30000</v>
      </c>
      <c r="E49" s="3" t="s">
        <v>222</v>
      </c>
      <c r="H49" s="32" t="s">
        <v>142</v>
      </c>
      <c r="I49" t="s">
        <v>351</v>
      </c>
    </row>
    <row r="50" spans="1:9" x14ac:dyDescent="0.25">
      <c r="A50" s="2">
        <v>46091</v>
      </c>
      <c r="B50" s="2" t="str">
        <f>+TEXT(A50,"ddd")</f>
        <v>mar</v>
      </c>
      <c r="D50" s="58">
        <v>11000</v>
      </c>
      <c r="E50" s="3" t="s">
        <v>222</v>
      </c>
      <c r="H50" s="32" t="s">
        <v>142</v>
      </c>
      <c r="I50" t="s">
        <v>348</v>
      </c>
    </row>
    <row r="51" spans="1:9" x14ac:dyDescent="0.25">
      <c r="A51" s="2">
        <v>46092</v>
      </c>
      <c r="B51" s="2" t="str">
        <f t="shared" ref="B51:B60" si="6">+TEXT(A51,"ddd")</f>
        <v>mié</v>
      </c>
      <c r="D51" s="58">
        <v>8000</v>
      </c>
      <c r="E51" s="3" t="s">
        <v>222</v>
      </c>
      <c r="H51" s="32" t="s">
        <v>142</v>
      </c>
      <c r="I51" t="s">
        <v>352</v>
      </c>
    </row>
    <row r="52" spans="1:9" x14ac:dyDescent="0.25">
      <c r="A52" s="2">
        <v>46092</v>
      </c>
      <c r="B52" s="2" t="str">
        <f t="shared" si="6"/>
        <v>mié</v>
      </c>
      <c r="D52" s="112">
        <v>24000</v>
      </c>
      <c r="E52" s="3" t="s">
        <v>222</v>
      </c>
      <c r="H52" s="32" t="s">
        <v>142</v>
      </c>
      <c r="I52" t="s">
        <v>353</v>
      </c>
    </row>
    <row r="53" spans="1:9" x14ac:dyDescent="0.25">
      <c r="A53" s="2">
        <v>46092</v>
      </c>
      <c r="B53" s="2" t="str">
        <f t="shared" si="6"/>
        <v>mié</v>
      </c>
      <c r="D53" s="58">
        <v>22000</v>
      </c>
      <c r="E53" s="3" t="s">
        <v>222</v>
      </c>
      <c r="H53" s="32" t="s">
        <v>142</v>
      </c>
      <c r="I53" t="s">
        <v>348</v>
      </c>
    </row>
    <row r="54" spans="1:9" x14ac:dyDescent="0.25">
      <c r="A54" s="2">
        <v>46092</v>
      </c>
      <c r="B54" s="2" t="str">
        <f t="shared" si="6"/>
        <v>mié</v>
      </c>
      <c r="D54" s="58">
        <v>8000</v>
      </c>
      <c r="E54" s="3" t="s">
        <v>222</v>
      </c>
      <c r="H54" s="32" t="s">
        <v>142</v>
      </c>
      <c r="I54" t="s">
        <v>354</v>
      </c>
    </row>
    <row r="55" spans="1:9" x14ac:dyDescent="0.25">
      <c r="A55" s="2">
        <v>46092</v>
      </c>
      <c r="B55" s="2" t="str">
        <f t="shared" si="6"/>
        <v>mié</v>
      </c>
      <c r="D55" s="58">
        <v>32000</v>
      </c>
      <c r="E55" s="3" t="s">
        <v>222</v>
      </c>
      <c r="H55" s="32" t="s">
        <v>142</v>
      </c>
      <c r="I55" t="s">
        <v>357</v>
      </c>
    </row>
    <row r="56" spans="1:9" x14ac:dyDescent="0.25">
      <c r="A56" s="2">
        <v>46092</v>
      </c>
      <c r="B56" s="2" t="str">
        <f t="shared" si="6"/>
        <v>mié</v>
      </c>
      <c r="D56" s="58">
        <v>8000</v>
      </c>
      <c r="E56" s="3" t="s">
        <v>222</v>
      </c>
      <c r="H56" s="32" t="s">
        <v>142</v>
      </c>
      <c r="I56" t="s">
        <v>355</v>
      </c>
    </row>
    <row r="57" spans="1:9" x14ac:dyDescent="0.25">
      <c r="A57" s="2">
        <v>46092</v>
      </c>
      <c r="B57" s="2" t="str">
        <f t="shared" si="6"/>
        <v>mié</v>
      </c>
      <c r="D57" s="58">
        <v>11000</v>
      </c>
      <c r="E57" s="3" t="s">
        <v>222</v>
      </c>
      <c r="H57" s="32" t="s">
        <v>142</v>
      </c>
      <c r="I57" t="s">
        <v>356</v>
      </c>
    </row>
    <row r="58" spans="1:9" x14ac:dyDescent="0.25">
      <c r="A58" s="2">
        <v>46092</v>
      </c>
      <c r="B58" s="2" t="str">
        <f t="shared" si="6"/>
        <v>mié</v>
      </c>
      <c r="D58" s="58">
        <v>1000</v>
      </c>
      <c r="E58" s="3" t="s">
        <v>222</v>
      </c>
      <c r="H58" s="33" t="s">
        <v>147</v>
      </c>
    </row>
    <row r="59" spans="1:9" x14ac:dyDescent="0.25">
      <c r="A59" s="2">
        <v>46092</v>
      </c>
      <c r="B59" s="2" t="str">
        <f t="shared" si="6"/>
        <v>mié</v>
      </c>
      <c r="D59" s="58">
        <v>22000</v>
      </c>
      <c r="E59" s="3" t="s">
        <v>222</v>
      </c>
      <c r="H59" s="33" t="s">
        <v>147</v>
      </c>
    </row>
    <row r="60" spans="1:9" x14ac:dyDescent="0.25">
      <c r="A60" s="2">
        <v>46093</v>
      </c>
      <c r="B60" s="2" t="str">
        <f t="shared" si="6"/>
        <v>jue</v>
      </c>
      <c r="D60" s="58">
        <v>82000</v>
      </c>
      <c r="E60" s="3" t="s">
        <v>222</v>
      </c>
      <c r="F60" s="87" t="s">
        <v>363</v>
      </c>
      <c r="H60" s="33" t="s">
        <v>147</v>
      </c>
    </row>
    <row r="61" spans="1:9" x14ac:dyDescent="0.25">
      <c r="A61" s="2">
        <v>46093</v>
      </c>
      <c r="B61" s="2" t="str">
        <f t="shared" ref="B61:B62" si="7">+TEXT(A61,"ddd")</f>
        <v>jue</v>
      </c>
      <c r="C61" s="34">
        <v>0.73124999999999996</v>
      </c>
      <c r="D61" s="58">
        <v>11000</v>
      </c>
      <c r="E61" s="3" t="s">
        <v>222</v>
      </c>
      <c r="F61" s="87" t="s">
        <v>377</v>
      </c>
      <c r="H61" s="32" t="s">
        <v>142</v>
      </c>
      <c r="I61" t="s">
        <v>348</v>
      </c>
    </row>
    <row r="62" spans="1:9" x14ac:dyDescent="0.25">
      <c r="A62" s="2">
        <v>46093</v>
      </c>
      <c r="B62" s="2" t="str">
        <f t="shared" si="7"/>
        <v>jue</v>
      </c>
      <c r="C62" s="34">
        <v>0.78611111111111109</v>
      </c>
      <c r="D62" s="58">
        <v>24000</v>
      </c>
      <c r="E62" s="3" t="s">
        <v>222</v>
      </c>
      <c r="F62" s="87" t="s">
        <v>378</v>
      </c>
      <c r="H62" s="32" t="s">
        <v>142</v>
      </c>
      <c r="I62" t="s">
        <v>372</v>
      </c>
    </row>
    <row r="63" spans="1:9" x14ac:dyDescent="0.25">
      <c r="A63" s="2">
        <v>46093</v>
      </c>
      <c r="B63" s="2" t="str">
        <f t="shared" ref="B63:B72" si="8">+TEXT(A63,"ddd")</f>
        <v>jue</v>
      </c>
      <c r="D63" s="58">
        <v>24000</v>
      </c>
      <c r="E63" s="3" t="s">
        <v>222</v>
      </c>
      <c r="F63" s="87" t="s">
        <v>402</v>
      </c>
      <c r="H63" s="32" t="s">
        <v>142</v>
      </c>
      <c r="I63" t="s">
        <v>373</v>
      </c>
    </row>
    <row r="64" spans="1:9" x14ac:dyDescent="0.25">
      <c r="A64" s="2">
        <v>46093</v>
      </c>
      <c r="B64" s="2" t="str">
        <f t="shared" si="8"/>
        <v>jue</v>
      </c>
      <c r="D64" s="58">
        <v>11000</v>
      </c>
      <c r="E64" s="3" t="s">
        <v>222</v>
      </c>
      <c r="H64" s="32" t="s">
        <v>142</v>
      </c>
      <c r="I64" t="s">
        <v>374</v>
      </c>
    </row>
    <row r="65" spans="1:9" x14ac:dyDescent="0.25">
      <c r="A65" s="2">
        <v>46095</v>
      </c>
      <c r="B65" s="2" t="str">
        <f t="shared" si="8"/>
        <v>sáb</v>
      </c>
      <c r="D65" s="58">
        <v>23000</v>
      </c>
      <c r="E65" s="3" t="s">
        <v>222</v>
      </c>
      <c r="F65" s="87" t="s">
        <v>363</v>
      </c>
      <c r="H65" s="33" t="s">
        <v>147</v>
      </c>
    </row>
    <row r="66" spans="1:9" x14ac:dyDescent="0.25">
      <c r="A66" s="2">
        <v>46095</v>
      </c>
      <c r="B66" s="2" t="str">
        <f t="shared" si="8"/>
        <v>sáb</v>
      </c>
      <c r="D66" s="58">
        <v>11000</v>
      </c>
      <c r="E66" s="3" t="s">
        <v>222</v>
      </c>
      <c r="F66" s="87" t="s">
        <v>400</v>
      </c>
      <c r="H66" s="32" t="s">
        <v>142</v>
      </c>
      <c r="I66" t="s">
        <v>394</v>
      </c>
    </row>
    <row r="67" spans="1:9" x14ac:dyDescent="0.25">
      <c r="A67" s="2">
        <v>46095</v>
      </c>
      <c r="B67" s="2" t="str">
        <f t="shared" si="8"/>
        <v>sáb</v>
      </c>
      <c r="D67" s="58">
        <v>11000</v>
      </c>
      <c r="E67" s="3" t="s">
        <v>222</v>
      </c>
      <c r="F67" s="87" t="s">
        <v>399</v>
      </c>
      <c r="H67" s="32" t="s">
        <v>142</v>
      </c>
      <c r="I67" t="s">
        <v>395</v>
      </c>
    </row>
    <row r="68" spans="1:9" x14ac:dyDescent="0.25">
      <c r="A68" s="2">
        <v>46095</v>
      </c>
      <c r="B68" s="2" t="str">
        <f t="shared" si="8"/>
        <v>sáb</v>
      </c>
      <c r="D68" s="58">
        <v>57500</v>
      </c>
      <c r="E68" s="3" t="s">
        <v>222</v>
      </c>
      <c r="F68" s="87"/>
      <c r="H68" s="32" t="s">
        <v>142</v>
      </c>
      <c r="I68" t="s">
        <v>396</v>
      </c>
    </row>
    <row r="69" spans="1:9" x14ac:dyDescent="0.25">
      <c r="A69" s="2">
        <v>46095</v>
      </c>
      <c r="B69" s="2" t="str">
        <f t="shared" si="8"/>
        <v>sáb</v>
      </c>
      <c r="D69" s="58">
        <v>13500</v>
      </c>
      <c r="E69" s="3" t="s">
        <v>222</v>
      </c>
      <c r="F69" s="87" t="s">
        <v>398</v>
      </c>
      <c r="H69" s="32" t="s">
        <v>142</v>
      </c>
      <c r="I69" t="s">
        <v>397</v>
      </c>
    </row>
    <row r="70" spans="1:9" x14ac:dyDescent="0.25">
      <c r="A70" s="2">
        <v>46096</v>
      </c>
      <c r="B70" s="2" t="str">
        <f t="shared" si="8"/>
        <v>dom</v>
      </c>
      <c r="D70" s="58">
        <v>19000</v>
      </c>
      <c r="E70" s="3" t="s">
        <v>222</v>
      </c>
      <c r="H70" s="32" t="s">
        <v>142</v>
      </c>
      <c r="I70" t="s">
        <v>397</v>
      </c>
    </row>
    <row r="71" spans="1:9" x14ac:dyDescent="0.25">
      <c r="A71" s="2">
        <v>46096</v>
      </c>
      <c r="B71" s="2" t="str">
        <f t="shared" si="8"/>
        <v>dom</v>
      </c>
      <c r="D71" s="58">
        <v>36000</v>
      </c>
      <c r="E71" s="3" t="s">
        <v>222</v>
      </c>
      <c r="H71" s="32" t="s">
        <v>142</v>
      </c>
      <c r="I71" t="s">
        <v>417</v>
      </c>
    </row>
    <row r="72" spans="1:9" x14ac:dyDescent="0.25">
      <c r="A72" s="2">
        <v>46097</v>
      </c>
      <c r="B72" s="2" t="str">
        <f t="shared" si="8"/>
        <v>lun</v>
      </c>
      <c r="D72" s="58">
        <v>10000</v>
      </c>
      <c r="E72" s="3" t="s">
        <v>222</v>
      </c>
      <c r="H72" s="32" t="s">
        <v>142</v>
      </c>
      <c r="I72" t="s">
        <v>418</v>
      </c>
    </row>
    <row r="73" spans="1:9" x14ac:dyDescent="0.25">
      <c r="A73" s="2">
        <v>46097</v>
      </c>
      <c r="B73" s="2" t="str">
        <f t="shared" ref="B73:B75" si="9">+TEXT(A73,"ddd")</f>
        <v>lun</v>
      </c>
      <c r="D73" s="58">
        <v>11000</v>
      </c>
      <c r="E73" s="3" t="s">
        <v>222</v>
      </c>
      <c r="H73" s="32" t="s">
        <v>142</v>
      </c>
      <c r="I73" t="s">
        <v>419</v>
      </c>
    </row>
    <row r="74" spans="1:9" x14ac:dyDescent="0.25">
      <c r="A74" s="2">
        <v>46098</v>
      </c>
      <c r="B74" s="2" t="str">
        <f t="shared" si="9"/>
        <v>mar</v>
      </c>
      <c r="D74" s="58">
        <v>8000</v>
      </c>
      <c r="E74" s="3" t="s">
        <v>222</v>
      </c>
      <c r="H74" s="33" t="s">
        <v>147</v>
      </c>
    </row>
    <row r="75" spans="1:9" x14ac:dyDescent="0.25">
      <c r="A75" s="2">
        <v>46098</v>
      </c>
      <c r="B75" s="2" t="str">
        <f t="shared" si="9"/>
        <v>mar</v>
      </c>
      <c r="D75" s="58">
        <v>15000</v>
      </c>
      <c r="E75" s="3" t="s">
        <v>222</v>
      </c>
      <c r="H75" s="33" t="s">
        <v>147</v>
      </c>
    </row>
    <row r="76" spans="1:9" x14ac:dyDescent="0.25">
      <c r="A76" s="2">
        <v>46098</v>
      </c>
      <c r="B76" s="2" t="str">
        <f t="shared" ref="B76" si="10">+TEXT(A76,"ddd")</f>
        <v>mar</v>
      </c>
      <c r="D76" s="58">
        <v>50000</v>
      </c>
      <c r="E76" s="3" t="s">
        <v>222</v>
      </c>
      <c r="H76" s="32" t="s">
        <v>142</v>
      </c>
      <c r="I76" t="s">
        <v>420</v>
      </c>
    </row>
    <row r="77" spans="1:9" x14ac:dyDescent="0.25">
      <c r="A77" s="2">
        <v>46098</v>
      </c>
      <c r="B77" s="2" t="str">
        <f t="shared" ref="B77:B80" si="11">+TEXT(A77,"ddd")</f>
        <v>mar</v>
      </c>
      <c r="D77" s="58">
        <v>11000</v>
      </c>
      <c r="E77" s="3" t="s">
        <v>222</v>
      </c>
      <c r="H77" s="32" t="s">
        <v>142</v>
      </c>
      <c r="I77" t="s">
        <v>421</v>
      </c>
    </row>
    <row r="78" spans="1:9" x14ac:dyDescent="0.25">
      <c r="A78" s="2">
        <v>46098</v>
      </c>
      <c r="B78" s="2" t="str">
        <f t="shared" si="11"/>
        <v>mar</v>
      </c>
      <c r="D78" s="58">
        <v>8000</v>
      </c>
      <c r="E78" s="3" t="s">
        <v>222</v>
      </c>
      <c r="H78" s="32" t="s">
        <v>142</v>
      </c>
      <c r="I78" t="s">
        <v>422</v>
      </c>
    </row>
    <row r="79" spans="1:9" x14ac:dyDescent="0.25">
      <c r="A79" s="2">
        <v>46098</v>
      </c>
      <c r="B79" s="2" t="str">
        <f t="shared" si="11"/>
        <v>mar</v>
      </c>
      <c r="D79" s="58">
        <v>9000</v>
      </c>
      <c r="E79" s="3" t="s">
        <v>222</v>
      </c>
      <c r="H79" s="32" t="s">
        <v>142</v>
      </c>
      <c r="I79" t="s">
        <v>423</v>
      </c>
    </row>
    <row r="80" spans="1:9" x14ac:dyDescent="0.25">
      <c r="A80" s="2">
        <v>46098</v>
      </c>
      <c r="B80" s="2" t="str">
        <f t="shared" si="11"/>
        <v>mar</v>
      </c>
      <c r="D80" s="58">
        <f>-(40000+20000)</f>
        <v>-60000</v>
      </c>
      <c r="E80" s="3" t="s">
        <v>424</v>
      </c>
      <c r="H80" s="32" t="s">
        <v>142</v>
      </c>
      <c r="I80" t="s">
        <v>425</v>
      </c>
    </row>
    <row r="81" spans="1:9" x14ac:dyDescent="0.25">
      <c r="A81" s="2">
        <v>46099</v>
      </c>
      <c r="B81" s="2" t="str">
        <f t="shared" ref="B81" si="12">+TEXT(A81,"ddd")</f>
        <v>mié</v>
      </c>
      <c r="D81" s="58">
        <v>344950</v>
      </c>
      <c r="E81" s="3" t="s">
        <v>139</v>
      </c>
      <c r="H81" s="32" t="s">
        <v>142</v>
      </c>
      <c r="I81" t="s">
        <v>431</v>
      </c>
    </row>
    <row r="82" spans="1:9" x14ac:dyDescent="0.25">
      <c r="A82" s="15">
        <v>46093</v>
      </c>
      <c r="B82" s="15" t="str">
        <f>+TEXT(A82,"ddd")</f>
        <v>jue</v>
      </c>
      <c r="C82" s="1"/>
      <c r="D82" s="69">
        <v>24000</v>
      </c>
      <c r="E82" s="16" t="s">
        <v>222</v>
      </c>
      <c r="F82" s="16" t="s">
        <v>436</v>
      </c>
      <c r="G82" s="16" t="s">
        <v>375</v>
      </c>
      <c r="H82" s="32" t="s">
        <v>142</v>
      </c>
      <c r="I82" s="16" t="s">
        <v>433</v>
      </c>
    </row>
    <row r="83" spans="1:9" x14ac:dyDescent="0.25">
      <c r="A83" s="15">
        <v>46093</v>
      </c>
      <c r="B83" s="15" t="str">
        <f>+TEXT(A83,"ddd")</f>
        <v>jue</v>
      </c>
      <c r="C83" s="1"/>
      <c r="D83" s="69">
        <v>-24000</v>
      </c>
      <c r="E83" s="16" t="s">
        <v>222</v>
      </c>
      <c r="F83" s="16" t="s">
        <v>436</v>
      </c>
      <c r="G83" s="16" t="s">
        <v>375</v>
      </c>
      <c r="H83" s="32" t="s">
        <v>142</v>
      </c>
      <c r="I83" s="16" t="s">
        <v>434</v>
      </c>
    </row>
    <row r="84" spans="1:9" x14ac:dyDescent="0.25">
      <c r="A84" s="2">
        <v>46099</v>
      </c>
      <c r="B84" s="2" t="str">
        <f t="shared" ref="B84" si="13">+TEXT(A84,"ddd")</f>
        <v>mié</v>
      </c>
      <c r="D84" s="58">
        <v>-40000</v>
      </c>
      <c r="E84" s="3" t="s">
        <v>424</v>
      </c>
      <c r="H84" s="32" t="s">
        <v>142</v>
      </c>
      <c r="I84" t="s">
        <v>430</v>
      </c>
    </row>
    <row r="85" spans="1:9" x14ac:dyDescent="0.25">
      <c r="A85" s="2">
        <v>46099</v>
      </c>
      <c r="B85" s="2" t="str">
        <f t="shared" ref="B85" si="14">+TEXT(A85,"ddd")</f>
        <v>mié</v>
      </c>
      <c r="D85" s="58">
        <v>-40000</v>
      </c>
      <c r="E85" s="3" t="s">
        <v>424</v>
      </c>
      <c r="H85" s="32" t="s">
        <v>142</v>
      </c>
      <c r="I85" t="s">
        <v>432</v>
      </c>
    </row>
    <row r="86" spans="1:9" x14ac:dyDescent="0.25">
      <c r="A86" s="15">
        <v>46099</v>
      </c>
      <c r="B86" s="15" t="str">
        <f>+TEXT(A86,"ddd")</f>
        <v>mié</v>
      </c>
      <c r="C86" s="1"/>
      <c r="D86" s="69">
        <f>8000*4</f>
        <v>32000</v>
      </c>
      <c r="E86" s="16" t="s">
        <v>222</v>
      </c>
      <c r="F86" s="87" t="s">
        <v>435</v>
      </c>
      <c r="G86" s="16" t="s">
        <v>375</v>
      </c>
      <c r="H86" s="32" t="s">
        <v>142</v>
      </c>
      <c r="I86" s="16" t="s">
        <v>433</v>
      </c>
    </row>
    <row r="87" spans="1:9" x14ac:dyDescent="0.25">
      <c r="A87" s="2">
        <v>46099</v>
      </c>
      <c r="B87" s="2" t="str">
        <f t="shared" ref="B87" si="15">+TEXT(A87,"ddd")</f>
        <v>mié</v>
      </c>
      <c r="D87" s="58">
        <v>-116000</v>
      </c>
      <c r="E87" s="3" t="s">
        <v>424</v>
      </c>
      <c r="H87" s="32" t="s">
        <v>142</v>
      </c>
      <c r="I87" s="16" t="s">
        <v>446</v>
      </c>
    </row>
    <row r="88" spans="1:9" x14ac:dyDescent="0.25">
      <c r="A88" s="2">
        <v>46099</v>
      </c>
      <c r="B88" s="2" t="str">
        <f t="shared" ref="B88" si="16">+TEXT(A88,"ddd")</f>
        <v>mié</v>
      </c>
      <c r="D88" s="111">
        <f>+-8500-6000</f>
        <v>-14500</v>
      </c>
      <c r="E88" s="3" t="s">
        <v>424</v>
      </c>
      <c r="H88" s="32" t="s">
        <v>142</v>
      </c>
      <c r="I88" s="16" t="s">
        <v>447</v>
      </c>
    </row>
    <row r="89" spans="1:9" x14ac:dyDescent="0.25">
      <c r="A89" s="2">
        <v>46099</v>
      </c>
      <c r="B89" s="2" t="str">
        <f t="shared" ref="B89:B91" si="17">+TEXT(A89,"ddd")</f>
        <v>mié</v>
      </c>
      <c r="D89" s="58">
        <v>38000</v>
      </c>
      <c r="E89" s="3" t="s">
        <v>222</v>
      </c>
      <c r="H89" s="32" t="s">
        <v>142</v>
      </c>
    </row>
    <row r="90" spans="1:9" x14ac:dyDescent="0.25">
      <c r="A90" s="2">
        <v>46099</v>
      </c>
      <c r="B90" s="2" t="str">
        <f t="shared" si="17"/>
        <v>mié</v>
      </c>
      <c r="D90" s="58">
        <v>16000</v>
      </c>
      <c r="E90" s="3" t="s">
        <v>222</v>
      </c>
      <c r="H90" s="32" t="s">
        <v>142</v>
      </c>
    </row>
    <row r="91" spans="1:9" x14ac:dyDescent="0.25">
      <c r="A91" s="2">
        <v>46099</v>
      </c>
      <c r="B91" s="2" t="str">
        <f t="shared" si="17"/>
        <v>mié</v>
      </c>
      <c r="D91" s="58">
        <v>8000</v>
      </c>
      <c r="E91" s="3" t="s">
        <v>222</v>
      </c>
      <c r="H91" s="32" t="s">
        <v>142</v>
      </c>
    </row>
    <row r="92" spans="1:9" x14ac:dyDescent="0.25">
      <c r="A92" s="2">
        <v>46099</v>
      </c>
      <c r="B92" s="2" t="str">
        <f t="shared" ref="B92" si="18">+TEXT(A92,"ddd")</f>
        <v>mié</v>
      </c>
      <c r="D92" s="58">
        <v>9000</v>
      </c>
      <c r="E92" s="3" t="s">
        <v>222</v>
      </c>
      <c r="H92" s="32" t="s">
        <v>142</v>
      </c>
    </row>
    <row r="93" spans="1:9" x14ac:dyDescent="0.25">
      <c r="A93" s="2">
        <v>46099</v>
      </c>
      <c r="B93" s="2" t="str">
        <f t="shared" ref="B93:B95" si="19">+TEXT(A93,"ddd")</f>
        <v>mié</v>
      </c>
      <c r="D93" s="111">
        <v>-50000</v>
      </c>
      <c r="E93" s="3" t="s">
        <v>424</v>
      </c>
      <c r="H93" s="32" t="s">
        <v>142</v>
      </c>
      <c r="I93" t="s">
        <v>450</v>
      </c>
    </row>
    <row r="94" spans="1:9" x14ac:dyDescent="0.25">
      <c r="A94" s="2"/>
      <c r="B94" s="2"/>
      <c r="D94" s="111"/>
      <c r="H94" s="3"/>
    </row>
    <row r="95" spans="1:9" x14ac:dyDescent="0.25">
      <c r="A95" s="2">
        <v>46100</v>
      </c>
      <c r="B95" s="2" t="str">
        <f t="shared" si="19"/>
        <v>jue</v>
      </c>
      <c r="D95" s="58">
        <v>11000</v>
      </c>
      <c r="E95" s="3" t="s">
        <v>222</v>
      </c>
      <c r="H95" s="33" t="s">
        <v>147</v>
      </c>
    </row>
    <row r="96" spans="1:9" x14ac:dyDescent="0.25">
      <c r="A96" s="2">
        <v>46100</v>
      </c>
      <c r="B96" s="2" t="str">
        <f t="shared" ref="B96" si="20">+TEXT(A96,"ddd")</f>
        <v>jue</v>
      </c>
      <c r="D96" s="58">
        <v>8000</v>
      </c>
      <c r="E96" s="3" t="s">
        <v>222</v>
      </c>
      <c r="F96" s="114">
        <v>268</v>
      </c>
      <c r="H96" s="32" t="s">
        <v>142</v>
      </c>
      <c r="I96" t="s">
        <v>523</v>
      </c>
    </row>
    <row r="97" spans="1:9" x14ac:dyDescent="0.25">
      <c r="A97" s="2">
        <v>46100</v>
      </c>
      <c r="B97" s="2" t="str">
        <f t="shared" ref="B97:B104" si="21">+TEXT(A97,"ddd")</f>
        <v>jue</v>
      </c>
      <c r="D97" s="58">
        <v>14000</v>
      </c>
      <c r="E97" s="3" t="s">
        <v>222</v>
      </c>
      <c r="F97" s="115">
        <v>270</v>
      </c>
      <c r="H97" s="32" t="s">
        <v>142</v>
      </c>
      <c r="I97" t="s">
        <v>524</v>
      </c>
    </row>
    <row r="98" spans="1:9" x14ac:dyDescent="0.25">
      <c r="A98" s="2">
        <v>46100</v>
      </c>
      <c r="B98" s="2" t="str">
        <f t="shared" si="21"/>
        <v>jue</v>
      </c>
      <c r="D98" s="58">
        <v>8000</v>
      </c>
      <c r="E98" s="3" t="s">
        <v>222</v>
      </c>
      <c r="F98" s="115">
        <v>270</v>
      </c>
      <c r="H98" s="32" t="s">
        <v>142</v>
      </c>
      <c r="I98" t="s">
        <v>524</v>
      </c>
    </row>
    <row r="99" spans="1:9" x14ac:dyDescent="0.25">
      <c r="A99" s="2">
        <v>46100</v>
      </c>
      <c r="B99" s="2" t="str">
        <f t="shared" si="21"/>
        <v>jue</v>
      </c>
      <c r="D99" s="58">
        <v>30000</v>
      </c>
      <c r="E99" s="3" t="s">
        <v>222</v>
      </c>
      <c r="F99" s="114">
        <v>271</v>
      </c>
      <c r="H99" s="32" t="s">
        <v>142</v>
      </c>
      <c r="I99" t="s">
        <v>525</v>
      </c>
    </row>
    <row r="100" spans="1:9" x14ac:dyDescent="0.25">
      <c r="A100" s="2">
        <v>46100</v>
      </c>
      <c r="B100" s="2" t="str">
        <f t="shared" si="21"/>
        <v>jue</v>
      </c>
      <c r="D100" s="58">
        <v>19000</v>
      </c>
      <c r="E100" s="3" t="s">
        <v>222</v>
      </c>
      <c r="F100" s="113">
        <v>272</v>
      </c>
      <c r="H100" s="32" t="s">
        <v>142</v>
      </c>
      <c r="I100" t="s">
        <v>526</v>
      </c>
    </row>
    <row r="101" spans="1:9" x14ac:dyDescent="0.25">
      <c r="A101" s="2">
        <v>46100</v>
      </c>
      <c r="B101" s="2" t="str">
        <f t="shared" ref="B101" si="22">+TEXT(A101,"ddd")</f>
        <v>jue</v>
      </c>
      <c r="D101" s="58">
        <v>16000</v>
      </c>
      <c r="E101" s="3" t="s">
        <v>222</v>
      </c>
      <c r="F101" s="114">
        <v>278</v>
      </c>
      <c r="H101" s="32" t="s">
        <v>142</v>
      </c>
      <c r="I101" t="s">
        <v>527</v>
      </c>
    </row>
    <row r="102" spans="1:9" x14ac:dyDescent="0.25">
      <c r="A102" s="2">
        <v>46100</v>
      </c>
      <c r="B102" s="2" t="str">
        <f t="shared" si="21"/>
        <v>jue</v>
      </c>
      <c r="D102" s="58">
        <v>16000</v>
      </c>
      <c r="E102" s="3" t="s">
        <v>222</v>
      </c>
      <c r="F102" s="113">
        <v>279</v>
      </c>
      <c r="H102" s="32" t="s">
        <v>142</v>
      </c>
      <c r="I102" t="s">
        <v>528</v>
      </c>
    </row>
    <row r="103" spans="1:9" x14ac:dyDescent="0.25">
      <c r="A103" s="2">
        <v>46100</v>
      </c>
      <c r="B103" s="2" t="str">
        <f t="shared" si="21"/>
        <v>jue</v>
      </c>
      <c r="D103" s="58">
        <v>2800</v>
      </c>
      <c r="E103" s="3" t="s">
        <v>222</v>
      </c>
      <c r="F103" s="114">
        <v>286</v>
      </c>
      <c r="H103" s="32" t="s">
        <v>142</v>
      </c>
      <c r="I103" t="s">
        <v>524</v>
      </c>
    </row>
    <row r="104" spans="1:9" x14ac:dyDescent="0.25">
      <c r="A104" s="2">
        <v>46100</v>
      </c>
      <c r="B104" s="2" t="str">
        <f t="shared" si="21"/>
        <v>jue</v>
      </c>
      <c r="C104" s="34">
        <v>0.79166666666666663</v>
      </c>
      <c r="D104" s="69">
        <v>8000</v>
      </c>
      <c r="E104" s="3" t="s">
        <v>222</v>
      </c>
      <c r="F104" s="114">
        <v>282</v>
      </c>
      <c r="H104" s="32" t="s">
        <v>142</v>
      </c>
      <c r="I104" t="s">
        <v>529</v>
      </c>
    </row>
    <row r="105" spans="1:9" x14ac:dyDescent="0.25">
      <c r="A105" s="2">
        <v>46100</v>
      </c>
      <c r="B105" s="2" t="str">
        <f t="shared" ref="B105" si="23">+TEXT(A105,"ddd")</f>
        <v>jue</v>
      </c>
      <c r="D105" s="58">
        <v>40000</v>
      </c>
      <c r="E105" s="3" t="s">
        <v>222</v>
      </c>
      <c r="F105" s="113">
        <v>285</v>
      </c>
      <c r="H105" s="32" t="s">
        <v>142</v>
      </c>
      <c r="I105" t="s">
        <v>530</v>
      </c>
    </row>
    <row r="106" spans="1:9" x14ac:dyDescent="0.25">
      <c r="A106" s="2">
        <v>46100</v>
      </c>
      <c r="B106" s="2" t="str">
        <f t="shared" ref="B106:B107" si="24">+TEXT(A106,"ddd")</f>
        <v>jue</v>
      </c>
      <c r="C106" s="34">
        <v>0.84930555555555554</v>
      </c>
      <c r="D106" s="69">
        <v>8000</v>
      </c>
      <c r="E106" s="3" t="s">
        <v>222</v>
      </c>
      <c r="H106" s="32" t="s">
        <v>142</v>
      </c>
      <c r="I106" t="s">
        <v>532</v>
      </c>
    </row>
    <row r="107" spans="1:9" x14ac:dyDescent="0.25">
      <c r="A107" s="2">
        <v>46100</v>
      </c>
      <c r="B107" s="2" t="str">
        <f t="shared" si="24"/>
        <v>jue</v>
      </c>
      <c r="D107" s="58">
        <f>-40000-10000</f>
        <v>-50000</v>
      </c>
      <c r="E107" s="3" t="s">
        <v>424</v>
      </c>
      <c r="H107" s="32" t="s">
        <v>142</v>
      </c>
      <c r="I107" t="s">
        <v>413</v>
      </c>
    </row>
    <row r="108" spans="1:9" x14ac:dyDescent="0.25">
      <c r="A108" s="2">
        <v>46100</v>
      </c>
      <c r="B108" s="2" t="str">
        <f t="shared" ref="B108:B113" si="25">+TEXT(A108,"ddd")</f>
        <v>jue</v>
      </c>
      <c r="D108" s="58">
        <v>-404000</v>
      </c>
      <c r="E108" s="3" t="s">
        <v>222</v>
      </c>
      <c r="H108" s="32" t="s">
        <v>142</v>
      </c>
      <c r="I108" t="s">
        <v>531</v>
      </c>
    </row>
    <row r="109" spans="1:9" x14ac:dyDescent="0.25">
      <c r="A109" s="2">
        <v>46101</v>
      </c>
      <c r="B109" s="2" t="str">
        <f t="shared" si="25"/>
        <v>vie</v>
      </c>
      <c r="D109" s="58">
        <v>33000</v>
      </c>
      <c r="E109" s="3" t="s">
        <v>222</v>
      </c>
      <c r="H109" s="32" t="s">
        <v>142</v>
      </c>
      <c r="I109" t="s">
        <v>554</v>
      </c>
    </row>
    <row r="110" spans="1:9" x14ac:dyDescent="0.25">
      <c r="A110" s="2">
        <v>46101</v>
      </c>
      <c r="B110" s="2" t="str">
        <f t="shared" si="25"/>
        <v>vie</v>
      </c>
      <c r="D110" s="58">
        <v>32700</v>
      </c>
      <c r="E110" s="3" t="s">
        <v>222</v>
      </c>
      <c r="H110" s="32" t="s">
        <v>142</v>
      </c>
      <c r="I110" t="s">
        <v>553</v>
      </c>
    </row>
    <row r="111" spans="1:9" x14ac:dyDescent="0.25">
      <c r="A111" s="2">
        <v>46101</v>
      </c>
      <c r="B111" s="2" t="str">
        <f t="shared" si="25"/>
        <v>vie</v>
      </c>
      <c r="D111" s="58">
        <v>230000</v>
      </c>
      <c r="E111" s="3" t="s">
        <v>555</v>
      </c>
      <c r="H111" s="32" t="s">
        <v>142</v>
      </c>
      <c r="I111" t="s">
        <v>556</v>
      </c>
    </row>
    <row r="112" spans="1:9" x14ac:dyDescent="0.25">
      <c r="A112" s="2">
        <v>46101</v>
      </c>
      <c r="B112" s="2" t="str">
        <f t="shared" si="25"/>
        <v>vie</v>
      </c>
      <c r="D112" s="58">
        <v>-21000</v>
      </c>
      <c r="E112" s="3" t="s">
        <v>424</v>
      </c>
      <c r="H112" s="32" t="s">
        <v>142</v>
      </c>
      <c r="I112" t="s">
        <v>557</v>
      </c>
    </row>
    <row r="113" spans="1:9" x14ac:dyDescent="0.25">
      <c r="A113" s="2">
        <v>46102</v>
      </c>
      <c r="B113" s="2" t="str">
        <f t="shared" si="25"/>
        <v>sáb</v>
      </c>
      <c r="D113" s="58">
        <v>11000</v>
      </c>
      <c r="E113" s="3" t="s">
        <v>222</v>
      </c>
      <c r="H113" s="32" t="s">
        <v>142</v>
      </c>
      <c r="I113" t="s">
        <v>595</v>
      </c>
    </row>
  </sheetData>
  <autoFilter ref="A5:M86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H15"/>
  <sheetViews>
    <sheetView topLeftCell="A3" workbookViewId="0">
      <selection activeCell="C15" sqref="C15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6">
        <v>84250</v>
      </c>
    </row>
    <row r="4" spans="1:8" x14ac:dyDescent="0.25">
      <c r="B4">
        <f>20-9</f>
        <v>11</v>
      </c>
      <c r="E4" s="16">
        <v>134500</v>
      </c>
    </row>
    <row r="5" spans="1:8" x14ac:dyDescent="0.25">
      <c r="B5">
        <f>+B4-4</f>
        <v>7</v>
      </c>
      <c r="E5" s="16">
        <v>271000</v>
      </c>
    </row>
    <row r="6" spans="1:8" ht="15.75" thickBot="1" x14ac:dyDescent="0.3">
      <c r="E6" s="92">
        <f>30000+120000+50000+51500</f>
        <v>251500</v>
      </c>
      <c r="G6" s="92">
        <f>'Arqueo de Caja'!$AM$14</f>
        <v>203350</v>
      </c>
      <c r="H6" s="13">
        <f>+E6-G6</f>
        <v>48150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410</v>
      </c>
      <c r="C10" s="16">
        <v>116300</v>
      </c>
      <c r="D10" t="s">
        <v>411</v>
      </c>
    </row>
    <row r="11" spans="1:8" x14ac:dyDescent="0.25">
      <c r="B11" t="s">
        <v>408</v>
      </c>
      <c r="C11" s="3">
        <v>17400</v>
      </c>
    </row>
    <row r="12" spans="1:8" x14ac:dyDescent="0.25">
      <c r="B12" t="s">
        <v>409</v>
      </c>
      <c r="C12" s="3">
        <v>8000</v>
      </c>
    </row>
    <row r="13" spans="1:8" x14ac:dyDescent="0.25">
      <c r="B13" t="s">
        <v>412</v>
      </c>
      <c r="C13" s="3">
        <v>72150</v>
      </c>
      <c r="D13" s="13">
        <f>+C13+C14</f>
        <v>79650</v>
      </c>
    </row>
    <row r="14" spans="1:8" x14ac:dyDescent="0.25">
      <c r="B14" t="s">
        <v>412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workbookViewId="0">
      <selection activeCell="E11" sqref="E11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88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296</v>
      </c>
      <c r="C4" s="80">
        <v>8000</v>
      </c>
      <c r="D4" t="s">
        <v>392</v>
      </c>
      <c r="F4" t="s">
        <v>390</v>
      </c>
    </row>
    <row r="5" spans="1:7" x14ac:dyDescent="0.25">
      <c r="A5" s="1">
        <v>2</v>
      </c>
      <c r="B5" s="1" t="s">
        <v>382</v>
      </c>
      <c r="C5" s="86">
        <v>16000</v>
      </c>
      <c r="D5" t="s">
        <v>392</v>
      </c>
      <c r="F5" t="s">
        <v>391</v>
      </c>
    </row>
    <row r="6" spans="1:7" x14ac:dyDescent="0.25">
      <c r="A6" s="1">
        <v>2</v>
      </c>
      <c r="B6" s="1" t="s">
        <v>385</v>
      </c>
      <c r="C6" s="86">
        <v>6000</v>
      </c>
      <c r="D6">
        <v>3</v>
      </c>
    </row>
    <row r="7" spans="1:7" x14ac:dyDescent="0.25">
      <c r="A7">
        <v>3</v>
      </c>
      <c r="B7" t="s">
        <v>389</v>
      </c>
      <c r="C7" s="80">
        <f>4500*3</f>
        <v>13500</v>
      </c>
      <c r="D7">
        <v>3</v>
      </c>
    </row>
    <row r="8" spans="1:7" x14ac:dyDescent="0.25">
      <c r="A8" s="1">
        <v>3</v>
      </c>
      <c r="B8" s="1" t="s">
        <v>382</v>
      </c>
      <c r="C8" s="86">
        <v>24000</v>
      </c>
    </row>
    <row r="9" spans="1:7" x14ac:dyDescent="0.25">
      <c r="A9" s="1">
        <v>3</v>
      </c>
      <c r="B9" s="1" t="s">
        <v>385</v>
      </c>
      <c r="C9" s="86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389</v>
      </c>
      <c r="C10" s="80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296</v>
      </c>
      <c r="C11" s="80">
        <v>8000</v>
      </c>
      <c r="F11" s="1">
        <v>6</v>
      </c>
    </row>
    <row r="12" spans="1:7" ht="15.75" thickBot="1" x14ac:dyDescent="0.3">
      <c r="B12" t="s">
        <v>284</v>
      </c>
      <c r="C12" s="85">
        <v>30000</v>
      </c>
      <c r="F12" s="1">
        <v>4.5</v>
      </c>
    </row>
    <row r="13" spans="1:7" ht="15.75" thickTop="1" x14ac:dyDescent="0.25">
      <c r="C13" s="80">
        <f>+SUM(C3:C12)</f>
        <v>132500</v>
      </c>
      <c r="F13" s="1">
        <v>57500</v>
      </c>
    </row>
    <row r="17" spans="1:5" x14ac:dyDescent="0.25">
      <c r="A17" s="88">
        <v>41699</v>
      </c>
    </row>
    <row r="19" spans="1:5" x14ac:dyDescent="0.25">
      <c r="A19">
        <v>2</v>
      </c>
      <c r="B19" t="s">
        <v>382</v>
      </c>
      <c r="C19">
        <v>16000</v>
      </c>
    </row>
    <row r="20" spans="1:5" x14ac:dyDescent="0.25">
      <c r="A20">
        <v>2</v>
      </c>
      <c r="B20" t="s">
        <v>385</v>
      </c>
      <c r="C20">
        <v>6000</v>
      </c>
    </row>
    <row r="21" spans="1:5" x14ac:dyDescent="0.25">
      <c r="A21" s="1">
        <v>1</v>
      </c>
      <c r="B21" s="1" t="s">
        <v>296</v>
      </c>
      <c r="C21" s="1">
        <v>8000</v>
      </c>
    </row>
    <row r="22" spans="1:5" x14ac:dyDescent="0.25">
      <c r="A22" s="1">
        <v>1</v>
      </c>
      <c r="B22" s="1" t="s">
        <v>384</v>
      </c>
      <c r="C22" s="1">
        <v>3000</v>
      </c>
    </row>
    <row r="23" spans="1:5" x14ac:dyDescent="0.25">
      <c r="A23">
        <v>2</v>
      </c>
      <c r="B23" t="s">
        <v>386</v>
      </c>
      <c r="C23">
        <v>9000</v>
      </c>
    </row>
    <row r="24" spans="1:5" x14ac:dyDescent="0.25">
      <c r="A24" s="1">
        <v>2</v>
      </c>
      <c r="B24" s="1" t="s">
        <v>382</v>
      </c>
      <c r="C24" s="1">
        <v>16000</v>
      </c>
    </row>
    <row r="25" spans="1:5" x14ac:dyDescent="0.25">
      <c r="A25" s="1">
        <v>2</v>
      </c>
      <c r="B25" s="1" t="s">
        <v>385</v>
      </c>
      <c r="C25" s="1">
        <v>6000</v>
      </c>
    </row>
    <row r="27" spans="1:5" x14ac:dyDescent="0.25">
      <c r="A27">
        <v>1</v>
      </c>
      <c r="B27" t="s">
        <v>383</v>
      </c>
      <c r="C27">
        <v>37000</v>
      </c>
      <c r="D27" t="s">
        <v>387</v>
      </c>
      <c r="E27">
        <f>30+7</f>
        <v>37</v>
      </c>
    </row>
    <row r="28" spans="1:5" x14ac:dyDescent="0.25">
      <c r="A28" s="1">
        <v>3</v>
      </c>
      <c r="B28" s="1" t="s">
        <v>382</v>
      </c>
      <c r="C28" s="1">
        <v>24000</v>
      </c>
    </row>
    <row r="29" spans="1:5" x14ac:dyDescent="0.25">
      <c r="A29" s="1">
        <v>1</v>
      </c>
      <c r="B29" s="1" t="s">
        <v>381</v>
      </c>
      <c r="C29" s="1">
        <v>15000</v>
      </c>
    </row>
    <row r="30" spans="1:5" x14ac:dyDescent="0.25">
      <c r="A30" s="1">
        <v>1</v>
      </c>
      <c r="B30" s="1" t="s">
        <v>384</v>
      </c>
      <c r="C30" s="1">
        <v>3000</v>
      </c>
    </row>
    <row r="31" spans="1:5" x14ac:dyDescent="0.25">
      <c r="B31" t="s">
        <v>383</v>
      </c>
      <c r="C31" s="1">
        <v>23000</v>
      </c>
      <c r="D31" t="s">
        <v>388</v>
      </c>
    </row>
    <row r="33" spans="1:4" x14ac:dyDescent="0.25">
      <c r="A33" s="1">
        <v>1</v>
      </c>
      <c r="B33" s="1" t="s">
        <v>296</v>
      </c>
      <c r="C33" s="1">
        <v>8000</v>
      </c>
      <c r="D33" t="s">
        <v>278</v>
      </c>
    </row>
    <row r="34" spans="1:4" x14ac:dyDescent="0.25">
      <c r="A34" s="1">
        <v>1</v>
      </c>
      <c r="B34" s="1" t="s">
        <v>384</v>
      </c>
      <c r="C34" s="1">
        <v>3000</v>
      </c>
      <c r="D34" t="s">
        <v>278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1:F44"/>
  <sheetViews>
    <sheetView showGridLines="0" zoomScale="115" zoomScaleNormal="115" workbookViewId="0">
      <pane ySplit="2" topLeftCell="A27" activePane="bottomLeft" state="frozen"/>
      <selection pane="bottomLeft" activeCell="C31" sqref="C31"/>
    </sheetView>
  </sheetViews>
  <sheetFormatPr baseColWidth="10" defaultRowHeight="15" x14ac:dyDescent="0.25"/>
  <cols>
    <col min="1" max="1" width="1.42578125" customWidth="1"/>
    <col min="2" max="2" width="8.140625" style="94" bestFit="1" customWidth="1"/>
    <col min="3" max="3" width="53.85546875" style="94" bestFit="1" customWidth="1"/>
    <col min="4" max="4" width="11" style="120" bestFit="1" customWidth="1"/>
    <col min="5" max="5" width="9.42578125" style="94" bestFit="1" customWidth="1"/>
    <col min="6" max="6" width="70.85546875" style="95" bestFit="1" customWidth="1"/>
  </cols>
  <sheetData>
    <row r="1" spans="2:6" ht="33.75" x14ac:dyDescent="0.25">
      <c r="B1" s="147" t="s">
        <v>347</v>
      </c>
      <c r="C1" s="147"/>
      <c r="D1" s="147"/>
      <c r="E1" s="147"/>
      <c r="F1" s="147"/>
    </row>
    <row r="2" spans="2:6" x14ac:dyDescent="0.25">
      <c r="B2" s="96" t="s">
        <v>5</v>
      </c>
      <c r="C2" s="96" t="s">
        <v>330</v>
      </c>
      <c r="D2" s="117" t="s">
        <v>303</v>
      </c>
      <c r="E2" s="96" t="s">
        <v>346</v>
      </c>
      <c r="F2" s="97" t="s">
        <v>300</v>
      </c>
    </row>
    <row r="3" spans="2:6" ht="30" x14ac:dyDescent="0.25">
      <c r="B3" s="121">
        <v>46090</v>
      </c>
      <c r="C3" s="98" t="s">
        <v>449</v>
      </c>
      <c r="D3" s="118" t="s">
        <v>304</v>
      </c>
      <c r="E3" s="98" t="s">
        <v>301</v>
      </c>
      <c r="F3" s="99" t="s">
        <v>302</v>
      </c>
    </row>
    <row r="4" spans="2:6" ht="30" x14ac:dyDescent="0.25">
      <c r="B4" s="121">
        <v>46090</v>
      </c>
      <c r="C4" s="98" t="s">
        <v>448</v>
      </c>
      <c r="D4" s="118" t="s">
        <v>304</v>
      </c>
      <c r="E4" s="98" t="s">
        <v>305</v>
      </c>
      <c r="F4" s="99" t="s">
        <v>306</v>
      </c>
    </row>
    <row r="5" spans="2:6" ht="30" x14ac:dyDescent="0.25">
      <c r="B5" s="121">
        <v>46093</v>
      </c>
      <c r="C5" s="98" t="s">
        <v>333</v>
      </c>
      <c r="D5" s="118" t="s">
        <v>304</v>
      </c>
      <c r="E5" s="98" t="s">
        <v>331</v>
      </c>
      <c r="F5" s="99" t="s">
        <v>332</v>
      </c>
    </row>
    <row r="6" spans="2:6" ht="60" customHeight="1" x14ac:dyDescent="0.25">
      <c r="B6" s="121">
        <v>46093</v>
      </c>
      <c r="C6" s="98" t="s">
        <v>336</v>
      </c>
      <c r="D6" s="118" t="s">
        <v>304</v>
      </c>
      <c r="E6" s="98" t="s">
        <v>334</v>
      </c>
      <c r="F6" s="99" t="s">
        <v>335</v>
      </c>
    </row>
    <row r="7" spans="2:6" ht="30" x14ac:dyDescent="0.25">
      <c r="B7" s="121">
        <v>46093</v>
      </c>
      <c r="C7" s="98" t="s">
        <v>337</v>
      </c>
      <c r="D7" s="118" t="s">
        <v>304</v>
      </c>
      <c r="E7" s="98" t="s">
        <v>339</v>
      </c>
      <c r="F7" s="99" t="s">
        <v>338</v>
      </c>
    </row>
    <row r="8" spans="2:6" ht="30" x14ac:dyDescent="0.25">
      <c r="B8" s="121">
        <v>46093</v>
      </c>
      <c r="C8" s="98" t="s">
        <v>343</v>
      </c>
      <c r="D8" s="118" t="s">
        <v>304</v>
      </c>
      <c r="E8" s="98" t="s">
        <v>340</v>
      </c>
      <c r="F8" s="99" t="s">
        <v>341</v>
      </c>
    </row>
    <row r="9" spans="2:6" ht="45" x14ac:dyDescent="0.25">
      <c r="B9" s="121">
        <v>46093</v>
      </c>
      <c r="C9" s="98" t="s">
        <v>344</v>
      </c>
      <c r="D9" s="118" t="s">
        <v>304</v>
      </c>
      <c r="E9" s="98" t="s">
        <v>342</v>
      </c>
      <c r="F9" s="99" t="s">
        <v>345</v>
      </c>
    </row>
    <row r="10" spans="2:6" x14ac:dyDescent="0.25">
      <c r="B10" s="121">
        <v>46093</v>
      </c>
      <c r="C10" s="98" t="s">
        <v>370</v>
      </c>
      <c r="D10" s="118" t="s">
        <v>304</v>
      </c>
      <c r="E10" s="98" t="s">
        <v>371</v>
      </c>
      <c r="F10" s="99" t="s">
        <v>362</v>
      </c>
    </row>
    <row r="11" spans="2:6" ht="30" x14ac:dyDescent="0.25">
      <c r="B11" s="121">
        <v>46093</v>
      </c>
      <c r="C11" s="98" t="s">
        <v>380</v>
      </c>
      <c r="D11" s="118" t="s">
        <v>304</v>
      </c>
      <c r="E11" s="98" t="s">
        <v>379</v>
      </c>
      <c r="F11" s="99" t="s">
        <v>427</v>
      </c>
    </row>
    <row r="12" spans="2:6" ht="30" x14ac:dyDescent="0.25">
      <c r="B12" s="121">
        <v>46099</v>
      </c>
      <c r="C12" s="98" t="s">
        <v>428</v>
      </c>
      <c r="D12" s="118" t="s">
        <v>304</v>
      </c>
      <c r="E12" s="98" t="s">
        <v>426</v>
      </c>
      <c r="F12" s="99" t="s">
        <v>429</v>
      </c>
    </row>
    <row r="13" spans="2:6" ht="30" x14ac:dyDescent="0.25">
      <c r="B13" s="121">
        <v>46099</v>
      </c>
      <c r="C13" s="98" t="s">
        <v>438</v>
      </c>
      <c r="D13" s="118" t="s">
        <v>304</v>
      </c>
      <c r="E13" s="98" t="s">
        <v>437</v>
      </c>
      <c r="F13" s="99" t="s">
        <v>364</v>
      </c>
    </row>
    <row r="14" spans="2:6" ht="30" x14ac:dyDescent="0.25">
      <c r="B14" s="121">
        <v>46100</v>
      </c>
      <c r="C14" s="98" t="s">
        <v>451</v>
      </c>
      <c r="D14" s="118" t="s">
        <v>304</v>
      </c>
      <c r="E14" s="98" t="s">
        <v>439</v>
      </c>
      <c r="F14" s="99" t="s">
        <v>452</v>
      </c>
    </row>
    <row r="15" spans="2:6" ht="30" x14ac:dyDescent="0.25">
      <c r="B15" s="121">
        <v>46100</v>
      </c>
      <c r="C15" s="98" t="s">
        <v>453</v>
      </c>
      <c r="D15" s="118" t="s">
        <v>304</v>
      </c>
      <c r="E15" s="98" t="s">
        <v>437</v>
      </c>
      <c r="F15" s="99" t="s">
        <v>364</v>
      </c>
    </row>
    <row r="16" spans="2:6" ht="30" x14ac:dyDescent="0.25">
      <c r="B16" s="121">
        <v>46100</v>
      </c>
      <c r="C16" s="98" t="s">
        <v>456</v>
      </c>
      <c r="D16" s="118" t="s">
        <v>304</v>
      </c>
      <c r="E16" s="98" t="s">
        <v>455</v>
      </c>
      <c r="F16" s="100" t="s">
        <v>454</v>
      </c>
    </row>
    <row r="17" spans="2:6" ht="30" x14ac:dyDescent="0.25">
      <c r="B17" s="121">
        <v>46100</v>
      </c>
      <c r="C17" s="98" t="s">
        <v>459</v>
      </c>
      <c r="D17" s="118" t="s">
        <v>304</v>
      </c>
      <c r="E17" s="98" t="s">
        <v>545</v>
      </c>
      <c r="F17" s="99" t="s">
        <v>458</v>
      </c>
    </row>
    <row r="18" spans="2:6" ht="30" x14ac:dyDescent="0.25">
      <c r="B18" s="121">
        <v>46100</v>
      </c>
      <c r="C18" s="98" t="s">
        <v>522</v>
      </c>
      <c r="D18" s="118" t="s">
        <v>304</v>
      </c>
      <c r="E18" s="98" t="s">
        <v>520</v>
      </c>
      <c r="F18" s="99" t="s">
        <v>521</v>
      </c>
    </row>
    <row r="19" spans="2:6" ht="30" x14ac:dyDescent="0.25">
      <c r="B19" s="121">
        <v>46100</v>
      </c>
      <c r="C19" s="98" t="s">
        <v>534</v>
      </c>
      <c r="D19" s="118" t="s">
        <v>304</v>
      </c>
      <c r="E19" s="98" t="s">
        <v>533</v>
      </c>
      <c r="F19" s="99" t="s">
        <v>535</v>
      </c>
    </row>
    <row r="20" spans="2:6" ht="30" x14ac:dyDescent="0.25">
      <c r="B20" s="121">
        <v>46101</v>
      </c>
      <c r="C20" s="98" t="s">
        <v>538</v>
      </c>
      <c r="D20" s="118" t="s">
        <v>304</v>
      </c>
      <c r="E20" s="98" t="s">
        <v>536</v>
      </c>
      <c r="F20" s="99" t="s">
        <v>537</v>
      </c>
    </row>
    <row r="21" spans="2:6" ht="45" x14ac:dyDescent="0.25">
      <c r="B21" s="121">
        <v>46101</v>
      </c>
      <c r="C21" s="98" t="s">
        <v>541</v>
      </c>
      <c r="D21" s="118" t="s">
        <v>304</v>
      </c>
      <c r="E21" s="98" t="s">
        <v>540</v>
      </c>
      <c r="F21" s="99" t="s">
        <v>542</v>
      </c>
    </row>
    <row r="22" spans="2:6" ht="45" x14ac:dyDescent="0.25">
      <c r="B22" s="121">
        <v>46101</v>
      </c>
      <c r="C22" s="98" t="s">
        <v>544</v>
      </c>
      <c r="D22" s="118" t="s">
        <v>304</v>
      </c>
      <c r="E22" s="98" t="s">
        <v>543</v>
      </c>
      <c r="F22" s="99" t="s">
        <v>542</v>
      </c>
    </row>
    <row r="23" spans="2:6" x14ac:dyDescent="0.25">
      <c r="B23" s="121">
        <v>46101</v>
      </c>
      <c r="C23" s="98" t="s">
        <v>546</v>
      </c>
      <c r="D23" s="118" t="s">
        <v>304</v>
      </c>
      <c r="E23" s="98" t="s">
        <v>457</v>
      </c>
      <c r="F23" s="99" t="s">
        <v>547</v>
      </c>
    </row>
    <row r="24" spans="2:6" ht="30" x14ac:dyDescent="0.25">
      <c r="B24" s="121">
        <v>46102</v>
      </c>
      <c r="C24" s="98" t="s">
        <v>572</v>
      </c>
      <c r="D24" s="118" t="s">
        <v>304</v>
      </c>
      <c r="E24" s="98" t="s">
        <v>570</v>
      </c>
      <c r="F24" s="99" t="s">
        <v>571</v>
      </c>
    </row>
    <row r="25" spans="2:6" ht="30" x14ac:dyDescent="0.25">
      <c r="B25" s="121">
        <v>46102</v>
      </c>
      <c r="C25" s="98" t="s">
        <v>574</v>
      </c>
      <c r="D25" s="118" t="s">
        <v>304</v>
      </c>
      <c r="E25" s="98" t="s">
        <v>573</v>
      </c>
      <c r="F25" s="99" t="s">
        <v>579</v>
      </c>
    </row>
    <row r="26" spans="2:6" x14ac:dyDescent="0.25">
      <c r="B26" s="121">
        <v>46102</v>
      </c>
      <c r="C26" s="98" t="s">
        <v>577</v>
      </c>
      <c r="D26" s="118" t="s">
        <v>304</v>
      </c>
      <c r="E26" s="98" t="s">
        <v>575</v>
      </c>
      <c r="F26" s="98" t="s">
        <v>576</v>
      </c>
    </row>
    <row r="27" spans="2:6" x14ac:dyDescent="0.25">
      <c r="B27" s="121">
        <v>46102</v>
      </c>
      <c r="C27" s="98" t="s">
        <v>583</v>
      </c>
      <c r="D27" s="118" t="s">
        <v>304</v>
      </c>
      <c r="E27" s="98" t="s">
        <v>578</v>
      </c>
      <c r="F27" s="98" t="s">
        <v>581</v>
      </c>
    </row>
    <row r="28" spans="2:6" x14ac:dyDescent="0.25">
      <c r="B28" s="121">
        <v>46102</v>
      </c>
      <c r="C28" s="98" t="s">
        <v>584</v>
      </c>
      <c r="D28" s="118" t="s">
        <v>304</v>
      </c>
      <c r="E28" s="98" t="s">
        <v>580</v>
      </c>
      <c r="F28" s="98" t="s">
        <v>582</v>
      </c>
    </row>
    <row r="29" spans="2:6" x14ac:dyDescent="0.25">
      <c r="B29" s="121">
        <v>46102</v>
      </c>
      <c r="C29" s="98" t="s">
        <v>593</v>
      </c>
      <c r="D29" s="118" t="s">
        <v>304</v>
      </c>
      <c r="E29" s="98" t="s">
        <v>592</v>
      </c>
      <c r="F29" s="98" t="s">
        <v>594</v>
      </c>
    </row>
    <row r="30" spans="2:6" ht="30" x14ac:dyDescent="0.25">
      <c r="B30" s="121">
        <v>46104</v>
      </c>
      <c r="C30" s="98" t="s">
        <v>597</v>
      </c>
      <c r="D30" s="118" t="s">
        <v>304</v>
      </c>
      <c r="E30" s="98" t="s">
        <v>596</v>
      </c>
      <c r="F30" s="99" t="s">
        <v>600</v>
      </c>
    </row>
    <row r="31" spans="2:6" x14ac:dyDescent="0.25">
      <c r="B31" s="121">
        <v>46104</v>
      </c>
      <c r="C31" s="98" t="s">
        <v>598</v>
      </c>
      <c r="D31" s="118" t="s">
        <v>304</v>
      </c>
      <c r="E31" s="98" t="s">
        <v>599</v>
      </c>
      <c r="F31" s="98" t="s">
        <v>601</v>
      </c>
    </row>
    <row r="32" spans="2:6" x14ac:dyDescent="0.25">
      <c r="B32" s="121"/>
      <c r="C32" s="100"/>
      <c r="D32" s="119" t="s">
        <v>303</v>
      </c>
      <c r="E32" s="98"/>
      <c r="F32" s="100" t="s">
        <v>551</v>
      </c>
    </row>
    <row r="33" spans="2:6" x14ac:dyDescent="0.25">
      <c r="B33" s="121"/>
      <c r="C33" s="98"/>
      <c r="D33" s="118"/>
      <c r="E33" s="98"/>
      <c r="F33" s="100" t="s">
        <v>549</v>
      </c>
    </row>
    <row r="34" spans="2:6" x14ac:dyDescent="0.25">
      <c r="B34" s="121"/>
      <c r="C34" s="100"/>
      <c r="D34" s="119" t="s">
        <v>303</v>
      </c>
      <c r="E34" s="98"/>
      <c r="F34" s="100" t="s">
        <v>559</v>
      </c>
    </row>
    <row r="35" spans="2:6" x14ac:dyDescent="0.25">
      <c r="B35" s="121"/>
      <c r="C35" s="100"/>
      <c r="D35" s="119" t="s">
        <v>303</v>
      </c>
      <c r="E35" s="98"/>
      <c r="F35" s="100" t="s">
        <v>550</v>
      </c>
    </row>
    <row r="36" spans="2:6" x14ac:dyDescent="0.25">
      <c r="B36" s="121"/>
      <c r="C36" s="100"/>
      <c r="D36" s="119" t="s">
        <v>303</v>
      </c>
      <c r="E36" s="98"/>
      <c r="F36" s="100" t="s">
        <v>552</v>
      </c>
    </row>
    <row r="37" spans="2:6" x14ac:dyDescent="0.25">
      <c r="B37" s="121"/>
      <c r="C37" s="100" t="s">
        <v>365</v>
      </c>
      <c r="D37" s="119" t="s">
        <v>303</v>
      </c>
      <c r="E37" s="98"/>
      <c r="F37" s="100" t="s">
        <v>365</v>
      </c>
    </row>
    <row r="38" spans="2:6" x14ac:dyDescent="0.25">
      <c r="B38" s="122"/>
      <c r="C38" s="98" t="s">
        <v>245</v>
      </c>
      <c r="D38" s="119" t="s">
        <v>303</v>
      </c>
      <c r="E38" s="98"/>
      <c r="F38" s="98" t="s">
        <v>245</v>
      </c>
    </row>
    <row r="39" spans="2:6" x14ac:dyDescent="0.25">
      <c r="B39" s="122"/>
      <c r="C39" s="98" t="s">
        <v>244</v>
      </c>
      <c r="D39" s="119" t="s">
        <v>303</v>
      </c>
      <c r="E39" s="98"/>
      <c r="F39" s="98" t="s">
        <v>244</v>
      </c>
    </row>
    <row r="40" spans="2:6" x14ac:dyDescent="0.25">
      <c r="B40" s="122"/>
      <c r="C40" s="98" t="s">
        <v>539</v>
      </c>
      <c r="D40" s="119" t="s">
        <v>303</v>
      </c>
      <c r="E40" s="98"/>
      <c r="F40" s="98"/>
    </row>
    <row r="41" spans="2:6" x14ac:dyDescent="0.25">
      <c r="B41" s="122"/>
      <c r="C41" s="98" t="s">
        <v>246</v>
      </c>
      <c r="D41" s="119" t="s">
        <v>303</v>
      </c>
      <c r="E41" s="98"/>
      <c r="F41" s="98" t="s">
        <v>246</v>
      </c>
    </row>
    <row r="42" spans="2:6" x14ac:dyDescent="0.25">
      <c r="B42" s="122"/>
      <c r="C42" s="98" t="s">
        <v>247</v>
      </c>
      <c r="D42" s="119" t="s">
        <v>303</v>
      </c>
      <c r="E42" s="98"/>
      <c r="F42" s="98" t="s">
        <v>247</v>
      </c>
    </row>
    <row r="43" spans="2:6" x14ac:dyDescent="0.25">
      <c r="B43" s="122"/>
      <c r="C43" s="98" t="s">
        <v>253</v>
      </c>
      <c r="D43" s="119" t="s">
        <v>303</v>
      </c>
      <c r="E43" s="98"/>
      <c r="F43" s="98" t="s">
        <v>253</v>
      </c>
    </row>
    <row r="44" spans="2:6" x14ac:dyDescent="0.25">
      <c r="B44" s="122"/>
      <c r="C44" s="98" t="s">
        <v>254</v>
      </c>
      <c r="D44" s="119" t="s">
        <v>303</v>
      </c>
      <c r="E44" s="98"/>
      <c r="F44" s="98" t="s">
        <v>254</v>
      </c>
    </row>
  </sheetData>
  <autoFilter ref="B2:F44"/>
  <mergeCells count="1">
    <mergeCell ref="B1:F1"/>
  </mergeCells>
  <conditionalFormatting sqref="E3:E44">
    <cfRule type="containsText" dxfId="9" priority="1" operator="containsText" text="HU">
      <formula>NOT(ISERROR(SEARCH("HU",E3)))</formula>
    </cfRule>
    <cfRule type="containsText" dxfId="8" priority="2" operator="containsText" text="BU">
      <formula>NOT(ISERROR(SEARCH("BU",E3)))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Y70"/>
  <sheetViews>
    <sheetView showGridLines="0" zoomScale="85" zoomScaleNormal="85" workbookViewId="0">
      <selection activeCell="D21" sqref="D21"/>
    </sheetView>
  </sheetViews>
  <sheetFormatPr baseColWidth="10" defaultRowHeight="15" outlineLevelCol="1" x14ac:dyDescent="0.25"/>
  <cols>
    <col min="1" max="1" width="1.5703125" customWidth="1"/>
    <col min="2" max="2" width="11.85546875" bestFit="1" customWidth="1"/>
    <col min="3" max="3" width="15.28515625" bestFit="1" customWidth="1"/>
    <col min="4" max="4" width="21.28515625" bestFit="1" customWidth="1"/>
    <col min="5" max="5" width="11.7109375" bestFit="1" customWidth="1"/>
    <col min="6" max="6" width="10.5703125" style="40" customWidth="1" outlineLevel="1"/>
    <col min="7" max="7" width="18.5703125" style="41" customWidth="1" outlineLevel="1"/>
    <col min="8" max="8" width="18.140625" style="40" customWidth="1" outlineLevel="1"/>
    <col min="9" max="9" width="12.140625" style="3" bestFit="1" customWidth="1" outlineLevel="1"/>
    <col min="10" max="10" width="15.28515625" bestFit="1" customWidth="1"/>
    <col min="11" max="11" width="15.140625" style="3" bestFit="1" customWidth="1"/>
    <col min="12" max="12" width="15" style="3" customWidth="1"/>
    <col min="13" max="14" width="15.140625" style="3" customWidth="1"/>
    <col min="15" max="15" width="20.7109375" bestFit="1" customWidth="1"/>
    <col min="17" max="17" width="19.85546875" style="3" bestFit="1" customWidth="1"/>
  </cols>
  <sheetData>
    <row r="1" spans="2:25" x14ac:dyDescent="0.25">
      <c r="D1" t="s">
        <v>460</v>
      </c>
    </row>
    <row r="2" spans="2:25" x14ac:dyDescent="0.25">
      <c r="D2" t="s">
        <v>461</v>
      </c>
      <c r="F2" s="40">
        <v>3400</v>
      </c>
    </row>
    <row r="4" spans="2:25" x14ac:dyDescent="0.25">
      <c r="F4" s="101"/>
      <c r="J4" s="102" t="s">
        <v>473</v>
      </c>
    </row>
    <row r="5" spans="2:25" x14ac:dyDescent="0.25">
      <c r="B5" s="102" t="s">
        <v>5</v>
      </c>
      <c r="C5" s="102" t="s">
        <v>560</v>
      </c>
      <c r="D5" s="102" t="s">
        <v>185</v>
      </c>
      <c r="E5" s="102" t="s">
        <v>460</v>
      </c>
      <c r="F5" s="105" t="s">
        <v>462</v>
      </c>
      <c r="G5" s="107" t="s">
        <v>464</v>
      </c>
      <c r="H5" s="103" t="s">
        <v>463</v>
      </c>
      <c r="I5" s="102" t="s">
        <v>465</v>
      </c>
      <c r="J5" s="102" t="s">
        <v>466</v>
      </c>
      <c r="K5" s="104" t="s">
        <v>467</v>
      </c>
      <c r="O5" t="s">
        <v>563</v>
      </c>
      <c r="P5" t="s">
        <v>564</v>
      </c>
      <c r="Q5" s="3" t="s">
        <v>565</v>
      </c>
      <c r="S5" s="102" t="s">
        <v>474</v>
      </c>
    </row>
    <row r="6" spans="2:25" x14ac:dyDescent="0.25">
      <c r="B6" s="65">
        <v>46076</v>
      </c>
      <c r="C6" s="65" t="s">
        <v>562</v>
      </c>
      <c r="D6" s="1" t="s">
        <v>191</v>
      </c>
      <c r="E6" s="1"/>
      <c r="F6" s="127"/>
      <c r="G6" s="128"/>
      <c r="H6" s="129"/>
      <c r="I6" s="16">
        <f>+J6*K6</f>
        <v>1277500</v>
      </c>
      <c r="J6" s="1">
        <v>365</v>
      </c>
      <c r="K6" s="16">
        <v>3500</v>
      </c>
      <c r="O6">
        <v>7000</v>
      </c>
      <c r="P6" s="13">
        <f>+O6-K6</f>
        <v>3500</v>
      </c>
      <c r="Q6" s="3">
        <f>+J6*O6</f>
        <v>2555000</v>
      </c>
    </row>
    <row r="7" spans="2:25" x14ac:dyDescent="0.25">
      <c r="B7" s="56">
        <v>46073</v>
      </c>
      <c r="C7" s="56" t="s">
        <v>561</v>
      </c>
      <c r="D7" s="22" t="s">
        <v>472</v>
      </c>
      <c r="F7" s="106">
        <v>30</v>
      </c>
      <c r="G7" s="109">
        <v>6</v>
      </c>
      <c r="H7" s="108">
        <v>36000</v>
      </c>
      <c r="I7" s="130">
        <f>+H7*G7</f>
        <v>216000</v>
      </c>
      <c r="J7">
        <f>+F7*G7</f>
        <v>180</v>
      </c>
      <c r="K7" s="132">
        <f>+I7/J7</f>
        <v>1200</v>
      </c>
      <c r="O7">
        <v>3000</v>
      </c>
      <c r="P7" s="13">
        <f>+O7-K7</f>
        <v>1800</v>
      </c>
      <c r="Q7" s="3">
        <f>+J7*O7</f>
        <v>540000</v>
      </c>
      <c r="S7" s="3">
        <f>+K7-T7</f>
        <v>1175</v>
      </c>
      <c r="T7">
        <v>25</v>
      </c>
      <c r="U7">
        <v>58</v>
      </c>
      <c r="V7">
        <f>+U7-T7</f>
        <v>33</v>
      </c>
      <c r="W7" s="13">
        <f>+V7*K7</f>
        <v>39600</v>
      </c>
    </row>
    <row r="8" spans="2:25" x14ac:dyDescent="0.25">
      <c r="B8" s="56">
        <v>46073</v>
      </c>
      <c r="C8" s="56" t="s">
        <v>561</v>
      </c>
      <c r="D8" s="125" t="s">
        <v>468</v>
      </c>
      <c r="F8" s="106">
        <v>30</v>
      </c>
      <c r="G8" s="109">
        <v>3</v>
      </c>
      <c r="H8" s="108">
        <v>35000</v>
      </c>
      <c r="I8" s="3">
        <f>+H8*G8</f>
        <v>105000</v>
      </c>
      <c r="J8">
        <f>+F8*G8</f>
        <v>90</v>
      </c>
      <c r="K8" s="132">
        <f>+I8/J8</f>
        <v>1166.6666666666667</v>
      </c>
      <c r="O8">
        <v>3000</v>
      </c>
      <c r="P8" s="13">
        <f>+O8-K8</f>
        <v>1833.3333333333333</v>
      </c>
      <c r="Q8" s="3">
        <f>+J8*O8</f>
        <v>270000</v>
      </c>
      <c r="S8" s="3">
        <f>+K8-T8</f>
        <v>1155.6666666666667</v>
      </c>
      <c r="T8">
        <v>11</v>
      </c>
      <c r="U8">
        <v>46</v>
      </c>
      <c r="V8">
        <f>+U8-T8</f>
        <v>35</v>
      </c>
      <c r="W8" s="13">
        <f>+V8*K8</f>
        <v>40833.333333333336</v>
      </c>
    </row>
    <row r="9" spans="2:25" x14ac:dyDescent="0.25">
      <c r="B9" s="56">
        <v>46073</v>
      </c>
      <c r="C9" s="56" t="s">
        <v>561</v>
      </c>
      <c r="D9" s="124" t="s">
        <v>470</v>
      </c>
      <c r="F9" s="106">
        <v>12</v>
      </c>
      <c r="G9" s="109">
        <v>2</v>
      </c>
      <c r="H9" s="108">
        <v>29000</v>
      </c>
      <c r="I9" s="3">
        <f>+H9*G9</f>
        <v>58000</v>
      </c>
      <c r="J9">
        <f>+F9*G9</f>
        <v>24</v>
      </c>
      <c r="K9" s="132">
        <f t="shared" ref="K9:K10" si="0">+I9/J9</f>
        <v>2416.6666666666665</v>
      </c>
      <c r="O9">
        <v>4500</v>
      </c>
      <c r="P9" s="13">
        <f>+O9-K9</f>
        <v>2083.3333333333335</v>
      </c>
      <c r="Q9" s="3">
        <f>+J9*O9</f>
        <v>108000</v>
      </c>
      <c r="S9" s="3">
        <f>+K9-T9</f>
        <v>2416.6666666666665</v>
      </c>
      <c r="T9">
        <v>0</v>
      </c>
      <c r="U9">
        <v>12</v>
      </c>
      <c r="V9">
        <f t="shared" ref="V9:V10" si="1">+U9-T9</f>
        <v>12</v>
      </c>
      <c r="W9" s="13">
        <f>+V9*K9</f>
        <v>29000</v>
      </c>
      <c r="Y9" s="13">
        <f>+SUM(W9:W10)</f>
        <v>37250</v>
      </c>
    </row>
    <row r="10" spans="2:25" x14ac:dyDescent="0.25">
      <c r="B10" s="56">
        <v>46073</v>
      </c>
      <c r="C10" s="56" t="s">
        <v>561</v>
      </c>
      <c r="D10" s="123" t="s">
        <v>469</v>
      </c>
      <c r="F10" s="106">
        <v>24</v>
      </c>
      <c r="G10" s="109">
        <v>1</v>
      </c>
      <c r="H10" s="108">
        <v>33000</v>
      </c>
      <c r="I10" s="3">
        <f>+H10*G10</f>
        <v>33000</v>
      </c>
      <c r="J10">
        <f>+F10*G10</f>
        <v>24</v>
      </c>
      <c r="K10" s="132">
        <f t="shared" si="0"/>
        <v>1375</v>
      </c>
      <c r="O10">
        <v>3000</v>
      </c>
      <c r="P10" s="13">
        <f>+O10-K10</f>
        <v>1625</v>
      </c>
      <c r="Q10" s="3">
        <f>+J10*O10</f>
        <v>72000</v>
      </c>
      <c r="S10" s="3">
        <f>+K10-T10</f>
        <v>1369</v>
      </c>
      <c r="T10">
        <v>6</v>
      </c>
      <c r="U10">
        <v>12</v>
      </c>
      <c r="V10">
        <f t="shared" si="1"/>
        <v>6</v>
      </c>
      <c r="W10" s="13">
        <f>+V10*K10</f>
        <v>8250</v>
      </c>
    </row>
    <row r="11" spans="2:25" x14ac:dyDescent="0.25">
      <c r="B11" s="56">
        <v>46077</v>
      </c>
      <c r="C11" s="56" t="s">
        <v>562</v>
      </c>
      <c r="D11" t="s">
        <v>566</v>
      </c>
      <c r="F11" s="106"/>
      <c r="G11" s="109"/>
      <c r="H11" s="108"/>
      <c r="J11">
        <v>50</v>
      </c>
      <c r="K11" s="76"/>
      <c r="P11" s="13"/>
    </row>
    <row r="12" spans="2:25" x14ac:dyDescent="0.25">
      <c r="B12" s="56">
        <v>46089</v>
      </c>
      <c r="C12" s="56" t="s">
        <v>562</v>
      </c>
      <c r="D12" t="s">
        <v>191</v>
      </c>
      <c r="F12" s="106"/>
      <c r="G12" s="109"/>
      <c r="H12" s="108"/>
      <c r="J12">
        <v>500</v>
      </c>
      <c r="K12" s="76">
        <v>3500</v>
      </c>
      <c r="P12" s="13"/>
    </row>
    <row r="13" spans="2:25" x14ac:dyDescent="0.25">
      <c r="B13" s="65">
        <v>46089</v>
      </c>
      <c r="C13" s="65" t="s">
        <v>562</v>
      </c>
      <c r="D13" s="1" t="s">
        <v>567</v>
      </c>
      <c r="E13" s="1"/>
      <c r="F13" s="127"/>
      <c r="G13" s="128"/>
      <c r="H13" s="129"/>
      <c r="I13" s="16"/>
      <c r="J13" s="1">
        <v>100</v>
      </c>
      <c r="K13" s="16"/>
      <c r="P13" s="13"/>
    </row>
    <row r="14" spans="2:25" x14ac:dyDescent="0.25">
      <c r="B14" s="56">
        <v>46112</v>
      </c>
      <c r="C14" s="56" t="s">
        <v>562</v>
      </c>
      <c r="D14" t="s">
        <v>568</v>
      </c>
      <c r="E14" t="s">
        <v>569</v>
      </c>
      <c r="F14" s="106">
        <f>+(250)/3</f>
        <v>83.333333333333329</v>
      </c>
      <c r="G14" s="109">
        <v>2</v>
      </c>
      <c r="H14" s="108">
        <v>70000</v>
      </c>
      <c r="I14" s="3">
        <f t="shared" ref="I14:I19" si="2">+H14*G14</f>
        <v>140000</v>
      </c>
      <c r="J14">
        <f>(F14*G14)</f>
        <v>166.66666666666666</v>
      </c>
      <c r="K14" s="133">
        <f>+I14/J14</f>
        <v>840</v>
      </c>
      <c r="P14" s="13"/>
    </row>
    <row r="15" spans="2:25" x14ac:dyDescent="0.25">
      <c r="B15" s="56">
        <v>46100</v>
      </c>
      <c r="C15" s="56" t="s">
        <v>561</v>
      </c>
      <c r="D15" s="22" t="s">
        <v>472</v>
      </c>
      <c r="F15" s="106">
        <v>30</v>
      </c>
      <c r="G15" s="109">
        <v>5</v>
      </c>
      <c r="H15" s="108">
        <v>36000</v>
      </c>
      <c r="I15" s="3">
        <f t="shared" si="2"/>
        <v>180000</v>
      </c>
      <c r="J15">
        <f>+F15*G15</f>
        <v>150</v>
      </c>
      <c r="K15" s="133">
        <f>+I15/J15</f>
        <v>1200</v>
      </c>
      <c r="L15" s="3">
        <f>+ROUND(K15,2)</f>
        <v>1200</v>
      </c>
      <c r="M15" s="3">
        <f>+J15*L15</f>
        <v>180000</v>
      </c>
      <c r="N15" s="3">
        <f>+I15-M15</f>
        <v>0</v>
      </c>
      <c r="O15">
        <v>3000</v>
      </c>
      <c r="P15" s="13">
        <f>+O15-K15</f>
        <v>1800</v>
      </c>
      <c r="Q15" s="3">
        <f>+J15*O15</f>
        <v>450000</v>
      </c>
      <c r="S15">
        <f>+K15*J15</f>
        <v>180000</v>
      </c>
    </row>
    <row r="16" spans="2:25" x14ac:dyDescent="0.25">
      <c r="B16" s="56">
        <v>46100</v>
      </c>
      <c r="C16" s="56" t="s">
        <v>561</v>
      </c>
      <c r="D16" t="s">
        <v>471</v>
      </c>
      <c r="F16" s="106">
        <v>12</v>
      </c>
      <c r="G16" s="109">
        <v>2</v>
      </c>
      <c r="H16" s="108">
        <v>15000</v>
      </c>
      <c r="I16" s="3">
        <f t="shared" si="2"/>
        <v>30000</v>
      </c>
      <c r="J16">
        <f>+F16*G16</f>
        <v>24</v>
      </c>
      <c r="K16" s="133">
        <f>+I16/J16</f>
        <v>1250</v>
      </c>
      <c r="L16" s="3">
        <f t="shared" ref="L16:L19" si="3">+ROUND(K16,2)</f>
        <v>1250</v>
      </c>
      <c r="M16" s="3">
        <f t="shared" ref="M16:M19" si="4">+J16*L16</f>
        <v>30000</v>
      </c>
      <c r="N16" s="3">
        <f t="shared" ref="N16:N19" si="5">+I16-M16</f>
        <v>0</v>
      </c>
      <c r="O16">
        <v>3200</v>
      </c>
      <c r="P16" s="13">
        <f>+O16-K16</f>
        <v>1950</v>
      </c>
      <c r="Q16" s="3">
        <f>+J16*O16</f>
        <v>76800</v>
      </c>
      <c r="S16">
        <f>+K16*J16</f>
        <v>30000</v>
      </c>
    </row>
    <row r="17" spans="2:19" x14ac:dyDescent="0.25">
      <c r="B17" s="56">
        <v>46100</v>
      </c>
      <c r="C17" s="56" t="s">
        <v>561</v>
      </c>
      <c r="D17" s="125" t="s">
        <v>468</v>
      </c>
      <c r="F17" s="106">
        <v>30</v>
      </c>
      <c r="G17" s="109">
        <v>3</v>
      </c>
      <c r="H17" s="108">
        <v>34000</v>
      </c>
      <c r="I17" s="3">
        <f t="shared" si="2"/>
        <v>102000</v>
      </c>
      <c r="J17">
        <f>+F17*G17</f>
        <v>90</v>
      </c>
      <c r="K17" s="133">
        <f>+I17/J17</f>
        <v>1133.3333333333333</v>
      </c>
      <c r="L17" s="3">
        <f t="shared" si="3"/>
        <v>1133.33</v>
      </c>
      <c r="M17" s="3">
        <f t="shared" si="4"/>
        <v>101999.7</v>
      </c>
      <c r="N17" s="3">
        <f t="shared" si="5"/>
        <v>0.30000000000291038</v>
      </c>
      <c r="O17">
        <v>3000</v>
      </c>
      <c r="P17" s="13">
        <f>+O17-K17</f>
        <v>1866.6666666666667</v>
      </c>
      <c r="Q17" s="3">
        <f>+J17*O17</f>
        <v>270000</v>
      </c>
      <c r="S17">
        <f>+K17*J17</f>
        <v>102000</v>
      </c>
    </row>
    <row r="18" spans="2:19" x14ac:dyDescent="0.25">
      <c r="B18" s="56">
        <v>46100</v>
      </c>
      <c r="C18" s="56" t="s">
        <v>561</v>
      </c>
      <c r="D18" s="124" t="s">
        <v>470</v>
      </c>
      <c r="F18" s="106">
        <v>12</v>
      </c>
      <c r="G18" s="109">
        <v>2</v>
      </c>
      <c r="H18" s="108">
        <v>29000</v>
      </c>
      <c r="I18" s="3">
        <f t="shared" si="2"/>
        <v>58000</v>
      </c>
      <c r="J18">
        <f>+F18*G18</f>
        <v>24</v>
      </c>
      <c r="K18" s="134">
        <f t="shared" ref="K18:K19" si="6">+I18/J18</f>
        <v>2416.6666666666665</v>
      </c>
      <c r="L18" s="3">
        <f t="shared" si="3"/>
        <v>2416.67</v>
      </c>
      <c r="M18" s="3">
        <f t="shared" si="4"/>
        <v>58000.08</v>
      </c>
      <c r="N18" s="3">
        <f t="shared" si="5"/>
        <v>-8.000000000174623E-2</v>
      </c>
      <c r="O18">
        <v>4500</v>
      </c>
      <c r="P18" s="13">
        <f>+O18-K18</f>
        <v>2083.3333333333335</v>
      </c>
      <c r="Q18" s="3">
        <f>+J18*O18</f>
        <v>108000</v>
      </c>
      <c r="S18" s="131">
        <f>+K18*J18</f>
        <v>58000</v>
      </c>
    </row>
    <row r="19" spans="2:19" x14ac:dyDescent="0.25">
      <c r="B19" s="56">
        <v>46100</v>
      </c>
      <c r="C19" s="56" t="s">
        <v>561</v>
      </c>
      <c r="D19" s="123" t="s">
        <v>469</v>
      </c>
      <c r="F19" s="106">
        <v>24</v>
      </c>
      <c r="G19" s="109">
        <v>1</v>
      </c>
      <c r="H19" s="108">
        <v>34000</v>
      </c>
      <c r="I19" s="3">
        <f t="shared" si="2"/>
        <v>34000</v>
      </c>
      <c r="J19">
        <f>+F19*G19</f>
        <v>24</v>
      </c>
      <c r="K19" s="133">
        <f t="shared" si="6"/>
        <v>1416.6666666666667</v>
      </c>
      <c r="L19" s="3">
        <f t="shared" si="3"/>
        <v>1416.67</v>
      </c>
      <c r="M19" s="3">
        <f t="shared" si="4"/>
        <v>34000.080000000002</v>
      </c>
      <c r="N19" s="3">
        <f t="shared" si="5"/>
        <v>-8.000000000174623E-2</v>
      </c>
      <c r="O19">
        <v>3000</v>
      </c>
      <c r="P19" s="13">
        <f>+O19-K19</f>
        <v>1583.3333333333333</v>
      </c>
      <c r="Q19" s="3">
        <f>+J19*O19</f>
        <v>72000</v>
      </c>
      <c r="S19">
        <f>+K19*J19</f>
        <v>34000</v>
      </c>
    </row>
    <row r="20" spans="2:19" x14ac:dyDescent="0.25">
      <c r="B20" s="56"/>
      <c r="C20" s="56"/>
      <c r="F20" s="106"/>
      <c r="G20" s="109"/>
      <c r="H20" s="108"/>
      <c r="S20">
        <f>+SUM(S15:S19)</f>
        <v>404000</v>
      </c>
    </row>
    <row r="21" spans="2:19" x14ac:dyDescent="0.25">
      <c r="B21" s="56"/>
      <c r="C21" s="56"/>
      <c r="F21" s="106"/>
      <c r="G21" s="109"/>
      <c r="H21" s="108"/>
    </row>
    <row r="22" spans="2:19" x14ac:dyDescent="0.25">
      <c r="B22" s="56"/>
      <c r="C22" s="56"/>
      <c r="F22" s="106"/>
      <c r="G22" s="109"/>
      <c r="H22" s="108"/>
    </row>
    <row r="23" spans="2:19" x14ac:dyDescent="0.25">
      <c r="B23" s="56"/>
      <c r="C23" s="56"/>
      <c r="F23" s="106"/>
      <c r="G23" s="109"/>
      <c r="H23" s="108"/>
    </row>
    <row r="24" spans="2:19" x14ac:dyDescent="0.25">
      <c r="B24" s="56" t="s">
        <v>603</v>
      </c>
      <c r="C24" s="56"/>
      <c r="F24" s="106"/>
      <c r="G24" s="109"/>
      <c r="H24" s="108"/>
    </row>
    <row r="25" spans="2:19" x14ac:dyDescent="0.25">
      <c r="B25" s="56" t="s">
        <v>602</v>
      </c>
      <c r="C25" s="56"/>
      <c r="F25" s="106"/>
      <c r="G25" s="109"/>
      <c r="H25" s="108"/>
      <c r="S25" t="e">
        <f>+#REF!-S20</f>
        <v>#REF!</v>
      </c>
    </row>
    <row r="26" spans="2:19" x14ac:dyDescent="0.25">
      <c r="B26" s="34">
        <v>0.66666666666666663</v>
      </c>
      <c r="C26" s="34"/>
      <c r="D26" t="s">
        <v>472</v>
      </c>
      <c r="F26" s="106"/>
      <c r="G26" s="109"/>
      <c r="H26" s="108"/>
      <c r="J26" s="1">
        <v>25</v>
      </c>
    </row>
    <row r="27" spans="2:19" x14ac:dyDescent="0.25">
      <c r="D27" t="s">
        <v>468</v>
      </c>
      <c r="F27" s="106"/>
      <c r="G27" s="109"/>
      <c r="H27" s="108"/>
      <c r="J27">
        <v>11</v>
      </c>
    </row>
    <row r="28" spans="2:19" x14ac:dyDescent="0.25">
      <c r="D28" t="s">
        <v>469</v>
      </c>
      <c r="F28" s="106"/>
      <c r="G28" s="109"/>
      <c r="H28" s="108"/>
      <c r="J28" s="1">
        <v>6</v>
      </c>
    </row>
    <row r="29" spans="2:19" x14ac:dyDescent="0.25">
      <c r="F29" s="106"/>
      <c r="G29" s="109"/>
      <c r="H29" s="108"/>
    </row>
    <row r="30" spans="2:19" x14ac:dyDescent="0.25">
      <c r="F30" s="101"/>
    </row>
    <row r="31" spans="2:19" x14ac:dyDescent="0.25">
      <c r="F31" s="101"/>
    </row>
    <row r="32" spans="2:19" x14ac:dyDescent="0.25">
      <c r="F32" s="101"/>
    </row>
    <row r="33" spans="6:6" x14ac:dyDescent="0.25">
      <c r="F33" s="101"/>
    </row>
    <row r="34" spans="6:6" x14ac:dyDescent="0.25">
      <c r="F34" s="101"/>
    </row>
    <row r="35" spans="6:6" x14ac:dyDescent="0.25">
      <c r="F35" s="101"/>
    </row>
    <row r="36" spans="6:6" x14ac:dyDescent="0.25">
      <c r="F36" s="101"/>
    </row>
    <row r="37" spans="6:6" x14ac:dyDescent="0.25">
      <c r="F37" s="101"/>
    </row>
    <row r="38" spans="6:6" x14ac:dyDescent="0.25">
      <c r="F38" s="101"/>
    </row>
    <row r="39" spans="6:6" x14ac:dyDescent="0.25">
      <c r="F39" s="101"/>
    </row>
    <row r="40" spans="6:6" x14ac:dyDescent="0.25">
      <c r="F40" s="101"/>
    </row>
    <row r="41" spans="6:6" x14ac:dyDescent="0.25">
      <c r="F41" s="101"/>
    </row>
    <row r="42" spans="6:6" x14ac:dyDescent="0.25">
      <c r="F42" s="101"/>
    </row>
    <row r="43" spans="6:6" x14ac:dyDescent="0.25">
      <c r="F43" s="101"/>
    </row>
    <row r="44" spans="6:6" x14ac:dyDescent="0.25">
      <c r="F44" s="101"/>
    </row>
    <row r="45" spans="6:6" x14ac:dyDescent="0.25">
      <c r="F45" s="101"/>
    </row>
    <row r="46" spans="6:6" x14ac:dyDescent="0.25">
      <c r="F46" s="101"/>
    </row>
    <row r="47" spans="6:6" x14ac:dyDescent="0.25">
      <c r="F47" s="101"/>
    </row>
    <row r="48" spans="6:6" x14ac:dyDescent="0.25">
      <c r="F48" s="101"/>
    </row>
    <row r="49" spans="6:6" x14ac:dyDescent="0.25">
      <c r="F49" s="101"/>
    </row>
    <row r="50" spans="6:6" x14ac:dyDescent="0.25">
      <c r="F50" s="101"/>
    </row>
    <row r="51" spans="6:6" x14ac:dyDescent="0.25">
      <c r="F51" s="101"/>
    </row>
    <row r="52" spans="6:6" x14ac:dyDescent="0.25">
      <c r="F52" s="101"/>
    </row>
    <row r="53" spans="6:6" x14ac:dyDescent="0.25">
      <c r="F53" s="101"/>
    </row>
    <row r="54" spans="6:6" x14ac:dyDescent="0.25">
      <c r="F54" s="101"/>
    </row>
    <row r="55" spans="6:6" x14ac:dyDescent="0.25">
      <c r="F55" s="101"/>
    </row>
    <row r="56" spans="6:6" x14ac:dyDescent="0.25">
      <c r="F56" s="101"/>
    </row>
    <row r="57" spans="6:6" x14ac:dyDescent="0.25">
      <c r="F57" s="101"/>
    </row>
    <row r="58" spans="6:6" x14ac:dyDescent="0.25">
      <c r="F58" s="101"/>
    </row>
    <row r="59" spans="6:6" x14ac:dyDescent="0.25">
      <c r="F59" s="101"/>
    </row>
    <row r="60" spans="6:6" x14ac:dyDescent="0.25">
      <c r="F60" s="101"/>
    </row>
    <row r="61" spans="6:6" x14ac:dyDescent="0.25">
      <c r="F61" s="101"/>
    </row>
    <row r="62" spans="6:6" x14ac:dyDescent="0.25">
      <c r="F62" s="101"/>
    </row>
    <row r="63" spans="6:6" x14ac:dyDescent="0.25">
      <c r="F63" s="101"/>
    </row>
    <row r="64" spans="6:6" x14ac:dyDescent="0.25">
      <c r="F64" s="101"/>
    </row>
    <row r="65" spans="6:6" x14ac:dyDescent="0.25">
      <c r="F65" s="101"/>
    </row>
    <row r="66" spans="6:6" x14ac:dyDescent="0.25">
      <c r="F66" s="101"/>
    </row>
    <row r="67" spans="6:6" x14ac:dyDescent="0.25">
      <c r="F67" s="101"/>
    </row>
    <row r="68" spans="6:6" x14ac:dyDescent="0.25">
      <c r="F68" s="101"/>
    </row>
    <row r="69" spans="6:6" x14ac:dyDescent="0.25">
      <c r="F69" s="101"/>
    </row>
    <row r="70" spans="6:6" x14ac:dyDescent="0.25">
      <c r="F70" s="101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/>
  <dimension ref="A1:AK52"/>
  <sheetViews>
    <sheetView showGridLines="0" zoomScale="85" zoomScaleNormal="85" workbookViewId="0">
      <pane ySplit="3" topLeftCell="A38" activePane="bottomLeft" state="frozen"/>
      <selection pane="bottomLeft" activeCell="D54" sqref="D54"/>
    </sheetView>
  </sheetViews>
  <sheetFormatPr baseColWidth="10" defaultRowHeight="15" x14ac:dyDescent="0.25"/>
  <cols>
    <col min="1" max="1" width="11.7109375" bestFit="1" customWidth="1"/>
    <col min="2" max="2" width="19.28515625" customWidth="1"/>
    <col min="3" max="3" width="12" style="3" bestFit="1" customWidth="1"/>
    <col min="4" max="4" width="9.42578125" style="3" bestFit="1" customWidth="1"/>
    <col min="5" max="5" width="10.5703125" style="3" customWidth="1"/>
    <col min="6" max="6" width="9.28515625" style="40" bestFit="1" customWidth="1"/>
    <col min="7" max="7" width="13.140625" style="41" bestFit="1" customWidth="1"/>
    <col min="8" max="19" width="11.140625" style="41" customWidth="1"/>
    <col min="20" max="23" width="18" style="41" customWidth="1"/>
    <col min="24" max="24" width="13.85546875" style="41" bestFit="1" customWidth="1"/>
    <col min="25" max="25" width="11.5703125" style="41" bestFit="1" customWidth="1"/>
    <col min="26" max="26" width="11" style="41" bestFit="1" customWidth="1"/>
    <col min="27" max="27" width="14.5703125" bestFit="1" customWidth="1"/>
    <col min="28" max="28" width="13" bestFit="1" customWidth="1"/>
    <col min="29" max="29" width="15.140625" customWidth="1"/>
  </cols>
  <sheetData>
    <row r="1" spans="1:37" x14ac:dyDescent="0.25"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</row>
    <row r="2" spans="1:37" s="3" customFormat="1" x14ac:dyDescent="0.25">
      <c r="F2" s="40"/>
      <c r="G2" s="3">
        <v>3500</v>
      </c>
      <c r="H2" s="3">
        <v>11000</v>
      </c>
      <c r="I2" s="3">
        <v>13000</v>
      </c>
      <c r="J2" s="3">
        <v>19000</v>
      </c>
      <c r="K2" s="3">
        <v>13000</v>
      </c>
      <c r="L2" s="3">
        <v>17000</v>
      </c>
      <c r="M2" s="3">
        <v>20000</v>
      </c>
      <c r="N2" s="3">
        <v>12000</v>
      </c>
      <c r="O2" s="3">
        <v>20000</v>
      </c>
      <c r="P2" s="3">
        <v>26000</v>
      </c>
      <c r="Q2" s="3">
        <v>10000</v>
      </c>
      <c r="R2" s="3">
        <v>14000</v>
      </c>
      <c r="S2" s="3">
        <v>1950</v>
      </c>
      <c r="T2" s="3">
        <v>5000</v>
      </c>
      <c r="U2" s="3">
        <v>800</v>
      </c>
      <c r="V2" s="3">
        <v>2000</v>
      </c>
      <c r="W2" s="3">
        <v>400</v>
      </c>
      <c r="X2" s="3">
        <v>840</v>
      </c>
      <c r="Y2" s="3">
        <v>600</v>
      </c>
      <c r="Z2" s="3">
        <v>2500</v>
      </c>
      <c r="AA2" s="3">
        <v>2800</v>
      </c>
      <c r="AB2" s="3">
        <v>3200</v>
      </c>
      <c r="AC2" s="143">
        <v>1416.67</v>
      </c>
      <c r="AD2" s="3">
        <v>1200</v>
      </c>
      <c r="AE2" s="3">
        <v>1200</v>
      </c>
      <c r="AF2" s="3">
        <v>1250</v>
      </c>
      <c r="AG2" s="143">
        <v>2416.67</v>
      </c>
      <c r="AH2" s="143">
        <v>1133.33</v>
      </c>
      <c r="AI2" s="143">
        <v>1133.33</v>
      </c>
    </row>
    <row r="3" spans="1:37" s="95" customFormat="1" ht="45" x14ac:dyDescent="0.25">
      <c r="A3" s="142" t="s">
        <v>604</v>
      </c>
      <c r="B3" s="136" t="s">
        <v>185</v>
      </c>
      <c r="C3" s="137" t="s">
        <v>605</v>
      </c>
      <c r="D3" s="138" t="s">
        <v>617</v>
      </c>
      <c r="E3" s="139" t="s">
        <v>610</v>
      </c>
      <c r="F3" s="144" t="s">
        <v>611</v>
      </c>
      <c r="G3" s="140" t="s">
        <v>296</v>
      </c>
      <c r="H3" s="141" t="s">
        <v>615</v>
      </c>
      <c r="I3" s="141" t="s">
        <v>626</v>
      </c>
      <c r="J3" s="141" t="s">
        <v>627</v>
      </c>
      <c r="K3" s="141" t="s">
        <v>620</v>
      </c>
      <c r="L3" s="141" t="s">
        <v>625</v>
      </c>
      <c r="M3" s="141" t="s">
        <v>624</v>
      </c>
      <c r="N3" s="141" t="s">
        <v>623</v>
      </c>
      <c r="O3" s="141" t="s">
        <v>622</v>
      </c>
      <c r="P3" s="141" t="s">
        <v>621</v>
      </c>
      <c r="Q3" s="141" t="s">
        <v>619</v>
      </c>
      <c r="R3" s="141" t="s">
        <v>616</v>
      </c>
      <c r="S3" s="141" t="s">
        <v>618</v>
      </c>
      <c r="T3" s="141" t="s">
        <v>566</v>
      </c>
      <c r="U3" s="141" t="s">
        <v>493</v>
      </c>
      <c r="V3" s="141" t="s">
        <v>309</v>
      </c>
      <c r="W3" s="141" t="s">
        <v>614</v>
      </c>
      <c r="X3" s="140" t="s">
        <v>609</v>
      </c>
      <c r="Y3" s="141" t="s">
        <v>612</v>
      </c>
      <c r="Z3" s="141" t="s">
        <v>613</v>
      </c>
      <c r="AA3" s="146" t="s">
        <v>516</v>
      </c>
      <c r="AB3" s="146" t="s">
        <v>517</v>
      </c>
      <c r="AC3" s="95" t="s">
        <v>478</v>
      </c>
      <c r="AD3" s="95" t="s">
        <v>476</v>
      </c>
      <c r="AE3" s="95" t="s">
        <v>606</v>
      </c>
      <c r="AF3" s="95" t="s">
        <v>519</v>
      </c>
      <c r="AG3" s="95" t="s">
        <v>481</v>
      </c>
      <c r="AH3" s="95" t="s">
        <v>607</v>
      </c>
      <c r="AI3" s="95" t="s">
        <v>477</v>
      </c>
    </row>
    <row r="4" spans="1:37" hidden="1" x14ac:dyDescent="0.25">
      <c r="A4" s="41">
        <v>1</v>
      </c>
      <c r="B4" t="s">
        <v>475</v>
      </c>
      <c r="C4" s="27">
        <v>8000</v>
      </c>
      <c r="D4" s="135">
        <f t="shared" ref="D4:D51" si="0">+SUMPRODUCT(G4:AI4,G$2:AI$2)</f>
        <v>4340</v>
      </c>
      <c r="E4" s="3">
        <f>+C4-D4</f>
        <v>3660</v>
      </c>
      <c r="F4" s="145">
        <f>1-D4/C4</f>
        <v>0.45750000000000002</v>
      </c>
      <c r="G4" s="41">
        <v>1</v>
      </c>
      <c r="H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1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v>0</v>
      </c>
      <c r="AI4" s="41">
        <v>0</v>
      </c>
      <c r="AJ4" s="41"/>
      <c r="AK4" s="41"/>
    </row>
    <row r="5" spans="1:37" hidden="1" x14ac:dyDescent="0.25">
      <c r="A5" s="41">
        <v>39</v>
      </c>
      <c r="B5" t="s">
        <v>511</v>
      </c>
      <c r="C5" s="27">
        <v>7000</v>
      </c>
      <c r="D5" s="135">
        <f t="shared" si="0"/>
        <v>3500</v>
      </c>
      <c r="E5" s="3">
        <f t="shared" ref="E5:E7" si="1">+C5-D5</f>
        <v>3500</v>
      </c>
      <c r="F5" s="145">
        <f t="shared" ref="F5:F7" si="2">1-D5/C5</f>
        <v>0.5</v>
      </c>
      <c r="G5" s="41">
        <v>1</v>
      </c>
      <c r="H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v>0</v>
      </c>
      <c r="AI5" s="41">
        <v>0</v>
      </c>
      <c r="AJ5" s="41"/>
      <c r="AK5" s="41"/>
    </row>
    <row r="6" spans="1:37" hidden="1" x14ac:dyDescent="0.25">
      <c r="A6" s="41">
        <v>19</v>
      </c>
      <c r="B6" t="s">
        <v>492</v>
      </c>
      <c r="C6" s="27">
        <v>25000</v>
      </c>
      <c r="D6" s="135">
        <f t="shared" si="0"/>
        <v>7440</v>
      </c>
      <c r="E6" s="3">
        <f t="shared" si="1"/>
        <v>17560</v>
      </c>
      <c r="F6" s="145">
        <f t="shared" si="2"/>
        <v>0.70240000000000002</v>
      </c>
      <c r="G6" s="41">
        <v>1</v>
      </c>
      <c r="H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1</v>
      </c>
      <c r="Y6" s="41">
        <v>1</v>
      </c>
      <c r="Z6" s="41">
        <v>1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v>0</v>
      </c>
      <c r="AI6" s="41">
        <v>0</v>
      </c>
      <c r="AJ6" s="41"/>
      <c r="AK6" s="41"/>
    </row>
    <row r="7" spans="1:37" hidden="1" x14ac:dyDescent="0.25">
      <c r="A7" s="41">
        <v>24</v>
      </c>
      <c r="B7" t="s">
        <v>497</v>
      </c>
      <c r="C7" s="27">
        <v>30000</v>
      </c>
      <c r="D7" s="135">
        <f t="shared" si="0"/>
        <v>7440</v>
      </c>
      <c r="E7" s="3">
        <f t="shared" si="1"/>
        <v>22560</v>
      </c>
      <c r="F7" s="145">
        <f t="shared" si="2"/>
        <v>0.752</v>
      </c>
      <c r="G7" s="41">
        <v>1</v>
      </c>
      <c r="H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1</v>
      </c>
      <c r="Y7" s="41">
        <v>1</v>
      </c>
      <c r="Z7" s="41">
        <v>1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/>
      <c r="AK7" s="41"/>
    </row>
    <row r="8" spans="1:37" hidden="1" x14ac:dyDescent="0.25">
      <c r="A8" s="41">
        <v>29</v>
      </c>
      <c r="B8" t="s">
        <v>502</v>
      </c>
      <c r="C8" s="27">
        <v>35000</v>
      </c>
      <c r="D8" s="135">
        <f t="shared" si="0"/>
        <v>7440</v>
      </c>
      <c r="E8" s="3">
        <f>+C8-D8</f>
        <v>27560</v>
      </c>
      <c r="F8" s="145">
        <f>1-D8/C8</f>
        <v>0.78742857142857137</v>
      </c>
      <c r="G8" s="41">
        <v>1</v>
      </c>
      <c r="H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1</v>
      </c>
      <c r="Y8" s="41">
        <v>1</v>
      </c>
      <c r="Z8" s="41">
        <v>1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/>
      <c r="AK8" s="41"/>
    </row>
    <row r="9" spans="1:37" hidden="1" x14ac:dyDescent="0.25">
      <c r="A9" s="41">
        <v>44</v>
      </c>
      <c r="B9" t="s">
        <v>516</v>
      </c>
      <c r="C9" s="27">
        <v>4500</v>
      </c>
      <c r="D9" s="135">
        <f t="shared" si="0"/>
        <v>2800</v>
      </c>
      <c r="E9" s="3">
        <f t="shared" ref="E9:E50" si="3">+C9-D9</f>
        <v>1700</v>
      </c>
      <c r="F9" s="145">
        <f t="shared" ref="F9:F50" si="4">1-D9/C9</f>
        <v>0.37777777777777777</v>
      </c>
      <c r="G9" s="41">
        <v>0</v>
      </c>
      <c r="H9" s="41">
        <v>0</v>
      </c>
      <c r="Q9" s="41">
        <v>0</v>
      </c>
      <c r="R9" s="41">
        <v>0</v>
      </c>
      <c r="S9" s="41">
        <v>0</v>
      </c>
      <c r="T9" s="41">
        <v>0</v>
      </c>
      <c r="U9" s="41">
        <v>0</v>
      </c>
      <c r="V9" s="41">
        <v>0</v>
      </c>
      <c r="W9" s="41">
        <v>0</v>
      </c>
      <c r="X9" s="41">
        <v>0</v>
      </c>
      <c r="Y9" s="41">
        <v>0</v>
      </c>
      <c r="Z9" s="41">
        <v>0</v>
      </c>
      <c r="AA9" s="41">
        <v>1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v>0</v>
      </c>
      <c r="AI9" s="41">
        <v>0</v>
      </c>
      <c r="AJ9" s="41"/>
      <c r="AK9" s="41"/>
    </row>
    <row r="10" spans="1:37" hidden="1" x14ac:dyDescent="0.25">
      <c r="A10" s="41">
        <v>45</v>
      </c>
      <c r="B10" t="s">
        <v>517</v>
      </c>
      <c r="C10" s="27">
        <v>6000</v>
      </c>
      <c r="D10" s="135">
        <f t="shared" si="0"/>
        <v>3200</v>
      </c>
      <c r="E10" s="3">
        <f>+C10-D10</f>
        <v>2800</v>
      </c>
      <c r="F10" s="145">
        <f>1-D10/C10</f>
        <v>0.46666666666666667</v>
      </c>
      <c r="G10" s="41">
        <v>0</v>
      </c>
      <c r="H10" s="41">
        <v>0</v>
      </c>
      <c r="Q10" s="41">
        <v>0</v>
      </c>
      <c r="R10" s="41">
        <v>0</v>
      </c>
      <c r="S10" s="41">
        <v>0</v>
      </c>
      <c r="T10" s="41">
        <v>0</v>
      </c>
      <c r="U10" s="41">
        <v>0</v>
      </c>
      <c r="V10" s="41">
        <v>0</v>
      </c>
      <c r="W10" s="41">
        <v>0</v>
      </c>
      <c r="X10" s="41">
        <v>0</v>
      </c>
      <c r="Y10" s="41">
        <v>0</v>
      </c>
      <c r="Z10" s="41">
        <v>0</v>
      </c>
      <c r="AA10" s="41">
        <v>0</v>
      </c>
      <c r="AB10" s="41">
        <v>1</v>
      </c>
      <c r="AC10" s="41">
        <v>0</v>
      </c>
      <c r="AD10" s="41">
        <v>0</v>
      </c>
      <c r="AE10" s="41">
        <v>0</v>
      </c>
      <c r="AF10" s="41">
        <v>0</v>
      </c>
      <c r="AG10" s="41">
        <v>0</v>
      </c>
      <c r="AH10" s="41">
        <v>0</v>
      </c>
      <c r="AI10" s="41">
        <v>0</v>
      </c>
      <c r="AJ10" s="41"/>
      <c r="AK10" s="41"/>
    </row>
    <row r="11" spans="1:37" hidden="1" x14ac:dyDescent="0.25">
      <c r="A11" s="41">
        <v>4</v>
      </c>
      <c r="B11" t="s">
        <v>478</v>
      </c>
      <c r="C11" s="27">
        <v>3500</v>
      </c>
      <c r="D11" s="135">
        <f t="shared" si="0"/>
        <v>1416.67</v>
      </c>
      <c r="E11" s="3">
        <f t="shared" si="3"/>
        <v>2083.33</v>
      </c>
      <c r="F11" s="145">
        <f t="shared" si="4"/>
        <v>0.5952371428571428</v>
      </c>
      <c r="G11" s="41">
        <v>0</v>
      </c>
      <c r="H11" s="41">
        <v>0</v>
      </c>
      <c r="Q11" s="41">
        <v>0</v>
      </c>
      <c r="R11" s="41">
        <v>0</v>
      </c>
      <c r="S11" s="41">
        <v>0</v>
      </c>
      <c r="T11" s="41">
        <v>0</v>
      </c>
      <c r="U11" s="41">
        <v>0</v>
      </c>
      <c r="V11" s="41">
        <v>0</v>
      </c>
      <c r="W11" s="41">
        <v>0</v>
      </c>
      <c r="X11" s="41">
        <v>0</v>
      </c>
      <c r="Y11" s="41">
        <v>0</v>
      </c>
      <c r="Z11" s="41">
        <v>0</v>
      </c>
      <c r="AA11" s="41">
        <v>0</v>
      </c>
      <c r="AB11" s="41">
        <v>0</v>
      </c>
      <c r="AC11" s="41">
        <v>1</v>
      </c>
      <c r="AD11" s="41">
        <v>0</v>
      </c>
      <c r="AE11" s="41">
        <v>0</v>
      </c>
      <c r="AF11" s="41">
        <v>0</v>
      </c>
      <c r="AG11" s="41">
        <v>0</v>
      </c>
      <c r="AH11" s="41">
        <v>0</v>
      </c>
      <c r="AI11" s="41">
        <v>0</v>
      </c>
      <c r="AJ11" s="41"/>
      <c r="AK11" s="41"/>
    </row>
    <row r="12" spans="1:37" hidden="1" x14ac:dyDescent="0.25">
      <c r="A12" s="41">
        <v>2</v>
      </c>
      <c r="B12" t="s">
        <v>476</v>
      </c>
      <c r="C12" s="27">
        <v>3000</v>
      </c>
      <c r="D12" s="135">
        <f t="shared" si="0"/>
        <v>1200</v>
      </c>
      <c r="E12" s="3">
        <f t="shared" si="3"/>
        <v>1800</v>
      </c>
      <c r="F12" s="145">
        <f t="shared" si="4"/>
        <v>0.6</v>
      </c>
      <c r="G12" s="41">
        <v>0</v>
      </c>
      <c r="H12" s="41">
        <v>0</v>
      </c>
      <c r="Q12" s="41">
        <v>0</v>
      </c>
      <c r="R12" s="41">
        <v>0</v>
      </c>
      <c r="S12" s="41">
        <v>0</v>
      </c>
      <c r="T12" s="41">
        <v>0</v>
      </c>
      <c r="U12" s="41">
        <v>0</v>
      </c>
      <c r="V12" s="41">
        <v>0</v>
      </c>
      <c r="W12" s="41">
        <v>0</v>
      </c>
      <c r="X12" s="41">
        <v>0</v>
      </c>
      <c r="Y12" s="41">
        <v>0</v>
      </c>
      <c r="Z12" s="41">
        <v>0</v>
      </c>
      <c r="AA12" s="41">
        <v>0</v>
      </c>
      <c r="AB12" s="41">
        <v>0</v>
      </c>
      <c r="AC12" s="41">
        <v>0</v>
      </c>
      <c r="AD12" s="41">
        <v>1</v>
      </c>
      <c r="AE12" s="41">
        <v>0</v>
      </c>
      <c r="AF12" s="41">
        <v>0</v>
      </c>
      <c r="AG12" s="41">
        <v>0</v>
      </c>
      <c r="AH12" s="41">
        <v>0</v>
      </c>
      <c r="AI12" s="41">
        <v>0</v>
      </c>
      <c r="AJ12" s="41"/>
      <c r="AK12" s="41"/>
    </row>
    <row r="13" spans="1:37" hidden="1" x14ac:dyDescent="0.25">
      <c r="A13" s="41">
        <v>49</v>
      </c>
      <c r="B13" t="s">
        <v>606</v>
      </c>
      <c r="C13" s="30">
        <v>1200</v>
      </c>
      <c r="D13" s="135">
        <f t="shared" si="0"/>
        <v>1200</v>
      </c>
      <c r="E13" s="3">
        <f>+C13-D13</f>
        <v>0</v>
      </c>
      <c r="F13" s="145">
        <f t="shared" si="4"/>
        <v>0</v>
      </c>
      <c r="G13" s="41">
        <v>0</v>
      </c>
      <c r="H13" s="41">
        <v>0</v>
      </c>
      <c r="Q13" s="41">
        <v>0</v>
      </c>
      <c r="R13" s="41">
        <v>0</v>
      </c>
      <c r="S13" s="41">
        <v>0</v>
      </c>
      <c r="T13" s="41">
        <v>0</v>
      </c>
      <c r="U13" s="41">
        <v>0</v>
      </c>
      <c r="V13" s="41">
        <v>0</v>
      </c>
      <c r="W13" s="41">
        <v>0</v>
      </c>
      <c r="X13" s="41">
        <v>0</v>
      </c>
      <c r="Y13" s="41">
        <v>0</v>
      </c>
      <c r="Z13" s="41">
        <v>0</v>
      </c>
      <c r="AA13" s="41">
        <v>0</v>
      </c>
      <c r="AB13" s="41">
        <v>0</v>
      </c>
      <c r="AC13" s="41">
        <v>0</v>
      </c>
      <c r="AD13" s="41">
        <v>0</v>
      </c>
      <c r="AE13" s="41">
        <v>1</v>
      </c>
      <c r="AF13" s="41">
        <v>0</v>
      </c>
      <c r="AG13" s="41">
        <v>0</v>
      </c>
      <c r="AH13" s="41">
        <v>0</v>
      </c>
      <c r="AI13" s="41">
        <v>0</v>
      </c>
      <c r="AJ13" s="41"/>
      <c r="AK13" s="41"/>
    </row>
    <row r="14" spans="1:37" hidden="1" x14ac:dyDescent="0.25">
      <c r="A14" s="41">
        <v>48</v>
      </c>
      <c r="B14" t="s">
        <v>519</v>
      </c>
      <c r="C14" s="27">
        <v>3200</v>
      </c>
      <c r="D14" s="135">
        <f t="shared" si="0"/>
        <v>1250</v>
      </c>
      <c r="E14" s="3">
        <f t="shared" si="3"/>
        <v>1950</v>
      </c>
      <c r="F14" s="145">
        <f t="shared" si="4"/>
        <v>0.609375</v>
      </c>
      <c r="G14" s="41">
        <v>0</v>
      </c>
      <c r="H14" s="41">
        <v>0</v>
      </c>
      <c r="Q14" s="41">
        <v>0</v>
      </c>
      <c r="R14" s="41">
        <v>0</v>
      </c>
      <c r="S14" s="41">
        <v>0</v>
      </c>
      <c r="T14" s="41">
        <v>0</v>
      </c>
      <c r="U14" s="41">
        <v>0</v>
      </c>
      <c r="V14" s="41">
        <v>0</v>
      </c>
      <c r="W14" s="41">
        <v>0</v>
      </c>
      <c r="X14" s="41">
        <v>0</v>
      </c>
      <c r="Y14" s="41">
        <v>0</v>
      </c>
      <c r="Z14" s="41">
        <v>0</v>
      </c>
      <c r="AA14" s="41">
        <v>0</v>
      </c>
      <c r="AB14" s="41">
        <v>0</v>
      </c>
      <c r="AC14" s="41">
        <v>0</v>
      </c>
      <c r="AD14" s="41">
        <v>0</v>
      </c>
      <c r="AE14" s="41">
        <v>0</v>
      </c>
      <c r="AF14" s="41">
        <v>1</v>
      </c>
      <c r="AG14" s="41">
        <v>0</v>
      </c>
      <c r="AH14" s="41">
        <v>0</v>
      </c>
      <c r="AI14" s="41">
        <v>0</v>
      </c>
      <c r="AJ14" s="41"/>
      <c r="AK14" s="41"/>
    </row>
    <row r="15" spans="1:37" hidden="1" x14ac:dyDescent="0.25">
      <c r="A15" s="41">
        <v>7</v>
      </c>
      <c r="B15" t="s">
        <v>481</v>
      </c>
      <c r="C15" s="27">
        <v>4500</v>
      </c>
      <c r="D15" s="135">
        <f t="shared" si="0"/>
        <v>2416.67</v>
      </c>
      <c r="E15" s="3">
        <f t="shared" si="3"/>
        <v>2083.33</v>
      </c>
      <c r="F15" s="145">
        <f t="shared" si="4"/>
        <v>0.46296222222222216</v>
      </c>
      <c r="G15" s="41">
        <v>0</v>
      </c>
      <c r="H15" s="41">
        <v>0</v>
      </c>
      <c r="Q15" s="41">
        <v>0</v>
      </c>
      <c r="R15" s="41">
        <v>0</v>
      </c>
      <c r="S15" s="41">
        <v>0</v>
      </c>
      <c r="T15" s="41">
        <v>0</v>
      </c>
      <c r="U15" s="41">
        <v>0</v>
      </c>
      <c r="V15" s="41">
        <v>0</v>
      </c>
      <c r="W15" s="41">
        <v>0</v>
      </c>
      <c r="X15" s="41">
        <v>0</v>
      </c>
      <c r="Y15" s="41">
        <v>0</v>
      </c>
      <c r="Z15" s="41">
        <v>0</v>
      </c>
      <c r="AA15" s="41">
        <v>0</v>
      </c>
      <c r="AB15" s="41">
        <v>0</v>
      </c>
      <c r="AC15" s="41">
        <v>0</v>
      </c>
      <c r="AD15" s="41">
        <v>0</v>
      </c>
      <c r="AE15" s="41">
        <v>0</v>
      </c>
      <c r="AF15" s="41">
        <v>0</v>
      </c>
      <c r="AG15" s="41">
        <v>1</v>
      </c>
      <c r="AH15" s="41">
        <v>0</v>
      </c>
      <c r="AI15" s="41">
        <v>0</v>
      </c>
      <c r="AJ15" s="41"/>
      <c r="AK15" s="41"/>
    </row>
    <row r="16" spans="1:37" hidden="1" x14ac:dyDescent="0.25">
      <c r="A16" s="41">
        <v>50</v>
      </c>
      <c r="B16" t="s">
        <v>607</v>
      </c>
      <c r="C16" s="30">
        <v>3000</v>
      </c>
      <c r="D16" s="135">
        <f t="shared" si="0"/>
        <v>1133.33</v>
      </c>
      <c r="E16" s="3">
        <f t="shared" si="3"/>
        <v>1866.67</v>
      </c>
      <c r="F16" s="145">
        <f t="shared" si="4"/>
        <v>0.62222333333333335</v>
      </c>
      <c r="G16" s="41">
        <v>0</v>
      </c>
      <c r="H16" s="41">
        <v>0</v>
      </c>
      <c r="Q16" s="41">
        <v>0</v>
      </c>
      <c r="R16" s="41">
        <v>0</v>
      </c>
      <c r="S16" s="41">
        <v>0</v>
      </c>
      <c r="T16" s="41">
        <v>0</v>
      </c>
      <c r="U16" s="41">
        <v>0</v>
      </c>
      <c r="V16" s="41">
        <v>0</v>
      </c>
      <c r="W16" s="41">
        <v>0</v>
      </c>
      <c r="X16" s="41">
        <v>0</v>
      </c>
      <c r="Y16" s="41">
        <v>0</v>
      </c>
      <c r="Z16" s="41">
        <v>0</v>
      </c>
      <c r="AA16" s="41">
        <v>0</v>
      </c>
      <c r="AB16" s="41">
        <v>0</v>
      </c>
      <c r="AC16" s="41">
        <v>0</v>
      </c>
      <c r="AD16" s="41">
        <v>0</v>
      </c>
      <c r="AE16" s="41">
        <v>0</v>
      </c>
      <c r="AF16" s="41">
        <v>0</v>
      </c>
      <c r="AG16" s="41">
        <v>0</v>
      </c>
      <c r="AH16" s="41">
        <v>1</v>
      </c>
      <c r="AI16" s="41">
        <v>0</v>
      </c>
      <c r="AJ16" s="41"/>
      <c r="AK16" s="41"/>
    </row>
    <row r="17" spans="1:37" hidden="1" x14ac:dyDescent="0.25">
      <c r="A17" s="41">
        <v>3</v>
      </c>
      <c r="B17" t="s">
        <v>477</v>
      </c>
      <c r="C17" s="27">
        <v>3000</v>
      </c>
      <c r="D17" s="135">
        <f t="shared" si="0"/>
        <v>1133.33</v>
      </c>
      <c r="E17" s="3">
        <f t="shared" si="3"/>
        <v>1866.67</v>
      </c>
      <c r="F17" s="145">
        <f t="shared" si="4"/>
        <v>0.62222333333333335</v>
      </c>
      <c r="G17" s="41">
        <v>0</v>
      </c>
      <c r="H17" s="41">
        <v>0</v>
      </c>
      <c r="Q17" s="41">
        <v>0</v>
      </c>
      <c r="R17" s="41">
        <v>0</v>
      </c>
      <c r="S17" s="41">
        <v>0</v>
      </c>
      <c r="T17" s="41">
        <v>0</v>
      </c>
      <c r="U17" s="41">
        <v>0</v>
      </c>
      <c r="V17" s="41">
        <v>0</v>
      </c>
      <c r="W17" s="41">
        <v>0</v>
      </c>
      <c r="X17" s="41">
        <v>0</v>
      </c>
      <c r="Y17" s="41">
        <v>0</v>
      </c>
      <c r="Z17" s="41">
        <v>0</v>
      </c>
      <c r="AA17" s="41">
        <v>0</v>
      </c>
      <c r="AB17" s="41">
        <v>0</v>
      </c>
      <c r="AC17" s="41">
        <v>0</v>
      </c>
      <c r="AD17" s="41">
        <v>0</v>
      </c>
      <c r="AE17" s="41">
        <v>0</v>
      </c>
      <c r="AF17" s="41">
        <v>0</v>
      </c>
      <c r="AG17" s="41">
        <v>0</v>
      </c>
      <c r="AH17" s="41">
        <v>0</v>
      </c>
      <c r="AI17" s="41">
        <v>1</v>
      </c>
      <c r="AJ17" s="41"/>
      <c r="AK17" s="41"/>
    </row>
    <row r="18" spans="1:37" hidden="1" x14ac:dyDescent="0.25">
      <c r="A18" s="41">
        <v>42</v>
      </c>
      <c r="B18" t="s">
        <v>514</v>
      </c>
      <c r="C18" s="27">
        <v>20000</v>
      </c>
      <c r="D18" s="135">
        <f t="shared" si="0"/>
        <v>15600</v>
      </c>
      <c r="E18" s="3">
        <f t="shared" si="3"/>
        <v>4400</v>
      </c>
      <c r="F18" s="145">
        <f t="shared" si="4"/>
        <v>0.21999999999999997</v>
      </c>
      <c r="G18" s="41">
        <v>0</v>
      </c>
      <c r="H18" s="41">
        <v>0</v>
      </c>
      <c r="I18" s="41">
        <v>1</v>
      </c>
      <c r="J18" s="41">
        <v>0</v>
      </c>
      <c r="K18" s="41">
        <v>0</v>
      </c>
      <c r="L18" s="41">
        <v>0</v>
      </c>
      <c r="M18" s="41">
        <v>0</v>
      </c>
      <c r="N18" s="41">
        <v>0</v>
      </c>
      <c r="O18" s="41">
        <v>0</v>
      </c>
      <c r="P18" s="41">
        <v>0</v>
      </c>
      <c r="Q18" s="41">
        <v>0</v>
      </c>
      <c r="R18" s="41">
        <v>0</v>
      </c>
      <c r="S18" s="41">
        <v>0</v>
      </c>
      <c r="T18" s="41">
        <v>0</v>
      </c>
      <c r="U18" s="41">
        <v>0</v>
      </c>
      <c r="V18" s="41">
        <v>1</v>
      </c>
      <c r="W18" s="41">
        <v>0</v>
      </c>
      <c r="X18" s="41">
        <v>0</v>
      </c>
      <c r="Y18" s="41">
        <v>1</v>
      </c>
      <c r="Z18" s="41">
        <v>0</v>
      </c>
      <c r="AA18" s="41">
        <v>0</v>
      </c>
      <c r="AB18" s="41">
        <v>0</v>
      </c>
      <c r="AC18" s="41">
        <v>0</v>
      </c>
      <c r="AD18" s="41">
        <v>0</v>
      </c>
      <c r="AE18" s="41">
        <v>0</v>
      </c>
      <c r="AF18" s="41">
        <v>0</v>
      </c>
      <c r="AG18" s="41">
        <v>0</v>
      </c>
      <c r="AH18" s="41">
        <v>0</v>
      </c>
      <c r="AI18" s="41">
        <v>0</v>
      </c>
      <c r="AJ18" s="41"/>
      <c r="AK18" s="41"/>
    </row>
    <row r="19" spans="1:37" hidden="1" x14ac:dyDescent="0.25">
      <c r="A19" s="41">
        <v>33</v>
      </c>
      <c r="B19" t="s">
        <v>506</v>
      </c>
      <c r="C19" s="27">
        <v>40000</v>
      </c>
      <c r="D19" s="135">
        <f t="shared" si="0"/>
        <v>21600</v>
      </c>
      <c r="E19" s="3">
        <f t="shared" si="3"/>
        <v>18400</v>
      </c>
      <c r="F19" s="145">
        <f t="shared" si="4"/>
        <v>0.45999999999999996</v>
      </c>
      <c r="G19" s="41">
        <v>0</v>
      </c>
      <c r="H19" s="41">
        <v>0</v>
      </c>
      <c r="I19" s="41">
        <v>0</v>
      </c>
      <c r="J19" s="41">
        <v>1</v>
      </c>
      <c r="K19" s="41">
        <v>0</v>
      </c>
      <c r="L19" s="41">
        <v>0</v>
      </c>
      <c r="M19" s="41">
        <v>0</v>
      </c>
      <c r="N19" s="41">
        <v>0</v>
      </c>
      <c r="O19" s="41">
        <v>0</v>
      </c>
      <c r="P19" s="41">
        <v>0</v>
      </c>
      <c r="Q19" s="41">
        <v>0</v>
      </c>
      <c r="R19" s="41">
        <v>0</v>
      </c>
      <c r="S19" s="41">
        <v>0</v>
      </c>
      <c r="T19" s="41">
        <v>0</v>
      </c>
      <c r="U19" s="41">
        <v>0</v>
      </c>
      <c r="V19" s="41">
        <v>1</v>
      </c>
      <c r="W19" s="41">
        <v>0</v>
      </c>
      <c r="X19" s="41">
        <v>0</v>
      </c>
      <c r="Y19" s="41">
        <v>1</v>
      </c>
      <c r="Z19" s="41">
        <v>0</v>
      </c>
      <c r="AA19" s="41">
        <v>0</v>
      </c>
      <c r="AB19" s="41">
        <v>0</v>
      </c>
      <c r="AC19" s="41">
        <v>0</v>
      </c>
      <c r="AD19" s="41">
        <v>0</v>
      </c>
      <c r="AE19" s="41">
        <v>0</v>
      </c>
      <c r="AF19" s="41">
        <v>0</v>
      </c>
      <c r="AG19" s="41">
        <v>0</v>
      </c>
      <c r="AH19" s="41">
        <v>0</v>
      </c>
      <c r="AI19" s="41">
        <v>0</v>
      </c>
      <c r="AJ19" s="41"/>
      <c r="AK19" s="41"/>
    </row>
    <row r="20" spans="1:37" hidden="1" x14ac:dyDescent="0.25">
      <c r="A20" s="41">
        <v>41</v>
      </c>
      <c r="B20" t="s">
        <v>513</v>
      </c>
      <c r="C20" s="27">
        <v>23000</v>
      </c>
      <c r="D20" s="135">
        <f t="shared" si="0"/>
        <v>15600</v>
      </c>
      <c r="E20" s="3">
        <f t="shared" si="3"/>
        <v>7400</v>
      </c>
      <c r="F20" s="145">
        <f t="shared" si="4"/>
        <v>0.32173913043478264</v>
      </c>
      <c r="G20" s="41">
        <v>0</v>
      </c>
      <c r="H20" s="41">
        <v>0</v>
      </c>
      <c r="I20" s="41">
        <v>1</v>
      </c>
      <c r="J20" s="41">
        <v>0</v>
      </c>
      <c r="K20" s="41">
        <v>0</v>
      </c>
      <c r="L20" s="41">
        <v>0</v>
      </c>
      <c r="M20" s="41">
        <v>0</v>
      </c>
      <c r="N20" s="41">
        <v>0</v>
      </c>
      <c r="O20" s="41">
        <v>0</v>
      </c>
      <c r="P20" s="41">
        <v>0</v>
      </c>
      <c r="Q20" s="41">
        <v>0</v>
      </c>
      <c r="R20" s="41">
        <v>0</v>
      </c>
      <c r="S20" s="41">
        <v>0</v>
      </c>
      <c r="T20" s="41">
        <v>0</v>
      </c>
      <c r="U20" s="41">
        <v>0</v>
      </c>
      <c r="V20" s="41">
        <v>1</v>
      </c>
      <c r="W20" s="41">
        <v>0</v>
      </c>
      <c r="X20" s="41">
        <v>0</v>
      </c>
      <c r="Y20" s="41">
        <v>1</v>
      </c>
      <c r="Z20" s="41">
        <v>0</v>
      </c>
      <c r="AA20" s="41">
        <v>0</v>
      </c>
      <c r="AB20" s="41">
        <v>0</v>
      </c>
      <c r="AC20" s="41">
        <v>0</v>
      </c>
      <c r="AD20" s="41">
        <v>0</v>
      </c>
      <c r="AE20" s="41">
        <v>0</v>
      </c>
      <c r="AF20" s="41">
        <v>0</v>
      </c>
      <c r="AG20" s="41">
        <v>0</v>
      </c>
      <c r="AH20" s="41">
        <v>0</v>
      </c>
      <c r="AI20" s="41">
        <v>0</v>
      </c>
      <c r="AJ20" s="41"/>
      <c r="AK20" s="41"/>
    </row>
    <row r="21" spans="1:37" hidden="1" x14ac:dyDescent="0.25">
      <c r="A21" s="41">
        <v>11</v>
      </c>
      <c r="B21" t="s">
        <v>485</v>
      </c>
      <c r="C21" s="27">
        <v>30000</v>
      </c>
      <c r="D21" s="135">
        <f t="shared" si="0"/>
        <v>22600</v>
      </c>
      <c r="E21" s="3">
        <f t="shared" si="3"/>
        <v>7400</v>
      </c>
      <c r="F21" s="145">
        <f t="shared" si="4"/>
        <v>0.2466666666666667</v>
      </c>
      <c r="G21" s="41">
        <v>0</v>
      </c>
      <c r="H21" s="41">
        <v>0</v>
      </c>
      <c r="I21" s="41">
        <v>0</v>
      </c>
      <c r="J21" s="41">
        <v>0</v>
      </c>
      <c r="K21" s="41">
        <v>0</v>
      </c>
      <c r="L21" s="41">
        <v>0</v>
      </c>
      <c r="M21" s="41">
        <v>1</v>
      </c>
      <c r="N21" s="41">
        <v>0</v>
      </c>
      <c r="O21" s="41">
        <v>0</v>
      </c>
      <c r="P21" s="41">
        <v>0</v>
      </c>
      <c r="Q21" s="41">
        <v>0</v>
      </c>
      <c r="R21" s="41">
        <v>0</v>
      </c>
      <c r="S21" s="41">
        <v>0</v>
      </c>
      <c r="T21" s="41">
        <v>0</v>
      </c>
      <c r="U21" s="41">
        <v>0</v>
      </c>
      <c r="V21" s="41">
        <v>1</v>
      </c>
      <c r="W21" s="41">
        <v>0</v>
      </c>
      <c r="X21" s="41">
        <v>0</v>
      </c>
      <c r="Y21" s="41">
        <v>1</v>
      </c>
      <c r="Z21" s="41">
        <v>0</v>
      </c>
      <c r="AA21" s="41">
        <v>0</v>
      </c>
      <c r="AB21" s="41">
        <v>0</v>
      </c>
      <c r="AC21" s="41">
        <v>0</v>
      </c>
      <c r="AD21" s="41">
        <v>0</v>
      </c>
      <c r="AE21" s="41">
        <v>0</v>
      </c>
      <c r="AF21" s="41">
        <v>0</v>
      </c>
      <c r="AG21" s="41">
        <v>0</v>
      </c>
      <c r="AH21" s="41">
        <v>0</v>
      </c>
      <c r="AI21" s="41">
        <v>0</v>
      </c>
      <c r="AJ21" s="41"/>
      <c r="AK21" s="41"/>
    </row>
    <row r="22" spans="1:37" hidden="1" x14ac:dyDescent="0.25">
      <c r="A22" s="41">
        <v>27</v>
      </c>
      <c r="B22" t="s">
        <v>500</v>
      </c>
      <c r="C22" s="27">
        <v>50000</v>
      </c>
      <c r="D22" s="135">
        <f t="shared" si="0"/>
        <v>28600</v>
      </c>
      <c r="E22" s="3">
        <f t="shared" si="3"/>
        <v>21400</v>
      </c>
      <c r="F22" s="145">
        <f t="shared" si="4"/>
        <v>0.42800000000000005</v>
      </c>
      <c r="G22" s="41">
        <v>0</v>
      </c>
      <c r="H22" s="41">
        <v>0</v>
      </c>
      <c r="I22" s="41">
        <v>0</v>
      </c>
      <c r="J22" s="41">
        <v>0</v>
      </c>
      <c r="K22" s="41">
        <v>0</v>
      </c>
      <c r="L22" s="41">
        <v>0</v>
      </c>
      <c r="M22" s="41">
        <v>0</v>
      </c>
      <c r="N22" s="41">
        <v>0</v>
      </c>
      <c r="O22" s="41">
        <v>0</v>
      </c>
      <c r="P22" s="41">
        <v>1</v>
      </c>
      <c r="Q22" s="41">
        <v>0</v>
      </c>
      <c r="R22" s="41">
        <v>0</v>
      </c>
      <c r="S22" s="41">
        <v>0</v>
      </c>
      <c r="T22" s="41">
        <v>0</v>
      </c>
      <c r="U22" s="41">
        <v>0</v>
      </c>
      <c r="V22" s="41">
        <v>1</v>
      </c>
      <c r="W22" s="41">
        <v>0</v>
      </c>
      <c r="X22" s="41">
        <v>0</v>
      </c>
      <c r="Y22" s="41">
        <v>1</v>
      </c>
      <c r="Z22" s="41">
        <v>0</v>
      </c>
      <c r="AA22" s="41">
        <v>0</v>
      </c>
      <c r="AB22" s="41">
        <v>0</v>
      </c>
      <c r="AC22" s="41">
        <v>0</v>
      </c>
      <c r="AD22" s="41">
        <v>0</v>
      </c>
      <c r="AE22" s="41">
        <v>0</v>
      </c>
      <c r="AF22" s="41">
        <v>0</v>
      </c>
      <c r="AG22" s="41">
        <v>0</v>
      </c>
      <c r="AH22" s="41">
        <v>0</v>
      </c>
      <c r="AI22" s="41">
        <v>0</v>
      </c>
      <c r="AJ22" s="41"/>
      <c r="AK22" s="41"/>
    </row>
    <row r="23" spans="1:37" hidden="1" x14ac:dyDescent="0.25">
      <c r="A23" s="41">
        <v>14</v>
      </c>
      <c r="B23" t="s">
        <v>488</v>
      </c>
      <c r="C23" s="27">
        <v>25000</v>
      </c>
      <c r="D23" s="135">
        <f t="shared" si="0"/>
        <v>15600</v>
      </c>
      <c r="E23" s="3">
        <f t="shared" si="3"/>
        <v>9400</v>
      </c>
      <c r="F23" s="145">
        <f t="shared" si="4"/>
        <v>0.376</v>
      </c>
      <c r="G23" s="41">
        <v>0</v>
      </c>
      <c r="H23" s="41">
        <v>0</v>
      </c>
      <c r="I23" s="41">
        <v>0</v>
      </c>
      <c r="J23" s="41">
        <v>0</v>
      </c>
      <c r="K23" s="41">
        <v>1</v>
      </c>
      <c r="L23" s="41">
        <v>0</v>
      </c>
      <c r="M23" s="41">
        <v>0</v>
      </c>
      <c r="N23" s="41">
        <v>0</v>
      </c>
      <c r="O23" s="41">
        <v>0</v>
      </c>
      <c r="P23" s="41">
        <v>0</v>
      </c>
      <c r="Q23" s="41">
        <v>0</v>
      </c>
      <c r="R23" s="41">
        <v>0</v>
      </c>
      <c r="S23" s="41">
        <v>0</v>
      </c>
      <c r="T23" s="41">
        <v>0</v>
      </c>
      <c r="U23" s="41">
        <v>0</v>
      </c>
      <c r="V23" s="41">
        <v>1</v>
      </c>
      <c r="W23" s="41">
        <v>0</v>
      </c>
      <c r="X23" s="41">
        <v>0</v>
      </c>
      <c r="Y23" s="41">
        <v>1</v>
      </c>
      <c r="Z23" s="41">
        <v>0</v>
      </c>
      <c r="AA23" s="41">
        <v>0</v>
      </c>
      <c r="AB23" s="41">
        <v>0</v>
      </c>
      <c r="AC23" s="41">
        <v>0</v>
      </c>
      <c r="AD23" s="41">
        <v>0</v>
      </c>
      <c r="AE23" s="41">
        <v>0</v>
      </c>
      <c r="AF23" s="41">
        <v>0</v>
      </c>
      <c r="AG23" s="41">
        <v>0</v>
      </c>
      <c r="AH23" s="41">
        <v>0</v>
      </c>
      <c r="AI23" s="41">
        <v>0</v>
      </c>
      <c r="AJ23" s="41"/>
      <c r="AK23" s="41"/>
    </row>
    <row r="24" spans="1:37" hidden="1" x14ac:dyDescent="0.25">
      <c r="A24" s="41">
        <v>12</v>
      </c>
      <c r="B24" t="s">
        <v>486</v>
      </c>
      <c r="C24" s="27">
        <v>25000</v>
      </c>
      <c r="D24" s="135">
        <f t="shared" si="0"/>
        <v>19600</v>
      </c>
      <c r="E24" s="3">
        <f t="shared" si="3"/>
        <v>5400</v>
      </c>
      <c r="F24" s="145">
        <f t="shared" si="4"/>
        <v>0.21599999999999997</v>
      </c>
      <c r="G24" s="41">
        <v>0</v>
      </c>
      <c r="H24" s="41">
        <v>0</v>
      </c>
      <c r="I24" s="41">
        <v>0</v>
      </c>
      <c r="J24" s="41">
        <v>0</v>
      </c>
      <c r="K24" s="41">
        <v>0</v>
      </c>
      <c r="L24" s="41">
        <v>1</v>
      </c>
      <c r="M24" s="41">
        <v>0</v>
      </c>
      <c r="N24" s="41">
        <v>0</v>
      </c>
      <c r="O24" s="41">
        <v>0</v>
      </c>
      <c r="P24" s="41">
        <v>0</v>
      </c>
      <c r="Q24" s="41">
        <v>0</v>
      </c>
      <c r="R24" s="41">
        <v>0</v>
      </c>
      <c r="S24" s="41">
        <v>0</v>
      </c>
      <c r="T24" s="41">
        <v>0</v>
      </c>
      <c r="U24" s="41">
        <v>0</v>
      </c>
      <c r="V24" s="41">
        <v>1</v>
      </c>
      <c r="W24" s="41">
        <v>0</v>
      </c>
      <c r="X24" s="41">
        <v>0</v>
      </c>
      <c r="Y24" s="41">
        <v>1</v>
      </c>
      <c r="Z24" s="41">
        <v>0</v>
      </c>
      <c r="AA24" s="41">
        <v>0</v>
      </c>
      <c r="AB24" s="41">
        <v>0</v>
      </c>
      <c r="AC24" s="41">
        <v>0</v>
      </c>
      <c r="AD24" s="41">
        <v>0</v>
      </c>
      <c r="AE24" s="41">
        <v>0</v>
      </c>
      <c r="AF24" s="41">
        <v>0</v>
      </c>
      <c r="AG24" s="41">
        <v>0</v>
      </c>
      <c r="AH24" s="41">
        <v>0</v>
      </c>
      <c r="AI24" s="41">
        <v>0</v>
      </c>
      <c r="AJ24" s="41"/>
      <c r="AK24" s="41"/>
    </row>
    <row r="25" spans="1:37" hidden="1" x14ac:dyDescent="0.25">
      <c r="A25" s="41">
        <v>40</v>
      </c>
      <c r="B25" t="s">
        <v>512</v>
      </c>
      <c r="C25" s="27">
        <v>15000</v>
      </c>
      <c r="D25" s="135">
        <f t="shared" si="0"/>
        <v>14000</v>
      </c>
      <c r="E25" s="3">
        <f t="shared" si="3"/>
        <v>1000</v>
      </c>
      <c r="F25" s="145">
        <f t="shared" si="4"/>
        <v>6.6666666666666652E-2</v>
      </c>
      <c r="G25" s="41">
        <v>0</v>
      </c>
      <c r="H25" s="41">
        <v>0</v>
      </c>
      <c r="I25" s="41">
        <v>0</v>
      </c>
      <c r="J25" s="41">
        <v>0</v>
      </c>
      <c r="K25" s="41">
        <v>0</v>
      </c>
      <c r="L25" s="41">
        <v>0</v>
      </c>
      <c r="M25" s="41">
        <v>0</v>
      </c>
      <c r="N25" s="41">
        <v>1</v>
      </c>
      <c r="O25" s="41">
        <v>0</v>
      </c>
      <c r="P25" s="41">
        <v>0</v>
      </c>
      <c r="Q25" s="41">
        <v>0</v>
      </c>
      <c r="R25" s="41">
        <v>0</v>
      </c>
      <c r="S25" s="41">
        <v>0</v>
      </c>
      <c r="T25" s="41">
        <v>0</v>
      </c>
      <c r="U25" s="41">
        <v>0</v>
      </c>
      <c r="V25" s="41">
        <v>1</v>
      </c>
      <c r="W25" s="41">
        <v>0</v>
      </c>
      <c r="X25" s="41">
        <v>0</v>
      </c>
      <c r="Y25" s="41">
        <v>0</v>
      </c>
      <c r="Z25" s="41">
        <v>0</v>
      </c>
      <c r="AA25" s="41">
        <v>0</v>
      </c>
      <c r="AB25" s="41">
        <v>0</v>
      </c>
      <c r="AC25" s="41">
        <v>0</v>
      </c>
      <c r="AD25" s="41">
        <v>0</v>
      </c>
      <c r="AE25" s="41">
        <v>0</v>
      </c>
      <c r="AF25" s="41">
        <v>0</v>
      </c>
      <c r="AG25" s="41">
        <v>0</v>
      </c>
      <c r="AH25" s="41">
        <v>0</v>
      </c>
      <c r="AI25" s="41">
        <v>0</v>
      </c>
      <c r="AJ25" s="41"/>
      <c r="AK25" s="41"/>
    </row>
    <row r="26" spans="1:37" hidden="1" x14ac:dyDescent="0.25">
      <c r="A26" s="41">
        <v>46</v>
      </c>
      <c r="B26" t="s">
        <v>518</v>
      </c>
      <c r="C26" s="27">
        <v>30000</v>
      </c>
      <c r="D26" s="135">
        <f t="shared" si="0"/>
        <v>15600</v>
      </c>
      <c r="E26" s="3">
        <f t="shared" si="3"/>
        <v>14400</v>
      </c>
      <c r="F26" s="145">
        <f t="shared" si="4"/>
        <v>0.48</v>
      </c>
      <c r="G26" s="41">
        <v>0</v>
      </c>
      <c r="H26" s="41">
        <v>0</v>
      </c>
      <c r="I26" s="41">
        <v>0</v>
      </c>
      <c r="J26" s="41">
        <v>0</v>
      </c>
      <c r="K26" s="41">
        <v>1</v>
      </c>
      <c r="L26" s="41">
        <v>0</v>
      </c>
      <c r="M26" s="41">
        <v>0</v>
      </c>
      <c r="N26" s="41">
        <v>0</v>
      </c>
      <c r="O26" s="41">
        <v>0</v>
      </c>
      <c r="P26" s="41">
        <v>0</v>
      </c>
      <c r="Q26" s="41">
        <v>0</v>
      </c>
      <c r="R26" s="41">
        <v>0</v>
      </c>
      <c r="S26" s="41">
        <v>0</v>
      </c>
      <c r="T26" s="41">
        <v>0</v>
      </c>
      <c r="U26" s="41">
        <v>0</v>
      </c>
      <c r="V26" s="41">
        <v>1</v>
      </c>
      <c r="W26" s="41">
        <v>0</v>
      </c>
      <c r="X26" s="41">
        <v>0</v>
      </c>
      <c r="Y26" s="41">
        <v>1</v>
      </c>
      <c r="Z26" s="41">
        <v>0</v>
      </c>
      <c r="AA26" s="41">
        <v>0</v>
      </c>
      <c r="AB26" s="41">
        <v>0</v>
      </c>
      <c r="AC26" s="41">
        <v>0</v>
      </c>
      <c r="AD26" s="41">
        <v>0</v>
      </c>
      <c r="AE26" s="41">
        <v>0</v>
      </c>
      <c r="AF26" s="41">
        <v>0</v>
      </c>
      <c r="AG26" s="41">
        <v>0</v>
      </c>
      <c r="AH26" s="41">
        <v>0</v>
      </c>
      <c r="AI26" s="41">
        <v>0</v>
      </c>
      <c r="AJ26" s="41"/>
      <c r="AK26" s="41"/>
    </row>
    <row r="27" spans="1:37" hidden="1" x14ac:dyDescent="0.25">
      <c r="A27" s="41">
        <v>13</v>
      </c>
      <c r="B27" t="s">
        <v>487</v>
      </c>
      <c r="C27" s="27">
        <v>25000</v>
      </c>
      <c r="D27" s="135">
        <f t="shared" si="0"/>
        <v>12600</v>
      </c>
      <c r="E27" s="3">
        <f t="shared" si="3"/>
        <v>12400</v>
      </c>
      <c r="F27" s="145">
        <f t="shared" si="4"/>
        <v>0.496</v>
      </c>
      <c r="G27" s="41">
        <v>0</v>
      </c>
      <c r="H27" s="41">
        <v>0</v>
      </c>
      <c r="I27" s="41">
        <v>0</v>
      </c>
      <c r="J27" s="41">
        <v>0</v>
      </c>
      <c r="K27" s="41">
        <v>0</v>
      </c>
      <c r="L27" s="41">
        <v>0</v>
      </c>
      <c r="M27" s="41">
        <v>0</v>
      </c>
      <c r="N27" s="41">
        <v>0</v>
      </c>
      <c r="O27" s="41">
        <v>0</v>
      </c>
      <c r="P27" s="41">
        <v>0</v>
      </c>
      <c r="Q27" s="41">
        <v>1</v>
      </c>
      <c r="R27" s="41">
        <v>0</v>
      </c>
      <c r="S27" s="41">
        <v>0</v>
      </c>
      <c r="T27" s="41">
        <v>0</v>
      </c>
      <c r="U27" s="41">
        <v>0</v>
      </c>
      <c r="V27" s="41">
        <v>1</v>
      </c>
      <c r="W27" s="41">
        <v>0</v>
      </c>
      <c r="X27" s="41">
        <v>0</v>
      </c>
      <c r="Y27" s="41">
        <v>1</v>
      </c>
      <c r="Z27" s="41">
        <v>0</v>
      </c>
      <c r="AA27" s="41">
        <v>0</v>
      </c>
      <c r="AB27" s="41">
        <v>0</v>
      </c>
      <c r="AC27" s="41">
        <v>0</v>
      </c>
      <c r="AD27" s="41">
        <v>0</v>
      </c>
      <c r="AE27" s="41">
        <v>0</v>
      </c>
      <c r="AF27" s="41">
        <v>0</v>
      </c>
      <c r="AG27" s="41">
        <v>0</v>
      </c>
      <c r="AH27" s="41">
        <v>0</v>
      </c>
      <c r="AI27" s="41">
        <v>0</v>
      </c>
      <c r="AJ27" s="41"/>
      <c r="AK27" s="41"/>
    </row>
    <row r="28" spans="1:37" hidden="1" x14ac:dyDescent="0.25">
      <c r="A28" s="41">
        <v>15</v>
      </c>
      <c r="B28" t="s">
        <v>489</v>
      </c>
      <c r="C28" s="27">
        <v>25000</v>
      </c>
      <c r="D28" s="135">
        <f t="shared" si="0"/>
        <v>2600</v>
      </c>
      <c r="E28" s="3">
        <f t="shared" si="3"/>
        <v>22400</v>
      </c>
      <c r="F28" s="145">
        <f t="shared" si="4"/>
        <v>0.89600000000000002</v>
      </c>
      <c r="G28" s="41">
        <v>0</v>
      </c>
      <c r="H28" s="41">
        <v>0</v>
      </c>
      <c r="I28" s="41">
        <v>0</v>
      </c>
      <c r="J28" s="41">
        <v>0</v>
      </c>
      <c r="K28" s="41">
        <v>0</v>
      </c>
      <c r="L28" s="41">
        <v>0</v>
      </c>
      <c r="M28" s="41">
        <v>0</v>
      </c>
      <c r="N28" s="41">
        <v>0</v>
      </c>
      <c r="O28" s="41">
        <v>0</v>
      </c>
      <c r="P28" s="41">
        <v>0</v>
      </c>
      <c r="Q28" s="41">
        <v>0</v>
      </c>
      <c r="R28" s="41">
        <v>0</v>
      </c>
      <c r="S28" s="41">
        <v>0</v>
      </c>
      <c r="T28" s="41">
        <v>0</v>
      </c>
      <c r="U28" s="41">
        <v>0</v>
      </c>
      <c r="V28" s="41">
        <v>1</v>
      </c>
      <c r="W28" s="41">
        <v>0</v>
      </c>
      <c r="X28" s="41">
        <v>0</v>
      </c>
      <c r="Y28" s="41">
        <v>1</v>
      </c>
      <c r="Z28" s="41">
        <v>0</v>
      </c>
      <c r="AA28" s="41">
        <v>0</v>
      </c>
      <c r="AB28" s="41">
        <v>0</v>
      </c>
      <c r="AC28" s="41">
        <v>0</v>
      </c>
      <c r="AD28" s="41">
        <v>0</v>
      </c>
      <c r="AE28" s="41">
        <v>0</v>
      </c>
      <c r="AF28" s="41">
        <v>0</v>
      </c>
      <c r="AG28" s="41">
        <v>0</v>
      </c>
      <c r="AH28" s="41">
        <v>0</v>
      </c>
      <c r="AI28" s="41">
        <v>0</v>
      </c>
      <c r="AJ28" s="41"/>
      <c r="AK28" s="41"/>
    </row>
    <row r="29" spans="1:37" hidden="1" x14ac:dyDescent="0.25">
      <c r="A29" s="41">
        <v>26</v>
      </c>
      <c r="B29" t="s">
        <v>499</v>
      </c>
      <c r="C29" s="27">
        <v>10000</v>
      </c>
      <c r="D29" s="135">
        <f t="shared" si="0"/>
        <v>3900</v>
      </c>
      <c r="E29" s="3">
        <f t="shared" si="3"/>
        <v>6100</v>
      </c>
      <c r="F29" s="145">
        <f t="shared" si="4"/>
        <v>0.61</v>
      </c>
      <c r="G29" s="41">
        <v>1</v>
      </c>
      <c r="H29" s="41">
        <v>0</v>
      </c>
      <c r="Q29" s="41">
        <v>0</v>
      </c>
      <c r="R29" s="41">
        <v>0</v>
      </c>
      <c r="S29" s="41">
        <v>0</v>
      </c>
      <c r="T29" s="41">
        <v>0</v>
      </c>
      <c r="U29" s="41">
        <v>0</v>
      </c>
      <c r="V29" s="41">
        <v>0</v>
      </c>
      <c r="W29" s="41">
        <v>1</v>
      </c>
      <c r="X29" s="41">
        <v>0</v>
      </c>
      <c r="Y29" s="41">
        <v>0</v>
      </c>
      <c r="Z29" s="41">
        <v>0</v>
      </c>
      <c r="AA29" s="41">
        <v>0</v>
      </c>
      <c r="AB29" s="41">
        <v>0</v>
      </c>
      <c r="AC29" s="41">
        <v>0</v>
      </c>
      <c r="AD29" s="41">
        <v>0</v>
      </c>
      <c r="AE29" s="41">
        <v>0</v>
      </c>
      <c r="AF29" s="41">
        <v>0</v>
      </c>
      <c r="AG29" s="41">
        <v>0</v>
      </c>
      <c r="AH29" s="41">
        <v>0</v>
      </c>
      <c r="AI29" s="41">
        <v>0</v>
      </c>
      <c r="AJ29" s="41"/>
      <c r="AK29" s="41"/>
    </row>
    <row r="30" spans="1:37" hidden="1" x14ac:dyDescent="0.25">
      <c r="A30" s="41">
        <v>9</v>
      </c>
      <c r="B30" t="s">
        <v>483</v>
      </c>
      <c r="C30" s="27">
        <v>20000</v>
      </c>
      <c r="D30" s="135">
        <f t="shared" si="0"/>
        <v>8500</v>
      </c>
      <c r="E30" s="3">
        <f t="shared" si="3"/>
        <v>11500</v>
      </c>
      <c r="F30" s="145">
        <f t="shared" si="4"/>
        <v>0.57499999999999996</v>
      </c>
      <c r="G30" s="41">
        <v>1</v>
      </c>
      <c r="H30" s="41">
        <v>0</v>
      </c>
      <c r="Q30" s="41">
        <v>0</v>
      </c>
      <c r="R30" s="41">
        <v>0</v>
      </c>
      <c r="S30" s="41">
        <v>0</v>
      </c>
      <c r="T30" s="41">
        <v>1</v>
      </c>
      <c r="U30" s="41">
        <v>0</v>
      </c>
      <c r="V30" s="41">
        <v>0</v>
      </c>
      <c r="W30" s="41">
        <v>0</v>
      </c>
      <c r="X30" s="41">
        <v>0</v>
      </c>
      <c r="Y30" s="41">
        <v>0</v>
      </c>
      <c r="Z30" s="41">
        <v>0</v>
      </c>
      <c r="AA30" s="41">
        <v>0</v>
      </c>
      <c r="AB30" s="41">
        <v>0</v>
      </c>
      <c r="AC30" s="41">
        <v>0</v>
      </c>
      <c r="AD30" s="41">
        <v>0</v>
      </c>
      <c r="AE30" s="41">
        <v>0</v>
      </c>
      <c r="AF30" s="41">
        <v>0</v>
      </c>
      <c r="AG30" s="41">
        <v>0</v>
      </c>
      <c r="AH30" s="41">
        <v>0</v>
      </c>
      <c r="AI30" s="41">
        <v>0</v>
      </c>
      <c r="AJ30" s="41"/>
      <c r="AK30" s="41"/>
    </row>
    <row r="31" spans="1:37" hidden="1" x14ac:dyDescent="0.25">
      <c r="A31" s="41">
        <v>10</v>
      </c>
      <c r="B31" t="s">
        <v>484</v>
      </c>
      <c r="C31" s="27">
        <v>25000</v>
      </c>
      <c r="D31" s="135">
        <f t="shared" si="0"/>
        <v>10500</v>
      </c>
      <c r="E31" s="3">
        <f t="shared" si="3"/>
        <v>14500</v>
      </c>
      <c r="F31" s="145">
        <f t="shared" si="4"/>
        <v>0.58000000000000007</v>
      </c>
      <c r="G31" s="41">
        <v>1</v>
      </c>
      <c r="H31" s="41">
        <v>0</v>
      </c>
      <c r="Q31" s="41">
        <v>0</v>
      </c>
      <c r="R31" s="41">
        <v>0</v>
      </c>
      <c r="S31" s="41">
        <v>0</v>
      </c>
      <c r="T31" s="41">
        <v>1</v>
      </c>
      <c r="U31" s="41">
        <v>0</v>
      </c>
      <c r="V31" s="41">
        <v>1</v>
      </c>
      <c r="W31" s="41">
        <v>0</v>
      </c>
      <c r="X31" s="41">
        <v>0</v>
      </c>
      <c r="Y31" s="41">
        <v>0</v>
      </c>
      <c r="Z31" s="41">
        <v>0</v>
      </c>
      <c r="AA31" s="41">
        <v>0</v>
      </c>
      <c r="AB31" s="41">
        <v>0</v>
      </c>
      <c r="AC31" s="41">
        <v>0</v>
      </c>
      <c r="AD31" s="41">
        <v>0</v>
      </c>
      <c r="AE31" s="41">
        <v>0</v>
      </c>
      <c r="AF31" s="41">
        <v>0</v>
      </c>
      <c r="AG31" s="41">
        <v>0</v>
      </c>
      <c r="AH31" s="41">
        <v>0</v>
      </c>
      <c r="AI31" s="41">
        <v>0</v>
      </c>
      <c r="AJ31" s="41"/>
      <c r="AK31" s="41"/>
    </row>
    <row r="32" spans="1:37" hidden="1" x14ac:dyDescent="0.25">
      <c r="A32" s="41">
        <v>38</v>
      </c>
      <c r="B32" t="s">
        <v>510</v>
      </c>
      <c r="C32" s="27">
        <v>27000</v>
      </c>
      <c r="D32" s="135">
        <f t="shared" si="0"/>
        <v>10500</v>
      </c>
      <c r="E32" s="3">
        <f t="shared" si="3"/>
        <v>16500</v>
      </c>
      <c r="F32" s="145">
        <f t="shared" si="4"/>
        <v>0.61111111111111116</v>
      </c>
      <c r="G32" s="41">
        <v>1</v>
      </c>
      <c r="H32" s="41">
        <v>0</v>
      </c>
      <c r="Q32" s="41">
        <v>0</v>
      </c>
      <c r="R32" s="41">
        <v>0</v>
      </c>
      <c r="S32" s="41">
        <v>0</v>
      </c>
      <c r="T32" s="41">
        <v>1</v>
      </c>
      <c r="U32" s="41">
        <v>0</v>
      </c>
      <c r="V32" s="41">
        <v>1</v>
      </c>
      <c r="W32" s="41">
        <v>0</v>
      </c>
      <c r="X32" s="41">
        <v>0</v>
      </c>
      <c r="Y32" s="41">
        <v>0</v>
      </c>
      <c r="Z32" s="41">
        <v>0</v>
      </c>
      <c r="AA32" s="41">
        <v>0</v>
      </c>
      <c r="AB32" s="41">
        <v>0</v>
      </c>
      <c r="AC32" s="41">
        <v>0</v>
      </c>
      <c r="AD32" s="41">
        <v>0</v>
      </c>
      <c r="AE32" s="41">
        <v>0</v>
      </c>
      <c r="AF32" s="41">
        <v>0</v>
      </c>
      <c r="AG32" s="41">
        <v>0</v>
      </c>
      <c r="AH32" s="41">
        <v>0</v>
      </c>
      <c r="AI32" s="41">
        <v>0</v>
      </c>
      <c r="AJ32" s="41"/>
      <c r="AK32" s="41"/>
    </row>
    <row r="33" spans="1:37" hidden="1" x14ac:dyDescent="0.25">
      <c r="A33" s="41">
        <v>6</v>
      </c>
      <c r="B33" t="s">
        <v>480</v>
      </c>
      <c r="C33" s="27">
        <v>22000</v>
      </c>
      <c r="D33" s="135">
        <f t="shared" si="0"/>
        <v>10500</v>
      </c>
      <c r="E33" s="3">
        <f t="shared" si="3"/>
        <v>11500</v>
      </c>
      <c r="F33" s="145">
        <f t="shared" si="4"/>
        <v>0.52272727272727271</v>
      </c>
      <c r="G33" s="41">
        <v>1</v>
      </c>
      <c r="H33" s="41">
        <v>0</v>
      </c>
      <c r="Q33" s="41">
        <v>0</v>
      </c>
      <c r="R33" s="41">
        <v>0</v>
      </c>
      <c r="S33" s="41">
        <v>0</v>
      </c>
      <c r="T33" s="41">
        <v>1</v>
      </c>
      <c r="U33" s="41">
        <v>0</v>
      </c>
      <c r="V33" s="41">
        <v>1</v>
      </c>
      <c r="W33" s="41">
        <v>0</v>
      </c>
      <c r="X33" s="41">
        <v>0</v>
      </c>
      <c r="Y33" s="41">
        <v>0</v>
      </c>
      <c r="Z33" s="41">
        <v>0</v>
      </c>
      <c r="AA33" s="41">
        <v>0</v>
      </c>
      <c r="AB33" s="41">
        <v>0</v>
      </c>
      <c r="AC33" s="41">
        <v>0</v>
      </c>
      <c r="AD33" s="41">
        <v>0</v>
      </c>
      <c r="AE33" s="41">
        <v>0</v>
      </c>
      <c r="AF33" s="41">
        <v>0</v>
      </c>
      <c r="AG33" s="41">
        <v>0</v>
      </c>
      <c r="AH33" s="41">
        <v>0</v>
      </c>
      <c r="AI33" s="41">
        <v>0</v>
      </c>
      <c r="AJ33" s="41"/>
      <c r="AK33" s="41"/>
    </row>
    <row r="34" spans="1:37" hidden="1" x14ac:dyDescent="0.25">
      <c r="A34" s="41">
        <v>5</v>
      </c>
      <c r="B34" t="s">
        <v>479</v>
      </c>
      <c r="C34" s="27">
        <v>17000</v>
      </c>
      <c r="D34" s="135">
        <f t="shared" si="0"/>
        <v>8500</v>
      </c>
      <c r="E34" s="3">
        <f t="shared" si="3"/>
        <v>8500</v>
      </c>
      <c r="F34" s="145">
        <f t="shared" si="4"/>
        <v>0.5</v>
      </c>
      <c r="G34" s="41">
        <v>1</v>
      </c>
      <c r="H34" s="41">
        <v>0</v>
      </c>
      <c r="Q34" s="41">
        <v>0</v>
      </c>
      <c r="R34" s="41">
        <v>0</v>
      </c>
      <c r="S34" s="41">
        <v>0</v>
      </c>
      <c r="T34" s="41">
        <v>1</v>
      </c>
      <c r="U34" s="41">
        <v>0</v>
      </c>
      <c r="V34" s="41">
        <v>0</v>
      </c>
      <c r="W34" s="41">
        <v>0</v>
      </c>
      <c r="X34" s="41">
        <v>0</v>
      </c>
      <c r="Y34" s="41">
        <v>0</v>
      </c>
      <c r="Z34" s="41">
        <v>0</v>
      </c>
      <c r="AA34" s="41">
        <v>0</v>
      </c>
      <c r="AB34" s="41">
        <v>0</v>
      </c>
      <c r="AC34" s="41">
        <v>0</v>
      </c>
      <c r="AD34" s="41">
        <v>0</v>
      </c>
      <c r="AE34" s="41">
        <v>0</v>
      </c>
      <c r="AF34" s="41">
        <v>0</v>
      </c>
      <c r="AG34" s="41">
        <v>0</v>
      </c>
      <c r="AH34" s="41">
        <v>0</v>
      </c>
      <c r="AI34" s="41">
        <v>0</v>
      </c>
      <c r="AJ34" s="41"/>
      <c r="AK34" s="41"/>
    </row>
    <row r="35" spans="1:37" hidden="1" x14ac:dyDescent="0.25">
      <c r="A35" s="41">
        <v>37</v>
      </c>
      <c r="B35" t="s">
        <v>509</v>
      </c>
      <c r="C35" s="27">
        <v>1000000</v>
      </c>
      <c r="D35" s="135">
        <f t="shared" si="0"/>
        <v>2000</v>
      </c>
      <c r="E35" s="3">
        <f t="shared" si="3"/>
        <v>998000</v>
      </c>
      <c r="F35" s="145">
        <f t="shared" si="4"/>
        <v>0.998</v>
      </c>
      <c r="G35" s="41">
        <v>0</v>
      </c>
      <c r="H35" s="41">
        <v>0</v>
      </c>
      <c r="Q35" s="41">
        <v>0</v>
      </c>
      <c r="R35" s="41">
        <v>0</v>
      </c>
      <c r="S35" s="41">
        <v>0</v>
      </c>
      <c r="T35" s="41">
        <v>0</v>
      </c>
      <c r="U35" s="41">
        <v>0</v>
      </c>
      <c r="V35" s="41">
        <v>1</v>
      </c>
      <c r="W35" s="41">
        <v>0</v>
      </c>
      <c r="X35" s="41">
        <v>0</v>
      </c>
      <c r="Y35" s="41">
        <v>0</v>
      </c>
      <c r="Z35" s="41">
        <v>0</v>
      </c>
      <c r="AA35" s="41">
        <v>0</v>
      </c>
      <c r="AB35" s="41">
        <v>0</v>
      </c>
      <c r="AC35" s="41">
        <v>0</v>
      </c>
      <c r="AD35" s="41">
        <v>0</v>
      </c>
      <c r="AE35" s="41">
        <v>0</v>
      </c>
      <c r="AF35" s="41">
        <v>0</v>
      </c>
      <c r="AG35" s="41">
        <v>0</v>
      </c>
      <c r="AH35" s="41">
        <v>0</v>
      </c>
      <c r="AI35" s="41">
        <v>0</v>
      </c>
      <c r="AJ35" s="41"/>
      <c r="AK35" s="41"/>
    </row>
    <row r="36" spans="1:37" hidden="1" x14ac:dyDescent="0.25">
      <c r="A36" s="41">
        <v>30</v>
      </c>
      <c r="B36" t="s">
        <v>503</v>
      </c>
      <c r="C36" s="27">
        <v>2000</v>
      </c>
      <c r="D36" s="135">
        <f t="shared" si="0"/>
        <v>0</v>
      </c>
      <c r="E36" s="3">
        <f t="shared" si="3"/>
        <v>2000</v>
      </c>
      <c r="F36" s="145">
        <f t="shared" si="4"/>
        <v>1</v>
      </c>
      <c r="G36" s="41">
        <v>0</v>
      </c>
      <c r="H36" s="41">
        <v>0</v>
      </c>
      <c r="Q36" s="41">
        <v>0</v>
      </c>
      <c r="R36" s="41">
        <v>0</v>
      </c>
      <c r="S36" s="41">
        <v>0</v>
      </c>
      <c r="T36" s="41">
        <v>0</v>
      </c>
      <c r="U36" s="41">
        <v>0</v>
      </c>
      <c r="V36" s="41">
        <v>0</v>
      </c>
      <c r="W36" s="41">
        <v>0</v>
      </c>
      <c r="X36" s="41">
        <v>0</v>
      </c>
      <c r="Y36" s="41">
        <v>0</v>
      </c>
      <c r="Z36" s="41">
        <v>0</v>
      </c>
      <c r="AA36" s="41">
        <v>0</v>
      </c>
      <c r="AB36" s="41">
        <v>0</v>
      </c>
      <c r="AC36" s="41">
        <v>0</v>
      </c>
      <c r="AD36" s="41">
        <v>0</v>
      </c>
      <c r="AE36" s="41">
        <v>0</v>
      </c>
      <c r="AF36" s="41">
        <v>0</v>
      </c>
      <c r="AG36" s="41">
        <v>0</v>
      </c>
      <c r="AH36" s="41">
        <v>0</v>
      </c>
      <c r="AI36" s="41">
        <v>0</v>
      </c>
      <c r="AJ36" s="41"/>
      <c r="AK36" s="41"/>
    </row>
    <row r="37" spans="1:37" hidden="1" x14ac:dyDescent="0.25">
      <c r="A37" s="41">
        <v>31</v>
      </c>
      <c r="B37" t="s">
        <v>504</v>
      </c>
      <c r="C37" s="27">
        <v>15000</v>
      </c>
      <c r="D37" s="135">
        <f t="shared" si="0"/>
        <v>0</v>
      </c>
      <c r="E37" s="3">
        <f t="shared" si="3"/>
        <v>15000</v>
      </c>
      <c r="F37" s="145">
        <f t="shared" si="4"/>
        <v>1</v>
      </c>
      <c r="G37" s="41">
        <v>0</v>
      </c>
      <c r="H37" s="41">
        <v>0</v>
      </c>
      <c r="Q37" s="41">
        <v>0</v>
      </c>
      <c r="R37" s="41">
        <v>0</v>
      </c>
      <c r="S37" s="41">
        <v>0</v>
      </c>
      <c r="T37" s="41">
        <v>0</v>
      </c>
      <c r="U37" s="41">
        <v>0</v>
      </c>
      <c r="V37" s="41">
        <v>0</v>
      </c>
      <c r="W37" s="41">
        <v>0</v>
      </c>
      <c r="X37" s="41">
        <v>0</v>
      </c>
      <c r="Y37" s="41">
        <v>0</v>
      </c>
      <c r="Z37" s="41">
        <v>0</v>
      </c>
      <c r="AA37" s="41">
        <v>0</v>
      </c>
      <c r="AB37" s="41">
        <v>0</v>
      </c>
      <c r="AC37" s="41">
        <v>0</v>
      </c>
      <c r="AD37" s="41">
        <v>0</v>
      </c>
      <c r="AE37" s="41">
        <v>0</v>
      </c>
      <c r="AF37" s="41">
        <v>0</v>
      </c>
      <c r="AG37" s="41">
        <v>0</v>
      </c>
      <c r="AH37" s="41">
        <v>0</v>
      </c>
      <c r="AI37" s="41">
        <v>0</v>
      </c>
      <c r="AJ37" s="41"/>
      <c r="AK37" s="41"/>
    </row>
    <row r="38" spans="1:37" x14ac:dyDescent="0.25">
      <c r="A38" s="41">
        <v>35</v>
      </c>
      <c r="B38" t="s">
        <v>507</v>
      </c>
      <c r="C38" s="27">
        <v>30000</v>
      </c>
      <c r="D38" s="135">
        <f t="shared" si="0"/>
        <v>17940</v>
      </c>
      <c r="E38" s="3">
        <f t="shared" si="3"/>
        <v>12060</v>
      </c>
      <c r="F38" s="145">
        <f t="shared" si="4"/>
        <v>0.40200000000000002</v>
      </c>
      <c r="G38" s="41">
        <v>1</v>
      </c>
      <c r="H38" s="41">
        <v>0</v>
      </c>
      <c r="I38" s="41">
        <v>1</v>
      </c>
      <c r="Q38" s="41">
        <v>0</v>
      </c>
      <c r="R38" s="41">
        <v>0</v>
      </c>
      <c r="S38" s="41">
        <v>0</v>
      </c>
      <c r="T38" s="41">
        <v>0</v>
      </c>
      <c r="U38" s="41">
        <v>0</v>
      </c>
      <c r="V38" s="41">
        <v>0</v>
      </c>
      <c r="W38" s="41">
        <v>0</v>
      </c>
      <c r="X38" s="41">
        <v>1</v>
      </c>
      <c r="Y38" s="41">
        <v>1</v>
      </c>
      <c r="Z38" s="41">
        <v>0</v>
      </c>
      <c r="AA38" s="41">
        <v>0</v>
      </c>
      <c r="AB38" s="41">
        <v>0</v>
      </c>
      <c r="AC38" s="41">
        <v>0</v>
      </c>
      <c r="AD38" s="41">
        <v>0</v>
      </c>
      <c r="AE38" s="41">
        <v>0</v>
      </c>
      <c r="AF38" s="41">
        <v>0</v>
      </c>
      <c r="AG38" s="41">
        <v>0</v>
      </c>
      <c r="AH38" s="41">
        <v>0</v>
      </c>
      <c r="AI38" s="41">
        <v>0</v>
      </c>
      <c r="AJ38" s="41"/>
      <c r="AK38" s="41"/>
    </row>
    <row r="39" spans="1:37" x14ac:dyDescent="0.25">
      <c r="A39" s="41">
        <v>18</v>
      </c>
      <c r="B39" t="s">
        <v>491</v>
      </c>
      <c r="C39" s="27">
        <v>35000</v>
      </c>
      <c r="D39" s="135">
        <f t="shared" si="0"/>
        <v>17940</v>
      </c>
      <c r="E39" s="3">
        <f t="shared" si="3"/>
        <v>17060</v>
      </c>
      <c r="F39" s="145">
        <f t="shared" si="4"/>
        <v>0.48742857142857143</v>
      </c>
      <c r="G39" s="41">
        <v>1</v>
      </c>
      <c r="H39" s="41">
        <v>0</v>
      </c>
      <c r="I39" s="41">
        <v>1</v>
      </c>
      <c r="Q39" s="41">
        <v>0</v>
      </c>
      <c r="R39" s="41">
        <v>0</v>
      </c>
      <c r="S39" s="41">
        <v>0</v>
      </c>
      <c r="T39" s="41">
        <v>0</v>
      </c>
      <c r="U39" s="41">
        <v>0</v>
      </c>
      <c r="V39" s="41">
        <v>0</v>
      </c>
      <c r="W39" s="41">
        <v>0</v>
      </c>
      <c r="X39" s="41">
        <v>1</v>
      </c>
      <c r="Y39" s="41">
        <v>1</v>
      </c>
      <c r="Z39" s="41">
        <v>0</v>
      </c>
      <c r="AA39" s="41">
        <v>0</v>
      </c>
      <c r="AB39" s="41">
        <v>0</v>
      </c>
      <c r="AC39" s="41">
        <v>0</v>
      </c>
      <c r="AD39" s="41">
        <v>0</v>
      </c>
      <c r="AE39" s="41">
        <v>0</v>
      </c>
      <c r="AF39" s="41">
        <v>0</v>
      </c>
      <c r="AG39" s="41">
        <v>0</v>
      </c>
      <c r="AH39" s="41">
        <v>0</v>
      </c>
      <c r="AI39" s="41">
        <v>0</v>
      </c>
      <c r="AJ39" s="41"/>
      <c r="AK39" s="41"/>
    </row>
    <row r="40" spans="1:37" x14ac:dyDescent="0.25">
      <c r="A40" s="41">
        <v>23</v>
      </c>
      <c r="B40" t="s">
        <v>496</v>
      </c>
      <c r="C40" s="27">
        <v>40000</v>
      </c>
      <c r="D40" s="135">
        <f t="shared" si="0"/>
        <v>17940</v>
      </c>
      <c r="E40" s="3">
        <f t="shared" si="3"/>
        <v>22060</v>
      </c>
      <c r="F40" s="145">
        <f t="shared" si="4"/>
        <v>0.55149999999999999</v>
      </c>
      <c r="G40" s="41">
        <v>1</v>
      </c>
      <c r="H40" s="41">
        <v>0</v>
      </c>
      <c r="I40" s="41">
        <v>1</v>
      </c>
      <c r="Q40" s="41">
        <v>0</v>
      </c>
      <c r="R40" s="41">
        <v>0</v>
      </c>
      <c r="S40" s="41">
        <v>0</v>
      </c>
      <c r="T40" s="41">
        <v>0</v>
      </c>
      <c r="U40" s="41">
        <v>0</v>
      </c>
      <c r="V40" s="41">
        <v>0</v>
      </c>
      <c r="W40" s="41">
        <v>0</v>
      </c>
      <c r="X40" s="41">
        <v>1</v>
      </c>
      <c r="Y40" s="41">
        <v>1</v>
      </c>
      <c r="Z40" s="41">
        <v>0</v>
      </c>
      <c r="AA40" s="41">
        <v>0</v>
      </c>
      <c r="AB40" s="41">
        <v>0</v>
      </c>
      <c r="AC40" s="41">
        <v>0</v>
      </c>
      <c r="AD40" s="41">
        <v>0</v>
      </c>
      <c r="AE40" s="41">
        <v>0</v>
      </c>
      <c r="AF40" s="41">
        <v>0</v>
      </c>
      <c r="AG40" s="41">
        <v>0</v>
      </c>
      <c r="AH40" s="41">
        <v>0</v>
      </c>
      <c r="AI40" s="41">
        <v>0</v>
      </c>
      <c r="AJ40" s="41"/>
      <c r="AK40" s="41"/>
    </row>
    <row r="41" spans="1:37" x14ac:dyDescent="0.25">
      <c r="A41" s="41">
        <v>21</v>
      </c>
      <c r="B41" t="s">
        <v>494</v>
      </c>
      <c r="C41" s="27">
        <v>48000</v>
      </c>
      <c r="D41" s="135">
        <f t="shared" si="0"/>
        <v>17940</v>
      </c>
      <c r="E41" s="3">
        <f t="shared" si="3"/>
        <v>30060</v>
      </c>
      <c r="F41" s="145">
        <f t="shared" si="4"/>
        <v>0.62624999999999997</v>
      </c>
      <c r="G41" s="41">
        <v>1</v>
      </c>
      <c r="H41" s="41">
        <v>0</v>
      </c>
      <c r="I41" s="41">
        <v>1</v>
      </c>
      <c r="Q41" s="41">
        <v>0</v>
      </c>
      <c r="R41" s="41">
        <v>0</v>
      </c>
      <c r="S41" s="41">
        <v>0</v>
      </c>
      <c r="T41" s="41">
        <v>0</v>
      </c>
      <c r="U41" s="41">
        <v>0</v>
      </c>
      <c r="V41" s="41">
        <v>0</v>
      </c>
      <c r="W41" s="41">
        <v>0</v>
      </c>
      <c r="X41" s="41">
        <v>1</v>
      </c>
      <c r="Y41" s="41">
        <v>1</v>
      </c>
      <c r="Z41" s="41">
        <v>0</v>
      </c>
      <c r="AA41" s="41">
        <v>0</v>
      </c>
      <c r="AB41" s="41">
        <v>0</v>
      </c>
      <c r="AC41" s="41">
        <v>0</v>
      </c>
      <c r="AD41" s="41">
        <v>0</v>
      </c>
      <c r="AE41" s="41">
        <v>0</v>
      </c>
      <c r="AF41" s="41">
        <v>0</v>
      </c>
      <c r="AG41" s="41">
        <v>0</v>
      </c>
      <c r="AH41" s="41">
        <v>0</v>
      </c>
      <c r="AI41" s="41">
        <v>0</v>
      </c>
      <c r="AJ41" s="41"/>
      <c r="AK41" s="41"/>
    </row>
    <row r="42" spans="1:37" x14ac:dyDescent="0.25">
      <c r="A42" s="41">
        <v>43</v>
      </c>
      <c r="B42" t="s">
        <v>515</v>
      </c>
      <c r="C42" s="27">
        <v>50000</v>
      </c>
      <c r="D42" s="135">
        <f t="shared" si="0"/>
        <v>17940</v>
      </c>
      <c r="E42" s="3">
        <f t="shared" si="3"/>
        <v>32060</v>
      </c>
      <c r="F42" s="145">
        <f t="shared" si="4"/>
        <v>0.64119999999999999</v>
      </c>
      <c r="G42" s="41">
        <v>1</v>
      </c>
      <c r="H42" s="41">
        <v>0</v>
      </c>
      <c r="I42" s="41">
        <v>1</v>
      </c>
      <c r="Q42" s="41">
        <v>0</v>
      </c>
      <c r="R42" s="41">
        <v>0</v>
      </c>
      <c r="S42" s="41">
        <v>0</v>
      </c>
      <c r="T42" s="41">
        <v>0</v>
      </c>
      <c r="U42" s="41">
        <v>0</v>
      </c>
      <c r="V42" s="41">
        <v>0</v>
      </c>
      <c r="W42" s="41">
        <v>0</v>
      </c>
      <c r="X42" s="41">
        <v>1</v>
      </c>
      <c r="Y42" s="41">
        <v>1</v>
      </c>
      <c r="Z42" s="41">
        <v>0</v>
      </c>
      <c r="AA42" s="41">
        <v>0</v>
      </c>
      <c r="AB42" s="41">
        <v>0</v>
      </c>
      <c r="AC42" s="41">
        <v>0</v>
      </c>
      <c r="AD42" s="41">
        <v>0</v>
      </c>
      <c r="AE42" s="41">
        <v>0</v>
      </c>
      <c r="AF42" s="41">
        <v>0</v>
      </c>
      <c r="AG42" s="41">
        <v>0</v>
      </c>
      <c r="AH42" s="41">
        <v>0</v>
      </c>
      <c r="AI42" s="41">
        <v>0</v>
      </c>
      <c r="AJ42" s="41"/>
      <c r="AK42" s="41"/>
    </row>
    <row r="43" spans="1:37" x14ac:dyDescent="0.25">
      <c r="A43" s="41">
        <v>32</v>
      </c>
      <c r="B43" t="s">
        <v>505</v>
      </c>
      <c r="C43" s="27">
        <v>60000</v>
      </c>
      <c r="D43" s="135">
        <f t="shared" si="0"/>
        <v>36940</v>
      </c>
      <c r="E43" s="3">
        <f t="shared" si="3"/>
        <v>23060</v>
      </c>
      <c r="F43" s="145">
        <f t="shared" si="4"/>
        <v>0.3843333333333333</v>
      </c>
      <c r="G43" s="41">
        <v>1</v>
      </c>
      <c r="H43" s="41">
        <v>0</v>
      </c>
      <c r="I43" s="41">
        <v>1</v>
      </c>
      <c r="J43" s="41">
        <v>1</v>
      </c>
      <c r="Q43" s="41">
        <v>0</v>
      </c>
      <c r="R43" s="41">
        <v>0</v>
      </c>
      <c r="S43" s="41">
        <v>0</v>
      </c>
      <c r="T43" s="41">
        <v>0</v>
      </c>
      <c r="U43" s="41">
        <v>0</v>
      </c>
      <c r="V43" s="41">
        <v>0</v>
      </c>
      <c r="W43" s="41">
        <v>0</v>
      </c>
      <c r="X43" s="41">
        <v>1</v>
      </c>
      <c r="Y43" s="41">
        <v>1</v>
      </c>
      <c r="Z43" s="41">
        <v>0</v>
      </c>
      <c r="AA43" s="41">
        <v>0</v>
      </c>
      <c r="AB43" s="41">
        <v>0</v>
      </c>
      <c r="AC43" s="41">
        <v>0</v>
      </c>
      <c r="AD43" s="41">
        <v>0</v>
      </c>
      <c r="AE43" s="41">
        <v>0</v>
      </c>
      <c r="AF43" s="41">
        <v>0</v>
      </c>
      <c r="AG43" s="41">
        <v>0</v>
      </c>
      <c r="AH43" s="41">
        <v>0</v>
      </c>
      <c r="AI43" s="41">
        <v>0</v>
      </c>
      <c r="AJ43" s="41"/>
      <c r="AK43" s="41"/>
    </row>
    <row r="44" spans="1:37" x14ac:dyDescent="0.25">
      <c r="A44" s="41">
        <v>22</v>
      </c>
      <c r="B44" t="s">
        <v>495</v>
      </c>
      <c r="C44" s="27">
        <v>70000</v>
      </c>
      <c r="D44" s="135">
        <f t="shared" si="0"/>
        <v>36940</v>
      </c>
      <c r="E44" s="3">
        <f t="shared" si="3"/>
        <v>33060</v>
      </c>
      <c r="F44" s="145">
        <f t="shared" si="4"/>
        <v>0.47228571428571431</v>
      </c>
      <c r="G44" s="41">
        <v>1</v>
      </c>
      <c r="H44" s="41">
        <v>0</v>
      </c>
      <c r="I44" s="41">
        <v>1</v>
      </c>
      <c r="J44" s="41">
        <v>1</v>
      </c>
      <c r="Q44" s="41">
        <v>0</v>
      </c>
      <c r="R44" s="41">
        <v>0</v>
      </c>
      <c r="S44" s="41">
        <v>0</v>
      </c>
      <c r="T44" s="41">
        <v>0</v>
      </c>
      <c r="U44" s="41">
        <v>0</v>
      </c>
      <c r="V44" s="41">
        <v>0</v>
      </c>
      <c r="W44" s="41">
        <v>0</v>
      </c>
      <c r="X44" s="41">
        <v>1</v>
      </c>
      <c r="Y44" s="41">
        <v>1</v>
      </c>
      <c r="Z44" s="41">
        <v>0</v>
      </c>
      <c r="AA44" s="41">
        <v>0</v>
      </c>
      <c r="AB44" s="41">
        <v>0</v>
      </c>
      <c r="AC44" s="41">
        <v>0</v>
      </c>
      <c r="AD44" s="41">
        <v>0</v>
      </c>
      <c r="AE44" s="41">
        <v>0</v>
      </c>
      <c r="AF44" s="41">
        <v>0</v>
      </c>
      <c r="AG44" s="41">
        <v>0</v>
      </c>
      <c r="AH44" s="41">
        <v>0</v>
      </c>
      <c r="AI44" s="41">
        <v>0</v>
      </c>
      <c r="AJ44" s="41"/>
      <c r="AK44" s="41"/>
    </row>
    <row r="45" spans="1:37" hidden="1" x14ac:dyDescent="0.25">
      <c r="A45" s="41">
        <v>28</v>
      </c>
      <c r="B45" t="s">
        <v>501</v>
      </c>
      <c r="C45" s="27">
        <v>5000</v>
      </c>
      <c r="D45" s="135">
        <f t="shared" si="0"/>
        <v>0</v>
      </c>
      <c r="E45" s="3">
        <f t="shared" si="3"/>
        <v>5000</v>
      </c>
      <c r="F45" s="145">
        <f t="shared" si="4"/>
        <v>1</v>
      </c>
      <c r="G45" s="41">
        <v>0</v>
      </c>
      <c r="H45" s="41">
        <v>0</v>
      </c>
      <c r="Q45" s="41">
        <v>0</v>
      </c>
      <c r="R45" s="41">
        <v>0</v>
      </c>
      <c r="S45" s="41">
        <v>0</v>
      </c>
      <c r="T45" s="41">
        <v>0</v>
      </c>
      <c r="U45" s="41">
        <v>0</v>
      </c>
      <c r="V45" s="41">
        <v>0</v>
      </c>
      <c r="W45" s="41">
        <v>0</v>
      </c>
      <c r="X45" s="41">
        <v>0</v>
      </c>
      <c r="Y45" s="41">
        <v>0</v>
      </c>
      <c r="Z45" s="41">
        <v>0</v>
      </c>
      <c r="AA45" s="41">
        <v>0</v>
      </c>
      <c r="AB45" s="41">
        <v>0</v>
      </c>
      <c r="AC45" s="41">
        <v>0</v>
      </c>
      <c r="AD45" s="41">
        <v>0</v>
      </c>
      <c r="AE45" s="41">
        <v>0</v>
      </c>
      <c r="AF45" s="41">
        <v>0</v>
      </c>
      <c r="AG45" s="41">
        <v>0</v>
      </c>
      <c r="AH45" s="41">
        <v>0</v>
      </c>
      <c r="AI45" s="41">
        <v>0</v>
      </c>
      <c r="AJ45" s="41"/>
      <c r="AK45" s="41"/>
    </row>
    <row r="46" spans="1:37" hidden="1" x14ac:dyDescent="0.25">
      <c r="A46" s="41">
        <v>20</v>
      </c>
      <c r="B46" t="s">
        <v>493</v>
      </c>
      <c r="C46" s="27">
        <v>2000</v>
      </c>
      <c r="D46" s="135">
        <f t="shared" si="0"/>
        <v>800</v>
      </c>
      <c r="E46" s="3">
        <f t="shared" si="3"/>
        <v>1200</v>
      </c>
      <c r="F46" s="145">
        <f t="shared" si="4"/>
        <v>0.6</v>
      </c>
      <c r="G46" s="41">
        <v>0</v>
      </c>
      <c r="H46" s="41">
        <v>0</v>
      </c>
      <c r="Q46" s="41">
        <v>0</v>
      </c>
      <c r="R46" s="41">
        <v>0</v>
      </c>
      <c r="S46" s="41">
        <v>0</v>
      </c>
      <c r="T46" s="41">
        <v>0</v>
      </c>
      <c r="U46" s="41">
        <v>1</v>
      </c>
      <c r="V46" s="41">
        <v>0</v>
      </c>
      <c r="W46" s="41">
        <v>0</v>
      </c>
      <c r="X46" s="41">
        <v>0</v>
      </c>
      <c r="Y46" s="41">
        <v>0</v>
      </c>
      <c r="Z46" s="41">
        <v>0</v>
      </c>
      <c r="AA46" s="41">
        <v>0</v>
      </c>
      <c r="AB46" s="41">
        <v>0</v>
      </c>
      <c r="AC46" s="41">
        <v>0</v>
      </c>
      <c r="AD46" s="41">
        <v>0</v>
      </c>
      <c r="AE46" s="41">
        <v>0</v>
      </c>
      <c r="AF46" s="41">
        <v>0</v>
      </c>
      <c r="AG46" s="41">
        <v>0</v>
      </c>
      <c r="AH46" s="41">
        <v>0</v>
      </c>
      <c r="AI46" s="41">
        <v>0</v>
      </c>
      <c r="AJ46" s="41"/>
      <c r="AK46" s="41"/>
    </row>
    <row r="47" spans="1:37" hidden="1" x14ac:dyDescent="0.25">
      <c r="A47" s="41">
        <v>47</v>
      </c>
      <c r="B47" t="s">
        <v>608</v>
      </c>
      <c r="C47" s="10">
        <v>3500</v>
      </c>
      <c r="D47" s="135">
        <f t="shared" si="0"/>
        <v>3500</v>
      </c>
      <c r="E47" s="3">
        <f t="shared" si="3"/>
        <v>0</v>
      </c>
      <c r="F47" s="145">
        <f t="shared" si="4"/>
        <v>0</v>
      </c>
      <c r="G47" s="41">
        <v>1</v>
      </c>
      <c r="H47" s="41">
        <v>0</v>
      </c>
      <c r="Q47" s="41">
        <v>0</v>
      </c>
      <c r="R47" s="41">
        <v>0</v>
      </c>
      <c r="S47" s="41">
        <v>0</v>
      </c>
      <c r="T47" s="41">
        <v>0</v>
      </c>
      <c r="U47" s="41">
        <v>0</v>
      </c>
      <c r="V47" s="41">
        <v>0</v>
      </c>
      <c r="W47" s="41">
        <v>0</v>
      </c>
      <c r="X47" s="41">
        <v>0</v>
      </c>
      <c r="Y47" s="41">
        <v>0</v>
      </c>
      <c r="Z47" s="41">
        <v>0</v>
      </c>
      <c r="AA47" s="41">
        <v>0</v>
      </c>
      <c r="AB47" s="41">
        <v>0</v>
      </c>
      <c r="AC47" s="41">
        <v>0</v>
      </c>
      <c r="AD47" s="41">
        <v>0</v>
      </c>
      <c r="AE47" s="41">
        <v>0</v>
      </c>
      <c r="AF47" s="41">
        <v>0</v>
      </c>
      <c r="AG47" s="41">
        <v>0</v>
      </c>
      <c r="AH47" s="41">
        <v>0</v>
      </c>
      <c r="AI47" s="41">
        <v>0</v>
      </c>
      <c r="AJ47" s="41"/>
      <c r="AK47" s="41"/>
    </row>
    <row r="48" spans="1:37" hidden="1" x14ac:dyDescent="0.25">
      <c r="A48" s="41">
        <v>17</v>
      </c>
      <c r="B48" t="s">
        <v>490</v>
      </c>
      <c r="C48" s="30">
        <v>4500</v>
      </c>
      <c r="D48" s="135">
        <f t="shared" si="0"/>
        <v>3500</v>
      </c>
      <c r="E48" s="3">
        <f t="shared" si="3"/>
        <v>1000</v>
      </c>
      <c r="F48" s="145">
        <f t="shared" si="4"/>
        <v>0.22222222222222221</v>
      </c>
      <c r="G48" s="41">
        <v>1</v>
      </c>
      <c r="H48" s="41">
        <v>0</v>
      </c>
      <c r="Q48" s="41">
        <v>0</v>
      </c>
      <c r="R48" s="41">
        <v>0</v>
      </c>
      <c r="S48" s="41">
        <v>0</v>
      </c>
      <c r="T48" s="41">
        <v>0</v>
      </c>
      <c r="U48" s="41">
        <v>0</v>
      </c>
      <c r="V48" s="41">
        <v>0</v>
      </c>
      <c r="W48" s="41">
        <v>0</v>
      </c>
      <c r="X48" s="41">
        <v>0</v>
      </c>
      <c r="Y48" s="41">
        <v>0</v>
      </c>
      <c r="Z48" s="41">
        <v>0</v>
      </c>
      <c r="AA48" s="41">
        <v>0</v>
      </c>
      <c r="AB48" s="41">
        <v>0</v>
      </c>
      <c r="AC48" s="41">
        <v>0</v>
      </c>
      <c r="AD48" s="41">
        <v>0</v>
      </c>
      <c r="AE48" s="41">
        <v>0</v>
      </c>
      <c r="AF48" s="41">
        <v>0</v>
      </c>
      <c r="AG48" s="41">
        <v>0</v>
      </c>
      <c r="AH48" s="41">
        <v>0</v>
      </c>
      <c r="AI48" s="41">
        <v>0</v>
      </c>
      <c r="AJ48" s="41"/>
      <c r="AK48" s="41"/>
    </row>
    <row r="49" spans="1:37" hidden="1" x14ac:dyDescent="0.25">
      <c r="A49" s="41">
        <v>25</v>
      </c>
      <c r="B49" t="s">
        <v>498</v>
      </c>
      <c r="C49" s="30">
        <v>5000</v>
      </c>
      <c r="D49" s="135">
        <f t="shared" si="0"/>
        <v>0</v>
      </c>
      <c r="E49" s="3">
        <f t="shared" si="3"/>
        <v>5000</v>
      </c>
      <c r="F49" s="145">
        <f t="shared" si="4"/>
        <v>1</v>
      </c>
      <c r="G49" s="41">
        <v>0</v>
      </c>
      <c r="H49" s="41">
        <v>0</v>
      </c>
      <c r="Q49" s="41">
        <v>0</v>
      </c>
      <c r="R49" s="41">
        <v>0</v>
      </c>
      <c r="S49" s="41">
        <v>0</v>
      </c>
      <c r="T49" s="41">
        <v>0</v>
      </c>
      <c r="U49" s="41">
        <v>0</v>
      </c>
      <c r="V49" s="41">
        <v>0</v>
      </c>
      <c r="W49" s="41">
        <v>0</v>
      </c>
      <c r="X49" s="41">
        <v>0</v>
      </c>
      <c r="Y49" s="41">
        <v>0</v>
      </c>
      <c r="Z49" s="41">
        <v>0</v>
      </c>
      <c r="AA49" s="41">
        <v>0</v>
      </c>
      <c r="AB49" s="41">
        <v>0</v>
      </c>
      <c r="AC49" s="41">
        <v>0</v>
      </c>
      <c r="AD49" s="41">
        <v>0</v>
      </c>
      <c r="AE49" s="41">
        <v>0</v>
      </c>
      <c r="AF49" s="41">
        <v>0</v>
      </c>
      <c r="AG49" s="41">
        <v>0</v>
      </c>
      <c r="AH49" s="41">
        <v>0</v>
      </c>
      <c r="AI49" s="41">
        <v>0</v>
      </c>
      <c r="AJ49" s="41"/>
      <c r="AK49" s="41"/>
    </row>
    <row r="50" spans="1:37" hidden="1" x14ac:dyDescent="0.25">
      <c r="A50" s="41">
        <v>36</v>
      </c>
      <c r="B50" t="s">
        <v>508</v>
      </c>
      <c r="C50" s="30">
        <v>70000</v>
      </c>
      <c r="D50" s="135">
        <f t="shared" si="0"/>
        <v>0</v>
      </c>
      <c r="E50" s="3">
        <f t="shared" si="3"/>
        <v>70000</v>
      </c>
      <c r="F50" s="145">
        <f t="shared" si="4"/>
        <v>1</v>
      </c>
      <c r="G50" s="41">
        <v>0</v>
      </c>
      <c r="H50" s="41">
        <v>0</v>
      </c>
      <c r="Q50" s="41">
        <v>0</v>
      </c>
      <c r="R50" s="41">
        <v>0</v>
      </c>
      <c r="S50" s="41">
        <v>0</v>
      </c>
      <c r="T50" s="41">
        <v>0</v>
      </c>
      <c r="U50" s="41">
        <v>0</v>
      </c>
      <c r="V50" s="41">
        <v>0</v>
      </c>
      <c r="W50" s="41">
        <v>0</v>
      </c>
      <c r="X50" s="41">
        <v>0</v>
      </c>
      <c r="Y50" s="41">
        <v>0</v>
      </c>
      <c r="Z50" s="41">
        <v>0</v>
      </c>
      <c r="AA50" s="41">
        <v>0</v>
      </c>
      <c r="AB50" s="41">
        <v>0</v>
      </c>
      <c r="AC50" s="41">
        <v>0</v>
      </c>
      <c r="AD50" s="41">
        <v>0</v>
      </c>
      <c r="AE50" s="41">
        <v>0</v>
      </c>
      <c r="AF50" s="41">
        <v>0</v>
      </c>
      <c r="AG50" s="41">
        <v>0</v>
      </c>
      <c r="AH50" s="41">
        <v>0</v>
      </c>
      <c r="AI50" s="41">
        <v>0</v>
      </c>
      <c r="AJ50" s="41"/>
      <c r="AK50" s="41"/>
    </row>
    <row r="51" spans="1:37" hidden="1" x14ac:dyDescent="0.25">
      <c r="A51" s="41">
        <v>8</v>
      </c>
      <c r="B51" t="s">
        <v>482</v>
      </c>
      <c r="C51" s="30">
        <v>1000</v>
      </c>
      <c r="D51" s="135">
        <f t="shared" si="0"/>
        <v>0</v>
      </c>
      <c r="E51" s="3">
        <f t="shared" ref="E51" si="5">+C51-D51</f>
        <v>1000</v>
      </c>
      <c r="F51" s="145">
        <f t="shared" ref="F51" si="6">1-D51/C51</f>
        <v>1</v>
      </c>
      <c r="G51" s="41">
        <v>0</v>
      </c>
      <c r="H51" s="41">
        <v>0</v>
      </c>
      <c r="Q51" s="41">
        <v>0</v>
      </c>
      <c r="R51" s="41">
        <v>0</v>
      </c>
      <c r="S51" s="41">
        <v>0</v>
      </c>
      <c r="T51" s="41">
        <v>0</v>
      </c>
      <c r="U51" s="41">
        <v>0</v>
      </c>
      <c r="V51" s="41">
        <v>0</v>
      </c>
      <c r="W51" s="41">
        <v>0</v>
      </c>
      <c r="X51" s="41">
        <v>0</v>
      </c>
      <c r="Y51" s="41">
        <v>0</v>
      </c>
      <c r="Z51" s="41">
        <v>0</v>
      </c>
      <c r="AA51" s="41">
        <v>0</v>
      </c>
      <c r="AB51" s="41">
        <v>0</v>
      </c>
      <c r="AC51" s="41">
        <v>0</v>
      </c>
      <c r="AD51" s="41">
        <v>0</v>
      </c>
      <c r="AE51" s="41">
        <v>0</v>
      </c>
      <c r="AF51" s="41">
        <v>0</v>
      </c>
      <c r="AG51" s="41">
        <v>0</v>
      </c>
      <c r="AH51" s="41">
        <v>0</v>
      </c>
      <c r="AI51" s="41">
        <v>0</v>
      </c>
      <c r="AJ51" s="41"/>
      <c r="AK51" s="41"/>
    </row>
    <row r="52" spans="1:37" x14ac:dyDescent="0.25">
      <c r="X52" s="41">
        <v>1</v>
      </c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</row>
  </sheetData>
  <autoFilter ref="A3:AK51">
    <filterColumn colId="1">
      <filters>
        <filter val="Parrillada de 30"/>
        <filter val="Parrillada de 35"/>
        <filter val="Parrillada de 40"/>
        <filter val="Parrillada de 48"/>
        <filter val="Parrillada de 50"/>
        <filter val="Parrillada de 60"/>
        <filter val="Parrillada de 70"/>
      </filters>
    </filterColumn>
  </autoFilter>
  <conditionalFormatting sqref="AA4:AK52 R4:Z51 G4:P51">
    <cfRule type="cellIs" dxfId="7" priority="4" operator="equal">
      <formula>1</formula>
    </cfRule>
  </conditionalFormatting>
  <conditionalFormatting sqref="Q4:Q51">
    <cfRule type="cellIs" dxfId="6" priority="3" operator="equal">
      <formula>1</formula>
    </cfRule>
  </conditionalFormatting>
  <conditionalFormatting sqref="O52">
    <cfRule type="cellIs" dxfId="5" priority="2" operator="equal">
      <formula>1</formula>
    </cfRule>
  </conditionalFormatting>
  <conditionalFormatting sqref="I52">
    <cfRule type="cellIs" dxfId="4" priority="1" operator="equal">
      <formula>1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5"/>
  <sheetViews>
    <sheetView tabSelected="1" workbookViewId="0">
      <selection activeCell="D8" sqref="D8"/>
    </sheetView>
  </sheetViews>
  <sheetFormatPr baseColWidth="10" defaultRowHeight="15" x14ac:dyDescent="0.25"/>
  <cols>
    <col min="2" max="2" width="19.140625" bestFit="1" customWidth="1"/>
    <col min="3" max="3" width="11.42578125" style="80"/>
  </cols>
  <sheetData>
    <row r="1" spans="2:6" x14ac:dyDescent="0.25">
      <c r="C1" s="80">
        <f>+SUM(C3:C12)</f>
        <v>134800</v>
      </c>
    </row>
    <row r="3" spans="2:6" x14ac:dyDescent="0.25">
      <c r="B3" t="s">
        <v>628</v>
      </c>
      <c r="C3" s="80">
        <f>4500*3</f>
        <v>13500</v>
      </c>
      <c r="D3" t="s">
        <v>277</v>
      </c>
      <c r="F3">
        <v>1600</v>
      </c>
    </row>
    <row r="4" spans="2:6" x14ac:dyDescent="0.25">
      <c r="B4" t="s">
        <v>629</v>
      </c>
      <c r="C4" s="80">
        <f>8000+300</f>
        <v>8300</v>
      </c>
      <c r="D4" t="s">
        <v>278</v>
      </c>
    </row>
    <row r="5" spans="2:6" x14ac:dyDescent="0.25">
      <c r="B5" t="s">
        <v>630</v>
      </c>
      <c r="C5" s="80">
        <v>8000</v>
      </c>
      <c r="D5" t="s">
        <v>277</v>
      </c>
    </row>
    <row r="6" spans="2:6" x14ac:dyDescent="0.25">
      <c r="B6" t="s">
        <v>629</v>
      </c>
      <c r="C6" s="80">
        <v>11000</v>
      </c>
      <c r="D6" t="s">
        <v>277</v>
      </c>
    </row>
    <row r="7" spans="2:6" x14ac:dyDescent="0.25">
      <c r="B7" s="1" t="s">
        <v>631</v>
      </c>
      <c r="C7" s="80">
        <v>15000</v>
      </c>
      <c r="D7" t="s">
        <v>277</v>
      </c>
    </row>
    <row r="8" spans="2:6" x14ac:dyDescent="0.25">
      <c r="B8" t="s">
        <v>296</v>
      </c>
      <c r="C8" s="80">
        <v>8000</v>
      </c>
      <c r="D8" t="s">
        <v>277</v>
      </c>
    </row>
    <row r="9" spans="2:6" x14ac:dyDescent="0.25">
      <c r="B9" t="s">
        <v>632</v>
      </c>
      <c r="C9" s="80">
        <v>16000</v>
      </c>
      <c r="D9" t="s">
        <v>277</v>
      </c>
    </row>
    <row r="10" spans="2:6" x14ac:dyDescent="0.25">
      <c r="B10" t="s">
        <v>633</v>
      </c>
      <c r="C10" s="80">
        <f>8000*2+3000</f>
        <v>19000</v>
      </c>
      <c r="D10" t="s">
        <v>277</v>
      </c>
    </row>
    <row r="11" spans="2:6" x14ac:dyDescent="0.25">
      <c r="B11" t="s">
        <v>632</v>
      </c>
      <c r="C11" s="80">
        <v>16000</v>
      </c>
      <c r="D11" t="s">
        <v>277</v>
      </c>
    </row>
    <row r="12" spans="2:6" x14ac:dyDescent="0.25">
      <c r="B12" t="s">
        <v>634</v>
      </c>
      <c r="C12" s="80">
        <v>20000</v>
      </c>
      <c r="D12" t="s">
        <v>277</v>
      </c>
    </row>
    <row r="15" spans="2:6" x14ac:dyDescent="0.25">
      <c r="C15" s="80">
        <v>4500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9"/>
  <sheetViews>
    <sheetView workbookViewId="0">
      <selection activeCell="D11" sqref="D11"/>
    </sheetView>
  </sheetViews>
  <sheetFormatPr baseColWidth="10" defaultRowHeight="15" x14ac:dyDescent="0.25"/>
  <cols>
    <col min="2" max="2" width="14.5703125" style="80" bestFit="1" customWidth="1"/>
    <col min="3" max="3" width="13" bestFit="1" customWidth="1"/>
    <col min="4" max="4" width="13" customWidth="1"/>
    <col min="5" max="5" width="13.140625" bestFit="1" customWidth="1"/>
    <col min="6" max="7" width="13.140625" customWidth="1"/>
    <col min="8" max="8" width="17.85546875" bestFit="1" customWidth="1"/>
    <col min="9" max="9" width="27.28515625" bestFit="1" customWidth="1"/>
    <col min="10" max="10" width="14" bestFit="1" customWidth="1"/>
  </cols>
  <sheetData>
    <row r="2" spans="2:11" x14ac:dyDescent="0.25">
      <c r="C2">
        <v>100</v>
      </c>
    </row>
    <row r="5" spans="2:11" x14ac:dyDescent="0.25">
      <c r="C5" s="24">
        <v>0.1</v>
      </c>
      <c r="D5" s="24">
        <v>0.9</v>
      </c>
      <c r="E5" t="s">
        <v>440</v>
      </c>
      <c r="F5" t="s">
        <v>442</v>
      </c>
      <c r="G5" t="s">
        <v>443</v>
      </c>
      <c r="H5" t="s">
        <v>441</v>
      </c>
      <c r="I5" t="s">
        <v>444</v>
      </c>
    </row>
    <row r="6" spans="2:11" x14ac:dyDescent="0.25">
      <c r="B6" s="3">
        <v>2000000</v>
      </c>
      <c r="C6" s="3">
        <f>+B6*$C$5</f>
        <v>200000</v>
      </c>
      <c r="D6" s="3">
        <f>+B6*$D$5</f>
        <v>1800000</v>
      </c>
      <c r="E6" s="86">
        <v>10</v>
      </c>
      <c r="F6" s="86">
        <f>3+1+1+1+1</f>
        <v>7</v>
      </c>
      <c r="G6" s="86">
        <f>+E6*F6</f>
        <v>70</v>
      </c>
      <c r="H6" s="3">
        <f>+E6*C6</f>
        <v>2000000</v>
      </c>
      <c r="I6" s="3">
        <f>+D6*E6</f>
        <v>18000000</v>
      </c>
      <c r="J6" s="3">
        <f>+G6*D6</f>
        <v>126000000</v>
      </c>
      <c r="K6" s="3"/>
    </row>
    <row r="7" spans="2:11" x14ac:dyDescent="0.25">
      <c r="B7" s="3">
        <v>250000</v>
      </c>
      <c r="C7" s="3"/>
      <c r="D7" s="3"/>
      <c r="E7" s="3"/>
      <c r="F7" s="3"/>
      <c r="G7" s="3"/>
      <c r="H7" s="3"/>
      <c r="I7" s="3"/>
      <c r="J7" s="3">
        <f>+J6*35%</f>
        <v>44100000</v>
      </c>
      <c r="K7" s="3" t="s">
        <v>445</v>
      </c>
    </row>
    <row r="8" spans="2:11" x14ac:dyDescent="0.25">
      <c r="B8" s="3"/>
      <c r="C8" s="3"/>
      <c r="D8" s="3"/>
      <c r="E8" s="3"/>
      <c r="F8" s="3"/>
      <c r="G8" s="3"/>
      <c r="H8" s="3"/>
      <c r="I8" s="3"/>
      <c r="J8" s="3"/>
      <c r="K8" s="3"/>
    </row>
    <row r="9" spans="2:11" x14ac:dyDescent="0.25">
      <c r="B9" s="3"/>
      <c r="C9" s="3"/>
      <c r="D9" s="3"/>
      <c r="E9" s="3"/>
      <c r="F9" s="3"/>
      <c r="G9" s="3"/>
      <c r="H9" s="3"/>
      <c r="I9" s="3"/>
      <c r="J9" s="3">
        <f>+J6-J7</f>
        <v>81900000</v>
      </c>
      <c r="K9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328</v>
      </c>
      <c r="B1" t="s">
        <v>329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18"/>
  <sheetViews>
    <sheetView zoomScale="85" zoomScaleNormal="85" workbookViewId="0">
      <selection activeCell="F13" sqref="F13"/>
    </sheetView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26" t="s">
        <v>312</v>
      </c>
    </row>
    <row r="2" spans="1:5" x14ac:dyDescent="0.25">
      <c r="A2" t="s">
        <v>308</v>
      </c>
      <c r="B2">
        <v>10000</v>
      </c>
      <c r="C2">
        <f>+B2*4</f>
        <v>40000</v>
      </c>
    </row>
    <row r="3" spans="1:5" x14ac:dyDescent="0.25">
      <c r="A3" t="s">
        <v>309</v>
      </c>
    </row>
    <row r="4" spans="1:5" x14ac:dyDescent="0.25">
      <c r="A4" t="s">
        <v>310</v>
      </c>
    </row>
    <row r="5" spans="1:5" x14ac:dyDescent="0.25">
      <c r="A5" s="83" t="s">
        <v>311</v>
      </c>
      <c r="B5" s="83"/>
      <c r="C5" s="83"/>
    </row>
    <row r="6" spans="1:5" x14ac:dyDescent="0.25">
      <c r="E6">
        <f>100000-16000</f>
        <v>84000</v>
      </c>
    </row>
    <row r="9" spans="1:5" x14ac:dyDescent="0.25">
      <c r="A9" t="s">
        <v>231</v>
      </c>
      <c r="B9" t="s">
        <v>234</v>
      </c>
    </row>
    <row r="10" spans="1:5" x14ac:dyDescent="0.25">
      <c r="A10" t="s">
        <v>232</v>
      </c>
      <c r="B10" t="s">
        <v>233</v>
      </c>
    </row>
    <row r="13" spans="1:5" x14ac:dyDescent="0.25">
      <c r="A13" t="s">
        <v>312</v>
      </c>
    </row>
    <row r="16" spans="1:5" x14ac:dyDescent="0.25">
      <c r="C16" t="s">
        <v>275</v>
      </c>
      <c r="D16" t="s">
        <v>275</v>
      </c>
    </row>
    <row r="17" spans="1:5" x14ac:dyDescent="0.25">
      <c r="A17" t="s">
        <v>406</v>
      </c>
      <c r="B17">
        <v>9000</v>
      </c>
      <c r="C17">
        <v>20</v>
      </c>
      <c r="D17">
        <f>+B17/C17</f>
        <v>450</v>
      </c>
      <c r="E17" t="s">
        <v>407</v>
      </c>
    </row>
    <row r="18" spans="1:5" x14ac:dyDescent="0.25">
      <c r="A18" t="s">
        <v>406</v>
      </c>
      <c r="B18">
        <v>8400</v>
      </c>
      <c r="C18">
        <v>20</v>
      </c>
      <c r="D18">
        <f>+B18/C18</f>
        <v>420</v>
      </c>
      <c r="E18" t="s">
        <v>407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</sheetPr>
  <dimension ref="A1:D13"/>
  <sheetViews>
    <sheetView workbookViewId="0">
      <selection activeCell="B20" sqref="B20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251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249</v>
      </c>
      <c r="C10" s="71" t="s">
        <v>250</v>
      </c>
      <c r="D10" t="s">
        <v>252</v>
      </c>
    </row>
    <row r="11" spans="1:4" x14ac:dyDescent="0.25">
      <c r="A11" t="s">
        <v>256</v>
      </c>
      <c r="C11" t="s">
        <v>255</v>
      </c>
    </row>
    <row r="12" spans="1:4" x14ac:dyDescent="0.25">
      <c r="A12" s="1" t="s">
        <v>325</v>
      </c>
      <c r="B12" s="1"/>
      <c r="C12" s="1" t="s">
        <v>313</v>
      </c>
    </row>
    <row r="13" spans="1:4" x14ac:dyDescent="0.25">
      <c r="A13" t="s">
        <v>243</v>
      </c>
      <c r="B13">
        <v>6016050600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168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201</v>
      </c>
      <c r="E3" s="22" t="s">
        <v>163</v>
      </c>
    </row>
    <row r="4" spans="1:7" x14ac:dyDescent="0.25">
      <c r="A4" s="38">
        <v>46076</v>
      </c>
      <c r="B4" s="13">
        <v>30500</v>
      </c>
      <c r="C4" s="13"/>
      <c r="D4" s="62">
        <v>32000</v>
      </c>
      <c r="E4" s="39">
        <f>+B4-D4</f>
        <v>-1500</v>
      </c>
      <c r="F4" s="22" t="s">
        <v>162</v>
      </c>
      <c r="G4" t="s">
        <v>161</v>
      </c>
    </row>
    <row r="5" spans="1:7" x14ac:dyDescent="0.25">
      <c r="A5" s="38">
        <v>46077</v>
      </c>
      <c r="B5" s="13">
        <v>11000</v>
      </c>
      <c r="C5" s="13"/>
      <c r="D5" s="62">
        <v>8000</v>
      </c>
      <c r="E5" s="39">
        <f>+B5-D5</f>
        <v>3000</v>
      </c>
      <c r="F5" s="22" t="s">
        <v>160</v>
      </c>
      <c r="G5" t="s">
        <v>159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158</v>
      </c>
    </row>
    <row r="7" spans="1:7" x14ac:dyDescent="0.25">
      <c r="A7" s="38">
        <v>46079</v>
      </c>
      <c r="B7" s="13">
        <v>125000</v>
      </c>
      <c r="C7" s="13"/>
      <c r="D7" s="62">
        <v>125000</v>
      </c>
      <c r="E7" s="39">
        <f t="shared" si="0"/>
        <v>0</v>
      </c>
      <c r="F7" t="s">
        <v>158</v>
      </c>
    </row>
    <row r="8" spans="1:7" x14ac:dyDescent="0.25">
      <c r="A8" s="38">
        <v>46080</v>
      </c>
      <c r="B8" s="13">
        <v>56000</v>
      </c>
      <c r="C8" s="13"/>
      <c r="D8" s="62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3">
        <f>47000+280000</f>
        <v>327000</v>
      </c>
      <c r="E9" s="39">
        <f t="shared" si="0"/>
        <v>0</v>
      </c>
      <c r="F9" t="s">
        <v>158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170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316</v>
      </c>
      <c r="E2" t="s">
        <v>323</v>
      </c>
    </row>
    <row r="3" spans="2:7" x14ac:dyDescent="0.25">
      <c r="B3" t="s">
        <v>317</v>
      </c>
    </row>
    <row r="4" spans="2:7" x14ac:dyDescent="0.25">
      <c r="B4" t="s">
        <v>318</v>
      </c>
    </row>
    <row r="5" spans="2:7" x14ac:dyDescent="0.25">
      <c r="B5" t="s">
        <v>319</v>
      </c>
      <c r="D5">
        <v>7</v>
      </c>
      <c r="E5" t="s">
        <v>322</v>
      </c>
    </row>
    <row r="6" spans="2:7" x14ac:dyDescent="0.25">
      <c r="B6" s="24">
        <v>0</v>
      </c>
      <c r="C6" t="s">
        <v>321</v>
      </c>
      <c r="G6" t="s">
        <v>324</v>
      </c>
    </row>
    <row r="7" spans="2:7" x14ac:dyDescent="0.25">
      <c r="G7">
        <v>26</v>
      </c>
    </row>
    <row r="8" spans="2:7" x14ac:dyDescent="0.25">
      <c r="B8" t="s">
        <v>320</v>
      </c>
      <c r="D8" s="3">
        <v>10000</v>
      </c>
    </row>
    <row r="9" spans="2:7" x14ac:dyDescent="0.25">
      <c r="D9" s="3">
        <f>+E9*D8</f>
        <v>2300</v>
      </c>
      <c r="E9" s="24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8" bestFit="1" customWidth="1"/>
    <col min="8" max="8" width="12" bestFit="1" customWidth="1"/>
  </cols>
  <sheetData>
    <row r="1" spans="1:10" x14ac:dyDescent="0.25">
      <c r="F1" s="69">
        <f>+SUM(F3:F1048576)</f>
        <v>89700</v>
      </c>
      <c r="H1" s="3">
        <f>'Arqueo de Caja'!$Y$14</f>
        <v>86000</v>
      </c>
      <c r="I1" s="39">
        <f>+F1-H1</f>
        <v>3700</v>
      </c>
      <c r="J1" s="79">
        <v>93000</v>
      </c>
    </row>
    <row r="2" spans="1:10" x14ac:dyDescent="0.25">
      <c r="A2" s="72" t="s">
        <v>281</v>
      </c>
      <c r="B2" s="72" t="s">
        <v>275</v>
      </c>
      <c r="C2" s="72" t="s">
        <v>276</v>
      </c>
      <c r="D2" s="72" t="s">
        <v>3</v>
      </c>
      <c r="E2" s="72"/>
      <c r="F2" s="73" t="s">
        <v>279</v>
      </c>
      <c r="G2" s="73" t="s">
        <v>280</v>
      </c>
      <c r="I2" s="39"/>
    </row>
    <row r="3" spans="1:10" x14ac:dyDescent="0.25">
      <c r="A3" s="74" t="s">
        <v>139</v>
      </c>
      <c r="B3" s="74"/>
      <c r="C3" s="74"/>
      <c r="D3" s="74" t="s">
        <v>139</v>
      </c>
      <c r="E3" s="74"/>
      <c r="F3" s="77">
        <v>93000</v>
      </c>
      <c r="G3" s="74"/>
    </row>
    <row r="4" spans="1:10" x14ac:dyDescent="0.25">
      <c r="A4" s="74" t="s">
        <v>269</v>
      </c>
      <c r="B4" s="74"/>
      <c r="C4" s="74"/>
      <c r="D4" s="74" t="s">
        <v>269</v>
      </c>
      <c r="E4" s="74"/>
      <c r="F4" s="77">
        <v>-70000</v>
      </c>
      <c r="G4" s="74"/>
    </row>
    <row r="5" spans="1:10" x14ac:dyDescent="0.25">
      <c r="A5" s="74" t="s">
        <v>140</v>
      </c>
      <c r="B5" s="74"/>
      <c r="C5" s="74"/>
      <c r="D5" s="74" t="s">
        <v>270</v>
      </c>
      <c r="E5" s="74" t="s">
        <v>271</v>
      </c>
      <c r="F5" s="77">
        <f>-3800*10</f>
        <v>-38000</v>
      </c>
      <c r="G5" s="74"/>
    </row>
    <row r="6" spans="1:10" x14ac:dyDescent="0.25">
      <c r="A6" s="74" t="s">
        <v>140</v>
      </c>
      <c r="B6" s="74"/>
      <c r="C6" s="74"/>
      <c r="D6" s="74" t="s">
        <v>270</v>
      </c>
      <c r="E6" s="74" t="s">
        <v>272</v>
      </c>
      <c r="F6" s="77">
        <v>-28500</v>
      </c>
      <c r="G6" s="74"/>
    </row>
    <row r="7" spans="1:10" x14ac:dyDescent="0.25">
      <c r="A7" s="74" t="s">
        <v>140</v>
      </c>
      <c r="B7" s="74"/>
      <c r="C7" s="74"/>
      <c r="D7" s="74" t="s">
        <v>273</v>
      </c>
      <c r="E7" s="74"/>
      <c r="F7" s="77">
        <v>-27800</v>
      </c>
      <c r="G7" s="74"/>
    </row>
    <row r="8" spans="1:10" x14ac:dyDescent="0.25">
      <c r="A8" s="74" t="s">
        <v>140</v>
      </c>
      <c r="B8" s="74"/>
      <c r="C8" s="74"/>
      <c r="D8" s="74" t="s">
        <v>274</v>
      </c>
      <c r="E8" s="74"/>
      <c r="F8" s="77">
        <v>-27000</v>
      </c>
      <c r="G8" s="74"/>
    </row>
    <row r="9" spans="1:10" x14ac:dyDescent="0.25">
      <c r="A9" s="74"/>
      <c r="B9" s="74"/>
      <c r="C9" s="74"/>
      <c r="D9" s="74" t="s">
        <v>288</v>
      </c>
      <c r="E9" s="74"/>
      <c r="F9" s="77">
        <v>-22000</v>
      </c>
      <c r="G9" s="74"/>
    </row>
    <row r="10" spans="1:10" x14ac:dyDescent="0.25">
      <c r="A10" s="74" t="s">
        <v>277</v>
      </c>
      <c r="B10" s="74">
        <v>2</v>
      </c>
      <c r="C10" s="74">
        <v>8000</v>
      </c>
      <c r="D10" s="74" t="s">
        <v>191</v>
      </c>
      <c r="E10" s="74"/>
      <c r="F10" s="77">
        <f t="shared" ref="F10:F15" si="0">+B10*C10</f>
        <v>16000</v>
      </c>
      <c r="G10" s="74"/>
    </row>
    <row r="11" spans="1:10" x14ac:dyDescent="0.25">
      <c r="A11" s="74" t="s">
        <v>277</v>
      </c>
      <c r="B11" s="74">
        <v>2</v>
      </c>
      <c r="C11" s="74">
        <v>8000</v>
      </c>
      <c r="D11" s="74" t="s">
        <v>191</v>
      </c>
      <c r="E11" s="74"/>
      <c r="F11" s="77">
        <f t="shared" si="0"/>
        <v>16000</v>
      </c>
      <c r="G11" s="74"/>
    </row>
    <row r="12" spans="1:10" x14ac:dyDescent="0.25">
      <c r="A12" s="74" t="s">
        <v>277</v>
      </c>
      <c r="B12" s="74">
        <v>4</v>
      </c>
      <c r="C12" s="74">
        <v>8000</v>
      </c>
      <c r="D12" s="74" t="s">
        <v>191</v>
      </c>
      <c r="E12" s="74"/>
      <c r="F12" s="77">
        <f t="shared" si="0"/>
        <v>32000</v>
      </c>
      <c r="G12" s="74"/>
    </row>
    <row r="13" spans="1:10" x14ac:dyDescent="0.25">
      <c r="A13" s="74" t="s">
        <v>277</v>
      </c>
      <c r="B13" s="74">
        <v>1</v>
      </c>
      <c r="C13" s="74">
        <v>8000</v>
      </c>
      <c r="D13" s="74" t="s">
        <v>191</v>
      </c>
      <c r="E13" s="74"/>
      <c r="F13" s="77">
        <f t="shared" si="0"/>
        <v>8000</v>
      </c>
      <c r="G13" s="74"/>
    </row>
    <row r="14" spans="1:10" x14ac:dyDescent="0.25">
      <c r="A14" s="74" t="s">
        <v>277</v>
      </c>
      <c r="B14" s="74">
        <v>2</v>
      </c>
      <c r="C14" s="74">
        <v>8000</v>
      </c>
      <c r="D14" s="74" t="s">
        <v>191</v>
      </c>
      <c r="E14" s="74"/>
      <c r="F14" s="77">
        <f t="shared" si="0"/>
        <v>16000</v>
      </c>
      <c r="G14" s="74"/>
    </row>
    <row r="15" spans="1:10" x14ac:dyDescent="0.25">
      <c r="A15" s="74" t="s">
        <v>277</v>
      </c>
      <c r="B15" s="74">
        <v>5</v>
      </c>
      <c r="C15" s="74">
        <v>3000</v>
      </c>
      <c r="D15" s="74" t="s">
        <v>121</v>
      </c>
      <c r="E15" s="74"/>
      <c r="F15" s="77">
        <f t="shared" si="0"/>
        <v>15000</v>
      </c>
      <c r="G15" s="74"/>
    </row>
    <row r="16" spans="1:10" x14ac:dyDescent="0.25">
      <c r="A16" s="74" t="s">
        <v>278</v>
      </c>
      <c r="B16" s="74">
        <v>2</v>
      </c>
      <c r="C16" s="74">
        <v>8000</v>
      </c>
      <c r="D16" s="74" t="s">
        <v>191</v>
      </c>
      <c r="E16" s="74"/>
      <c r="F16" s="75"/>
      <c r="G16" s="77">
        <f>+B16*C16</f>
        <v>16000</v>
      </c>
    </row>
    <row r="17" spans="1:7" x14ac:dyDescent="0.25">
      <c r="A17" s="74" t="s">
        <v>278</v>
      </c>
      <c r="B17" s="74"/>
      <c r="C17" s="74"/>
      <c r="D17" s="74" t="s">
        <v>283</v>
      </c>
      <c r="E17" s="74"/>
      <c r="F17" s="75"/>
      <c r="G17" s="78">
        <v>28000</v>
      </c>
    </row>
    <row r="18" spans="1:7" x14ac:dyDescent="0.25">
      <c r="A18" s="74" t="s">
        <v>277</v>
      </c>
      <c r="B18" s="74"/>
      <c r="C18" s="74"/>
      <c r="D18" s="74" t="s">
        <v>286</v>
      </c>
      <c r="E18" s="74"/>
      <c r="F18" s="77">
        <v>15000</v>
      </c>
      <c r="G18" s="76"/>
    </row>
    <row r="19" spans="1:7" x14ac:dyDescent="0.25">
      <c r="A19" s="74" t="s">
        <v>277</v>
      </c>
      <c r="B19" s="74"/>
      <c r="C19" s="74"/>
      <c r="D19" s="74" t="s">
        <v>284</v>
      </c>
      <c r="E19" s="74"/>
      <c r="F19" s="77">
        <v>60000</v>
      </c>
      <c r="G19" s="76"/>
    </row>
    <row r="20" spans="1:7" x14ac:dyDescent="0.25">
      <c r="A20" s="74" t="s">
        <v>277</v>
      </c>
      <c r="B20" s="74"/>
      <c r="C20" s="74"/>
      <c r="D20" s="74" t="s">
        <v>285</v>
      </c>
      <c r="E20" s="74"/>
      <c r="F20" s="77">
        <v>12000</v>
      </c>
      <c r="G20" s="76"/>
    </row>
    <row r="21" spans="1:7" x14ac:dyDescent="0.25">
      <c r="A21" s="74" t="s">
        <v>278</v>
      </c>
      <c r="B21" s="74"/>
      <c r="C21" s="74"/>
      <c r="D21" s="74" t="s">
        <v>282</v>
      </c>
      <c r="E21" s="74"/>
      <c r="F21" s="75"/>
      <c r="G21" s="78">
        <v>43000</v>
      </c>
    </row>
    <row r="22" spans="1:7" x14ac:dyDescent="0.25">
      <c r="A22" s="74" t="s">
        <v>277</v>
      </c>
      <c r="D22" s="74" t="s">
        <v>287</v>
      </c>
      <c r="F22" s="77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D28"/>
  <sheetViews>
    <sheetView zoomScale="145" zoomScaleNormal="145" workbookViewId="0">
      <pane ySplit="2" topLeftCell="A3" activePane="bottomLeft" state="frozen"/>
      <selection pane="bottomLeft" activeCell="B20" sqref="B20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1" t="s">
        <v>207</v>
      </c>
      <c r="C1" s="60">
        <f>+SUM(C3:C1048576)</f>
        <v>-10960</v>
      </c>
    </row>
    <row r="2" spans="1:3" x14ac:dyDescent="0.25">
      <c r="A2" s="36" t="s">
        <v>5</v>
      </c>
      <c r="B2" s="36" t="s">
        <v>3</v>
      </c>
      <c r="C2" s="59" t="s">
        <v>218</v>
      </c>
    </row>
    <row r="3" spans="1:3" x14ac:dyDescent="0.25">
      <c r="A3" s="56">
        <v>46076</v>
      </c>
      <c r="B3" t="s">
        <v>202</v>
      </c>
      <c r="C3" s="58">
        <v>73700</v>
      </c>
    </row>
    <row r="4" spans="1:3" x14ac:dyDescent="0.25">
      <c r="A4" s="56">
        <v>46080</v>
      </c>
      <c r="B4" t="s">
        <v>196</v>
      </c>
      <c r="C4" s="58">
        <v>-300000</v>
      </c>
    </row>
    <row r="5" spans="1:3" x14ac:dyDescent="0.25">
      <c r="A5" s="56">
        <v>46081</v>
      </c>
      <c r="B5" t="s">
        <v>205</v>
      </c>
      <c r="C5" s="58">
        <v>280000</v>
      </c>
    </row>
    <row r="6" spans="1:3" x14ac:dyDescent="0.25">
      <c r="A6" s="56">
        <v>46080</v>
      </c>
      <c r="B6" s="70" t="s">
        <v>206</v>
      </c>
      <c r="C6" s="58">
        <v>-16000</v>
      </c>
    </row>
    <row r="7" spans="1:3" x14ac:dyDescent="0.25">
      <c r="A7" s="56">
        <v>46081</v>
      </c>
      <c r="B7" s="70" t="s">
        <v>211</v>
      </c>
      <c r="C7" s="58">
        <v>-350000</v>
      </c>
    </row>
    <row r="8" spans="1:3" x14ac:dyDescent="0.25">
      <c r="A8" s="56">
        <v>46081</v>
      </c>
      <c r="B8" t="s">
        <v>217</v>
      </c>
      <c r="C8" s="58">
        <v>30000</v>
      </c>
    </row>
    <row r="9" spans="1:3" x14ac:dyDescent="0.25">
      <c r="A9" s="65">
        <v>46076</v>
      </c>
      <c r="B9" t="s">
        <v>219</v>
      </c>
      <c r="C9" s="58">
        <f>195000+140000+20000</f>
        <v>355000</v>
      </c>
    </row>
    <row r="10" spans="1:3" x14ac:dyDescent="0.25">
      <c r="A10" s="2">
        <v>46084</v>
      </c>
      <c r="B10" t="s">
        <v>241</v>
      </c>
      <c r="C10" s="58">
        <v>619850</v>
      </c>
    </row>
    <row r="11" spans="1:3" x14ac:dyDescent="0.25">
      <c r="A11" s="2">
        <v>46084</v>
      </c>
      <c r="B11" t="s">
        <v>227</v>
      </c>
      <c r="C11" s="58">
        <v>-619850</v>
      </c>
    </row>
    <row r="12" spans="1:3" x14ac:dyDescent="0.25">
      <c r="A12" s="2">
        <v>46083</v>
      </c>
      <c r="B12" t="s">
        <v>230</v>
      </c>
      <c r="C12" s="58">
        <v>50000</v>
      </c>
    </row>
    <row r="13" spans="1:3" x14ac:dyDescent="0.25">
      <c r="A13" s="2">
        <v>46085</v>
      </c>
      <c r="B13" t="s">
        <v>237</v>
      </c>
      <c r="C13" s="69">
        <v>46350</v>
      </c>
    </row>
    <row r="14" spans="1:3" x14ac:dyDescent="0.25">
      <c r="A14" s="2">
        <v>46085</v>
      </c>
      <c r="B14" t="s">
        <v>235</v>
      </c>
      <c r="C14" s="69">
        <v>16500</v>
      </c>
    </row>
    <row r="15" spans="1:3" x14ac:dyDescent="0.25">
      <c r="A15" s="2">
        <v>46085</v>
      </c>
      <c r="B15" t="s">
        <v>236</v>
      </c>
      <c r="C15" s="69">
        <v>11000</v>
      </c>
    </row>
    <row r="16" spans="1:3" x14ac:dyDescent="0.25">
      <c r="A16" s="2">
        <v>46085</v>
      </c>
      <c r="B16" t="s">
        <v>240</v>
      </c>
      <c r="C16" s="69">
        <v>3500</v>
      </c>
    </row>
    <row r="17" spans="1:4" x14ac:dyDescent="0.25">
      <c r="A17" s="2">
        <v>46085</v>
      </c>
      <c r="B17" t="s">
        <v>238</v>
      </c>
      <c r="C17" s="69">
        <v>124400</v>
      </c>
    </row>
    <row r="18" spans="1:4" x14ac:dyDescent="0.25">
      <c r="A18" s="2">
        <v>46085</v>
      </c>
      <c r="B18" s="70" t="s">
        <v>239</v>
      </c>
      <c r="C18" s="58">
        <v>-201750</v>
      </c>
    </row>
    <row r="19" spans="1:4" x14ac:dyDescent="0.25">
      <c r="A19" s="2">
        <v>46085</v>
      </c>
      <c r="B19" s="70" t="s">
        <v>239</v>
      </c>
      <c r="C19" s="58">
        <v>-122700</v>
      </c>
    </row>
    <row r="20" spans="1:4" x14ac:dyDescent="0.25">
      <c r="A20" s="2">
        <v>46086</v>
      </c>
      <c r="B20" t="s">
        <v>242</v>
      </c>
      <c r="C20" s="58">
        <v>5000</v>
      </c>
    </row>
    <row r="21" spans="1:4" x14ac:dyDescent="0.25">
      <c r="A21" s="2">
        <v>46120</v>
      </c>
      <c r="B21" t="s">
        <v>290</v>
      </c>
      <c r="C21" s="58">
        <v>129000</v>
      </c>
    </row>
    <row r="22" spans="1:4" x14ac:dyDescent="0.25">
      <c r="A22" s="2">
        <v>46120</v>
      </c>
      <c r="B22" t="s">
        <v>289</v>
      </c>
      <c r="C22" s="58">
        <f>6*8000</f>
        <v>48000</v>
      </c>
    </row>
    <row r="23" spans="1:4" x14ac:dyDescent="0.25">
      <c r="A23" s="2">
        <v>46120</v>
      </c>
      <c r="B23" s="70" t="s">
        <v>239</v>
      </c>
      <c r="C23" s="58">
        <v>-100000</v>
      </c>
    </row>
    <row r="24" spans="1:4" x14ac:dyDescent="0.25">
      <c r="A24" s="2">
        <v>46123</v>
      </c>
      <c r="B24" s="70" t="s">
        <v>368</v>
      </c>
      <c r="C24" s="58">
        <v>-100000</v>
      </c>
    </row>
    <row r="25" spans="1:4" x14ac:dyDescent="0.25">
      <c r="A25" s="2">
        <v>46124</v>
      </c>
      <c r="B25" t="s">
        <v>367</v>
      </c>
      <c r="C25" s="58">
        <v>23990</v>
      </c>
      <c r="D25" t="s">
        <v>366</v>
      </c>
    </row>
    <row r="26" spans="1:4" x14ac:dyDescent="0.25">
      <c r="A26" s="2">
        <v>46124</v>
      </c>
      <c r="B26" t="s">
        <v>369</v>
      </c>
      <c r="C26" s="58">
        <v>45400</v>
      </c>
    </row>
    <row r="27" spans="1:4" x14ac:dyDescent="0.25">
      <c r="A27" s="2">
        <v>46124</v>
      </c>
      <c r="B27" s="70" t="s">
        <v>239</v>
      </c>
      <c r="C27" s="58">
        <v>-51350</v>
      </c>
    </row>
    <row r="28" spans="1:4" x14ac:dyDescent="0.25">
      <c r="A28" s="2">
        <v>46136</v>
      </c>
      <c r="B28" s="70" t="s">
        <v>635</v>
      </c>
      <c r="C28" s="58">
        <v>-11000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</sheetPr>
  <dimension ref="A1:G16"/>
  <sheetViews>
    <sheetView workbookViewId="0">
      <selection activeCell="C17" sqref="C17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  <col min="6" max="6" width="15.5703125" bestFit="1" customWidth="1"/>
  </cols>
  <sheetData>
    <row r="1" spans="1:7" x14ac:dyDescent="0.25">
      <c r="B1" s="69">
        <f>+SUM(B2:B1048576)</f>
        <v>-581250</v>
      </c>
      <c r="C1" t="str">
        <f>+IF(B1&gt;0,"Saldo a favor de papá","Saldo a favor a Edwin")</f>
        <v>Saldo a favor a Edwin</v>
      </c>
    </row>
    <row r="2" spans="1:7" x14ac:dyDescent="0.25">
      <c r="A2" t="s">
        <v>109</v>
      </c>
      <c r="B2" s="58">
        <v>1300000</v>
      </c>
      <c r="C2" t="s">
        <v>298</v>
      </c>
      <c r="F2" s="126">
        <v>1600</v>
      </c>
      <c r="G2" t="s">
        <v>585</v>
      </c>
    </row>
    <row r="3" spans="1:7" x14ac:dyDescent="0.25">
      <c r="A3" t="s">
        <v>291</v>
      </c>
      <c r="B3" s="58">
        <v>-1350000</v>
      </c>
      <c r="C3" t="s">
        <v>297</v>
      </c>
      <c r="F3" s="3">
        <v>3700000</v>
      </c>
      <c r="G3" t="s">
        <v>587</v>
      </c>
    </row>
    <row r="4" spans="1:7" x14ac:dyDescent="0.25">
      <c r="A4" s="1" t="s">
        <v>292</v>
      </c>
      <c r="B4" s="58">
        <v>-400000</v>
      </c>
      <c r="C4" t="s">
        <v>297</v>
      </c>
      <c r="F4" s="80">
        <f>+F3/F2</f>
        <v>2312.5</v>
      </c>
      <c r="G4" t="s">
        <v>588</v>
      </c>
    </row>
    <row r="5" spans="1:7" x14ac:dyDescent="0.25">
      <c r="A5" t="s">
        <v>293</v>
      </c>
      <c r="B5" s="58">
        <f>-500000/2</f>
        <v>-250000</v>
      </c>
      <c r="C5" t="s">
        <v>297</v>
      </c>
    </row>
    <row r="6" spans="1:7" x14ac:dyDescent="0.25">
      <c r="A6" t="s">
        <v>294</v>
      </c>
      <c r="B6" s="58">
        <f>-180000/2</f>
        <v>-90000</v>
      </c>
      <c r="C6" t="s">
        <v>297</v>
      </c>
      <c r="F6" s="3">
        <v>3500</v>
      </c>
      <c r="G6" t="s">
        <v>586</v>
      </c>
    </row>
    <row r="7" spans="1:7" x14ac:dyDescent="0.25">
      <c r="A7" t="s">
        <v>295</v>
      </c>
      <c r="B7" s="58">
        <v>-30000</v>
      </c>
      <c r="C7" t="s">
        <v>297</v>
      </c>
      <c r="F7" s="3">
        <f>+F6*F2</f>
        <v>5600000</v>
      </c>
      <c r="G7" t="s">
        <v>589</v>
      </c>
    </row>
    <row r="8" spans="1:7" x14ac:dyDescent="0.25">
      <c r="A8" t="s">
        <v>296</v>
      </c>
      <c r="B8" s="69">
        <f>((550-185)*3500)/2</f>
        <v>638750</v>
      </c>
      <c r="C8" t="s">
        <v>297</v>
      </c>
      <c r="D8">
        <f>((550-185))</f>
        <v>365</v>
      </c>
      <c r="F8" s="29">
        <f>+F7-F3</f>
        <v>1900000</v>
      </c>
      <c r="G8" t="s">
        <v>590</v>
      </c>
    </row>
    <row r="9" spans="1:7" x14ac:dyDescent="0.25">
      <c r="A9" t="s">
        <v>112</v>
      </c>
      <c r="B9" s="58">
        <f>-800000/2</f>
        <v>-400000</v>
      </c>
      <c r="C9" t="s">
        <v>297</v>
      </c>
    </row>
    <row r="10" spans="1:7" x14ac:dyDescent="0.25">
      <c r="A10" t="s">
        <v>296</v>
      </c>
      <c r="B10" s="69"/>
      <c r="D10" t="s">
        <v>299</v>
      </c>
      <c r="E10" t="s">
        <v>0</v>
      </c>
      <c r="F10" s="3">
        <f>7000*F2</f>
        <v>11200000</v>
      </c>
      <c r="G10" t="s">
        <v>591</v>
      </c>
    </row>
    <row r="11" spans="1:7" x14ac:dyDescent="0.25">
      <c r="F11" s="29">
        <f>+F10-F3</f>
        <v>7500000</v>
      </c>
    </row>
    <row r="16" spans="1:7" x14ac:dyDescent="0.25">
      <c r="C16" s="80">
        <f>715*3500</f>
        <v>2502500</v>
      </c>
    </row>
  </sheetData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169</v>
      </c>
      <c r="B3" s="11" t="s">
        <v>170</v>
      </c>
      <c r="F3" s="11" t="s">
        <v>171</v>
      </c>
      <c r="G3" s="11" t="s">
        <v>170</v>
      </c>
    </row>
    <row r="4" spans="1:14" x14ac:dyDescent="0.25">
      <c r="B4" t="s">
        <v>172</v>
      </c>
      <c r="D4" t="s">
        <v>35</v>
      </c>
      <c r="G4" t="s">
        <v>172</v>
      </c>
      <c r="K4" t="s">
        <v>173</v>
      </c>
      <c r="L4" t="s">
        <v>35</v>
      </c>
    </row>
    <row r="5" spans="1:14" x14ac:dyDescent="0.25">
      <c r="A5" s="11" t="s">
        <v>34</v>
      </c>
      <c r="B5" t="s">
        <v>174</v>
      </c>
      <c r="C5" t="s">
        <v>175</v>
      </c>
      <c r="F5" s="11" t="s">
        <v>34</v>
      </c>
      <c r="G5" t="s">
        <v>174</v>
      </c>
      <c r="H5" t="s">
        <v>176</v>
      </c>
      <c r="I5" t="s">
        <v>177</v>
      </c>
      <c r="J5" t="s">
        <v>175</v>
      </c>
      <c r="K5" t="s">
        <v>175</v>
      </c>
      <c r="N5" s="1" t="s">
        <v>172</v>
      </c>
    </row>
    <row r="6" spans="1:14" x14ac:dyDescent="0.25">
      <c r="A6" s="8" t="s">
        <v>178</v>
      </c>
      <c r="B6" s="13">
        <v>73700</v>
      </c>
      <c r="C6" s="13">
        <v>192000</v>
      </c>
      <c r="D6" s="13">
        <v>265700</v>
      </c>
      <c r="F6" s="8" t="s">
        <v>178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179</v>
      </c>
      <c r="B7" s="13">
        <v>205600</v>
      </c>
      <c r="C7" s="13">
        <v>213000</v>
      </c>
      <c r="D7" s="13">
        <v>418600</v>
      </c>
      <c r="F7" s="8" t="s">
        <v>179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180</v>
      </c>
      <c r="B8" s="13"/>
      <c r="C8" s="13">
        <v>344000</v>
      </c>
      <c r="D8" s="13">
        <v>344000</v>
      </c>
      <c r="F8" s="8" t="s">
        <v>180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181</v>
      </c>
      <c r="B9" s="13"/>
      <c r="C9" s="13">
        <v>84000</v>
      </c>
      <c r="D9" s="13">
        <v>84000</v>
      </c>
      <c r="F9" s="8" t="s">
        <v>181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182</v>
      </c>
      <c r="B14" t="s" vm="1">
        <v>175</v>
      </c>
    </row>
    <row r="16" spans="1:14" x14ac:dyDescent="0.25">
      <c r="A16" s="11" t="s">
        <v>169</v>
      </c>
      <c r="B16" s="11" t="s">
        <v>170</v>
      </c>
    </row>
    <row r="17" spans="1:4" x14ac:dyDescent="0.25">
      <c r="A17" s="11" t="s">
        <v>34</v>
      </c>
      <c r="B17" t="s">
        <v>172</v>
      </c>
      <c r="C17" t="s">
        <v>173</v>
      </c>
      <c r="D17" t="s">
        <v>35</v>
      </c>
    </row>
    <row r="18" spans="1:4" x14ac:dyDescent="0.25">
      <c r="A18" s="8" t="s">
        <v>178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179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180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181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182</v>
      </c>
      <c r="B1" t="s" vm="1">
        <v>175</v>
      </c>
    </row>
    <row r="2" spans="1:11" x14ac:dyDescent="0.25">
      <c r="A2" s="11" t="s">
        <v>183</v>
      </c>
      <c r="B2" t="s" vm="2">
        <v>172</v>
      </c>
      <c r="H2" s="13"/>
    </row>
    <row r="4" spans="1:11" x14ac:dyDescent="0.25">
      <c r="A4" s="11" t="s">
        <v>184</v>
      </c>
      <c r="B4" s="11" t="s">
        <v>5</v>
      </c>
      <c r="C4" s="11" t="s">
        <v>185</v>
      </c>
      <c r="D4" s="11" t="s">
        <v>186</v>
      </c>
      <c r="E4" s="11" t="s">
        <v>187</v>
      </c>
      <c r="F4" t="s">
        <v>188</v>
      </c>
      <c r="G4" s="23" t="s">
        <v>189</v>
      </c>
      <c r="J4" s="52" t="s">
        <v>184</v>
      </c>
      <c r="K4" s="52" t="s">
        <v>190</v>
      </c>
    </row>
    <row r="5" spans="1:11" x14ac:dyDescent="0.25">
      <c r="A5" t="s">
        <v>178</v>
      </c>
      <c r="B5" s="53">
        <v>46076.692083333335</v>
      </c>
      <c r="C5" t="s">
        <v>191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178</v>
      </c>
      <c r="B6" s="53">
        <v>46076.717372685183</v>
      </c>
      <c r="C6" t="s">
        <v>191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178</v>
      </c>
      <c r="C7" t="s">
        <v>192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178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178</v>
      </c>
      <c r="C9" t="s">
        <v>191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178</v>
      </c>
      <c r="B10" s="53">
        <v>46076.751967592594</v>
      </c>
      <c r="C10" t="s">
        <v>191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178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178</v>
      </c>
      <c r="B12" s="53">
        <v>46076.787222222221</v>
      </c>
      <c r="C12" t="s">
        <v>191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178</v>
      </c>
      <c r="B13" s="53">
        <v>46076.795474537037</v>
      </c>
      <c r="C13" t="s">
        <v>191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178</v>
      </c>
      <c r="C14" t="s">
        <v>192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178</v>
      </c>
      <c r="B15" s="53">
        <v>46076.818287037036</v>
      </c>
      <c r="C15" t="s">
        <v>191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178</v>
      </c>
      <c r="B16" s="53">
        <v>46076.841643518521</v>
      </c>
      <c r="C16" t="s">
        <v>191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178</v>
      </c>
      <c r="B17" s="53">
        <v>46076.843854166669</v>
      </c>
      <c r="C17" t="s">
        <v>191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178</v>
      </c>
      <c r="B18" s="53">
        <v>46076.845659722225</v>
      </c>
      <c r="C18" t="s">
        <v>191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178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178</v>
      </c>
      <c r="B20" s="53">
        <v>46076.850243055553</v>
      </c>
      <c r="C20" t="s">
        <v>191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178</v>
      </c>
      <c r="B21" s="53">
        <v>46076.852650462963</v>
      </c>
      <c r="C21" t="s">
        <v>191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179</v>
      </c>
      <c r="B22" s="53">
        <v>46077.648680555554</v>
      </c>
      <c r="C22" t="s">
        <v>191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179</v>
      </c>
      <c r="B23" s="53">
        <v>46077.649351851855</v>
      </c>
      <c r="C23" t="s">
        <v>191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179</v>
      </c>
      <c r="B24" s="53">
        <v>46077.740034722221</v>
      </c>
      <c r="C24" t="s">
        <v>191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179</v>
      </c>
      <c r="B25" s="53">
        <v>46077.759606481479</v>
      </c>
      <c r="C25" t="s">
        <v>191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179</v>
      </c>
      <c r="B26" s="53">
        <v>46077.774178240739</v>
      </c>
      <c r="C26" t="s">
        <v>191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179</v>
      </c>
      <c r="B27" s="53">
        <v>46077.775185185186</v>
      </c>
      <c r="C27" t="s">
        <v>191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179</v>
      </c>
      <c r="B28" s="53">
        <v>46077.77952546296</v>
      </c>
      <c r="C28" t="s">
        <v>193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179</v>
      </c>
      <c r="C29" t="s">
        <v>191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179</v>
      </c>
      <c r="B30" s="53">
        <v>46077.797152777777</v>
      </c>
      <c r="C30" t="s">
        <v>191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179</v>
      </c>
      <c r="B31" s="53">
        <v>46077.836875000001</v>
      </c>
      <c r="C31" t="s">
        <v>191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179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179</v>
      </c>
      <c r="C33" t="s">
        <v>191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179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179</v>
      </c>
      <c r="B35" s="53">
        <v>46077.849872685183</v>
      </c>
      <c r="C35" t="s">
        <v>191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179</v>
      </c>
      <c r="C36" t="s">
        <v>192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179</v>
      </c>
      <c r="B37" s="53">
        <v>46077.867604166669</v>
      </c>
      <c r="C37" t="s">
        <v>191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180</v>
      </c>
      <c r="B38" s="53">
        <v>46078.578043981484</v>
      </c>
      <c r="C38" t="s">
        <v>191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180</v>
      </c>
      <c r="B39" s="53">
        <v>46078.579907407409</v>
      </c>
      <c r="C39" t="s">
        <v>191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180</v>
      </c>
      <c r="B40" s="53">
        <v>46078.58693287037</v>
      </c>
      <c r="C40" t="s">
        <v>191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180</v>
      </c>
      <c r="B41" s="53">
        <v>46078.59138888889</v>
      </c>
      <c r="C41" t="s">
        <v>194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180</v>
      </c>
      <c r="B42" s="53">
        <v>46078.600636574076</v>
      </c>
      <c r="C42" t="s">
        <v>194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180</v>
      </c>
      <c r="B43" s="53">
        <v>46078.601261574076</v>
      </c>
      <c r="C43" t="s">
        <v>191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180</v>
      </c>
      <c r="B44" s="53">
        <v>46078.694513888891</v>
      </c>
      <c r="C44" t="s">
        <v>191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180</v>
      </c>
      <c r="B45" s="53">
        <v>46078.762141203704</v>
      </c>
      <c r="C45" t="s">
        <v>191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180</v>
      </c>
      <c r="B46" s="53">
        <v>46078.764027777775</v>
      </c>
      <c r="C46" t="s">
        <v>191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180</v>
      </c>
      <c r="B47" s="53">
        <v>46078.768379629626</v>
      </c>
      <c r="C47" t="s">
        <v>191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180</v>
      </c>
      <c r="B48" s="53">
        <v>46078.77375</v>
      </c>
      <c r="C48" t="s">
        <v>191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180</v>
      </c>
      <c r="B49" s="53">
        <v>46078.774247685185</v>
      </c>
      <c r="C49" t="s">
        <v>192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180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180</v>
      </c>
      <c r="B51" s="53">
        <v>46078.777766203704</v>
      </c>
      <c r="C51" t="s">
        <v>191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180</v>
      </c>
      <c r="B52" s="53">
        <v>46078.800497685188</v>
      </c>
      <c r="C52" t="s">
        <v>191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180</v>
      </c>
      <c r="C53" t="s">
        <v>192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180</v>
      </c>
      <c r="B54" s="53">
        <v>46078.81894675926</v>
      </c>
      <c r="C54" t="s">
        <v>194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180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180</v>
      </c>
      <c r="B56" s="53">
        <v>46078.819791666669</v>
      </c>
      <c r="C56" t="s">
        <v>191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180</v>
      </c>
      <c r="B57" s="53">
        <v>46078.83253472222</v>
      </c>
      <c r="C57" t="s">
        <v>191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180</v>
      </c>
      <c r="B58" s="53">
        <v>46078.838090277779</v>
      </c>
      <c r="C58" t="s">
        <v>191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180</v>
      </c>
      <c r="B59" s="53">
        <v>46078.848043981481</v>
      </c>
      <c r="C59" t="s">
        <v>191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181</v>
      </c>
      <c r="B60" s="53">
        <v>46079.557025462964</v>
      </c>
      <c r="C60" t="s">
        <v>193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181</v>
      </c>
      <c r="B61" s="53">
        <v>46079.560671296298</v>
      </c>
      <c r="C61" t="s">
        <v>191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181</v>
      </c>
      <c r="B62" s="53">
        <v>46079.752893518518</v>
      </c>
      <c r="C62" t="s">
        <v>191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181</v>
      </c>
      <c r="B63" s="53">
        <v>46079.764050925929</v>
      </c>
      <c r="C63" t="s">
        <v>191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181</v>
      </c>
      <c r="B64" s="53">
        <v>46079.794652777775</v>
      </c>
      <c r="C64" t="s">
        <v>191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181</v>
      </c>
      <c r="B65" s="53">
        <v>46079.81355324074</v>
      </c>
      <c r="C65" t="s">
        <v>191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181</v>
      </c>
      <c r="B66" s="53">
        <v>46079.814722222225</v>
      </c>
      <c r="C66" t="s">
        <v>191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181</v>
      </c>
      <c r="B67" s="53">
        <v>46079.84375</v>
      </c>
      <c r="C67" t="s">
        <v>191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181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26BBDD3B-5549-4B7F-A242-39E079346B51}">
  <ds:schemaRefs/>
</ds:datastoreItem>
</file>

<file path=customXml/itemProps2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651B3BFD-4BC7-48D9-94DF-A7E0AC3AE585}">
  <ds:schemaRefs/>
</ds:datastoreItem>
</file>

<file path=customXml/itemProps4.xml><?xml version="1.0" encoding="utf-8"?>
<ds:datastoreItem xmlns:ds="http://schemas.openxmlformats.org/officeDocument/2006/customXml" ds:itemID="{788789B1-0D01-44D2-92B3-AE3C27D29AF4}">
  <ds:schemaRefs/>
</ds:datastoreItem>
</file>

<file path=customXml/itemProps5.xml><?xml version="1.0" encoding="utf-8"?>
<ds:datastoreItem xmlns:ds="http://schemas.openxmlformats.org/officeDocument/2006/customXml" ds:itemID="{3BFDF280-F210-4B3E-AFDE-1E932821F2B6}">
  <ds:schemaRefs/>
</ds:datastoreItem>
</file>

<file path=customXml/itemProps6.xml><?xml version="1.0" encoding="utf-8"?>
<ds:datastoreItem xmlns:ds="http://schemas.openxmlformats.org/officeDocument/2006/customXml" ds:itemID="{C6966FDC-54C0-4686-84FA-DB32BA16106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25</vt:i4>
      </vt:variant>
    </vt:vector>
  </HeadingPairs>
  <TitlesOfParts>
    <vt:vector size="25" baseType="lpstr">
      <vt:lpstr>chorizo</vt:lpstr>
      <vt:lpstr>choriboni</vt:lpstr>
      <vt:lpstr>16mar</vt:lpstr>
      <vt:lpstr>Arqueo de Caja</vt:lpstr>
      <vt:lpstr>Extracto</vt:lpstr>
      <vt:lpstr>Gas</vt:lpstr>
      <vt:lpstr>Registros</vt:lpstr>
      <vt:lpstr>DevOps</vt:lpstr>
      <vt:lpstr>MP</vt:lpstr>
      <vt:lpstr>MP2</vt:lpstr>
      <vt:lpstr>sàbad</vt:lpstr>
      <vt:lpstr>Hoja2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Prestamos</vt:lpstr>
      <vt:lpstr>maquina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cp:lastPrinted>2026-03-18T14:33:01Z</cp:lastPrinted>
  <dcterms:created xsi:type="dcterms:W3CDTF">2015-06-05T18:19:34Z</dcterms:created>
  <dcterms:modified xsi:type="dcterms:W3CDTF">2026-03-24T23:56:18Z</dcterms:modified>
</cp:coreProperties>
</file>