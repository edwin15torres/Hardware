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7BE56551-5658-4CF4-8D4C-C79DD839D410}" xr6:coauthVersionLast="47" xr6:coauthVersionMax="47" xr10:uidLastSave="{00000000-0000-0000-0000-000000000000}"/>
  <bookViews>
    <workbookView xWindow="20370" yWindow="-2070" windowWidth="21840" windowHeight="13140" tabRatio="612" firstSheet="1" activeTab="2" xr2:uid="{00000000-000D-0000-FFFF-FFFF00000000}"/>
  </bookViews>
  <sheets>
    <sheet name="chorizo" sheetId="3" state="hidden" r:id="rId1"/>
    <sheet name="choriboni" sheetId="4" r:id="rId2"/>
    <sheet name="Arqueo de Caja" sheetId="9" r:id="rId3"/>
    <sheet name="Registros" sheetId="31" r:id="rId4"/>
    <sheet name="DevOps" sheetId="21" r:id="rId5"/>
    <sheet name="Extracto" sheetId="10" r:id="rId6"/>
    <sheet name="Clientes" sheetId="24" r:id="rId7"/>
    <sheet name="Empaques" sheetId="25" r:id="rId8"/>
    <sheet name="proveedores" sheetId="7" state="hidden" r:id="rId9"/>
    <sheet name="informe" sheetId="6" state="hidden" r:id="rId10"/>
    <sheet name="Costos" sheetId="8" state="hidden" r:id="rId11"/>
    <sheet name="Inventario" sheetId="27" r:id="rId12"/>
    <sheet name="Reporte" sheetId="11" r:id="rId13"/>
    <sheet name="Rappi" sheetId="26" r:id="rId14"/>
    <sheet name="7-MARZO" sheetId="22" state="hidden" r:id="rId15"/>
    <sheet name="Prestamos" sheetId="12" r:id="rId16"/>
    <sheet name="maquina" sheetId="23" r:id="rId17"/>
    <sheet name="Informe ventas" sheetId="13" state="hidden" r:id="rId18"/>
    <sheet name="historial de venta" sheetId="14" state="hidden" r:id="rId19"/>
  </sheets>
  <definedNames>
    <definedName name="_xlnm._FilterDatabase" localSheetId="1" hidden="1">choriboni!$B$17:$I$69</definedName>
    <definedName name="_xlnm._FilterDatabase" localSheetId="5" hidden="1">Extracto!$A$5:$M$71</definedName>
  </definedNames>
  <calcPr calcId="191029"/>
  <pivotCaches>
    <pivotCache cacheId="0" r:id="rId20"/>
    <pivotCache cacheId="1" r:id="rId21"/>
    <pivotCache cacheId="2" r:id="rId22"/>
    <pivotCache cacheId="3" r:id="rId23"/>
    <pivotCache cacheId="4" r:id="rId24"/>
    <pivotCache cacheId="5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" i="9" l="1"/>
  <c r="AM27" i="9"/>
  <c r="AM35" i="9"/>
  <c r="AM32" i="9"/>
  <c r="AE30" i="9"/>
  <c r="AE31" i="9" s="1"/>
  <c r="AG31" i="9" s="1"/>
  <c r="AI31" i="9" s="1"/>
  <c r="AK31" i="9" s="1"/>
  <c r="AM31" i="9" s="1"/>
  <c r="AK35" i="9"/>
  <c r="AM30" i="9"/>
  <c r="B71" i="10"/>
  <c r="B70" i="10"/>
  <c r="B69" i="10"/>
  <c r="B68" i="10"/>
  <c r="AG32" i="9"/>
  <c r="AG33" i="9" s="1"/>
  <c r="AI33" i="9" s="1"/>
  <c r="AK33" i="9" s="1"/>
  <c r="B67" i="10"/>
  <c r="AM33" i="9" l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X13" i="9"/>
  <c r="AX12" i="9"/>
  <c r="AX11" i="9"/>
  <c r="AX10" i="9"/>
  <c r="AX9" i="9"/>
  <c r="AX8" i="9"/>
  <c r="AX7" i="9"/>
  <c r="AX6" i="9"/>
  <c r="AX5" i="9"/>
  <c r="AX4" i="9"/>
  <c r="AX3" i="9"/>
  <c r="AX1" i="9"/>
  <c r="AM21" i="9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C13" i="31" s="1"/>
  <c r="AK20" i="9" s="1"/>
  <c r="E27" i="31"/>
  <c r="AO14" i="9" l="1"/>
  <c r="AX14" i="9"/>
  <c r="AM14" i="9"/>
  <c r="B66" i="10"/>
  <c r="B65" i="10"/>
  <c r="B64" i="10"/>
  <c r="B63" i="10"/>
  <c r="B62" i="10"/>
  <c r="B61" i="10"/>
  <c r="AI21" i="9"/>
  <c r="AI22" i="9"/>
  <c r="C1" i="27"/>
  <c r="B60" i="10" l="1"/>
  <c r="D1" i="10"/>
  <c r="A1" i="10" s="1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AO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I14" i="9" l="1"/>
  <c r="AG14" i="9"/>
  <c r="AI18" i="9" s="1"/>
  <c r="AE14" i="9"/>
  <c r="AK18" i="9" l="1"/>
  <c r="AK23" i="9" s="1"/>
  <c r="AI23" i="9"/>
  <c r="AI25" i="9" s="1"/>
  <c r="AE23" i="9"/>
  <c r="AM18" i="9" l="1"/>
  <c r="AM23" i="9" s="1"/>
  <c r="AO18" i="9" s="1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M25" i="9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G6" i="25"/>
  <c r="E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2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00000000-0006-0000-0200-00000C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 xr:uid="{00000000-0006-0000-0200-00000D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 xr:uid="{00000000-0006-0000-02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E30" authorId="0" shapeId="0" xr:uid="{BA520B03-5739-45D1-A038-B22F6164A6F3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6F31E8D0-158F-4E80-B87A-077E7250D0C1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 xr:uid="{684D2245-F63E-4CD1-9393-1AA2DA975708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6" authorId="0" shapeId="0" xr:uid="{90068941-AD82-4A1B-9A6B-F985E0F2609E}">
      <text>
        <r>
          <rPr>
            <b/>
            <sz val="9"/>
            <color indexed="81"/>
            <rFont val="Tahoma"/>
            <family val="2"/>
          </rPr>
          <t>Gas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61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66" authorId="0" shapeId="0" xr:uid="{00000000-0006-0000-05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8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<sst xmlns="http://schemas.openxmlformats.org/spreadsheetml/2006/main" count="1024" uniqueCount="417">
  <si>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</si>
  <si>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</si>
  <si>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</si>
  <si>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</si>
  <si>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</si>
  <si>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</si>
  <si>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</si>
  <si>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</si>
  <si>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</si>
  <si>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</si>
  <si>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</si>
  <si>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</si>
  <si>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</si>
  <si>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</si>
  <si>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</si>
  <si>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</si>
  <si>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</si>
  <si>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</si>
  <si>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</si>
  <si>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</si>
  <si>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</si>
  <si>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</si>
  <si>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</si>
  <si>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</si>
  <si>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</si>
  <si>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</si>
  <si>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</si>
  <si>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</si>
  <si>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</si>
  <si>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</si>
  <si>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</si>
  <si>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</si>
  <si>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</si>
  <si>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</si>
  <si>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</si>
  <si>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</si>
  <si>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</si>
  <si>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</si>
  <si>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</si>
  <si>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</si>
  <si>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</si>
  <si>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</si>
  <si>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</si>
  <si>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</si>
  <si>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</si>
  <si>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</si>
  <si>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</si>
  <si>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</si>
  <si>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</si>
  <si>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</si>
  <si>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</si>
  <si>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</si>
  <si>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</si>
  <si>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</si>
  <si>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</si>
  <si>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</si>
  <si>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</si>
  <si>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</si>
  <si>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</si>
  <si>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</si>
  <si>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</si>
  <si>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</si>
  <si>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</si>
  <si>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</si>
  <si>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</si>
  <si>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</si>
  <si>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</si>
  <si>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</si>
  <si>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</si>
  <si>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</si>
  <si>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</si>
  <si>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</si>
  <si>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</si>
  <si>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</si>
  <si>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</si>
  <si>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</si>
  <si>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</si>
  <si>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</si>
  <si>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</si>
  <si>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</si>
  <si>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</si>
  <si>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</si>
  <si>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</si>
  <si>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</si>
  <si>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</si>
  <si>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</si>
  <si>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</si>
  <si>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</si>
  <si>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</si>
  <si>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</si>
  <si>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</si>
  <si>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</si>
  <si>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</si>
  <si>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</si>
  <si>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</si>
  <si>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</si>
  <si>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</si>
  <si>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</si>
  <si>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</si>
  <si>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</si>
  <si>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</si>
  <si>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</si>
  <si>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</si>
  <si>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</si>
  <si>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</si>
  <si>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</si>
  <si>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</si>
  <si>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</si>
  <si>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</si>
  <si>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</si>
  <si>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</si>
  <si>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</si>
  <si>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</si>
  <si>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</si>
  <si>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</si>
  <si>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</si>
  <si>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</si>
  <si>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</si>
  <si>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</si>
  <si>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</si>
  <si>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</si>
  <si>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</si>
  <si>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</si>
  <si>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</si>
  <si>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</si>
  <si>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</si>
  <si>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</si>
  <si>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</si>
  <si>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</si>
  <si>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</si>
  <si>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</si>
  <si>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</si>
  <si>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</si>
  <si>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</si>
  <si>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</si>
  <si>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</si>
  <si>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</si>
  <si>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</si>
  <si>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</si>
  <si>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</si>
  <si>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</si>
  <si>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</si>
  <si>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</si>
  <si>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</si>
  <si>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</si>
  <si>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</si>
  <si>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</si>
  <si>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</si>
  <si>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</si>
  <si>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</si>
  <si>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</si>
  <si>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</si>
  <si>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</si>
  <si>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</si>
  <si>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</si>
  <si>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</si>
  <si>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</si>
  <si>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</si>
  <si>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</si>
  <si>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</si>
  <si>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</si>
  <si>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</si>
  <si>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</si>
  <si>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</si>
  <si>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</si>
  <si>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</si>
  <si>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</si>
  <si>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</si>
  <si>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</si>
  <si>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</si>
  <si>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</si>
  <si>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</si>
  <si>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</si>
  <si>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</si>
  <si>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</si>
  <si>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</si>
  <si>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</si>
  <si>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</si>
  <si>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</si>
  <si>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</si>
  <si>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</si>
  <si>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</si>
  <si>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</si>
  <si>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</si>
  <si>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</si>
  <si>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</si>
  <si>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</si>
  <si>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</si>
  <si>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</si>
  <si>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</si>
  <si>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</si>
  <si>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</si>
  <si>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</si>
  <si>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</si>
  <si>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</si>
  <si>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</si>
  <si>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</si>
  <si>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</si>
  <si>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</si>
  <si>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</si>
  <si>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</si>
  <si>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</si>
  <si>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</si>
  <si>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</si>
  <si>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</si>
  <si>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</si>
  <si>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</si>
  <si>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</si>
  <si>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</si>
  <si>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</si>
  <si>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</si>
  <si>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</si>
  <si>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</si>
  <si>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</si>
  <si>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</si>
  <si>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</si>
  <si>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</si>
  <si>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</si>
  <si>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</si>
  <si>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</si>
  <si>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</si>
  <si>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</si>
  <si>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</si>
  <si>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</si>
  <si>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</si>
  <si>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</si>
  <si>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</si>
  <si>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</si>
  <si>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</si>
  <si>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</si>
  <si>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</si>
  <si>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</si>
  <si>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</si>
  <si>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</si>
  <si>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</si>
  <si>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</si>
  <si>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</si>
  <si>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</si>
  <si>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</si>
  <si>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</si>
  <si>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</si>
  <si>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</si>
  <si>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</si>
  <si>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</si>
  <si>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</si>
  <si>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</si>
  <si>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</si>
  <si>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</si>
  <si>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</si>
  <si>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</si>
  <si>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</si>
  <si>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</si>
  <si>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</si>
  <si>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</si>
  <si>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</si>
  <si>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</si>
  <si>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</si>
  <si>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</si>
  <si>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</si>
  <si>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</si>
  <si>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</si>
  <si>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</si>
  <si>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</si>
  <si>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</si>
  <si>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</si>
  <si>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</si>
  <si>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</si>
  <si>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</si>
  <si>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</si>
  <si>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</si>
  <si>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</si>
  <si>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</si>
  <si>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</si>
  <si>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</si>
  <si>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</si>
  <si>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</si>
  <si>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</si>
  <si>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</si>
  <si>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</si>
  <si>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</si>
  <si>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</si>
  <si>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</si>
  <si>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</si>
  <si>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</si>
  <si>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</si>
  <si>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</si>
  <si>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</si>
  <si>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</si>
  <si>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</si>
  <si>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</si>
  <si>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</si>
  <si>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</si>
  <si>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</si>
  <si>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</si>
  <si>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</si>
  <si>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</si>
  <si>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</si>
  <si>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</si>
  <si>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</si>
  <si>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</si>
  <si>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</si>
  <si>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</si>
  <si>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</si>
  <si>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</si>
  <si>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</si>
  <si>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</si>
  <si>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</si>
  <si>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</si>
  <si>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</si>
  <si>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</si>
  <si>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</si>
  <si>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</si>
  <si>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</si>
  <si>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</si>
  <si>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</si>
  <si>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</si>
  <si>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</si>
  <si>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</si>
  <si>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</si>
  <si>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</si>
  <si>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</si>
  <si>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</si>
  <si>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</si>
  <si>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</si>
  <si>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</si>
  <si>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</si>
  <si>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</si>
  <si>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</si>
  <si>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</si>
  <si>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</si>
  <si>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</si>
  <si>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</si>
  <si>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</si>
  <si>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</si>
  <si>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</si>
  <si>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</si>
  <si>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</si>
  <si>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</si>
  <si>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</si>
  <si>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</si>
  <si>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</si>
  <si>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</si>
  <si>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</si>
  <si>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</si>
  <si>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</si>
  <si>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</si>
  <si>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</si>
  <si>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</si>
  <si>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</si>
  <si>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</si>
  <si>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</si>
  <si>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</si>
  <si>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</si>
  <si>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</si>
  <si>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</si>
  <si>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</si>
  <si>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</si>
  <si>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</si>
  <si>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</si>
  <si>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</si>
  <si>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</si>
  <si>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</si>
  <si>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</si>
  <si>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</si>
  <si>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</si>
  <si>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</si>
  <si>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</si>
  <si>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</si>
  <si>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</si>
  <si>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</si>
  <si>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</si>
  <si>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Quitar la opciòn de abrir caja "analizar</t>
  </si>
  <si>
    <t>Backend: opcion activar factura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</si>
  <si>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</si>
  <si>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</si>
  <si>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</si>
  <si>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</si>
  <si>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</si>
  <si>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</si>
  <si>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</si>
  <si>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</si>
  <si>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</si>
  <si>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Backend: agregar comentarios a factura</t>
  </si>
  <si>
    <t>Pendiente</t>
  </si>
  <si>
    <t>dia_sem</t>
  </si>
  <si>
    <t>000198</t>
  </si>
  <si>
    <t>000202</t>
  </si>
  <si>
    <t>HU39</t>
  </si>
  <si>
    <t>Como cajerio, quiero filtrar el medio de pago de las facturas y egresos para facilizar la conciliación bancaria</t>
  </si>
  <si>
    <t>HU39: Filtrar Medio de pago</t>
  </si>
  <si>
    <t>Nequi_</t>
  </si>
  <si>
    <t>Agregar la categoria "Cuenta por pagar"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</si>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</sst>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03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  <xf numFmtId="164" fontId="12" fillId="0" borderId="0" xfId="1" applyNumberFormat="1" applyFont="1"/>
    <xf numFmtId="164" fontId="0" fillId="0" borderId="0" xfId="1" quotePrefix="1" applyNumberFormat="1" applyFont="1"/>
    <xf numFmtId="0" fontId="0" fillId="2" borderId="3" xfId="0" applyFill="1" applyBorder="1" applyAlignment="1">
      <alignment wrapText="1"/>
    </xf>
    <xf numFmtId="0" fontId="0" fillId="2" borderId="3" xfId="0" applyFill="1" applyBorder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0" fillId="14" borderId="0" xfId="1" applyNumberFormat="1" applyFont="1" applyFill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21" Type="http://schemas.openxmlformats.org/officeDocument/2006/relationships/pivotCacheDefinition" Target="pivotCache/pivotCacheDefinition2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6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5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3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2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6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5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4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249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 xr:uid="{00000000-0009-0000-0000-000001000000}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AX40"/>
  <sheetViews>
    <sheetView showGridLines="0" tabSelected="1" zoomScaleNormal="100" workbookViewId="0">
      <pane ySplit="2" topLeftCell="A12" activePane="bottomLeft" state="frozen"/>
      <selection pane="bottomLeft" activeCell="AR22" sqref="AR22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0" hidden="1" customWidth="1"/>
    <col min="36" max="36" width="3.140625" hidden="1" customWidth="1" collapsed="1"/>
    <col min="37" max="37" width="0" hidden="1" customWidth="1"/>
    <col min="38" max="38" width="3.140625" hidden="1" customWidth="1" collapsed="1"/>
    <col min="40" max="40" width="3.140625" bestFit="1" customWidth="1" collapsed="1"/>
    <col min="49" max="49" width="3.140625" bestFit="1" customWidth="1" collapsed="1"/>
  </cols>
  <sheetData>
    <row r="1" spans="1:50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W1" s="41"/>
      <c r="AX1" s="41" t="str">
        <f>+TEXT(AX2,"ddd")</f>
        <v>sáb</v>
      </c>
    </row>
    <row r="2" spans="1:50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W2" s="44" t="s">
        <v>137</v>
      </c>
      <c r="AX2" s="45">
        <v>46095</v>
      </c>
    </row>
    <row r="3" spans="1:50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/>
      <c r="AM3" s="3">
        <f t="shared" ref="AM3:AM13" si="3">+$A3*AL3</f>
        <v>0</v>
      </c>
      <c r="AN3" s="1"/>
      <c r="AO3" s="3">
        <f t="shared" ref="AO3:AO13" si="4">+$A3*AN3</f>
        <v>0</v>
      </c>
      <c r="AW3" s="1">
        <v>0</v>
      </c>
      <c r="AX3" s="3">
        <f t="shared" ref="AX3:AX13" si="5">+$A3*AW3</f>
        <v>0</v>
      </c>
    </row>
    <row r="4" spans="1:50" outlineLevel="1" x14ac:dyDescent="0.25">
      <c r="A4" s="27">
        <v>50000</v>
      </c>
      <c r="B4" s="26">
        <v>1</v>
      </c>
      <c r="C4" s="3">
        <f t="shared" ref="C4:C13" si="6">+A4*B4</f>
        <v>50000</v>
      </c>
      <c r="D4" s="26">
        <v>1</v>
      </c>
      <c r="E4" s="3">
        <f t="shared" ref="E4:E13" si="7">+$A4*D4</f>
        <v>50000</v>
      </c>
      <c r="F4" s="26">
        <v>1</v>
      </c>
      <c r="G4" s="3"/>
      <c r="H4" s="26">
        <v>0</v>
      </c>
      <c r="I4" s="3">
        <f t="shared" ref="I4" si="8">+$A4*H4</f>
        <v>0</v>
      </c>
      <c r="J4" s="26">
        <v>2</v>
      </c>
      <c r="K4" s="3">
        <f t="shared" ref="K4" si="9">+$A4*J4</f>
        <v>100000</v>
      </c>
      <c r="L4" s="26">
        <v>0</v>
      </c>
      <c r="M4" s="3">
        <f t="shared" ref="M4" si="10">+$A4*L4</f>
        <v>0</v>
      </c>
      <c r="N4" s="26">
        <v>0</v>
      </c>
      <c r="O4" s="3">
        <f t="shared" ref="O4" si="11">+$A4*N4</f>
        <v>0</v>
      </c>
      <c r="P4" s="26">
        <v>1</v>
      </c>
      <c r="Q4" s="3">
        <f t="shared" ref="Q4" si="12">+$A4*P4</f>
        <v>50000</v>
      </c>
      <c r="R4" s="26">
        <v>1</v>
      </c>
      <c r="S4" s="3"/>
      <c r="T4" s="26">
        <v>0</v>
      </c>
      <c r="U4" s="3">
        <f t="shared" ref="U4:U5" si="13">+$A4*T4</f>
        <v>0</v>
      </c>
      <c r="V4" s="1">
        <v>1</v>
      </c>
      <c r="W4" s="3">
        <f t="shared" ref="W4:W5" si="14">+$A4*V4</f>
        <v>50000</v>
      </c>
      <c r="X4" s="1">
        <v>0</v>
      </c>
      <c r="Y4" s="3">
        <f t="shared" ref="Y4:Y5" si="1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/>
      <c r="AM4" s="3">
        <f t="shared" si="3"/>
        <v>0</v>
      </c>
      <c r="AN4" s="1"/>
      <c r="AO4" s="3">
        <f t="shared" si="4"/>
        <v>0</v>
      </c>
      <c r="AW4" s="1">
        <v>0</v>
      </c>
      <c r="AX4" s="3">
        <f t="shared" si="5"/>
        <v>0</v>
      </c>
    </row>
    <row r="5" spans="1:50" outlineLevel="1" x14ac:dyDescent="0.25">
      <c r="A5" s="27">
        <v>20000</v>
      </c>
      <c r="B5" s="26">
        <v>4</v>
      </c>
      <c r="C5" s="3">
        <f t="shared" si="6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3"/>
        <v>0</v>
      </c>
      <c r="V5" s="1">
        <v>0</v>
      </c>
      <c r="W5" s="3">
        <f t="shared" si="14"/>
        <v>0</v>
      </c>
      <c r="X5" s="1">
        <v>0</v>
      </c>
      <c r="Y5" s="3">
        <f t="shared" si="1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/>
      <c r="AM5" s="3">
        <f t="shared" si="3"/>
        <v>0</v>
      </c>
      <c r="AN5" s="1"/>
      <c r="AO5" s="3">
        <f t="shared" si="4"/>
        <v>0</v>
      </c>
      <c r="AW5" s="1">
        <v>2</v>
      </c>
      <c r="AX5" s="3">
        <f t="shared" si="5"/>
        <v>40000</v>
      </c>
    </row>
    <row r="6" spans="1:50" outlineLevel="1" x14ac:dyDescent="0.25">
      <c r="A6" s="27">
        <v>10000</v>
      </c>
      <c r="B6" s="26">
        <v>2</v>
      </c>
      <c r="C6" s="3">
        <f t="shared" si="6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/>
      <c r="AM6" s="3">
        <f t="shared" si="3"/>
        <v>0</v>
      </c>
      <c r="AN6" s="1"/>
      <c r="AO6" s="3">
        <f t="shared" si="4"/>
        <v>0</v>
      </c>
      <c r="AW6" s="1">
        <v>3</v>
      </c>
      <c r="AX6" s="3">
        <f t="shared" si="5"/>
        <v>30000</v>
      </c>
    </row>
    <row r="7" spans="1:50" outlineLevel="1" x14ac:dyDescent="0.25">
      <c r="A7" s="27">
        <v>5000</v>
      </c>
      <c r="B7" s="26">
        <v>2</v>
      </c>
      <c r="C7" s="3">
        <f t="shared" si="6"/>
        <v>10000</v>
      </c>
      <c r="D7" s="26">
        <v>4</v>
      </c>
      <c r="E7" s="3">
        <f t="shared" si="7"/>
        <v>20000</v>
      </c>
      <c r="F7" s="26">
        <v>4</v>
      </c>
      <c r="G7" s="3"/>
      <c r="H7" s="26">
        <v>6</v>
      </c>
      <c r="I7" s="3">
        <f t="shared" ref="I7:I13" si="16">+$A7*H7</f>
        <v>30000</v>
      </c>
      <c r="J7" s="26">
        <v>5</v>
      </c>
      <c r="K7" s="3">
        <f t="shared" ref="K7:K13" si="17">+$A7*J7</f>
        <v>25000</v>
      </c>
      <c r="L7" s="26">
        <v>5</v>
      </c>
      <c r="M7" s="3">
        <f t="shared" ref="M7:M13" si="18">+$A7*L7</f>
        <v>25000</v>
      </c>
      <c r="N7" s="26">
        <v>5</v>
      </c>
      <c r="O7" s="3">
        <f t="shared" ref="O7:O13" si="19">+$A7*N7</f>
        <v>25000</v>
      </c>
      <c r="P7" s="26">
        <v>3</v>
      </c>
      <c r="Q7" s="3">
        <f t="shared" ref="Q7:Q13" si="20">+$A7*P7</f>
        <v>15000</v>
      </c>
      <c r="R7" s="26">
        <v>3</v>
      </c>
      <c r="S7" s="3"/>
      <c r="T7" s="26">
        <v>3</v>
      </c>
      <c r="U7" s="3">
        <f t="shared" ref="U7:U13" si="21">+$A7*T7</f>
        <v>15000</v>
      </c>
      <c r="V7" s="1">
        <v>4</v>
      </c>
      <c r="W7" s="3">
        <f t="shared" ref="W7:W13" si="22">+$A7*V7</f>
        <v>20000</v>
      </c>
      <c r="X7" s="1">
        <v>0</v>
      </c>
      <c r="Y7" s="3">
        <f t="shared" ref="Y7:Y13" si="23">+$A7*X7</f>
        <v>0</v>
      </c>
      <c r="Z7" s="1">
        <v>0</v>
      </c>
      <c r="AA7" s="3">
        <f t="shared" ref="AA7:AC13" si="24">+$A7*Z7</f>
        <v>0</v>
      </c>
      <c r="AB7" s="1">
        <v>3</v>
      </c>
      <c r="AC7" s="3">
        <f t="shared" si="2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/>
      <c r="AM7" s="3">
        <f t="shared" si="3"/>
        <v>0</v>
      </c>
      <c r="AN7" s="1"/>
      <c r="AO7" s="3">
        <f t="shared" si="4"/>
        <v>0</v>
      </c>
      <c r="AW7" s="1">
        <v>9</v>
      </c>
      <c r="AX7" s="3">
        <f t="shared" si="5"/>
        <v>45000</v>
      </c>
    </row>
    <row r="8" spans="1:50" outlineLevel="1" x14ac:dyDescent="0.25">
      <c r="A8" s="27">
        <v>2000</v>
      </c>
      <c r="B8" s="26">
        <v>4</v>
      </c>
      <c r="C8" s="3">
        <f t="shared" si="6"/>
        <v>8000</v>
      </c>
      <c r="D8" s="26">
        <v>5</v>
      </c>
      <c r="E8" s="3">
        <f t="shared" si="7"/>
        <v>10000</v>
      </c>
      <c r="F8" s="26">
        <v>5</v>
      </c>
      <c r="G8" s="3"/>
      <c r="H8" s="26">
        <v>12</v>
      </c>
      <c r="I8" s="3">
        <f t="shared" si="16"/>
        <v>24000</v>
      </c>
      <c r="J8" s="26">
        <v>17</v>
      </c>
      <c r="K8" s="3">
        <f t="shared" si="17"/>
        <v>34000</v>
      </c>
      <c r="L8" s="26">
        <v>14</v>
      </c>
      <c r="M8" s="3">
        <f t="shared" si="18"/>
        <v>28000</v>
      </c>
      <c r="N8" s="26">
        <v>14</v>
      </c>
      <c r="O8" s="3">
        <f t="shared" si="19"/>
        <v>28000</v>
      </c>
      <c r="P8" s="26">
        <v>10</v>
      </c>
      <c r="Q8" s="3">
        <f t="shared" si="20"/>
        <v>20000</v>
      </c>
      <c r="R8" s="26">
        <v>10</v>
      </c>
      <c r="S8" s="3"/>
      <c r="T8" s="26">
        <v>12</v>
      </c>
      <c r="U8" s="3">
        <f t="shared" si="21"/>
        <v>24000</v>
      </c>
      <c r="V8" s="1">
        <v>22</v>
      </c>
      <c r="W8" s="3">
        <f t="shared" si="22"/>
        <v>44000</v>
      </c>
      <c r="X8" s="1">
        <v>23</v>
      </c>
      <c r="Y8" s="3">
        <f t="shared" si="23"/>
        <v>46000</v>
      </c>
      <c r="Z8" s="1">
        <v>20</v>
      </c>
      <c r="AA8" s="3">
        <f t="shared" si="24"/>
        <v>40000</v>
      </c>
      <c r="AB8" s="1">
        <v>25</v>
      </c>
      <c r="AC8" s="3">
        <f t="shared" si="2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/>
      <c r="AM8" s="3">
        <f t="shared" si="3"/>
        <v>0</v>
      </c>
      <c r="AN8" s="1"/>
      <c r="AO8" s="3">
        <f t="shared" si="4"/>
        <v>0</v>
      </c>
      <c r="AW8" s="1">
        <v>24</v>
      </c>
      <c r="AX8" s="3">
        <f t="shared" si="5"/>
        <v>48000</v>
      </c>
    </row>
    <row r="9" spans="1:50" outlineLevel="1" x14ac:dyDescent="0.25">
      <c r="A9" s="27">
        <v>1000</v>
      </c>
      <c r="B9" s="26">
        <v>7</v>
      </c>
      <c r="C9" s="3">
        <f t="shared" si="6"/>
        <v>7000</v>
      </c>
      <c r="D9" s="26">
        <v>8</v>
      </c>
      <c r="E9" s="3">
        <f t="shared" si="7"/>
        <v>8000</v>
      </c>
      <c r="F9" s="26">
        <v>8</v>
      </c>
      <c r="G9" s="3"/>
      <c r="H9" s="26">
        <v>3</v>
      </c>
      <c r="I9" s="3">
        <f t="shared" si="16"/>
        <v>3000</v>
      </c>
      <c r="J9" s="26">
        <v>2</v>
      </c>
      <c r="K9" s="3">
        <f t="shared" si="17"/>
        <v>2000</v>
      </c>
      <c r="L9" s="26">
        <v>0</v>
      </c>
      <c r="M9" s="3">
        <f t="shared" si="18"/>
        <v>0</v>
      </c>
      <c r="N9" s="26">
        <v>0</v>
      </c>
      <c r="O9" s="3">
        <f t="shared" si="19"/>
        <v>0</v>
      </c>
      <c r="P9" s="26">
        <v>0</v>
      </c>
      <c r="Q9" s="3">
        <f t="shared" si="20"/>
        <v>0</v>
      </c>
      <c r="R9" s="26">
        <v>0</v>
      </c>
      <c r="S9" s="3"/>
      <c r="T9" s="26">
        <v>20</v>
      </c>
      <c r="U9" s="3">
        <f t="shared" si="21"/>
        <v>20000</v>
      </c>
      <c r="V9" s="1">
        <v>16</v>
      </c>
      <c r="W9" s="3">
        <f t="shared" si="22"/>
        <v>16000</v>
      </c>
      <c r="X9" s="1">
        <v>12</v>
      </c>
      <c r="Y9" s="3">
        <f t="shared" si="23"/>
        <v>12000</v>
      </c>
      <c r="Z9" s="1">
        <v>9</v>
      </c>
      <c r="AA9" s="3">
        <f t="shared" si="24"/>
        <v>9000</v>
      </c>
      <c r="AB9" s="1">
        <v>6</v>
      </c>
      <c r="AC9" s="3">
        <f t="shared" si="2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/>
      <c r="AM9" s="3">
        <f t="shared" si="3"/>
        <v>0</v>
      </c>
      <c r="AN9" s="1"/>
      <c r="AO9" s="3">
        <f t="shared" si="4"/>
        <v>0</v>
      </c>
      <c r="AW9" s="1">
        <v>11</v>
      </c>
      <c r="AX9" s="3">
        <f t="shared" si="5"/>
        <v>11000</v>
      </c>
    </row>
    <row r="10" spans="1:50" outlineLevel="1" x14ac:dyDescent="0.25">
      <c r="A10" s="27">
        <v>500</v>
      </c>
      <c r="B10" s="26">
        <v>31</v>
      </c>
      <c r="C10" s="3">
        <f t="shared" si="6"/>
        <v>15500</v>
      </c>
      <c r="D10" s="26">
        <v>32</v>
      </c>
      <c r="E10" s="3">
        <f t="shared" si="7"/>
        <v>16000</v>
      </c>
      <c r="F10" s="26">
        <v>32</v>
      </c>
      <c r="G10" s="3"/>
      <c r="H10" s="26">
        <v>38</v>
      </c>
      <c r="I10" s="3">
        <f t="shared" si="16"/>
        <v>19000</v>
      </c>
      <c r="J10" s="26">
        <v>37</v>
      </c>
      <c r="K10" s="3">
        <f t="shared" si="17"/>
        <v>18500</v>
      </c>
      <c r="L10" s="26">
        <v>36</v>
      </c>
      <c r="M10" s="3">
        <f t="shared" si="18"/>
        <v>18000</v>
      </c>
      <c r="N10" s="26">
        <v>36</v>
      </c>
      <c r="O10" s="3">
        <f t="shared" si="19"/>
        <v>18000</v>
      </c>
      <c r="P10" s="26">
        <v>36</v>
      </c>
      <c r="Q10" s="3">
        <f t="shared" si="20"/>
        <v>18000</v>
      </c>
      <c r="R10" s="26">
        <v>36</v>
      </c>
      <c r="S10" s="3"/>
      <c r="T10" s="26">
        <v>40</v>
      </c>
      <c r="U10" s="3">
        <f t="shared" si="21"/>
        <v>20000</v>
      </c>
      <c r="V10" s="1">
        <v>45</v>
      </c>
      <c r="W10" s="3">
        <f t="shared" si="22"/>
        <v>22500</v>
      </c>
      <c r="X10" s="1">
        <v>31</v>
      </c>
      <c r="Y10" s="3">
        <f t="shared" si="23"/>
        <v>15500</v>
      </c>
      <c r="Z10" s="1">
        <v>20</v>
      </c>
      <c r="AA10" s="3">
        <f t="shared" si="24"/>
        <v>10000</v>
      </c>
      <c r="AB10" s="1">
        <v>21</v>
      </c>
      <c r="AC10" s="3">
        <f t="shared" si="2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/>
      <c r="AM10" s="3">
        <f t="shared" si="3"/>
        <v>0</v>
      </c>
      <c r="AN10" s="1"/>
      <c r="AO10" s="3">
        <f t="shared" si="4"/>
        <v>0</v>
      </c>
      <c r="AW10" s="1">
        <v>42</v>
      </c>
      <c r="AX10" s="3">
        <f t="shared" si="5"/>
        <v>21000</v>
      </c>
    </row>
    <row r="11" spans="1:50" outlineLevel="1" x14ac:dyDescent="0.25">
      <c r="A11" s="27">
        <v>200</v>
      </c>
      <c r="B11" s="26">
        <v>54</v>
      </c>
      <c r="C11" s="3">
        <f t="shared" si="6"/>
        <v>10800</v>
      </c>
      <c r="D11" s="26">
        <v>56</v>
      </c>
      <c r="E11" s="3">
        <f t="shared" si="7"/>
        <v>11200</v>
      </c>
      <c r="F11" s="26">
        <v>56</v>
      </c>
      <c r="G11" s="3"/>
      <c r="H11" s="26">
        <v>62</v>
      </c>
      <c r="I11" s="3">
        <f t="shared" si="16"/>
        <v>12400</v>
      </c>
      <c r="J11" s="26">
        <v>62</v>
      </c>
      <c r="K11" s="3">
        <f t="shared" si="17"/>
        <v>12400</v>
      </c>
      <c r="L11" s="26">
        <v>68</v>
      </c>
      <c r="M11" s="3">
        <f t="shared" si="18"/>
        <v>13600</v>
      </c>
      <c r="N11" s="26">
        <v>68</v>
      </c>
      <c r="O11" s="3">
        <f t="shared" si="19"/>
        <v>13600</v>
      </c>
      <c r="P11" s="26">
        <v>81</v>
      </c>
      <c r="Q11" s="3">
        <f t="shared" si="20"/>
        <v>16200</v>
      </c>
      <c r="R11" s="26">
        <v>81</v>
      </c>
      <c r="S11" s="3"/>
      <c r="T11" s="26">
        <v>3</v>
      </c>
      <c r="U11" s="3">
        <f t="shared" si="21"/>
        <v>600</v>
      </c>
      <c r="V11" s="1">
        <v>5</v>
      </c>
      <c r="W11" s="3">
        <f t="shared" si="22"/>
        <v>1000</v>
      </c>
      <c r="X11" s="1">
        <v>4</v>
      </c>
      <c r="Y11" s="3">
        <f t="shared" si="23"/>
        <v>800</v>
      </c>
      <c r="Z11" s="1">
        <v>4</v>
      </c>
      <c r="AA11" s="3">
        <f t="shared" si="24"/>
        <v>800</v>
      </c>
      <c r="AB11" s="1">
        <v>7</v>
      </c>
      <c r="AC11" s="3">
        <f t="shared" si="2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/>
      <c r="AM11" s="3">
        <f t="shared" si="3"/>
        <v>0</v>
      </c>
      <c r="AN11" s="1"/>
      <c r="AO11" s="3">
        <f t="shared" si="4"/>
        <v>0</v>
      </c>
      <c r="AW11" s="1">
        <v>10</v>
      </c>
      <c r="AX11" s="3">
        <f t="shared" si="5"/>
        <v>2000</v>
      </c>
    </row>
    <row r="12" spans="1:50" outlineLevel="1" x14ac:dyDescent="0.25">
      <c r="A12" s="27">
        <v>100</v>
      </c>
      <c r="B12" s="26">
        <v>38</v>
      </c>
      <c r="C12" s="3">
        <f t="shared" si="6"/>
        <v>3800</v>
      </c>
      <c r="D12" s="26">
        <v>39</v>
      </c>
      <c r="E12" s="3">
        <f t="shared" si="7"/>
        <v>3900</v>
      </c>
      <c r="F12" s="26">
        <v>39</v>
      </c>
      <c r="G12" s="3"/>
      <c r="H12" s="26">
        <v>51</v>
      </c>
      <c r="I12" s="3">
        <f t="shared" si="16"/>
        <v>5100</v>
      </c>
      <c r="J12" s="26">
        <v>48</v>
      </c>
      <c r="K12" s="3">
        <f t="shared" si="17"/>
        <v>4800</v>
      </c>
      <c r="L12" s="26">
        <v>63</v>
      </c>
      <c r="M12" s="3">
        <f t="shared" si="18"/>
        <v>6300</v>
      </c>
      <c r="N12" s="26">
        <v>63</v>
      </c>
      <c r="O12" s="3">
        <f t="shared" si="19"/>
        <v>6300</v>
      </c>
      <c r="P12" s="26">
        <v>77</v>
      </c>
      <c r="Q12" s="3">
        <f t="shared" si="20"/>
        <v>7700</v>
      </c>
      <c r="R12" s="26">
        <v>77</v>
      </c>
      <c r="S12" s="3"/>
      <c r="T12" s="26">
        <v>9</v>
      </c>
      <c r="U12" s="3">
        <f t="shared" si="21"/>
        <v>900</v>
      </c>
      <c r="V12" s="1">
        <v>11</v>
      </c>
      <c r="W12" s="3">
        <f t="shared" si="22"/>
        <v>1100</v>
      </c>
      <c r="X12" s="1">
        <v>13</v>
      </c>
      <c r="Y12" s="3">
        <f t="shared" si="23"/>
        <v>1300</v>
      </c>
      <c r="Z12" s="1">
        <v>13</v>
      </c>
      <c r="AA12" s="3">
        <f t="shared" si="24"/>
        <v>1300</v>
      </c>
      <c r="AB12" s="1">
        <v>14</v>
      </c>
      <c r="AC12" s="3">
        <f t="shared" si="2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/>
      <c r="AM12" s="3">
        <f t="shared" si="3"/>
        <v>0</v>
      </c>
      <c r="AN12" s="1"/>
      <c r="AO12" s="3">
        <f t="shared" si="4"/>
        <v>0</v>
      </c>
      <c r="AW12" s="1">
        <v>29</v>
      </c>
      <c r="AX12" s="3">
        <f t="shared" si="5"/>
        <v>2900</v>
      </c>
    </row>
    <row r="13" spans="1:50" ht="15.75" outlineLevel="1" thickBot="1" x14ac:dyDescent="0.3">
      <c r="A13" s="27">
        <v>50</v>
      </c>
      <c r="B13" s="26">
        <v>10</v>
      </c>
      <c r="C13" s="28">
        <f t="shared" si="6"/>
        <v>500</v>
      </c>
      <c r="D13" s="26">
        <v>10</v>
      </c>
      <c r="E13" s="28">
        <f t="shared" si="7"/>
        <v>500</v>
      </c>
      <c r="F13" s="26">
        <v>10</v>
      </c>
      <c r="G13" s="28"/>
      <c r="H13" s="26">
        <v>10</v>
      </c>
      <c r="I13" s="28">
        <f t="shared" si="16"/>
        <v>500</v>
      </c>
      <c r="J13" s="26">
        <v>10</v>
      </c>
      <c r="K13" s="28">
        <f t="shared" si="17"/>
        <v>500</v>
      </c>
      <c r="L13" s="26">
        <v>10</v>
      </c>
      <c r="M13" s="28">
        <f t="shared" si="18"/>
        <v>500</v>
      </c>
      <c r="N13" s="26">
        <v>10</v>
      </c>
      <c r="O13" s="28">
        <f t="shared" si="19"/>
        <v>500</v>
      </c>
      <c r="P13" s="26">
        <v>14</v>
      </c>
      <c r="Q13" s="28">
        <f t="shared" si="20"/>
        <v>700</v>
      </c>
      <c r="R13" s="26">
        <v>14</v>
      </c>
      <c r="S13" s="28"/>
      <c r="T13" s="26">
        <v>9</v>
      </c>
      <c r="U13" s="28">
        <f t="shared" si="21"/>
        <v>450</v>
      </c>
      <c r="V13" s="1">
        <v>9</v>
      </c>
      <c r="W13" s="28">
        <f t="shared" si="22"/>
        <v>450</v>
      </c>
      <c r="X13" s="1">
        <v>8</v>
      </c>
      <c r="Y13" s="28">
        <f t="shared" si="23"/>
        <v>400</v>
      </c>
      <c r="Z13" s="1">
        <v>11</v>
      </c>
      <c r="AA13" s="28">
        <f t="shared" si="24"/>
        <v>550</v>
      </c>
      <c r="AB13" s="1">
        <v>9</v>
      </c>
      <c r="AC13" s="28">
        <f t="shared" si="24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/>
      <c r="AM13" s="28">
        <f t="shared" si="3"/>
        <v>0</v>
      </c>
      <c r="AN13" s="1"/>
      <c r="AO13" s="28">
        <f t="shared" si="4"/>
        <v>0</v>
      </c>
      <c r="AW13" s="1">
        <v>9</v>
      </c>
      <c r="AX13" s="28">
        <f t="shared" si="5"/>
        <v>450</v>
      </c>
    </row>
    <row r="14" spans="1:50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0</v>
      </c>
      <c r="AO14" s="17">
        <f>SUM(AO3:AO13)</f>
        <v>0</v>
      </c>
      <c r="AX14" s="17">
        <f>SUM(AX3:AX13)</f>
        <v>200350</v>
      </c>
    </row>
    <row r="15" spans="1:50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X15" s="17"/>
    </row>
    <row r="16" spans="1:50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X16" s="17"/>
    </row>
    <row r="17" spans="1:50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W17" s="47"/>
      <c r="AX17" s="17"/>
    </row>
    <row r="18" spans="1:50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+AM23</f>
        <v>136250</v>
      </c>
      <c r="AX18" s="17"/>
    </row>
    <row r="19" spans="1:50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  <c r="AO19" s="67"/>
      <c r="AX19" s="17"/>
    </row>
    <row r="20" spans="1:50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335500</v>
      </c>
      <c r="AI20" s="67">
        <v>67000</v>
      </c>
      <c r="AK20" s="67">
        <f>Registros!$C$13</f>
        <v>132500</v>
      </c>
      <c r="AM20" s="67">
        <v>271000</v>
      </c>
      <c r="AO20" s="67"/>
      <c r="AX20" s="17"/>
    </row>
    <row r="21" spans="1:50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  <c r="AO21" s="67"/>
      <c r="AX21" s="17"/>
    </row>
    <row r="22" spans="1:50" ht="16.5" thickTop="1" thickBot="1" x14ac:dyDescent="0.3">
      <c r="A22" s="19" t="s">
        <v>310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X22" s="17"/>
    </row>
    <row r="23" spans="1:50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136250</v>
      </c>
      <c r="AX23" s="17"/>
    </row>
    <row r="24" spans="1:50" x14ac:dyDescent="0.25">
      <c r="AX24" s="17"/>
    </row>
    <row r="25" spans="1:50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-136250</v>
      </c>
      <c r="AN25" s="58"/>
      <c r="AO25" s="58">
        <f>AO14-AO23</f>
        <v>-136250</v>
      </c>
      <c r="AW25" s="58"/>
      <c r="AX25" s="17"/>
    </row>
    <row r="26" spans="1:50" x14ac:dyDescent="0.25">
      <c r="A26"/>
      <c r="AX26" s="17"/>
    </row>
    <row r="27" spans="1:50" x14ac:dyDescent="0.25">
      <c r="A27" s="19" t="s">
        <v>331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+AK27+100000</f>
        <v>144950</v>
      </c>
      <c r="AO27" s="67">
        <f>+AM27</f>
        <v>144950</v>
      </c>
      <c r="AX27" s="17"/>
    </row>
    <row r="28" spans="1:50" x14ac:dyDescent="0.25">
      <c r="A28" s="19" t="s">
        <v>330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  <c r="AO28" s="67">
        <v>0</v>
      </c>
      <c r="AX28" s="17"/>
    </row>
    <row r="29" spans="1:50" x14ac:dyDescent="0.25">
      <c r="AX29" s="17"/>
    </row>
    <row r="30" spans="1:50" x14ac:dyDescent="0.25">
      <c r="A30" s="100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100">
        <f>+(32000-2000)+11000+90000+3650</f>
        <v>134650</v>
      </c>
      <c r="AF30" s="3"/>
      <c r="AG30" s="100">
        <v>113000</v>
      </c>
      <c r="AH30" s="3"/>
      <c r="AI30" s="100">
        <v>94000</v>
      </c>
      <c r="AJ30" s="3"/>
      <c r="AK30" s="100">
        <v>0</v>
      </c>
      <c r="AL30" s="3"/>
      <c r="AM30" s="100">
        <f>+(98000-5000)</f>
        <v>93000</v>
      </c>
      <c r="AN30" s="3"/>
      <c r="AO30" s="100"/>
      <c r="AX30" s="17"/>
    </row>
    <row r="31" spans="1:50" x14ac:dyDescent="0.25">
      <c r="A31" s="100" t="s">
        <v>415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100">
        <f>+AE30</f>
        <v>134650</v>
      </c>
      <c r="AF31" s="3"/>
      <c r="AG31" s="100">
        <f>+AG30+AE31</f>
        <v>247650</v>
      </c>
      <c r="AH31" s="3"/>
      <c r="AI31" s="100">
        <f>+AI30+AG31</f>
        <v>341650</v>
      </c>
      <c r="AJ31" s="3"/>
      <c r="AK31" s="100">
        <f>+AK30+AI31</f>
        <v>341650</v>
      </c>
      <c r="AL31" s="3"/>
      <c r="AM31" s="100">
        <f>+AM30+AK31</f>
        <v>434650</v>
      </c>
      <c r="AN31" s="3"/>
      <c r="AO31" s="100"/>
      <c r="AX31" s="17"/>
    </row>
    <row r="32" spans="1:50" x14ac:dyDescent="0.25">
      <c r="A32" s="101" t="s">
        <v>404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101">
        <v>0</v>
      </c>
      <c r="AF32" s="3"/>
      <c r="AG32" s="101">
        <f>22000+1000</f>
        <v>23000</v>
      </c>
      <c r="AH32" s="3"/>
      <c r="AI32" s="101">
        <v>82000</v>
      </c>
      <c r="AJ32" s="3"/>
      <c r="AK32" s="101">
        <v>0</v>
      </c>
      <c r="AL32" s="3"/>
      <c r="AM32" s="101">
        <f>23000</f>
        <v>23000</v>
      </c>
      <c r="AN32" s="3"/>
      <c r="AO32" s="101"/>
      <c r="AX32" s="17"/>
    </row>
    <row r="33" spans="1:50" x14ac:dyDescent="0.25">
      <c r="A33" s="101" t="s">
        <v>414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101">
        <v>0</v>
      </c>
      <c r="AF33" s="3"/>
      <c r="AG33" s="101">
        <f>+AG32</f>
        <v>23000</v>
      </c>
      <c r="AH33" s="3"/>
      <c r="AI33" s="101">
        <f>+AI32+AG33</f>
        <v>105000</v>
      </c>
      <c r="AJ33" s="3"/>
      <c r="AK33" s="101">
        <f>+AK32+AI33</f>
        <v>105000</v>
      </c>
      <c r="AL33" s="3"/>
      <c r="AM33" s="101">
        <f>+AM32+AK33</f>
        <v>128000</v>
      </c>
      <c r="AN33" s="3"/>
      <c r="AO33" s="101"/>
      <c r="AX33" s="17"/>
    </row>
    <row r="35" spans="1:50" x14ac:dyDescent="0.25">
      <c r="A35" s="16" t="s">
        <v>416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100"/>
      <c r="AH35" s="3"/>
      <c r="AI35" s="100">
        <v>24000</v>
      </c>
      <c r="AJ35" s="3"/>
      <c r="AK35" s="100">
        <f>16000+AI35</f>
        <v>40000</v>
      </c>
      <c r="AL35" s="3"/>
      <c r="AM35" s="16">
        <f>8000*5</f>
        <v>40000</v>
      </c>
      <c r="AN35" s="3"/>
      <c r="AO35" s="100"/>
    </row>
    <row r="36" spans="1:50" x14ac:dyDescent="0.25">
      <c r="A36" s="16" t="s">
        <v>412</v>
      </c>
      <c r="AM36" s="16">
        <v>43000</v>
      </c>
    </row>
    <row r="38" spans="1:50" x14ac:dyDescent="0.25">
      <c r="AM38" s="13">
        <f>+SUM(AM23,AM27,AM31,AM33)</f>
        <v>843850</v>
      </c>
    </row>
    <row r="40" spans="1:50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"/>
  <sheetViews>
    <sheetView workbookViewId="0">
      <selection activeCell="C13" sqref="C13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99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297</v>
      </c>
      <c r="C4" s="81">
        <v>8000</v>
      </c>
      <c r="D4" t="s">
        <v>403</v>
      </c>
      <c r="F4" t="s">
        <v>401</v>
      </c>
    </row>
    <row r="5" spans="1:7" x14ac:dyDescent="0.25">
      <c r="A5" s="1">
        <v>2</v>
      </c>
      <c r="B5" s="1" t="s">
        <v>393</v>
      </c>
      <c r="C5" s="91">
        <v>16000</v>
      </c>
      <c r="D5" t="s">
        <v>403</v>
      </c>
      <c r="F5" t="s">
        <v>402</v>
      </c>
    </row>
    <row r="6" spans="1:7" x14ac:dyDescent="0.25">
      <c r="A6" s="1">
        <v>2</v>
      </c>
      <c r="B6" s="1" t="s">
        <v>396</v>
      </c>
      <c r="C6" s="91">
        <v>6000</v>
      </c>
      <c r="D6">
        <v>3</v>
      </c>
    </row>
    <row r="7" spans="1:7" x14ac:dyDescent="0.25">
      <c r="A7">
        <v>3</v>
      </c>
      <c r="B7" t="s">
        <v>400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393</v>
      </c>
      <c r="C8" s="91">
        <v>24000</v>
      </c>
    </row>
    <row r="9" spans="1:7" x14ac:dyDescent="0.25">
      <c r="A9" s="1">
        <v>3</v>
      </c>
      <c r="B9" s="1" t="s">
        <v>396</v>
      </c>
      <c r="C9" s="91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400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297</v>
      </c>
      <c r="C11" s="81">
        <v>8000</v>
      </c>
      <c r="F11" s="1">
        <v>6</v>
      </c>
    </row>
    <row r="12" spans="1:7" ht="15.75" thickBot="1" x14ac:dyDescent="0.3">
      <c r="B12" t="s">
        <v>285</v>
      </c>
      <c r="C12" s="90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99">
        <v>41699</v>
      </c>
    </row>
    <row r="19" spans="1:5" x14ac:dyDescent="0.25">
      <c r="A19">
        <v>2</v>
      </c>
      <c r="B19" t="s">
        <v>393</v>
      </c>
      <c r="C19">
        <v>16000</v>
      </c>
    </row>
    <row r="20" spans="1:5" x14ac:dyDescent="0.25">
      <c r="A20">
        <v>2</v>
      </c>
      <c r="B20" t="s">
        <v>396</v>
      </c>
      <c r="C20">
        <v>6000</v>
      </c>
    </row>
    <row r="21" spans="1:5" x14ac:dyDescent="0.25">
      <c r="A21" s="1">
        <v>1</v>
      </c>
      <c r="B21" s="1" t="s">
        <v>297</v>
      </c>
      <c r="C21" s="1">
        <v>8000</v>
      </c>
    </row>
    <row r="22" spans="1:5" x14ac:dyDescent="0.25">
      <c r="A22" s="1">
        <v>1</v>
      </c>
      <c r="B22" s="1" t="s">
        <v>395</v>
      </c>
      <c r="C22" s="1">
        <v>3000</v>
      </c>
    </row>
    <row r="23" spans="1:5" x14ac:dyDescent="0.25">
      <c r="A23">
        <v>2</v>
      </c>
      <c r="B23" t="s">
        <v>397</v>
      </c>
      <c r="C23">
        <v>9000</v>
      </c>
    </row>
    <row r="24" spans="1:5" x14ac:dyDescent="0.25">
      <c r="A24" s="1">
        <v>2</v>
      </c>
      <c r="B24" s="1" t="s">
        <v>393</v>
      </c>
      <c r="C24" s="1">
        <v>16000</v>
      </c>
    </row>
    <row r="25" spans="1:5" x14ac:dyDescent="0.25">
      <c r="A25" s="1">
        <v>2</v>
      </c>
      <c r="B25" s="1" t="s">
        <v>396</v>
      </c>
      <c r="C25" s="1">
        <v>6000</v>
      </c>
    </row>
    <row r="27" spans="1:5" x14ac:dyDescent="0.25">
      <c r="A27">
        <v>1</v>
      </c>
      <c r="B27" t="s">
        <v>394</v>
      </c>
      <c r="C27">
        <v>37000</v>
      </c>
      <c r="D27" t="s">
        <v>398</v>
      </c>
      <c r="E27">
        <f>30+7</f>
        <v>37</v>
      </c>
    </row>
    <row r="28" spans="1:5" x14ac:dyDescent="0.25">
      <c r="A28" s="1">
        <v>3</v>
      </c>
      <c r="B28" s="1" t="s">
        <v>393</v>
      </c>
      <c r="C28" s="1">
        <v>24000</v>
      </c>
    </row>
    <row r="29" spans="1:5" x14ac:dyDescent="0.25">
      <c r="A29" s="1">
        <v>1</v>
      </c>
      <c r="B29" s="1" t="s">
        <v>392</v>
      </c>
      <c r="C29" s="1">
        <v>15000</v>
      </c>
    </row>
    <row r="30" spans="1:5" x14ac:dyDescent="0.25">
      <c r="A30" s="1">
        <v>1</v>
      </c>
      <c r="B30" s="1" t="s">
        <v>395</v>
      </c>
      <c r="C30" s="1">
        <v>3000</v>
      </c>
    </row>
    <row r="31" spans="1:5" x14ac:dyDescent="0.25">
      <c r="B31" t="s">
        <v>394</v>
      </c>
      <c r="C31" s="1">
        <v>23000</v>
      </c>
      <c r="D31" t="s">
        <v>399</v>
      </c>
    </row>
    <row r="33" spans="1:4" x14ac:dyDescent="0.25">
      <c r="A33" s="1">
        <v>1</v>
      </c>
      <c r="B33" s="1" t="s">
        <v>297</v>
      </c>
      <c r="C33" s="1">
        <v>8000</v>
      </c>
      <c r="D33" t="s">
        <v>279</v>
      </c>
    </row>
    <row r="34" spans="1:4" x14ac:dyDescent="0.25">
      <c r="A34" s="1">
        <v>1</v>
      </c>
      <c r="B34" s="1" t="s">
        <v>395</v>
      </c>
      <c r="C34" s="1">
        <v>3000</v>
      </c>
      <c r="D34" t="s">
        <v>279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F24"/>
  <sheetViews>
    <sheetView zoomScale="130" zoomScaleNormal="130" workbookViewId="0">
      <pane ySplit="2" topLeftCell="A7" activePane="bottomLeft" state="frozen"/>
      <selection pane="bottomLeft" activeCell="D6" sqref="D6:D7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6" ht="21" x14ac:dyDescent="0.35">
      <c r="B1" s="84" t="s">
        <v>352</v>
      </c>
      <c r="C1" s="22"/>
    </row>
    <row r="2" spans="1:6" x14ac:dyDescent="0.25">
      <c r="A2" s="82" t="s">
        <v>5</v>
      </c>
      <c r="B2" s="82" t="s">
        <v>335</v>
      </c>
      <c r="C2" s="82" t="s">
        <v>306</v>
      </c>
      <c r="D2" s="82" t="s">
        <v>351</v>
      </c>
      <c r="E2" s="92" t="s">
        <v>302</v>
      </c>
    </row>
    <row r="3" spans="1:6" x14ac:dyDescent="0.25">
      <c r="A3" s="85">
        <v>46090</v>
      </c>
      <c r="B3" s="83" t="s">
        <v>303</v>
      </c>
      <c r="C3" s="86" t="s">
        <v>307</v>
      </c>
      <c r="D3" s="83" t="s">
        <v>304</v>
      </c>
      <c r="E3" s="93" t="s">
        <v>305</v>
      </c>
    </row>
    <row r="4" spans="1:6" x14ac:dyDescent="0.25">
      <c r="A4" s="85">
        <v>46090</v>
      </c>
      <c r="B4" s="83" t="s">
        <v>334</v>
      </c>
      <c r="C4" s="86" t="s">
        <v>307</v>
      </c>
      <c r="D4" s="83" t="s">
        <v>308</v>
      </c>
      <c r="E4" s="93" t="s">
        <v>309</v>
      </c>
    </row>
    <row r="5" spans="1:6" ht="30" x14ac:dyDescent="0.25">
      <c r="A5" s="85">
        <v>46093</v>
      </c>
      <c r="B5" s="83" t="s">
        <v>338</v>
      </c>
      <c r="C5" s="86" t="s">
        <v>307</v>
      </c>
      <c r="D5" s="83" t="s">
        <v>336</v>
      </c>
      <c r="E5" s="93" t="s">
        <v>337</v>
      </c>
    </row>
    <row r="6" spans="1:6" ht="30" x14ac:dyDescent="0.25">
      <c r="A6" s="85">
        <v>46093</v>
      </c>
      <c r="B6" s="83" t="s">
        <v>341</v>
      </c>
      <c r="C6" s="86" t="s">
        <v>307</v>
      </c>
      <c r="D6" s="83" t="s">
        <v>339</v>
      </c>
      <c r="E6" s="93" t="s">
        <v>340</v>
      </c>
    </row>
    <row r="7" spans="1:6" ht="30" x14ac:dyDescent="0.25">
      <c r="A7" s="85">
        <v>46093</v>
      </c>
      <c r="B7" s="83" t="s">
        <v>342</v>
      </c>
      <c r="C7" s="86" t="s">
        <v>307</v>
      </c>
      <c r="D7" s="83" t="s">
        <v>344</v>
      </c>
      <c r="E7" s="93" t="s">
        <v>343</v>
      </c>
    </row>
    <row r="8" spans="1:6" x14ac:dyDescent="0.25">
      <c r="A8" s="85">
        <v>46093</v>
      </c>
      <c r="B8" s="83" t="s">
        <v>348</v>
      </c>
      <c r="C8" s="86" t="s">
        <v>307</v>
      </c>
      <c r="D8" s="83" t="s">
        <v>345</v>
      </c>
      <c r="E8" s="93" t="s">
        <v>346</v>
      </c>
    </row>
    <row r="9" spans="1:6" ht="30" x14ac:dyDescent="0.25">
      <c r="A9" s="85">
        <v>46093</v>
      </c>
      <c r="B9" s="83" t="s">
        <v>349</v>
      </c>
      <c r="C9" s="86" t="s">
        <v>307</v>
      </c>
      <c r="D9" s="83" t="s">
        <v>347</v>
      </c>
      <c r="E9" s="93" t="s">
        <v>350</v>
      </c>
    </row>
    <row r="10" spans="1:6" x14ac:dyDescent="0.25">
      <c r="A10" s="85">
        <v>46093</v>
      </c>
      <c r="B10" s="83" t="s">
        <v>377</v>
      </c>
      <c r="C10" s="86" t="s">
        <v>307</v>
      </c>
      <c r="D10" s="83" t="s">
        <v>378</v>
      </c>
      <c r="E10" s="93" t="s">
        <v>367</v>
      </c>
    </row>
    <row r="11" spans="1:6" x14ac:dyDescent="0.25">
      <c r="A11" s="85">
        <v>46093</v>
      </c>
      <c r="B11" s="83" t="s">
        <v>389</v>
      </c>
      <c r="C11" s="86"/>
      <c r="D11" s="83" t="s">
        <v>387</v>
      </c>
      <c r="E11" s="93" t="s">
        <v>388</v>
      </c>
    </row>
    <row r="12" spans="1:6" x14ac:dyDescent="0.25">
      <c r="A12" s="85"/>
      <c r="B12" s="97" t="s">
        <v>370</v>
      </c>
      <c r="C12" s="86"/>
      <c r="D12" s="83"/>
      <c r="E12" s="93"/>
    </row>
    <row r="13" spans="1:6" x14ac:dyDescent="0.25">
      <c r="A13" s="85"/>
      <c r="B13" s="85" t="s">
        <v>391</v>
      </c>
      <c r="C13" s="85"/>
      <c r="D13" s="85"/>
      <c r="E13" s="85"/>
      <c r="F13" s="85"/>
    </row>
    <row r="14" spans="1:6" ht="45" x14ac:dyDescent="0.25">
      <c r="A14" s="85"/>
      <c r="B14" s="97" t="s">
        <v>369</v>
      </c>
      <c r="C14" s="86"/>
      <c r="D14" s="83"/>
      <c r="E14" s="93"/>
    </row>
    <row r="15" spans="1:6" x14ac:dyDescent="0.25">
      <c r="A15" s="85"/>
      <c r="B15" s="97" t="s">
        <v>371</v>
      </c>
      <c r="C15" s="86"/>
      <c r="D15" s="83"/>
      <c r="E15" s="93"/>
    </row>
    <row r="16" spans="1:6" x14ac:dyDescent="0.25">
      <c r="A16" s="85"/>
      <c r="B16" s="98" t="s">
        <v>372</v>
      </c>
      <c r="C16" s="94" t="s">
        <v>306</v>
      </c>
      <c r="D16" s="83"/>
      <c r="E16" s="93"/>
    </row>
    <row r="17" spans="1:5" x14ac:dyDescent="0.25">
      <c r="A17" s="85"/>
      <c r="B17" s="98" t="s">
        <v>382</v>
      </c>
      <c r="C17" s="94"/>
      <c r="D17" s="83"/>
      <c r="E17" s="93"/>
    </row>
    <row r="18" spans="1:5" x14ac:dyDescent="0.25">
      <c r="A18" s="83"/>
      <c r="B18" s="83" t="s">
        <v>245</v>
      </c>
      <c r="C18" s="94" t="s">
        <v>306</v>
      </c>
      <c r="D18" s="83"/>
      <c r="E18" s="93"/>
    </row>
    <row r="19" spans="1:5" x14ac:dyDescent="0.25">
      <c r="A19" s="83"/>
      <c r="B19" s="83" t="s">
        <v>244</v>
      </c>
      <c r="C19" s="94" t="s">
        <v>306</v>
      </c>
      <c r="D19" s="83"/>
      <c r="E19" s="93"/>
    </row>
    <row r="20" spans="1:5" x14ac:dyDescent="0.25">
      <c r="A20" s="83"/>
      <c r="B20" s="83" t="s">
        <v>246</v>
      </c>
      <c r="C20" s="94" t="s">
        <v>306</v>
      </c>
      <c r="D20" s="83"/>
      <c r="E20" s="93"/>
    </row>
    <row r="21" spans="1:5" x14ac:dyDescent="0.25">
      <c r="A21" s="83"/>
      <c r="B21" s="83" t="s">
        <v>247</v>
      </c>
      <c r="C21" s="94" t="s">
        <v>306</v>
      </c>
      <c r="D21" s="83"/>
      <c r="E21" s="93"/>
    </row>
    <row r="22" spans="1:5" x14ac:dyDescent="0.25">
      <c r="A22" s="83"/>
      <c r="B22" s="83" t="s">
        <v>248</v>
      </c>
      <c r="C22" s="94" t="s">
        <v>306</v>
      </c>
      <c r="D22" s="83"/>
      <c r="E22" s="93"/>
    </row>
    <row r="23" spans="1:5" x14ac:dyDescent="0.25">
      <c r="A23" s="83"/>
      <c r="B23" s="83" t="s">
        <v>254</v>
      </c>
      <c r="C23" s="94" t="s">
        <v>306</v>
      </c>
      <c r="D23" s="83"/>
      <c r="E23" s="93"/>
    </row>
    <row r="24" spans="1:5" x14ac:dyDescent="0.25">
      <c r="A24" s="83"/>
      <c r="B24" s="83" t="s">
        <v>255</v>
      </c>
      <c r="C24" s="94" t="s">
        <v>306</v>
      </c>
      <c r="D24" s="83"/>
      <c r="E24" s="9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FF"/>
  </sheetPr>
  <dimension ref="A1:M72"/>
  <sheetViews>
    <sheetView zoomScale="115" zoomScaleNormal="115" workbookViewId="0">
      <pane ySplit="5" topLeftCell="A42" activePane="bottomLeft" state="frozen"/>
      <selection activeCell="C1" sqref="C1"/>
      <selection pane="bottomLeft" activeCell="D1" sqref="D1"/>
    </sheetView>
  </sheetViews>
  <sheetFormatPr baseColWidth="10" defaultColWidth="9.140625" defaultRowHeight="15" x14ac:dyDescent="0.25"/>
  <cols>
    <col min="1" max="1" width="10.140625" bestFit="1" customWidth="1"/>
    <col min="2" max="2" width="10.7109375" bestFit="1" customWidth="1"/>
    <col min="3" max="3" width="10.85546875" bestFit="1" customWidth="1"/>
    <col min="4" max="4" width="12.28515625" style="3" bestFit="1" customWidth="1"/>
    <col min="5" max="5" width="7" style="3" customWidth="1"/>
    <col min="6" max="6" width="8" style="3" bestFit="1" customWidth="1"/>
    <col min="7" max="7" width="11.7109375" style="3" bestFit="1" customWidth="1"/>
    <col min="9" max="9" width="31.85546875" bestFit="1" customWidth="1"/>
    <col min="10" max="10" width="13.42578125" customWidth="1"/>
    <col min="13" max="13" width="11.140625" bestFit="1" customWidth="1"/>
  </cols>
  <sheetData>
    <row r="1" spans="1:10" x14ac:dyDescent="0.25">
      <c r="A1" s="13">
        <f>+B1-D1</f>
        <v>-80000</v>
      </c>
      <c r="B1">
        <v>354650</v>
      </c>
      <c r="D1" s="3">
        <f>+SUMIF($H$6:$H$1048576,H1,$D$6:$D$1048576)</f>
        <v>434650</v>
      </c>
      <c r="H1" s="32" t="s">
        <v>142</v>
      </c>
    </row>
    <row r="2" spans="1:10" ht="15.75" thickBot="1" x14ac:dyDescent="0.3">
      <c r="D2" s="28">
        <f>+SUMIF($H$6:$H$1048576,H2,$D$6:$D$1048576)</f>
        <v>128000</v>
      </c>
      <c r="H2" s="33" t="s">
        <v>147</v>
      </c>
    </row>
    <row r="3" spans="1:10" ht="15.75" thickTop="1" x14ac:dyDescent="0.25">
      <c r="D3" s="3">
        <f>+SUM(D6:D1048576)</f>
        <v>645650</v>
      </c>
      <c r="H3" s="22" t="s">
        <v>127</v>
      </c>
    </row>
    <row r="5" spans="1:10" x14ac:dyDescent="0.25">
      <c r="A5" s="36" t="s">
        <v>5</v>
      </c>
      <c r="B5" s="36" t="s">
        <v>384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95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262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261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260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259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258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267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266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265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264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263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318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268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363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365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364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366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269</v>
      </c>
      <c r="D46" s="16">
        <v>16000</v>
      </c>
      <c r="E46" s="3" t="s">
        <v>222</v>
      </c>
      <c r="H46" s="32" t="s">
        <v>142</v>
      </c>
      <c r="I46" s="1" t="s">
        <v>319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354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355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356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353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357</v>
      </c>
    </row>
    <row r="52" spans="1:9" x14ac:dyDescent="0.25">
      <c r="A52" s="2">
        <v>46092</v>
      </c>
      <c r="B52" s="2" t="str">
        <f t="shared" si="6"/>
        <v>mié</v>
      </c>
      <c r="D52" s="102">
        <v>24000</v>
      </c>
      <c r="E52" s="3" t="s">
        <v>222</v>
      </c>
      <c r="H52" s="32" t="s">
        <v>142</v>
      </c>
      <c r="I52" t="s">
        <v>358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353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359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362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360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361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96" t="s">
        <v>368</v>
      </c>
      <c r="H60" s="33" t="s">
        <v>147</v>
      </c>
    </row>
    <row r="61" spans="1:9" x14ac:dyDescent="0.25">
      <c r="A61" s="15">
        <v>46093</v>
      </c>
      <c r="B61" s="15" t="str">
        <f t="shared" ref="B61:B63" si="7">+TEXT(A61,"ddd")</f>
        <v>jue</v>
      </c>
      <c r="C61" s="1"/>
      <c r="D61" s="16">
        <v>24000</v>
      </c>
      <c r="E61" s="16" t="s">
        <v>222</v>
      </c>
      <c r="F61" s="16"/>
      <c r="G61" s="16" t="s">
        <v>383</v>
      </c>
      <c r="H61" s="32" t="s">
        <v>390</v>
      </c>
    </row>
    <row r="62" spans="1:9" x14ac:dyDescent="0.25">
      <c r="A62" s="2">
        <v>46093</v>
      </c>
      <c r="B62" s="2" t="str">
        <f t="shared" si="7"/>
        <v>jue</v>
      </c>
      <c r="C62" s="34">
        <v>0.73124999999999996</v>
      </c>
      <c r="D62" s="3">
        <v>11000</v>
      </c>
      <c r="E62" s="3" t="s">
        <v>222</v>
      </c>
      <c r="F62" s="96" t="s">
        <v>385</v>
      </c>
      <c r="H62" s="32" t="s">
        <v>142</v>
      </c>
      <c r="I62" t="s">
        <v>353</v>
      </c>
    </row>
    <row r="63" spans="1:9" x14ac:dyDescent="0.25">
      <c r="A63" s="2">
        <v>46093</v>
      </c>
      <c r="B63" s="2" t="str">
        <f t="shared" si="7"/>
        <v>jue</v>
      </c>
      <c r="C63" s="34">
        <v>0.78611111111111109</v>
      </c>
      <c r="D63" s="3">
        <v>24000</v>
      </c>
      <c r="E63" s="3" t="s">
        <v>222</v>
      </c>
      <c r="F63" s="96" t="s">
        <v>386</v>
      </c>
      <c r="H63" s="32" t="s">
        <v>142</v>
      </c>
      <c r="I63" t="s">
        <v>379</v>
      </c>
    </row>
    <row r="64" spans="1:9" x14ac:dyDescent="0.25">
      <c r="A64" s="2">
        <v>46093</v>
      </c>
      <c r="B64" s="2" t="str">
        <f t="shared" ref="B64:B72" si="8">+TEXT(A64,"ddd")</f>
        <v>jue</v>
      </c>
      <c r="D64" s="3">
        <v>24000</v>
      </c>
      <c r="E64" s="3" t="s">
        <v>222</v>
      </c>
      <c r="F64" s="96" t="s">
        <v>413</v>
      </c>
      <c r="H64" s="32" t="s">
        <v>142</v>
      </c>
      <c r="I64" t="s">
        <v>380</v>
      </c>
    </row>
    <row r="65" spans="1:9" x14ac:dyDescent="0.25">
      <c r="A65" s="2">
        <v>46093</v>
      </c>
      <c r="B65" s="2" t="str">
        <f t="shared" si="8"/>
        <v>jue</v>
      </c>
      <c r="D65" s="3">
        <v>11000</v>
      </c>
      <c r="E65" s="3" t="s">
        <v>222</v>
      </c>
      <c r="H65" s="32" t="s">
        <v>142</v>
      </c>
      <c r="I65" t="s">
        <v>381</v>
      </c>
    </row>
    <row r="66" spans="1:9" x14ac:dyDescent="0.25">
      <c r="A66" s="15">
        <v>46094</v>
      </c>
      <c r="B66" s="15" t="str">
        <f t="shared" si="8"/>
        <v>vie</v>
      </c>
      <c r="C66" s="1"/>
      <c r="D66" s="16">
        <v>16000</v>
      </c>
      <c r="E66" s="16" t="s">
        <v>222</v>
      </c>
      <c r="F66" s="16"/>
      <c r="G66" s="16" t="s">
        <v>383</v>
      </c>
      <c r="H66" s="32" t="s">
        <v>390</v>
      </c>
    </row>
    <row r="67" spans="1:9" x14ac:dyDescent="0.25">
      <c r="A67" s="2">
        <v>46095</v>
      </c>
      <c r="B67" s="2" t="str">
        <f t="shared" si="8"/>
        <v>sáb</v>
      </c>
      <c r="D67" s="3">
        <v>23000</v>
      </c>
      <c r="E67" s="3" t="s">
        <v>222</v>
      </c>
      <c r="F67" s="96" t="s">
        <v>368</v>
      </c>
      <c r="H67" s="33" t="s">
        <v>147</v>
      </c>
    </row>
    <row r="68" spans="1:9" x14ac:dyDescent="0.25">
      <c r="A68" s="2">
        <v>46095</v>
      </c>
      <c r="B68" s="2" t="str">
        <f t="shared" si="8"/>
        <v>sáb</v>
      </c>
      <c r="D68" s="3">
        <v>11000</v>
      </c>
      <c r="E68" s="3" t="s">
        <v>222</v>
      </c>
      <c r="F68" s="96" t="s">
        <v>411</v>
      </c>
      <c r="H68" s="32" t="s">
        <v>142</v>
      </c>
      <c r="I68" t="s">
        <v>405</v>
      </c>
    </row>
    <row r="69" spans="1:9" x14ac:dyDescent="0.25">
      <c r="A69" s="2">
        <v>46095</v>
      </c>
      <c r="B69" s="2" t="str">
        <f t="shared" si="8"/>
        <v>sáb</v>
      </c>
      <c r="D69" s="3">
        <v>11000</v>
      </c>
      <c r="E69" s="3" t="s">
        <v>222</v>
      </c>
      <c r="F69" s="96" t="s">
        <v>410</v>
      </c>
      <c r="H69" s="32" t="s">
        <v>142</v>
      </c>
      <c r="I69" t="s">
        <v>406</v>
      </c>
    </row>
    <row r="70" spans="1:9" x14ac:dyDescent="0.25">
      <c r="A70" s="2">
        <v>46095</v>
      </c>
      <c r="B70" s="2" t="str">
        <f t="shared" si="8"/>
        <v>sáb</v>
      </c>
      <c r="D70" s="3">
        <v>57500</v>
      </c>
      <c r="E70" s="3" t="s">
        <v>222</v>
      </c>
      <c r="F70" s="96"/>
      <c r="H70" s="32" t="s">
        <v>142</v>
      </c>
      <c r="I70" t="s">
        <v>407</v>
      </c>
    </row>
    <row r="71" spans="1:9" x14ac:dyDescent="0.25">
      <c r="A71" s="2">
        <v>46095</v>
      </c>
      <c r="B71" s="2" t="str">
        <f t="shared" si="8"/>
        <v>sáb</v>
      </c>
      <c r="D71" s="3">
        <v>13500</v>
      </c>
      <c r="E71" s="3" t="s">
        <v>222</v>
      </c>
      <c r="F71" s="96" t="s">
        <v>409</v>
      </c>
      <c r="H71" s="32" t="s">
        <v>142</v>
      </c>
      <c r="I71" t="s">
        <v>408</v>
      </c>
    </row>
    <row r="72" spans="1:9" x14ac:dyDescent="0.25">
      <c r="A72" s="2"/>
      <c r="B72" s="2"/>
    </row>
  </sheetData>
  <autoFilter ref="A5:M71" xr:uid="{00000000-0009-0000-0000-000005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332</v>
      </c>
      <c r="B1" t="s">
        <v>333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G13"/>
  <sheetViews>
    <sheetView zoomScale="85" zoomScaleNormal="85" workbookViewId="0">
      <selection activeCell="C14" sqref="C14:E14"/>
    </sheetView>
  </sheetViews>
  <sheetFormatPr baseColWidth="10" defaultRowHeight="15" x14ac:dyDescent="0.25"/>
  <cols>
    <col min="3" max="3" width="21" bestFit="1" customWidth="1"/>
    <col min="4" max="4" width="6.7109375" bestFit="1" customWidth="1"/>
    <col min="5" max="5" width="8.140625" bestFit="1" customWidth="1"/>
  </cols>
  <sheetData>
    <row r="1" spans="3:7" x14ac:dyDescent="0.25">
      <c r="C1" s="26" t="s">
        <v>315</v>
      </c>
    </row>
    <row r="2" spans="3:7" x14ac:dyDescent="0.25">
      <c r="C2" t="s">
        <v>311</v>
      </c>
      <c r="D2">
        <v>10000</v>
      </c>
      <c r="E2">
        <f>+D2*4</f>
        <v>40000</v>
      </c>
    </row>
    <row r="3" spans="3:7" x14ac:dyDescent="0.25">
      <c r="C3" t="s">
        <v>312</v>
      </c>
    </row>
    <row r="4" spans="3:7" x14ac:dyDescent="0.25">
      <c r="C4" t="s">
        <v>313</v>
      </c>
    </row>
    <row r="5" spans="3:7" x14ac:dyDescent="0.25">
      <c r="C5" s="88" t="s">
        <v>314</v>
      </c>
      <c r="D5" s="88"/>
      <c r="E5" s="88"/>
    </row>
    <row r="6" spans="3:7" x14ac:dyDescent="0.25">
      <c r="G6">
        <f>100000-16000</f>
        <v>84000</v>
      </c>
    </row>
    <row r="9" spans="3:7" x14ac:dyDescent="0.25">
      <c r="C9" t="s">
        <v>231</v>
      </c>
      <c r="D9" t="s">
        <v>234</v>
      </c>
    </row>
    <row r="10" spans="3:7" x14ac:dyDescent="0.25">
      <c r="C10" t="s">
        <v>232</v>
      </c>
      <c r="D10" t="s">
        <v>233</v>
      </c>
    </row>
    <row r="13" spans="3:7" x14ac:dyDescent="0.25">
      <c r="C13" t="s">
        <v>315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252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250</v>
      </c>
      <c r="C10" s="72" t="s">
        <v>251</v>
      </c>
      <c r="D10" t="s">
        <v>253</v>
      </c>
    </row>
    <row r="11" spans="1:4" x14ac:dyDescent="0.25">
      <c r="A11" t="s">
        <v>257</v>
      </c>
      <c r="C11" t="s">
        <v>256</v>
      </c>
    </row>
    <row r="12" spans="1:4" x14ac:dyDescent="0.25">
      <c r="A12" s="1" t="s">
        <v>329</v>
      </c>
      <c r="B12" s="1"/>
      <c r="C12" s="1" t="s">
        <v>316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320</v>
      </c>
      <c r="E2" t="s">
        <v>327</v>
      </c>
    </row>
    <row r="3" spans="2:7" x14ac:dyDescent="0.25">
      <c r="B3" t="s">
        <v>321</v>
      </c>
    </row>
    <row r="4" spans="2:7" x14ac:dyDescent="0.25">
      <c r="B4" t="s">
        <v>322</v>
      </c>
    </row>
    <row r="5" spans="2:7" x14ac:dyDescent="0.25">
      <c r="B5" t="s">
        <v>323</v>
      </c>
      <c r="D5">
        <v>7</v>
      </c>
      <c r="E5" t="s">
        <v>326</v>
      </c>
    </row>
    <row r="6" spans="2:7" x14ac:dyDescent="0.25">
      <c r="B6" s="24">
        <v>0</v>
      </c>
      <c r="C6" t="s">
        <v>325</v>
      </c>
      <c r="G6" t="s">
        <v>328</v>
      </c>
    </row>
    <row r="7" spans="2:7" x14ac:dyDescent="0.25">
      <c r="G7">
        <v>26</v>
      </c>
    </row>
    <row r="8" spans="2:7" x14ac:dyDescent="0.25">
      <c r="B8" t="s">
        <v>324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282</v>
      </c>
      <c r="B2" s="73" t="s">
        <v>276</v>
      </c>
      <c r="C2" s="73" t="s">
        <v>277</v>
      </c>
      <c r="D2" s="73" t="s">
        <v>3</v>
      </c>
      <c r="E2" s="73"/>
      <c r="F2" s="74" t="s">
        <v>280</v>
      </c>
      <c r="G2" s="74" t="s">
        <v>281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270</v>
      </c>
      <c r="B4" s="75"/>
      <c r="C4" s="75"/>
      <c r="D4" s="75" t="s">
        <v>270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271</v>
      </c>
      <c r="E5" s="75" t="s">
        <v>272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271</v>
      </c>
      <c r="E6" s="75" t="s">
        <v>273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289</v>
      </c>
      <c r="E9" s="75"/>
      <c r="F9" s="78">
        <v>-22000</v>
      </c>
      <c r="G9" s="75"/>
    </row>
    <row r="10" spans="1:10" x14ac:dyDescent="0.25">
      <c r="A10" s="75" t="s">
        <v>278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278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278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278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278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279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279</v>
      </c>
      <c r="B17" s="75"/>
      <c r="C17" s="75"/>
      <c r="D17" s="75" t="s">
        <v>284</v>
      </c>
      <c r="E17" s="75"/>
      <c r="F17" s="76"/>
      <c r="G17" s="79">
        <v>28000</v>
      </c>
    </row>
    <row r="18" spans="1:7" x14ac:dyDescent="0.25">
      <c r="A18" s="75" t="s">
        <v>278</v>
      </c>
      <c r="B18" s="75"/>
      <c r="C18" s="75"/>
      <c r="D18" s="75" t="s">
        <v>287</v>
      </c>
      <c r="E18" s="75"/>
      <c r="F18" s="78">
        <v>15000</v>
      </c>
      <c r="G18" s="77"/>
    </row>
    <row r="19" spans="1:7" x14ac:dyDescent="0.25">
      <c r="A19" s="75" t="s">
        <v>278</v>
      </c>
      <c r="B19" s="75"/>
      <c r="C19" s="75"/>
      <c r="D19" s="75" t="s">
        <v>285</v>
      </c>
      <c r="E19" s="75"/>
      <c r="F19" s="78">
        <v>60000</v>
      </c>
      <c r="G19" s="77"/>
    </row>
    <row r="20" spans="1:7" x14ac:dyDescent="0.25">
      <c r="A20" s="75" t="s">
        <v>278</v>
      </c>
      <c r="B20" s="75"/>
      <c r="C20" s="75"/>
      <c r="D20" s="75" t="s">
        <v>286</v>
      </c>
      <c r="E20" s="75"/>
      <c r="F20" s="78">
        <v>12000</v>
      </c>
      <c r="G20" s="77"/>
    </row>
    <row r="21" spans="1:7" x14ac:dyDescent="0.25">
      <c r="A21" s="75" t="s">
        <v>279</v>
      </c>
      <c r="B21" s="75"/>
      <c r="C21" s="75"/>
      <c r="D21" s="75" t="s">
        <v>283</v>
      </c>
      <c r="E21" s="75"/>
      <c r="F21" s="76"/>
      <c r="G21" s="79">
        <v>43000</v>
      </c>
    </row>
    <row r="22" spans="1:7" x14ac:dyDescent="0.25">
      <c r="A22" s="75" t="s">
        <v>278</v>
      </c>
      <c r="D22" s="75" t="s">
        <v>288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291</v>
      </c>
      <c r="C21" s="58">
        <v>129000</v>
      </c>
    </row>
    <row r="22" spans="1:4" x14ac:dyDescent="0.25">
      <c r="A22" s="2">
        <v>46120</v>
      </c>
      <c r="B22" t="s">
        <v>290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375</v>
      </c>
      <c r="C24" s="58">
        <v>-100000</v>
      </c>
    </row>
    <row r="25" spans="1:4" x14ac:dyDescent="0.25">
      <c r="A25" s="2">
        <v>46124</v>
      </c>
      <c r="B25" t="s">
        <v>374</v>
      </c>
      <c r="C25" s="58">
        <v>23990</v>
      </c>
      <c r="D25" t="s">
        <v>373</v>
      </c>
    </row>
    <row r="26" spans="1:4" x14ac:dyDescent="0.25">
      <c r="A26" s="2">
        <v>46124</v>
      </c>
      <c r="B26" t="s">
        <v>376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300</v>
      </c>
    </row>
    <row r="2" spans="1:7" x14ac:dyDescent="0.25">
      <c r="A2" t="s">
        <v>109</v>
      </c>
      <c r="B2" s="58">
        <v>1300000</v>
      </c>
      <c r="C2" t="s">
        <v>299</v>
      </c>
      <c r="F2">
        <v>1600</v>
      </c>
      <c r="G2" t="s">
        <v>317</v>
      </c>
    </row>
    <row r="3" spans="1:7" x14ac:dyDescent="0.25">
      <c r="A3" t="s">
        <v>292</v>
      </c>
      <c r="B3" s="58">
        <v>-1350000</v>
      </c>
      <c r="C3" t="s">
        <v>298</v>
      </c>
      <c r="F3" s="81">
        <v>3700000</v>
      </c>
    </row>
    <row r="4" spans="1:7" x14ac:dyDescent="0.25">
      <c r="A4" s="1" t="s">
        <v>293</v>
      </c>
      <c r="B4" s="58">
        <v>-400000</v>
      </c>
      <c r="C4" t="s">
        <v>298</v>
      </c>
      <c r="F4" s="81">
        <f>+F3/F2</f>
        <v>2312.5</v>
      </c>
    </row>
    <row r="5" spans="1:7" x14ac:dyDescent="0.25">
      <c r="A5" t="s">
        <v>294</v>
      </c>
      <c r="B5" s="58">
        <f>-500000/2</f>
        <v>-250000</v>
      </c>
      <c r="C5" t="s">
        <v>298</v>
      </c>
    </row>
    <row r="6" spans="1:7" x14ac:dyDescent="0.25">
      <c r="A6" t="s">
        <v>295</v>
      </c>
      <c r="B6" s="58">
        <f>-180000/2</f>
        <v>-90000</v>
      </c>
      <c r="C6" t="s">
        <v>298</v>
      </c>
      <c r="F6">
        <v>3500</v>
      </c>
    </row>
    <row r="7" spans="1:7" x14ac:dyDescent="0.25">
      <c r="A7" t="s">
        <v>296</v>
      </c>
      <c r="B7" s="58">
        <v>-30000</v>
      </c>
      <c r="C7" t="s">
        <v>298</v>
      </c>
      <c r="F7">
        <f>+F6*F2</f>
        <v>5600000</v>
      </c>
    </row>
    <row r="8" spans="1:7" x14ac:dyDescent="0.25">
      <c r="A8" t="s">
        <v>297</v>
      </c>
      <c r="B8" s="58">
        <f>((550-185)*3500)/2</f>
        <v>638750</v>
      </c>
      <c r="C8" t="s">
        <v>298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298</v>
      </c>
    </row>
    <row r="10" spans="1:7" x14ac:dyDescent="0.25">
      <c r="A10" t="s">
        <v>297</v>
      </c>
      <c r="D10" t="s">
        <v>301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chorizo</vt:lpstr>
      <vt:lpstr>choriboni</vt:lpstr>
      <vt:lpstr>Arqueo de Caja</vt:lpstr>
      <vt:lpstr>Registros</vt:lpstr>
      <vt:lpstr>DevOps</vt:lpstr>
      <vt:lpstr>Extracto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2026-03-15T14:51:49Z</dcterms:modified>
</cp:coreProperties>
</file>