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A5B6C4F7-C403-44F0-BDEF-6384DB3BE542}" xr6:coauthVersionLast="47" xr6:coauthVersionMax="47" xr10:uidLastSave="{00000000-0000-0000-0000-000000000000}"/>
  <bookViews>
    <workbookView xWindow="-120" yWindow="-120" windowWidth="20730" windowHeight="11160" tabRatio="806" firstSheet="1" activeTab="1" xr2:uid="{00000000-000D-0000-FFFF-FFFF00000000}"/>
  </bookViews>
  <sheets>
    <sheet name="chorizo" sheetId="3" state="hidden" r:id="rId1"/>
    <sheet name="choriboni" sheetId="4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Reporte" sheetId="11" r:id="rId7"/>
    <sheet name="Extracto_bancario" sheetId="10" r:id="rId8"/>
    <sheet name="Prestamos" sheetId="12" r:id="rId9"/>
    <sheet name="Informe ventas" sheetId="13" state="hidden" r:id="rId10"/>
    <sheet name="historial de venta" sheetId="14" state="hidden" r:id="rId11"/>
  </sheets>
  <definedNames>
    <definedName name="_xlnm._FilterDatabase" localSheetId="1" hidden="1">choriboni!$B$16:$I$59</definedName>
  </definedNames>
  <calcPr calcId="191029"/>
  <pivotCaches>
    <pivotCache cacheId="1" r:id="rId12"/>
    <pivotCache cacheId="2" r:id="rId13"/>
    <pivotCache cacheId="3" r:id="rId14"/>
    <pivotCache cacheId="4" r:id="rId15"/>
    <pivotCache cacheId="5" r:id="rId16"/>
    <pivotCache cacheId="6" r:id="rId1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9" l="1"/>
  <c r="S13" i="9"/>
  <c r="S12" i="9"/>
  <c r="S11" i="9"/>
  <c r="S10" i="9"/>
  <c r="S9" i="9"/>
  <c r="S8" i="9"/>
  <c r="S7" i="9"/>
  <c r="S6" i="9"/>
  <c r="S5" i="9"/>
  <c r="S4" i="9"/>
  <c r="S3" i="9"/>
  <c r="S14" i="9" s="1"/>
  <c r="B27" i="10"/>
  <c r="B26" i="10"/>
  <c r="B25" i="10"/>
  <c r="B24" i="10"/>
  <c r="B23" i="10"/>
  <c r="D23" i="10"/>
  <c r="C1" i="12"/>
  <c r="C9" i="12"/>
  <c r="S20" i="9" l="1"/>
  <c r="S22" i="9" s="1"/>
  <c r="S24" i="9" s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Q18" i="9" s="1"/>
  <c r="D1" i="10"/>
  <c r="D8" i="11"/>
  <c r="E8" i="11" s="1"/>
  <c r="D9" i="11"/>
  <c r="E9" i="11" s="1"/>
  <c r="B20" i="10"/>
  <c r="B21" i="10"/>
  <c r="B22" i="10"/>
  <c r="M21" i="9" l="1"/>
  <c r="M22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O22" i="9" l="1"/>
  <c r="O24" i="9" s="1"/>
  <c r="Q20" i="9"/>
  <c r="Q22" i="9" s="1"/>
  <c r="Q24" i="9" s="1"/>
  <c r="M24" i="9"/>
  <c r="K22" i="9"/>
  <c r="K24" i="9" s="1"/>
  <c r="G21" i="9"/>
  <c r="N6" i="13" l="1"/>
  <c r="K13" i="9" l="1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H37" i="14" l="1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E2" i="11" l="1"/>
  <c r="E22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E14" i="9" l="1"/>
  <c r="E24" i="9" s="1"/>
  <c r="G22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3" i="4"/>
  <c r="G24" i="9" l="1"/>
  <c r="I22" i="9"/>
  <c r="I24" i="9" s="1"/>
  <c r="D9" i="8"/>
  <c r="C14" i="9"/>
  <c r="C24" i="9" s="1"/>
  <c r="C4" i="4"/>
  <c r="C40" i="4"/>
  <c r="C39" i="4"/>
  <c r="C30" i="4"/>
  <c r="C38" i="4"/>
  <c r="C18" i="4"/>
  <c r="C57" i="4"/>
  <c r="C19" i="4"/>
  <c r="C53" i="4"/>
  <c r="C54" i="4"/>
  <c r="C42" i="4"/>
  <c r="C17" i="4"/>
  <c r="C1" i="9" l="1"/>
  <c r="C25" i="4"/>
  <c r="C3" i="4" l="1"/>
  <c r="C5" i="4" s="1"/>
  <c r="C7" i="4" s="1"/>
  <c r="C13" i="4" s="1"/>
  <c r="C1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8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9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19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3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4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5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6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8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2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C2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200-000004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4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<sst xmlns="http://schemas.openxmlformats.org/spreadsheetml/2006/main" count="665" uniqueCount="232">
  <si>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</si>
  <si>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</si>
  <si>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</si>
  <si>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</si>
  <si>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</si>
  <si>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</si>
  <si>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</si>
  <si>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</si>
  <si>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</si>
  <si>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</si>
  <si>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</si>
  <si>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</si>
  <si>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</si>
  <si>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</si>
  <si>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</si>
  <si>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</si>
  <si>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</si>
  <si>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</si>
  <si>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</si>
  <si>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</si>
  <si>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</si>
  <si>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</si>
  <si>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</si>
  <si>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</si>
  <si>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</si>
  <si>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</si>
  <si>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</si>
  <si>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</si>
  <si>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</si>
  <si>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</si>
  <si>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</si>
  <si>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</si>
  <si>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</si>
  <si>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</si>
  <si>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</si>
  <si>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</si>
  <si>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</si>
  <si>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</si>
  <si>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</si>
  <si>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</si>
  <si>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</si>
  <si>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</si>
  <si>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</si>
  <si>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</si>
  <si>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</si>
  <si>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</si>
  <si>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</si>
  <si>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</si>
  <si>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</si>
  <si>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</si>
  <si>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</si>
  <si>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</si>
  <si>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</si>
  <si>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</si>
  <si>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</si>
  <si>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</si>
  <si>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</si>
  <si>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</si>
  <si>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</si>
  <si>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</si>
  <si>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</si>
  <si>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</si>
  <si>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</si>
  <si>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</si>
  <si>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</si>
  <si>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</si>
  <si>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</si>
  <si>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</si>
  <si>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</si>
  <si>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</si>
  <si>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</si>
  <si>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</si>
  <si>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</si>
  <si>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</si>
  <si>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</si>
  <si>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</si>
  <si>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</si>
  <si>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</si>
  <si>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</si>
  <si>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</si>
  <si>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</si>
  <si>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</si>
  <si>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</si>
  <si>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</si>
  <si>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</si>
  <si>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</si>
  <si>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</si>
  <si>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</si>
  <si>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</si>
  <si>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</si>
  <si>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</si>
  <si>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</si>
  <si>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</si>
  <si>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</si>
  <si>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</si>
  <si>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</si>
  <si>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</si>
  <si>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</si>
  <si>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</si>
  <si>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</si>
  <si>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</si>
  <si>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</si>
  <si>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</si>
  <si>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</si>
  <si>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</si>
  <si>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</si>
  <si>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</si>
  <si>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</si>
  <si>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</si>
  <si>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</si>
  <si>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</si>
  <si>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</si>
  <si>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</si>
  <si>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</si>
  <si>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</si>
  <si>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</si>
  <si>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</si>
  <si>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</si>
  <si>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</si>
  <si>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</si>
  <si>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</si>
  <si>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</si>
  <si>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</si>
  <si>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</si>
  <si>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</si>
  <si>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</si>
  <si>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</si>
  <si>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</si>
  <si>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</si>
  <si>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</si>
  <si>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</si>
  <si>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</si>
  <si>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</si>
  <si>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</si>
  <si>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</si>
  <si>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</si>
  <si>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</si>
  <si>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</si>
  <si>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</si>
  <si>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</si>
  <si>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</si>
  <si>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</si>
  <si>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</si>
  <si>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</si>
  <si>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</si>
  <si>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</si>
  <si>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</si>
  <si>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</si>
  <si>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</si>
  <si>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</si>
  <si>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</si>
  <si>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</si>
  <si>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</si>
  <si>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</si>
  <si>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</si>
  <si>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</si>
  <si>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</si>
  <si>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</si>
  <si>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</si>
  <si>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</si>
  <si>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</si>
  <si>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</si>
  <si>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</si>
  <si>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</si>
  <si>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</si>
  <si>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</si>
  <si>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</si>
  <si>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</si>
  <si>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</si>
  <si>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</si>
  <si>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</si>
  <si>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</si>
  <si>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</si>
  <si>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</si>
  <si>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</si>
  <si>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</si>
  <si>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</si>
  <si>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</si>
  <si>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</si>
  <si>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</si>
  <si>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</si>
  <si>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</si>
  <si>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</si>
  <si>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</si>
  <si>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</si>
  <si>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</si>
  <si>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</si>
  <si>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</si>
  <si>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</si>
  <si>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</si>
  <si>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</si>
  <si>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</si>
  <si>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</si>
  <si>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</si>
  <si>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</si>
  <si>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</si>
  <si>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</si>
  <si>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</si>
  <si>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</si>
  <si>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</si>
  <si>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</si>
  <si>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</si>
  <si>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</si>
  <si>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</si>
  <si>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</si>
  <si>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</si>
  <si>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</si>
  <si>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</si>
  <si>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</si>
  <si>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</si>
  <si>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</si>
  <si>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</si>
  <si>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</si>
  <si>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</si>
  <si>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</si>
  <si>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</si>
  <si>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</si>
  <si>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</si>
  <si>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</si>
  <si>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</si>
  <si>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</si>
  <si>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Cerdo para cervicios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</si>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</sst>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</cellStyleXfs>
  <cellXfs count="67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theme" Target="theme/theme1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styles" Target="style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sheetMetadata" Target="metadata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E000000}">
  <cacheSource type="worksheet">
    <worksheetSource ref="B16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F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10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1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12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14000000}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4000000}" name="TablaDinámica5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3000000}" name="TablaDinámica1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7000000}" name="TablaDinámica4" cacheId="5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6000000}" name="TablaDinámica2" cacheId="4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5000000}" name="TablaDinámica1" cacheId="2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8000000}" name="TablaDinámica3" cacheId="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I82"/>
  <sheetViews>
    <sheetView showGridLines="0" tabSelected="1" zoomScale="70" zoomScaleNormal="70" workbookViewId="0">
      <pane ySplit="16" topLeftCell="A72" activePane="bottomLeft" state="frozen"/>
      <selection pane="bottomLeft" activeCell="G81" sqref="G81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outlineLevel="1" x14ac:dyDescent="0.25">
      <c r="C2"/>
      <c r="D2"/>
      <c r="E2" t="s">
        <v>110</v>
      </c>
    </row>
    <row r="3" spans="1:8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8" ht="17.25" outlineLevel="1" x14ac:dyDescent="0.4">
      <c r="C5" s="14">
        <f>+C3+C4</f>
        <v>31006567</v>
      </c>
      <c r="G5" t="s">
        <v>112</v>
      </c>
    </row>
    <row r="6" spans="1:8" outlineLevel="1" x14ac:dyDescent="0.25"/>
    <row r="7" spans="1:8" outlineLevel="1" x14ac:dyDescent="0.25">
      <c r="C7" s="3">
        <f>+C5/2</f>
        <v>15503283.5</v>
      </c>
    </row>
    <row r="8" spans="1:8" ht="16.5" customHeight="1" outlineLevel="1" x14ac:dyDescent="0.25">
      <c r="B8" s="2">
        <v>46062</v>
      </c>
      <c r="C8" s="3">
        <v>300000</v>
      </c>
      <c r="D8" t="s">
        <v>17</v>
      </c>
    </row>
    <row r="9" spans="1:8" ht="16.5" customHeight="1" outlineLevel="1" x14ac:dyDescent="0.25">
      <c r="B9" s="2">
        <v>46073</v>
      </c>
      <c r="C9" s="3">
        <v>1000000</v>
      </c>
      <c r="D9" t="s">
        <v>17</v>
      </c>
    </row>
    <row r="10" spans="1:8" ht="16.5" customHeight="1" outlineLevel="1" x14ac:dyDescent="0.25">
      <c r="B10" s="2">
        <v>46073</v>
      </c>
      <c r="C10" s="3">
        <v>3000000</v>
      </c>
      <c r="D10"/>
    </row>
    <row r="11" spans="1:8" ht="16.5" customHeight="1" outlineLevel="1" x14ac:dyDescent="0.25">
      <c r="B11" s="2">
        <v>46080</v>
      </c>
      <c r="C11" s="3">
        <v>1000000</v>
      </c>
      <c r="D11" t="s">
        <v>17</v>
      </c>
    </row>
    <row r="12" spans="1:8" ht="16.5" customHeight="1" outlineLevel="1" x14ac:dyDescent="0.25">
      <c r="B12" s="2">
        <v>46084</v>
      </c>
      <c r="C12" s="3">
        <v>1500000</v>
      </c>
      <c r="D12"/>
    </row>
    <row r="13" spans="1:8" outlineLevel="1" x14ac:dyDescent="0.25">
      <c r="C13" s="16">
        <f>+C7-C4-SUM(C8:C12)</f>
        <v>5504983.5</v>
      </c>
    </row>
    <row r="14" spans="1:8" outlineLevel="1" x14ac:dyDescent="0.25"/>
    <row r="15" spans="1:8" ht="17.25" x14ac:dyDescent="0.4">
      <c r="C15" s="14">
        <f>+SUM(C17:C1048576)-C5</f>
        <v>0</v>
      </c>
      <c r="E15" s="3" t="s">
        <v>0</v>
      </c>
    </row>
    <row r="16" spans="1:8" x14ac:dyDescent="0.25">
      <c r="A16" s="4" t="s">
        <v>68</v>
      </c>
      <c r="B16" s="4" t="s">
        <v>5</v>
      </c>
      <c r="C16" s="5" t="s">
        <v>6</v>
      </c>
      <c r="D16" s="5" t="s">
        <v>7</v>
      </c>
      <c r="E16" s="5" t="s">
        <v>37</v>
      </c>
      <c r="F16" s="4" t="s">
        <v>1</v>
      </c>
      <c r="G16" s="4" t="s">
        <v>3</v>
      </c>
      <c r="H16" s="4" t="s">
        <v>15</v>
      </c>
    </row>
    <row r="17" spans="1:8" x14ac:dyDescent="0.25">
      <c r="A17">
        <v>1</v>
      </c>
      <c r="B17" s="2">
        <v>46049</v>
      </c>
      <c r="C17" s="3">
        <f>1350000+150000</f>
        <v>1500000</v>
      </c>
      <c r="D17" s="3" t="s">
        <v>9</v>
      </c>
      <c r="E17" s="3" t="s">
        <v>69</v>
      </c>
      <c r="F17" t="s">
        <v>10</v>
      </c>
      <c r="G17" t="s">
        <v>21</v>
      </c>
      <c r="H17" t="s">
        <v>22</v>
      </c>
    </row>
    <row r="18" spans="1:8" x14ac:dyDescent="0.25">
      <c r="A18">
        <v>2</v>
      </c>
      <c r="B18" s="2">
        <v>46049</v>
      </c>
      <c r="C18" s="3">
        <f>2500000+1400000+400000</f>
        <v>4300000</v>
      </c>
      <c r="D18" s="3" t="s">
        <v>9</v>
      </c>
      <c r="E18" s="3" t="s">
        <v>69</v>
      </c>
      <c r="F18" t="s">
        <v>10</v>
      </c>
      <c r="G18" s="8" t="s">
        <v>38</v>
      </c>
      <c r="H18" t="s">
        <v>61</v>
      </c>
    </row>
    <row r="19" spans="1:8" x14ac:dyDescent="0.25">
      <c r="A19">
        <v>3</v>
      </c>
      <c r="B19" s="2">
        <v>46056</v>
      </c>
      <c r="C19" s="3">
        <f>5400000+500000+(25000*2)</f>
        <v>5950000</v>
      </c>
      <c r="D19" s="3" t="s">
        <v>9</v>
      </c>
      <c r="E19" s="3" t="s">
        <v>69</v>
      </c>
      <c r="F19" t="s">
        <v>10</v>
      </c>
      <c r="G19" s="8" t="s">
        <v>41</v>
      </c>
      <c r="H19" s="3" t="s">
        <v>54</v>
      </c>
    </row>
    <row r="20" spans="1:8" x14ac:dyDescent="0.25">
      <c r="A20">
        <v>4</v>
      </c>
      <c r="B20" s="2">
        <v>46056</v>
      </c>
      <c r="C20" s="3">
        <v>80000</v>
      </c>
      <c r="D20" s="3" t="s">
        <v>9</v>
      </c>
      <c r="E20" s="3" t="s">
        <v>101</v>
      </c>
      <c r="F20" t="s">
        <v>10</v>
      </c>
      <c r="G20" s="8" t="s">
        <v>71</v>
      </c>
      <c r="H20" s="3" t="s">
        <v>72</v>
      </c>
    </row>
    <row r="21" spans="1:8" x14ac:dyDescent="0.25">
      <c r="A21">
        <v>5</v>
      </c>
      <c r="B21" s="2">
        <v>46056</v>
      </c>
      <c r="C21" s="3">
        <v>100000</v>
      </c>
      <c r="D21" s="3" t="s">
        <v>9</v>
      </c>
      <c r="E21" s="3" t="s">
        <v>101</v>
      </c>
      <c r="F21" t="s">
        <v>10</v>
      </c>
      <c r="G21" s="8" t="s">
        <v>47</v>
      </c>
      <c r="H21" t="s">
        <v>42</v>
      </c>
    </row>
    <row r="22" spans="1:8" x14ac:dyDescent="0.25">
      <c r="A22">
        <v>6</v>
      </c>
      <c r="B22" s="2">
        <v>46056</v>
      </c>
      <c r="C22" s="3">
        <v>30000</v>
      </c>
      <c r="D22" s="3" t="s">
        <v>9</v>
      </c>
      <c r="E22" s="3" t="s">
        <v>46</v>
      </c>
      <c r="F22" t="s">
        <v>10</v>
      </c>
      <c r="G22" s="8" t="s">
        <v>48</v>
      </c>
      <c r="H22" t="s">
        <v>42</v>
      </c>
    </row>
    <row r="23" spans="1:8" x14ac:dyDescent="0.25">
      <c r="A23">
        <v>7</v>
      </c>
      <c r="B23" s="2">
        <v>46060</v>
      </c>
      <c r="C23" s="3">
        <v>200000</v>
      </c>
      <c r="D23" s="3" t="s">
        <v>9</v>
      </c>
      <c r="E23" s="3" t="s">
        <v>101</v>
      </c>
      <c r="F23" t="s">
        <v>10</v>
      </c>
      <c r="G23" t="s">
        <v>57</v>
      </c>
      <c r="H23" t="s">
        <v>58</v>
      </c>
    </row>
    <row r="24" spans="1:8" x14ac:dyDescent="0.25">
      <c r="A24">
        <v>8</v>
      </c>
      <c r="B24" s="2">
        <v>46060</v>
      </c>
      <c r="C24" s="3">
        <v>110000</v>
      </c>
      <c r="D24" s="3" t="s">
        <v>9</v>
      </c>
      <c r="E24" s="3" t="s">
        <v>101</v>
      </c>
      <c r="F24" t="s">
        <v>10</v>
      </c>
      <c r="G24" s="8" t="s">
        <v>43</v>
      </c>
      <c r="H24" t="s">
        <v>66</v>
      </c>
    </row>
    <row r="25" spans="1:8" x14ac:dyDescent="0.25">
      <c r="A25">
        <v>9</v>
      </c>
      <c r="B25" s="2">
        <v>46060</v>
      </c>
      <c r="C25" s="3">
        <f>27000+35000</f>
        <v>62000</v>
      </c>
      <c r="D25" s="3" t="s">
        <v>9</v>
      </c>
      <c r="E25" s="3" t="s">
        <v>69</v>
      </c>
      <c r="F25" t="s">
        <v>10</v>
      </c>
      <c r="G25" t="s">
        <v>16</v>
      </c>
      <c r="H25" s="3" t="s">
        <v>80</v>
      </c>
    </row>
    <row r="26" spans="1:8" x14ac:dyDescent="0.25">
      <c r="A26">
        <v>10</v>
      </c>
      <c r="B26" s="2">
        <v>46056</v>
      </c>
      <c r="C26" s="3">
        <v>2400000</v>
      </c>
      <c r="D26" s="3" t="s">
        <v>9</v>
      </c>
      <c r="E26" s="3" t="s">
        <v>101</v>
      </c>
      <c r="F26" t="s">
        <v>10</v>
      </c>
      <c r="G26" t="s">
        <v>14</v>
      </c>
      <c r="H26" s="3" t="s">
        <v>40</v>
      </c>
    </row>
    <row r="27" spans="1:8" x14ac:dyDescent="0.25">
      <c r="A27">
        <v>11</v>
      </c>
      <c r="B27" s="2">
        <v>46056</v>
      </c>
      <c r="C27" s="3">
        <v>108150</v>
      </c>
      <c r="D27" s="3" t="s">
        <v>9</v>
      </c>
      <c r="E27" s="3" t="s">
        <v>101</v>
      </c>
      <c r="F27" t="s">
        <v>10</v>
      </c>
      <c r="G27" s="8" t="s">
        <v>44</v>
      </c>
      <c r="H27" s="3" t="s">
        <v>80</v>
      </c>
    </row>
    <row r="28" spans="1:8" x14ac:dyDescent="0.25">
      <c r="A28">
        <v>11</v>
      </c>
      <c r="B28" s="2">
        <v>46056</v>
      </c>
      <c r="C28" s="3">
        <v>180000</v>
      </c>
      <c r="D28" s="3" t="s">
        <v>9</v>
      </c>
      <c r="F28" t="s">
        <v>10</v>
      </c>
      <c r="G28" t="s">
        <v>25</v>
      </c>
      <c r="H28" t="s">
        <v>26</v>
      </c>
    </row>
    <row r="29" spans="1:8" x14ac:dyDescent="0.25">
      <c r="A29">
        <v>13</v>
      </c>
      <c r="B29" s="2">
        <v>46050</v>
      </c>
      <c r="C29" s="17">
        <v>135400</v>
      </c>
      <c r="D29" s="16" t="s">
        <v>9</v>
      </c>
      <c r="E29" s="3" t="s">
        <v>46</v>
      </c>
      <c r="F29" t="s">
        <v>10</v>
      </c>
      <c r="G29" t="s">
        <v>81</v>
      </c>
    </row>
    <row r="30" spans="1:8" x14ac:dyDescent="0.25">
      <c r="A30">
        <v>13</v>
      </c>
      <c r="B30" s="2">
        <v>46051</v>
      </c>
      <c r="C30" s="3">
        <f>50000+40000+10000+22000</f>
        <v>122000</v>
      </c>
      <c r="D30" s="3" t="s">
        <v>9</v>
      </c>
      <c r="E30" s="3" t="s">
        <v>46</v>
      </c>
      <c r="F30" t="s">
        <v>10</v>
      </c>
      <c r="G30" t="s">
        <v>64</v>
      </c>
    </row>
    <row r="31" spans="1:8" x14ac:dyDescent="0.25">
      <c r="A31">
        <v>14</v>
      </c>
      <c r="B31" s="2">
        <v>46051</v>
      </c>
      <c r="C31" s="3">
        <v>21900</v>
      </c>
      <c r="D31" s="18" t="s">
        <v>82</v>
      </c>
      <c r="E31" s="3" t="s">
        <v>95</v>
      </c>
      <c r="F31" t="s">
        <v>2</v>
      </c>
      <c r="G31" s="8" t="s">
        <v>4</v>
      </c>
    </row>
    <row r="32" spans="1:8" x14ac:dyDescent="0.25">
      <c r="A32">
        <v>15</v>
      </c>
      <c r="B32" s="2">
        <v>46051</v>
      </c>
      <c r="C32" s="3">
        <v>380000</v>
      </c>
      <c r="D32" s="18" t="s">
        <v>82</v>
      </c>
      <c r="E32" s="3" t="s">
        <v>95</v>
      </c>
      <c r="F32" t="s">
        <v>10</v>
      </c>
      <c r="G32" s="8" t="s">
        <v>83</v>
      </c>
    </row>
    <row r="33" spans="1:9" x14ac:dyDescent="0.25">
      <c r="A33">
        <v>16</v>
      </c>
      <c r="B33" s="2">
        <v>46051</v>
      </c>
      <c r="C33" s="3">
        <v>100000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17</v>
      </c>
      <c r="B34" s="2">
        <v>46051</v>
      </c>
      <c r="C34" s="3">
        <v>30000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18</v>
      </c>
      <c r="B35" s="2">
        <v>46060</v>
      </c>
      <c r="C35" s="3">
        <v>50000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19</v>
      </c>
      <c r="B36" s="2">
        <v>46066</v>
      </c>
      <c r="C36" s="3">
        <v>70000</v>
      </c>
      <c r="D36" s="18" t="s">
        <v>82</v>
      </c>
      <c r="E36" s="3" t="s">
        <v>95</v>
      </c>
      <c r="F36" t="s">
        <v>10</v>
      </c>
      <c r="G36" t="s">
        <v>83</v>
      </c>
    </row>
    <row r="37" spans="1:9" x14ac:dyDescent="0.25">
      <c r="A37">
        <v>20</v>
      </c>
      <c r="B37" s="2">
        <v>46057</v>
      </c>
      <c r="C37" s="3">
        <v>490000</v>
      </c>
      <c r="D37" s="18" t="s">
        <v>96</v>
      </c>
      <c r="F37" t="s">
        <v>2</v>
      </c>
      <c r="G37" s="8" t="s">
        <v>13</v>
      </c>
    </row>
    <row r="38" spans="1:9" x14ac:dyDescent="0.25">
      <c r="A38">
        <v>22</v>
      </c>
      <c r="B38" s="2">
        <v>46062</v>
      </c>
      <c r="C38" s="3">
        <f>1650000+50000</f>
        <v>1700000</v>
      </c>
      <c r="D38" s="18" t="s">
        <v>82</v>
      </c>
      <c r="F38" t="s">
        <v>10</v>
      </c>
      <c r="G38" s="8" t="s">
        <v>65</v>
      </c>
      <c r="H38" t="s">
        <v>19</v>
      </c>
      <c r="I38" t="s">
        <v>20</v>
      </c>
    </row>
    <row r="39" spans="1:9" x14ac:dyDescent="0.25">
      <c r="A39">
        <v>23</v>
      </c>
      <c r="B39" s="21">
        <v>46065</v>
      </c>
      <c r="C39" s="19">
        <f>15500+49000+14400+83115+4900+47200+44500</f>
        <v>258615</v>
      </c>
      <c r="D39" s="18" t="s">
        <v>82</v>
      </c>
      <c r="E39" s="19"/>
      <c r="F39" s="20" t="s">
        <v>10</v>
      </c>
      <c r="G39" s="20" t="s">
        <v>84</v>
      </c>
    </row>
    <row r="40" spans="1:9" x14ac:dyDescent="0.25">
      <c r="A40">
        <v>24</v>
      </c>
      <c r="B40" s="21">
        <v>46065</v>
      </c>
      <c r="C40" s="19">
        <f>38050+47400+30000</f>
        <v>115450</v>
      </c>
      <c r="D40" s="18" t="s">
        <v>82</v>
      </c>
      <c r="E40" s="19"/>
      <c r="F40" s="20" t="s">
        <v>10</v>
      </c>
      <c r="G40" s="20" t="s">
        <v>87</v>
      </c>
    </row>
    <row r="41" spans="1:9" x14ac:dyDescent="0.25">
      <c r="A41">
        <v>25</v>
      </c>
      <c r="B41" s="2">
        <v>46070</v>
      </c>
      <c r="C41" s="3">
        <v>60000</v>
      </c>
      <c r="D41" s="3" t="s">
        <v>8</v>
      </c>
      <c r="F41" t="s">
        <v>2</v>
      </c>
      <c r="G41" s="22" t="s">
        <v>97</v>
      </c>
    </row>
    <row r="42" spans="1:9" x14ac:dyDescent="0.25">
      <c r="A42">
        <v>26</v>
      </c>
      <c r="B42" s="2">
        <v>46071</v>
      </c>
      <c r="C42" s="3">
        <f>1345000+200000</f>
        <v>1545000</v>
      </c>
      <c r="D42" s="3" t="s">
        <v>9</v>
      </c>
      <c r="E42" s="3" t="s">
        <v>101</v>
      </c>
      <c r="F42" t="s">
        <v>10</v>
      </c>
      <c r="G42" t="s">
        <v>29</v>
      </c>
      <c r="H42" t="s">
        <v>28</v>
      </c>
    </row>
    <row r="43" spans="1:9" x14ac:dyDescent="0.25">
      <c r="A43">
        <v>27</v>
      </c>
      <c r="B43" s="2">
        <v>46071</v>
      </c>
      <c r="C43" s="3">
        <v>151300</v>
      </c>
      <c r="D43" s="18" t="s">
        <v>82</v>
      </c>
      <c r="E43" s="3" t="s">
        <v>46</v>
      </c>
      <c r="F43" t="s">
        <v>10</v>
      </c>
      <c r="G43" t="s">
        <v>94</v>
      </c>
      <c r="H43" t="s">
        <v>27</v>
      </c>
    </row>
    <row r="44" spans="1:9" x14ac:dyDescent="0.25">
      <c r="A44">
        <v>28</v>
      </c>
      <c r="B44" s="2">
        <v>46072</v>
      </c>
      <c r="C44" s="3">
        <v>300000</v>
      </c>
      <c r="D44" s="3" t="s">
        <v>9</v>
      </c>
      <c r="E44" s="3" t="s">
        <v>101</v>
      </c>
      <c r="F44" t="s">
        <v>10</v>
      </c>
      <c r="G44" t="s">
        <v>30</v>
      </c>
    </row>
    <row r="45" spans="1:9" x14ac:dyDescent="0.25">
      <c r="A45">
        <v>29</v>
      </c>
      <c r="B45" s="2">
        <v>46048</v>
      </c>
      <c r="C45" s="3">
        <v>150000</v>
      </c>
      <c r="D45" s="18" t="s">
        <v>82</v>
      </c>
      <c r="F45" t="s">
        <v>10</v>
      </c>
      <c r="G45" s="7" t="s">
        <v>86</v>
      </c>
    </row>
    <row r="46" spans="1:9" x14ac:dyDescent="0.25">
      <c r="A46">
        <v>30</v>
      </c>
      <c r="B46" s="2">
        <v>46048</v>
      </c>
      <c r="C46" s="6">
        <v>750000</v>
      </c>
      <c r="D46" s="3" t="s">
        <v>8</v>
      </c>
      <c r="F46" t="s">
        <v>10</v>
      </c>
      <c r="G46" s="7" t="s">
        <v>11</v>
      </c>
    </row>
    <row r="47" spans="1:9" x14ac:dyDescent="0.25">
      <c r="A47">
        <v>31</v>
      </c>
      <c r="B47" s="2">
        <v>46069</v>
      </c>
      <c r="C47" s="3">
        <v>900000</v>
      </c>
      <c r="D47" s="3" t="s">
        <v>8</v>
      </c>
      <c r="F47" t="s">
        <v>2</v>
      </c>
      <c r="G47" s="7" t="s">
        <v>11</v>
      </c>
    </row>
    <row r="48" spans="1:9" x14ac:dyDescent="0.25">
      <c r="A48">
        <v>32</v>
      </c>
      <c r="B48" s="2">
        <v>46070</v>
      </c>
      <c r="C48" s="3">
        <v>730000</v>
      </c>
      <c r="D48" s="18" t="s">
        <v>82</v>
      </c>
      <c r="E48" s="3" t="s">
        <v>89</v>
      </c>
      <c r="F48" t="s">
        <v>10</v>
      </c>
      <c r="G48" t="s">
        <v>90</v>
      </c>
      <c r="H48" t="s">
        <v>91</v>
      </c>
    </row>
    <row r="49" spans="1:8" x14ac:dyDescent="0.25">
      <c r="A49">
        <v>33</v>
      </c>
      <c r="B49" s="2">
        <v>46070</v>
      </c>
      <c r="C49" s="3">
        <v>420000</v>
      </c>
      <c r="D49" s="18" t="s">
        <v>82</v>
      </c>
      <c r="E49" s="3" t="s">
        <v>89</v>
      </c>
      <c r="F49" t="s">
        <v>10</v>
      </c>
      <c r="G49" t="s">
        <v>98</v>
      </c>
      <c r="H49" t="s">
        <v>23</v>
      </c>
    </row>
    <row r="50" spans="1:8" x14ac:dyDescent="0.25">
      <c r="A50">
        <v>34</v>
      </c>
      <c r="B50" s="2">
        <v>46070</v>
      </c>
      <c r="C50" s="3">
        <v>300000</v>
      </c>
      <c r="D50" s="18" t="s">
        <v>82</v>
      </c>
      <c r="F50" t="s">
        <v>10</v>
      </c>
      <c r="G50" s="8" t="s">
        <v>88</v>
      </c>
    </row>
    <row r="51" spans="1:8" x14ac:dyDescent="0.25">
      <c r="A51">
        <v>35</v>
      </c>
      <c r="B51" s="2">
        <v>46070</v>
      </c>
      <c r="C51" s="3">
        <v>140000</v>
      </c>
      <c r="D51" s="18" t="s">
        <v>82</v>
      </c>
      <c r="F51" t="s">
        <v>10</v>
      </c>
      <c r="G51" s="8" t="s">
        <v>92</v>
      </c>
    </row>
    <row r="52" spans="1:8" x14ac:dyDescent="0.25">
      <c r="A52">
        <v>36</v>
      </c>
      <c r="B52" s="2">
        <v>46070</v>
      </c>
      <c r="C52" s="3">
        <v>550000</v>
      </c>
      <c r="D52" s="18" t="s">
        <v>9</v>
      </c>
      <c r="E52" s="3" t="s">
        <v>101</v>
      </c>
      <c r="F52" t="s">
        <v>10</v>
      </c>
      <c r="G52" t="s">
        <v>31</v>
      </c>
    </row>
    <row r="53" spans="1:8" x14ac:dyDescent="0.25">
      <c r="A53">
        <v>37</v>
      </c>
      <c r="B53" s="2">
        <v>46070</v>
      </c>
      <c r="C53" s="3">
        <f>415000+49000</f>
        <v>464000</v>
      </c>
      <c r="D53" s="3" t="s">
        <v>9</v>
      </c>
      <c r="E53" s="3" t="s">
        <v>101</v>
      </c>
      <c r="F53" t="s">
        <v>10</v>
      </c>
      <c r="G53" t="s">
        <v>33</v>
      </c>
    </row>
    <row r="54" spans="1:8" x14ac:dyDescent="0.25">
      <c r="A54">
        <v>38</v>
      </c>
      <c r="B54" s="2">
        <v>46070</v>
      </c>
      <c r="C54" s="3">
        <f>30000+101000</f>
        <v>131000</v>
      </c>
      <c r="D54" s="3" t="s">
        <v>9</v>
      </c>
      <c r="E54" s="3" t="s">
        <v>101</v>
      </c>
      <c r="F54" t="s">
        <v>10</v>
      </c>
      <c r="G54" t="s">
        <v>32</v>
      </c>
    </row>
    <row r="55" spans="1:8" x14ac:dyDescent="0.25">
      <c r="A55">
        <v>40</v>
      </c>
      <c r="B55" s="2">
        <v>46072</v>
      </c>
      <c r="C55" s="3">
        <v>40000</v>
      </c>
      <c r="D55" s="10" t="s">
        <v>24</v>
      </c>
      <c r="E55" s="10"/>
      <c r="F55" t="s">
        <v>10</v>
      </c>
      <c r="G55" t="s">
        <v>93</v>
      </c>
    </row>
    <row r="56" spans="1:8" x14ac:dyDescent="0.25">
      <c r="A56">
        <v>41</v>
      </c>
      <c r="B56" s="2">
        <v>46072</v>
      </c>
      <c r="C56" s="3">
        <v>140000</v>
      </c>
      <c r="D56" s="10" t="s">
        <v>24</v>
      </c>
      <c r="E56" s="10"/>
      <c r="F56" t="s">
        <v>10</v>
      </c>
      <c r="G56" t="s">
        <v>108</v>
      </c>
    </row>
    <row r="57" spans="1:8" x14ac:dyDescent="0.25">
      <c r="A57">
        <v>42</v>
      </c>
      <c r="B57" s="2">
        <v>46072</v>
      </c>
      <c r="C57" s="3">
        <f>3500*580</f>
        <v>2030000</v>
      </c>
      <c r="D57" s="10" t="s">
        <v>24</v>
      </c>
      <c r="E57" s="10"/>
      <c r="F57" t="s">
        <v>10</v>
      </c>
      <c r="G57" t="s">
        <v>85</v>
      </c>
    </row>
    <row r="58" spans="1:8" x14ac:dyDescent="0.25">
      <c r="A58">
        <v>43</v>
      </c>
      <c r="B58" s="2">
        <v>46070</v>
      </c>
      <c r="C58" s="3">
        <v>40000</v>
      </c>
      <c r="D58" s="10" t="s">
        <v>24</v>
      </c>
      <c r="E58" s="10"/>
      <c r="F58" t="s">
        <v>10</v>
      </c>
      <c r="G58" t="s">
        <v>18</v>
      </c>
    </row>
    <row r="59" spans="1:8" x14ac:dyDescent="0.25">
      <c r="A59">
        <v>44</v>
      </c>
      <c r="B59" s="2">
        <v>46073</v>
      </c>
      <c r="C59" s="3">
        <v>15000</v>
      </c>
      <c r="D59" s="3" t="s">
        <v>9</v>
      </c>
      <c r="E59" s="3" t="s">
        <v>101</v>
      </c>
      <c r="F59" t="s">
        <v>2</v>
      </c>
      <c r="G59" s="3" t="s">
        <v>102</v>
      </c>
    </row>
    <row r="60" spans="1:8" x14ac:dyDescent="0.25">
      <c r="A60">
        <v>45</v>
      </c>
      <c r="B60" s="2">
        <v>46073</v>
      </c>
      <c r="C60" s="3">
        <v>619850</v>
      </c>
      <c r="D60" s="10" t="s">
        <v>24</v>
      </c>
      <c r="F60" t="s">
        <v>10</v>
      </c>
      <c r="G60" t="s">
        <v>103</v>
      </c>
    </row>
    <row r="61" spans="1:8" x14ac:dyDescent="0.25">
      <c r="A61">
        <v>46</v>
      </c>
      <c r="B61" s="2">
        <v>46073</v>
      </c>
      <c r="C61" s="3">
        <v>90000</v>
      </c>
      <c r="D61" s="10" t="s">
        <v>24</v>
      </c>
      <c r="F61" t="s">
        <v>10</v>
      </c>
      <c r="G61" t="s">
        <v>104</v>
      </c>
    </row>
    <row r="62" spans="1:8" x14ac:dyDescent="0.25">
      <c r="A62">
        <v>47</v>
      </c>
      <c r="B62" s="2">
        <v>46073</v>
      </c>
      <c r="C62" s="3">
        <v>20000</v>
      </c>
      <c r="D62" s="18" t="s">
        <v>82</v>
      </c>
      <c r="F62" t="s">
        <v>10</v>
      </c>
      <c r="G62" t="s">
        <v>105</v>
      </c>
    </row>
    <row r="63" spans="1:8" x14ac:dyDescent="0.25">
      <c r="A63">
        <v>48</v>
      </c>
      <c r="B63" s="2">
        <v>46073</v>
      </c>
      <c r="C63" s="3">
        <v>260100</v>
      </c>
      <c r="D63" s="3" t="s">
        <v>9</v>
      </c>
      <c r="E63" s="3" t="s">
        <v>46</v>
      </c>
      <c r="F63" t="s">
        <v>10</v>
      </c>
      <c r="G63" t="s">
        <v>106</v>
      </c>
    </row>
    <row r="64" spans="1:8" x14ac:dyDescent="0.25">
      <c r="A64">
        <v>49</v>
      </c>
      <c r="B64" s="2">
        <v>46073</v>
      </c>
      <c r="C64" s="3">
        <v>412000</v>
      </c>
      <c r="D64" s="10" t="s">
        <v>24</v>
      </c>
      <c r="F64" t="s">
        <v>10</v>
      </c>
      <c r="G64" s="1" t="s">
        <v>107</v>
      </c>
    </row>
    <row r="65" spans="1:7" x14ac:dyDescent="0.25">
      <c r="A65">
        <v>50</v>
      </c>
      <c r="B65" s="2">
        <v>46073</v>
      </c>
      <c r="C65" s="3">
        <v>80000</v>
      </c>
      <c r="D65" s="3" t="s">
        <v>9</v>
      </c>
      <c r="F65" t="s">
        <v>2</v>
      </c>
      <c r="G65" t="s">
        <v>113</v>
      </c>
    </row>
    <row r="66" spans="1:7" x14ac:dyDescent="0.25">
      <c r="A66">
        <v>51</v>
      </c>
      <c r="B66" s="2">
        <v>46074</v>
      </c>
      <c r="C66" s="3">
        <v>57000</v>
      </c>
      <c r="D66" s="10" t="s">
        <v>24</v>
      </c>
      <c r="F66" t="s">
        <v>10</v>
      </c>
      <c r="G66" t="s">
        <v>114</v>
      </c>
    </row>
    <row r="67" spans="1:7" x14ac:dyDescent="0.25">
      <c r="B67" s="2">
        <v>46074</v>
      </c>
      <c r="C67" s="3">
        <v>5600</v>
      </c>
      <c r="D67" s="3" t="s">
        <v>8</v>
      </c>
      <c r="F67" t="s">
        <v>10</v>
      </c>
      <c r="G67" t="s">
        <v>115</v>
      </c>
    </row>
    <row r="68" spans="1:7" x14ac:dyDescent="0.25">
      <c r="B68" s="2">
        <v>46074</v>
      </c>
      <c r="C68" s="3">
        <v>15000</v>
      </c>
      <c r="D68" s="3" t="s">
        <v>9</v>
      </c>
      <c r="F68" t="s">
        <v>10</v>
      </c>
      <c r="G68" t="s">
        <v>116</v>
      </c>
    </row>
    <row r="71" spans="1:7" x14ac:dyDescent="0.25">
      <c r="B71" s="2">
        <v>46076</v>
      </c>
      <c r="C71" s="3">
        <v>58200</v>
      </c>
      <c r="D71" s="3" t="s">
        <v>8</v>
      </c>
      <c r="F71" t="s">
        <v>10</v>
      </c>
      <c r="G71" t="s">
        <v>135</v>
      </c>
    </row>
    <row r="72" spans="1:7" x14ac:dyDescent="0.25">
      <c r="B72" s="2">
        <v>46076</v>
      </c>
      <c r="C72" s="3">
        <v>63202</v>
      </c>
      <c r="D72" s="3" t="s">
        <v>8</v>
      </c>
      <c r="F72" t="s">
        <v>10</v>
      </c>
      <c r="G72" t="s">
        <v>119</v>
      </c>
    </row>
    <row r="73" spans="1:7" x14ac:dyDescent="0.25">
      <c r="B73" s="2">
        <v>46076</v>
      </c>
      <c r="C73" s="3">
        <f>8200+1300</f>
        <v>9500</v>
      </c>
      <c r="D73" s="3" t="s">
        <v>8</v>
      </c>
      <c r="F73" t="s">
        <v>10</v>
      </c>
      <c r="G73" t="s">
        <v>12</v>
      </c>
    </row>
    <row r="74" spans="1:7" x14ac:dyDescent="0.25">
      <c r="B74" s="2">
        <v>46076</v>
      </c>
      <c r="C74" s="3">
        <v>20400</v>
      </c>
      <c r="D74" s="10" t="s">
        <v>24</v>
      </c>
      <c r="F74" t="s">
        <v>10</v>
      </c>
      <c r="G74" t="s">
        <v>120</v>
      </c>
    </row>
    <row r="75" spans="1:7" x14ac:dyDescent="0.25">
      <c r="B75" s="2">
        <v>46076</v>
      </c>
      <c r="C75" s="3">
        <v>42500</v>
      </c>
      <c r="D75" s="10" t="s">
        <v>24</v>
      </c>
      <c r="F75" t="s">
        <v>10</v>
      </c>
      <c r="G75" t="s">
        <v>117</v>
      </c>
    </row>
    <row r="76" spans="1:7" x14ac:dyDescent="0.25">
      <c r="B76" s="2">
        <v>46076</v>
      </c>
      <c r="C76" s="3">
        <v>192000</v>
      </c>
      <c r="D76" s="10" t="s">
        <v>24</v>
      </c>
      <c r="F76" t="s">
        <v>10</v>
      </c>
      <c r="G76" t="s">
        <v>118</v>
      </c>
    </row>
    <row r="77" spans="1:7" x14ac:dyDescent="0.25">
      <c r="B77" s="2">
        <v>46076</v>
      </c>
      <c r="C77" s="3">
        <v>260000</v>
      </c>
      <c r="D77" s="3" t="s">
        <v>9</v>
      </c>
      <c r="F77" t="s">
        <v>10</v>
      </c>
      <c r="G77" t="s">
        <v>130</v>
      </c>
    </row>
    <row r="78" spans="1:7" x14ac:dyDescent="0.25">
      <c r="B78" s="2">
        <v>46076</v>
      </c>
      <c r="C78" s="3">
        <v>30000</v>
      </c>
      <c r="D78" s="3" t="s">
        <v>9</v>
      </c>
      <c r="F78" t="s">
        <v>2</v>
      </c>
      <c r="G78" t="s">
        <v>133</v>
      </c>
    </row>
    <row r="79" spans="1:7" x14ac:dyDescent="0.25">
      <c r="B79" s="2">
        <v>46076</v>
      </c>
      <c r="C79" s="16">
        <v>615000</v>
      </c>
      <c r="D79" s="3" t="s">
        <v>8</v>
      </c>
      <c r="F79" t="s">
        <v>2</v>
      </c>
      <c r="G79" t="s">
        <v>134</v>
      </c>
    </row>
    <row r="80" spans="1:7" x14ac:dyDescent="0.25">
      <c r="B80" s="2">
        <v>46076</v>
      </c>
      <c r="C80" s="3">
        <v>81000</v>
      </c>
      <c r="D80" s="3" t="s">
        <v>8</v>
      </c>
      <c r="F80" t="s">
        <v>2</v>
      </c>
      <c r="G80" t="s">
        <v>231</v>
      </c>
    </row>
    <row r="81" spans="2:7" x14ac:dyDescent="0.25">
      <c r="B81" s="2">
        <v>46084</v>
      </c>
      <c r="C81" s="3">
        <v>395000</v>
      </c>
      <c r="D81" s="3" t="s">
        <v>9</v>
      </c>
      <c r="F81" t="s">
        <v>2</v>
      </c>
      <c r="G81" t="s">
        <v>222</v>
      </c>
    </row>
    <row r="82" spans="2:7" x14ac:dyDescent="0.25">
      <c r="B82" s="2">
        <v>46083</v>
      </c>
      <c r="C82" s="3">
        <v>330400</v>
      </c>
      <c r="D82" s="3" t="s">
        <v>9</v>
      </c>
      <c r="F82" t="s">
        <v>2</v>
      </c>
      <c r="G82" t="s">
        <v>230</v>
      </c>
    </row>
  </sheetData>
  <autoFilter ref="B16:I59" xr:uid="{00000000-0009-0000-0000-000001000000}"/>
  <conditionalFormatting sqref="C1:E2 H17:H28 C23:C28 H34:H36 C35:C36 G49 G59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S30"/>
  <sheetViews>
    <sheetView showGridLines="0" zoomScale="85" zoomScaleNormal="85" workbookViewId="0">
      <selection activeCell="V15" sqref="V15"/>
    </sheetView>
  </sheetViews>
  <sheetFormatPr baseColWidth="10" defaultRowHeight="15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0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0" hidden="1" customWidth="1" outlineLevel="1"/>
    <col min="10" max="10" width="3.140625" hidden="1" customWidth="1" outlineLevel="1"/>
    <col min="11" max="11" width="0" hidden="1" customWidth="1" outlineLevel="1"/>
    <col min="12" max="12" width="3.140625" hidden="1" customWidth="1" outlineLevel="1"/>
    <col min="13" max="13" width="0" hidden="1" customWidth="1" outlineLevel="1"/>
    <col min="14" max="14" width="3.140625" bestFit="1" customWidth="1" collapsed="1"/>
    <col min="16" max="16" width="3.140625" bestFit="1" customWidth="1" collapsed="1"/>
    <col min="18" max="18" width="3.140625" bestFit="1" customWidth="1" collapsed="1"/>
  </cols>
  <sheetData>
    <row r="1" spans="1:19" x14ac:dyDescent="0.25">
      <c r="A1" s="40">
        <v>197650</v>
      </c>
      <c r="C1" s="42">
        <f>+C14-A1</f>
        <v>7950</v>
      </c>
      <c r="D1" s="40"/>
      <c r="E1" s="41"/>
      <c r="F1" s="41"/>
      <c r="G1" s="41"/>
    </row>
    <row r="2" spans="1:19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3</v>
      </c>
      <c r="P2" s="44" t="s">
        <v>137</v>
      </c>
      <c r="Q2" s="45">
        <v>46083</v>
      </c>
      <c r="R2" s="44" t="s">
        <v>137</v>
      </c>
      <c r="S2" s="45">
        <v>46083</v>
      </c>
    </row>
    <row r="3" spans="1:19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>
        <v>0</v>
      </c>
      <c r="O3" s="3">
        <f>+$A3*N3</f>
        <v>0</v>
      </c>
      <c r="P3" s="26"/>
      <c r="Q3" s="3">
        <f>+$A3*P3</f>
        <v>0</v>
      </c>
      <c r="R3" s="1"/>
      <c r="S3" s="3">
        <f>+$A3*R3</f>
        <v>0</v>
      </c>
    </row>
    <row r="4" spans="1:19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26">
        <v>0</v>
      </c>
      <c r="M4" s="3">
        <f t="shared" ref="M4" si="4">+$A4*L4</f>
        <v>0</v>
      </c>
      <c r="N4" s="26">
        <v>1</v>
      </c>
      <c r="O4" s="3">
        <f t="shared" ref="O4" si="5">+$A4*N4</f>
        <v>50000</v>
      </c>
      <c r="P4" s="26"/>
      <c r="Q4" s="3">
        <f t="shared" ref="Q4" si="6">+$A4*P4</f>
        <v>0</v>
      </c>
      <c r="R4" s="1"/>
      <c r="S4" s="3">
        <f t="shared" ref="S4" si="7">+$A4*R4</f>
        <v>0</v>
      </c>
    </row>
    <row r="5" spans="1:19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1</v>
      </c>
      <c r="O5" s="3">
        <f>+$A5*N5</f>
        <v>20000</v>
      </c>
      <c r="P5" s="26"/>
      <c r="Q5" s="3">
        <f>+$A5*P5</f>
        <v>0</v>
      </c>
      <c r="R5" s="1"/>
      <c r="S5" s="3">
        <f>+$A5*R5</f>
        <v>0</v>
      </c>
    </row>
    <row r="6" spans="1:19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4</v>
      </c>
      <c r="O6" s="3">
        <f>+$A6*N6</f>
        <v>40000</v>
      </c>
      <c r="P6" s="26"/>
      <c r="Q6" s="3">
        <f>+$A6*P6</f>
        <v>0</v>
      </c>
      <c r="R6" s="1"/>
      <c r="S6" s="3">
        <f>+$A6*R6</f>
        <v>0</v>
      </c>
    </row>
    <row r="7" spans="1:19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8">+$A7*H7</f>
        <v>30000</v>
      </c>
      <c r="J7" s="26">
        <v>5</v>
      </c>
      <c r="K7" s="3">
        <f t="shared" ref="K7:K13" si="9">+$A7*J7</f>
        <v>25000</v>
      </c>
      <c r="L7" s="26">
        <v>5</v>
      </c>
      <c r="M7" s="3">
        <f t="shared" ref="M7:M13" si="10">+$A7*L7</f>
        <v>25000</v>
      </c>
      <c r="N7" s="26">
        <v>3</v>
      </c>
      <c r="O7" s="3">
        <f t="shared" ref="O7:O13" si="11">+$A7*N7</f>
        <v>15000</v>
      </c>
      <c r="P7" s="26"/>
      <c r="Q7" s="3">
        <f t="shared" ref="Q7:Q13" si="12">+$A7*P7</f>
        <v>0</v>
      </c>
      <c r="R7" s="1"/>
      <c r="S7" s="3">
        <f t="shared" ref="S7:S13" si="13">+$A7*R7</f>
        <v>0</v>
      </c>
    </row>
    <row r="8" spans="1:19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8"/>
        <v>24000</v>
      </c>
      <c r="J8" s="26">
        <v>17</v>
      </c>
      <c r="K8" s="3">
        <f t="shared" si="9"/>
        <v>34000</v>
      </c>
      <c r="L8" s="26">
        <v>14</v>
      </c>
      <c r="M8" s="3">
        <f t="shared" si="10"/>
        <v>28000</v>
      </c>
      <c r="N8" s="26">
        <v>10</v>
      </c>
      <c r="O8" s="3">
        <f t="shared" si="11"/>
        <v>20000</v>
      </c>
      <c r="P8" s="26"/>
      <c r="Q8" s="3">
        <f t="shared" si="12"/>
        <v>0</v>
      </c>
      <c r="R8" s="1"/>
      <c r="S8" s="3">
        <f t="shared" si="13"/>
        <v>0</v>
      </c>
    </row>
    <row r="9" spans="1:19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8"/>
        <v>3000</v>
      </c>
      <c r="J9" s="26">
        <v>2</v>
      </c>
      <c r="K9" s="3">
        <f t="shared" si="9"/>
        <v>2000</v>
      </c>
      <c r="L9" s="26">
        <v>0</v>
      </c>
      <c r="M9" s="3">
        <f t="shared" si="10"/>
        <v>0</v>
      </c>
      <c r="N9" s="26">
        <v>0</v>
      </c>
      <c r="O9" s="3">
        <f t="shared" si="11"/>
        <v>0</v>
      </c>
      <c r="P9" s="26"/>
      <c r="Q9" s="3">
        <f t="shared" si="12"/>
        <v>0</v>
      </c>
      <c r="R9" s="1"/>
      <c r="S9" s="3">
        <f t="shared" si="13"/>
        <v>0</v>
      </c>
    </row>
    <row r="10" spans="1:19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8"/>
        <v>19000</v>
      </c>
      <c r="J10" s="26">
        <v>37</v>
      </c>
      <c r="K10" s="3">
        <f t="shared" si="9"/>
        <v>18500</v>
      </c>
      <c r="L10" s="26">
        <v>36</v>
      </c>
      <c r="M10" s="3">
        <f t="shared" si="10"/>
        <v>18000</v>
      </c>
      <c r="N10" s="26">
        <v>36</v>
      </c>
      <c r="O10" s="3">
        <f t="shared" si="11"/>
        <v>18000</v>
      </c>
      <c r="P10" s="26"/>
      <c r="Q10" s="3">
        <f t="shared" si="12"/>
        <v>0</v>
      </c>
      <c r="R10" s="1"/>
      <c r="S10" s="3">
        <f t="shared" si="13"/>
        <v>0</v>
      </c>
    </row>
    <row r="11" spans="1:19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8"/>
        <v>12400</v>
      </c>
      <c r="J11" s="26">
        <v>62</v>
      </c>
      <c r="K11" s="3">
        <f t="shared" si="9"/>
        <v>12400</v>
      </c>
      <c r="L11" s="26">
        <v>68</v>
      </c>
      <c r="M11" s="3">
        <f t="shared" si="10"/>
        <v>13600</v>
      </c>
      <c r="N11" s="26">
        <v>81</v>
      </c>
      <c r="O11" s="3">
        <f t="shared" si="11"/>
        <v>16200</v>
      </c>
      <c r="P11" s="26"/>
      <c r="Q11" s="3">
        <f t="shared" si="12"/>
        <v>0</v>
      </c>
      <c r="R11" s="1"/>
      <c r="S11" s="3">
        <f t="shared" si="13"/>
        <v>0</v>
      </c>
    </row>
    <row r="12" spans="1:19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8"/>
        <v>5100</v>
      </c>
      <c r="J12" s="26">
        <v>48</v>
      </c>
      <c r="K12" s="3">
        <f t="shared" si="9"/>
        <v>4800</v>
      </c>
      <c r="L12" s="26">
        <v>63</v>
      </c>
      <c r="M12" s="3">
        <f t="shared" si="10"/>
        <v>6300</v>
      </c>
      <c r="N12" s="26">
        <v>77</v>
      </c>
      <c r="O12" s="3">
        <f t="shared" si="11"/>
        <v>7700</v>
      </c>
      <c r="P12" s="26"/>
      <c r="Q12" s="3">
        <f t="shared" si="12"/>
        <v>0</v>
      </c>
      <c r="R12" s="1"/>
      <c r="S12" s="3">
        <f t="shared" si="13"/>
        <v>0</v>
      </c>
    </row>
    <row r="13" spans="1:19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8"/>
        <v>500</v>
      </c>
      <c r="J13" s="26">
        <v>10</v>
      </c>
      <c r="K13" s="28">
        <f t="shared" si="9"/>
        <v>500</v>
      </c>
      <c r="L13" s="26">
        <v>10</v>
      </c>
      <c r="M13" s="28">
        <f t="shared" si="10"/>
        <v>500</v>
      </c>
      <c r="N13" s="26">
        <v>14</v>
      </c>
      <c r="O13" s="28">
        <f t="shared" si="11"/>
        <v>700</v>
      </c>
      <c r="P13" s="26"/>
      <c r="Q13" s="28">
        <f t="shared" si="12"/>
        <v>0</v>
      </c>
      <c r="R13" s="1"/>
      <c r="S13" s="28">
        <f t="shared" si="13"/>
        <v>0</v>
      </c>
    </row>
    <row r="14" spans="1:19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187600</v>
      </c>
      <c r="Q14" s="17">
        <f>SUM(Q3:Q13)</f>
        <v>0</v>
      </c>
      <c r="S14" s="17">
        <f>SUM(S3:S13)</f>
        <v>0</v>
      </c>
    </row>
    <row r="15" spans="1:19" x14ac:dyDescent="0.25">
      <c r="E15" s="18">
        <f>+SUM('historial de venta'!G32:G37)</f>
        <v>76000</v>
      </c>
    </row>
    <row r="16" spans="1:19" x14ac:dyDescent="0.25">
      <c r="M16" s="13">
        <f>+K14-M18</f>
        <v>95200</v>
      </c>
      <c r="O16" s="13"/>
      <c r="Q16" s="13"/>
      <c r="S16" s="13"/>
    </row>
    <row r="17" spans="1:19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">
        <v>204</v>
      </c>
      <c r="P17" s="47"/>
      <c r="Q17" s="48" t="s">
        <v>204</v>
      </c>
      <c r="R17" s="47"/>
      <c r="S17" s="48" t="s">
        <v>204</v>
      </c>
    </row>
    <row r="18" spans="1:19" x14ac:dyDescent="0.25">
      <c r="A18" s="19" t="s">
        <v>139</v>
      </c>
      <c r="C18" s="19">
        <v>73700</v>
      </c>
      <c r="E18" s="49">
        <f>$C$22</f>
        <v>205600</v>
      </c>
      <c r="G18" s="31">
        <f>+E22</f>
        <v>315600</v>
      </c>
      <c r="I18" s="31">
        <f>+G22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+O14</f>
        <v>187600</v>
      </c>
      <c r="S18" s="31">
        <f>+Q14</f>
        <v>0</v>
      </c>
    </row>
    <row r="19" spans="1:19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5"/>
      <c r="Q19" s="65"/>
      <c r="S19" s="65"/>
    </row>
    <row r="20" spans="1:19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/>
      <c r="Q20" s="31">
        <f>+Q18-O18</f>
        <v>46200</v>
      </c>
      <c r="S20" s="31">
        <f>+S18-Q18</f>
        <v>-187600</v>
      </c>
    </row>
    <row r="21" spans="1:19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/>
    </row>
    <row r="22" spans="1:19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+SUM(M18:M20)-M21</f>
        <v>135100</v>
      </c>
      <c r="O22" s="13">
        <f>+SUM(O18:O20)-O21</f>
        <v>141400</v>
      </c>
      <c r="Q22" s="13">
        <f>+SUM(Q18:Q20)-Q21</f>
        <v>233800</v>
      </c>
      <c r="S22" s="13">
        <f>+SUM(S18:S20)-S21</f>
        <v>-187600</v>
      </c>
    </row>
    <row r="24" spans="1:19" x14ac:dyDescent="0.25">
      <c r="A24" s="57" t="s">
        <v>198</v>
      </c>
      <c r="C24" s="58">
        <f>C14-C22</f>
        <v>0</v>
      </c>
      <c r="D24" s="58"/>
      <c r="E24" s="58">
        <f>E14-E22</f>
        <v>-76000</v>
      </c>
      <c r="F24" s="58"/>
      <c r="G24" s="58">
        <f>G14-G22</f>
        <v>-432900</v>
      </c>
      <c r="H24" s="58"/>
      <c r="I24" s="58">
        <f>I14-I22</f>
        <v>-27900</v>
      </c>
      <c r="J24" s="58"/>
      <c r="K24" s="58">
        <f>K14-K22</f>
        <v>177100</v>
      </c>
      <c r="L24" s="58"/>
      <c r="M24" s="58">
        <f>M14-M22</f>
        <v>6300</v>
      </c>
      <c r="N24" s="58"/>
      <c r="O24" s="58">
        <f>O14-O22</f>
        <v>46200</v>
      </c>
      <c r="P24" s="58"/>
      <c r="Q24" s="58">
        <f>Q14-Q22</f>
        <v>-233800</v>
      </c>
      <c r="R24" s="58"/>
      <c r="S24" s="58">
        <f>S14-S22</f>
        <v>187600</v>
      </c>
    </row>
    <row r="30" spans="1:19" x14ac:dyDescent="0.25">
      <c r="I30" s="29"/>
      <c r="K30" s="29"/>
      <c r="M30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66FF"/>
  </sheetPr>
  <dimension ref="A2:G22"/>
  <sheetViews>
    <sheetView topLeftCell="A4" zoomScale="115" zoomScaleNormal="115" workbookViewId="0">
      <selection activeCell="E9" sqref="E9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966FF"/>
  </sheetPr>
  <dimension ref="A1:H27"/>
  <sheetViews>
    <sheetView zoomScale="115" zoomScaleNormal="115" workbookViewId="0">
      <selection activeCell="D8" sqref="D8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</cols>
  <sheetData>
    <row r="1" spans="1:8" x14ac:dyDescent="0.25">
      <c r="D1" s="3">
        <f>+SUM(D3:D1048576)</f>
        <v>36150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225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224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224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224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224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224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224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224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224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224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224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224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224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224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224</v>
      </c>
      <c r="F16" s="32" t="s">
        <v>142</v>
      </c>
      <c r="G16" t="s">
        <v>199</v>
      </c>
    </row>
    <row r="17" spans="1:8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224</v>
      </c>
      <c r="F17" s="32" t="s">
        <v>142</v>
      </c>
      <c r="G17" t="s">
        <v>200</v>
      </c>
    </row>
    <row r="18" spans="1:8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224</v>
      </c>
      <c r="F18" s="32" t="s">
        <v>142</v>
      </c>
      <c r="G18" t="s">
        <v>201</v>
      </c>
    </row>
    <row r="19" spans="1:8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224</v>
      </c>
      <c r="F19" s="32" t="s">
        <v>142</v>
      </c>
      <c r="G19" t="s">
        <v>209</v>
      </c>
      <c r="H19" t="s">
        <v>217</v>
      </c>
    </row>
    <row r="20" spans="1:8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224</v>
      </c>
      <c r="F20" s="32" t="s">
        <v>142</v>
      </c>
      <c r="G20" t="s">
        <v>210</v>
      </c>
      <c r="H20" t="s">
        <v>215</v>
      </c>
    </row>
    <row r="21" spans="1:8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224</v>
      </c>
      <c r="F21" s="32" t="s">
        <v>142</v>
      </c>
      <c r="G21" t="s">
        <v>211</v>
      </c>
      <c r="H21" t="s">
        <v>213</v>
      </c>
    </row>
    <row r="22" spans="1:8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224</v>
      </c>
      <c r="F22" s="32" t="s">
        <v>142</v>
      </c>
      <c r="G22" t="s">
        <v>199</v>
      </c>
      <c r="H22" t="s">
        <v>214</v>
      </c>
    </row>
    <row r="23" spans="1:8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226</v>
      </c>
      <c r="F23" s="33" t="s">
        <v>147</v>
      </c>
      <c r="G23" t="s">
        <v>227</v>
      </c>
    </row>
    <row r="24" spans="1:8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226</v>
      </c>
      <c r="F24" s="32" t="s">
        <v>142</v>
      </c>
      <c r="G24" t="s">
        <v>227</v>
      </c>
    </row>
    <row r="25" spans="1:8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226</v>
      </c>
      <c r="F25" s="32" t="s">
        <v>142</v>
      </c>
      <c r="G25" t="s">
        <v>223</v>
      </c>
    </row>
    <row r="26" spans="1:8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224</v>
      </c>
      <c r="F26" s="32" t="s">
        <v>142</v>
      </c>
      <c r="G26" t="s">
        <v>228</v>
      </c>
    </row>
    <row r="27" spans="1:8" x14ac:dyDescent="0.25">
      <c r="A27" s="2">
        <v>46084</v>
      </c>
      <c r="B27" s="2" t="str">
        <f t="shared" ref="B27" si="3">+TEXT(A27,"ddd")</f>
        <v>mar</v>
      </c>
      <c r="C27" s="1"/>
      <c r="D27" s="3">
        <v>11000</v>
      </c>
      <c r="E27" s="3" t="s">
        <v>224</v>
      </c>
      <c r="F27" s="33" t="s">
        <v>147</v>
      </c>
      <c r="G27" t="s">
        <v>146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C11"/>
  <sheetViews>
    <sheetView zoomScale="145" zoomScaleNormal="145" workbookViewId="0">
      <selection activeCell="C11" sqref="C11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72700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t="s">
        <v>207</v>
      </c>
      <c r="C6" s="58">
        <v>-16000</v>
      </c>
    </row>
    <row r="7" spans="1:3" x14ac:dyDescent="0.25">
      <c r="A7" s="56">
        <v>46081</v>
      </c>
      <c r="B7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B10" t="s">
        <v>221</v>
      </c>
      <c r="C10" s="58">
        <v>619850</v>
      </c>
    </row>
    <row r="11" spans="1:3" x14ac:dyDescent="0.25">
      <c r="B11" t="s">
        <v>229</v>
      </c>
      <c r="C11" s="58">
        <v>-619850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51B3BFD-4BC7-48D9-94DF-A7E0AC3AE585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C6966FDC-54C0-4686-84FA-DB32BA161069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chorizo</vt:lpstr>
      <vt:lpstr>choriboni</vt:lpstr>
      <vt:lpstr>Arqueo de Caja</vt:lpstr>
      <vt:lpstr>proveedores</vt:lpstr>
      <vt:lpstr>informe</vt:lpstr>
      <vt:lpstr>Costos</vt:lpstr>
      <vt:lpstr>Reporte</vt:lpstr>
      <vt:lpstr>Extracto_bancario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2026-03-04T13:08:43Z</dcterms:modified>
</cp:coreProperties>
</file>