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F:\2025_DigiLivo\GERENTE DE PROYECTOS\Proyecto Choriboni\Base Total_Choriboni Parrilla\"/>
    </mc:Choice>
  </mc:AlternateContent>
  <xr:revisionPtr revIDLastSave="0" documentId="13_ncr:1_{384E525B-CD0C-4D14-A9DC-858FA0CD0E0A}" xr6:coauthVersionLast="47" xr6:coauthVersionMax="47" xr10:uidLastSave="{00000000-0000-0000-0000-000000000000}"/>
  <bookViews>
    <workbookView xWindow="20370" yWindow="-2070" windowWidth="21840" windowHeight="13140" tabRatio="1000" activeTab="1" xr2:uid="{00000000-000D-0000-FFFF-FFFF00000000}"/>
  </bookViews>
  <sheets>
    <sheet name="sales" sheetId="25" r:id="rId1"/>
    <sheet name="sales_BI" sheetId="26" r:id="rId2"/>
    <sheet name="Informe" sheetId="14" r:id="rId3"/>
    <sheet name="historial de venta" sheetId="20" r:id="rId4"/>
    <sheet name="urls" sheetId="24" state="hidden" r:id="rId5"/>
  </sheets>
  <calcPr calcId="191029"/>
  <pivotCaches>
    <pivotCache cacheId="2" r:id="rId6"/>
    <pivotCache cacheId="3" r:id="rId7"/>
    <pivotCache cacheId="4" r:id="rId8"/>
    <pivotCache cacheId="5" r:id="rId9"/>
    <pivotCache cacheId="25" r:id="rId10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ransacciones_e81c23be-ac9a-47e5-9c4a-fc6d6e506fa2" name="transacciones" connection="Consulta - transacciones"/>
          <x15:modelTable id="items_1a8fc6bc-3545-41d3-93cf-b8d0c3b2a3af" name="items" connection="Consulta - items"/>
          <x15:modelTable id="usuarios_9e17b93f-edfc-43bf-937b-7ef1695ccc38" name="usuarios" connection="Consulta - usuarios"/>
          <x15:modelTable id="productos_f25bf975-1adf-4d63-8648-0fd5058d7f5a" name="productos" connection="Consulta - productos"/>
        </x15:modelTables>
        <x15:modelRelationships>
          <x15:modelRelationship fromTable="transacciones" fromColumn="id_usuario" toTable="usuarios" toColumn="id_usuario"/>
          <x15:modelRelationship fromTable="items" fromColumn="id_transaccion" toTable="transacciones" toColumn="id_transaccion"/>
          <x15:modelRelationship fromTable="items" fromColumn="id_producto" toTable="productos" toColumn="id_producto"/>
        </x15:modelRelationships>
        <x15:extLst>
          <ext xmlns:x16="http://schemas.microsoft.com/office/spreadsheetml/2014/11/main" uri="{9835A34E-60A6-4A7C-AAB8-D5F71C897F49}">
            <x16:modelTimeGroupings>
              <x16:modelTimeGrouping tableName="transacciones" columnName="fecha" columnId="fecha">
                <x16:calculatedTimeColumn columnName="fecha (índice de días)" columnId="fecha (índice de días)" contentType="daysindex" isSelected="1"/>
                <x16:calculatedTimeColumn columnName="fecha (día)" columnId="fecha (día)" contentType="days" isSelected="1"/>
                <x16:calculatedTimeColumn columnName="fecha (hora)" columnId="fecha (hora)" contentType="hours" isSelected="0"/>
                <x16:calculatedTimeColumn columnName="fecha (minuto)" columnId="fecha (minuto)" contentType="minutes" isSelected="0"/>
                <x16:calculatedTimeColumn columnName="fecha (segundo)" columnId="fecha (segundo)" contentType="seconds" isSelected="0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26" l="1"/>
  <c r="B1" i="26"/>
  <c r="C1" i="26"/>
  <c r="D1" i="26"/>
  <c r="E1" i="26"/>
  <c r="F1" i="26"/>
  <c r="G1" i="26"/>
  <c r="H1" i="26"/>
  <c r="A2" i="26"/>
  <c r="B2" i="26"/>
  <c r="C2" i="26"/>
  <c r="D2" i="26"/>
  <c r="E2" i="26"/>
  <c r="F2" i="26"/>
  <c r="G2" i="26"/>
  <c r="H2" i="26"/>
  <c r="A3" i="26"/>
  <c r="B3" i="26"/>
  <c r="C3" i="26"/>
  <c r="D3" i="26"/>
  <c r="E3" i="26"/>
  <c r="F3" i="26"/>
  <c r="G3" i="26"/>
  <c r="H3" i="26"/>
  <c r="A4" i="26"/>
  <c r="B4" i="26"/>
  <c r="C4" i="26"/>
  <c r="D4" i="26"/>
  <c r="E4" i="26"/>
  <c r="F4" i="26"/>
  <c r="G4" i="26"/>
  <c r="H4" i="26"/>
  <c r="A5" i="26"/>
  <c r="B5" i="26"/>
  <c r="C5" i="26"/>
  <c r="D5" i="26"/>
  <c r="E5" i="26"/>
  <c r="F5" i="26"/>
  <c r="G5" i="26"/>
  <c r="H5" i="26"/>
  <c r="A6" i="26"/>
  <c r="B6" i="26"/>
  <c r="C6" i="26"/>
  <c r="D6" i="26"/>
  <c r="E6" i="26"/>
  <c r="F6" i="26"/>
  <c r="G6" i="26"/>
  <c r="H6" i="26"/>
  <c r="A7" i="26"/>
  <c r="B7" i="26"/>
  <c r="C7" i="26"/>
  <c r="D7" i="26"/>
  <c r="E7" i="26"/>
  <c r="F7" i="26"/>
  <c r="G7" i="26"/>
  <c r="H7" i="26"/>
  <c r="A8" i="26"/>
  <c r="B8" i="26"/>
  <c r="C8" i="26"/>
  <c r="D8" i="26"/>
  <c r="E8" i="26"/>
  <c r="F8" i="26"/>
  <c r="G8" i="26"/>
  <c r="H8" i="26"/>
  <c r="A9" i="26"/>
  <c r="B9" i="26"/>
  <c r="C9" i="26"/>
  <c r="D9" i="26"/>
  <c r="E9" i="26"/>
  <c r="F9" i="26"/>
  <c r="G9" i="26"/>
  <c r="H9" i="26"/>
  <c r="A10" i="26"/>
  <c r="B10" i="26"/>
  <c r="C10" i="26"/>
  <c r="D10" i="26"/>
  <c r="E10" i="26"/>
  <c r="F10" i="26"/>
  <c r="G10" i="26"/>
  <c r="H10" i="26"/>
  <c r="A11" i="26"/>
  <c r="B11" i="26"/>
  <c r="C11" i="26"/>
  <c r="D11" i="26"/>
  <c r="E11" i="26"/>
  <c r="F11" i="26"/>
  <c r="G11" i="26"/>
  <c r="H11" i="26"/>
  <c r="A12" i="26"/>
  <c r="B12" i="26"/>
  <c r="C12" i="26"/>
  <c r="D12" i="26"/>
  <c r="E12" i="26"/>
  <c r="F12" i="26"/>
  <c r="G12" i="26"/>
  <c r="H12" i="26"/>
  <c r="A13" i="26"/>
  <c r="B13" i="26"/>
  <c r="C13" i="26"/>
  <c r="D13" i="26"/>
  <c r="E13" i="26"/>
  <c r="F13" i="26"/>
  <c r="G13" i="26"/>
  <c r="H13" i="26"/>
  <c r="A14" i="26"/>
  <c r="B14" i="26"/>
  <c r="C14" i="26"/>
  <c r="D14" i="26"/>
  <c r="E14" i="26"/>
  <c r="F14" i="26"/>
  <c r="G14" i="26"/>
  <c r="H14" i="26"/>
  <c r="A15" i="26"/>
  <c r="B15" i="26"/>
  <c r="C15" i="26"/>
  <c r="D15" i="26"/>
  <c r="E15" i="26"/>
  <c r="F15" i="26"/>
  <c r="G15" i="26"/>
  <c r="H15" i="26"/>
  <c r="A16" i="26"/>
  <c r="B16" i="26"/>
  <c r="C16" i="26"/>
  <c r="D16" i="26"/>
  <c r="E16" i="26"/>
  <c r="F16" i="26"/>
  <c r="G16" i="26"/>
  <c r="H16" i="26"/>
  <c r="A17" i="26"/>
  <c r="B17" i="26"/>
  <c r="C17" i="26"/>
  <c r="D17" i="26"/>
  <c r="E17" i="26"/>
  <c r="F17" i="26"/>
  <c r="G17" i="26"/>
  <c r="H17" i="26"/>
  <c r="A18" i="26"/>
  <c r="B18" i="26"/>
  <c r="C18" i="26"/>
  <c r="D18" i="26"/>
  <c r="E18" i="26"/>
  <c r="F18" i="26"/>
  <c r="G18" i="26"/>
  <c r="H18" i="26"/>
  <c r="A19" i="26"/>
  <c r="B19" i="26"/>
  <c r="C19" i="26"/>
  <c r="D19" i="26"/>
  <c r="E19" i="26"/>
  <c r="F19" i="26"/>
  <c r="G19" i="26"/>
  <c r="H19" i="26"/>
  <c r="A20" i="26"/>
  <c r="B20" i="26"/>
  <c r="C20" i="26"/>
  <c r="D20" i="26"/>
  <c r="E20" i="26"/>
  <c r="F20" i="26"/>
  <c r="G20" i="26"/>
  <c r="H20" i="26"/>
  <c r="A21" i="26"/>
  <c r="B21" i="26"/>
  <c r="C21" i="26"/>
  <c r="D21" i="26"/>
  <c r="E21" i="26"/>
  <c r="F21" i="26"/>
  <c r="G21" i="26"/>
  <c r="H21" i="26"/>
  <c r="A22" i="26"/>
  <c r="B22" i="26"/>
  <c r="C22" i="26"/>
  <c r="D22" i="26"/>
  <c r="E22" i="26"/>
  <c r="F22" i="26"/>
  <c r="G22" i="26"/>
  <c r="H22" i="26"/>
  <c r="A23" i="26"/>
  <c r="B23" i="26"/>
  <c r="C23" i="26"/>
  <c r="D23" i="26"/>
  <c r="E23" i="26"/>
  <c r="F23" i="26"/>
  <c r="G23" i="26"/>
  <c r="H23" i="26"/>
  <c r="A24" i="26"/>
  <c r="B24" i="26"/>
  <c r="C24" i="26"/>
  <c r="D24" i="26"/>
  <c r="E24" i="26"/>
  <c r="F24" i="26"/>
  <c r="G24" i="26"/>
  <c r="H24" i="26"/>
  <c r="A25" i="26"/>
  <c r="B25" i="26"/>
  <c r="C25" i="26"/>
  <c r="D25" i="26"/>
  <c r="E25" i="26"/>
  <c r="F25" i="26"/>
  <c r="G25" i="26"/>
  <c r="H25" i="26"/>
  <c r="A26" i="26"/>
  <c r="B26" i="26"/>
  <c r="C26" i="26"/>
  <c r="D26" i="26"/>
  <c r="E26" i="26"/>
  <c r="F26" i="26"/>
  <c r="G26" i="26"/>
  <c r="H26" i="26"/>
  <c r="A27" i="26"/>
  <c r="B27" i="26"/>
  <c r="C27" i="26"/>
  <c r="D27" i="26"/>
  <c r="E27" i="26"/>
  <c r="F27" i="26"/>
  <c r="G27" i="26"/>
  <c r="H27" i="26"/>
  <c r="A28" i="26"/>
  <c r="B28" i="26"/>
  <c r="C28" i="26"/>
  <c r="D28" i="26"/>
  <c r="E28" i="26"/>
  <c r="F28" i="26"/>
  <c r="G28" i="26"/>
  <c r="H28" i="26"/>
  <c r="A29" i="26"/>
  <c r="B29" i="26"/>
  <c r="C29" i="26"/>
  <c r="D29" i="26"/>
  <c r="E29" i="26"/>
  <c r="F29" i="26"/>
  <c r="G29" i="26"/>
  <c r="H29" i="26"/>
  <c r="A30" i="26"/>
  <c r="B30" i="26"/>
  <c r="C30" i="26"/>
  <c r="D30" i="26"/>
  <c r="E30" i="26"/>
  <c r="F30" i="26"/>
  <c r="G30" i="26"/>
  <c r="H30" i="26"/>
  <c r="A31" i="26"/>
  <c r="B31" i="26"/>
  <c r="C31" i="26"/>
  <c r="D31" i="26"/>
  <c r="E31" i="26"/>
  <c r="F31" i="26"/>
  <c r="G31" i="26"/>
  <c r="H31" i="26"/>
  <c r="A32" i="26"/>
  <c r="B32" i="26"/>
  <c r="C32" i="26"/>
  <c r="D32" i="26"/>
  <c r="E32" i="26"/>
  <c r="F32" i="26"/>
  <c r="G32" i="26"/>
  <c r="H32" i="26"/>
  <c r="A33" i="26"/>
  <c r="B33" i="26"/>
  <c r="C33" i="26"/>
  <c r="D33" i="26"/>
  <c r="E33" i="26"/>
  <c r="F33" i="26"/>
  <c r="G33" i="26"/>
  <c r="H33" i="26"/>
  <c r="A34" i="26"/>
  <c r="B34" i="26"/>
  <c r="C34" i="26"/>
  <c r="D34" i="26"/>
  <c r="E34" i="26"/>
  <c r="F34" i="26"/>
  <c r="G34" i="26"/>
  <c r="H34" i="26"/>
  <c r="A35" i="26"/>
  <c r="B35" i="26"/>
  <c r="C35" i="26"/>
  <c r="D35" i="26"/>
  <c r="E35" i="26"/>
  <c r="F35" i="26"/>
  <c r="G35" i="26"/>
  <c r="H35" i="26"/>
  <c r="A36" i="26"/>
  <c r="B36" i="26"/>
  <c r="C36" i="26"/>
  <c r="D36" i="26"/>
  <c r="E36" i="26"/>
  <c r="F36" i="26"/>
  <c r="G36" i="26"/>
  <c r="H36" i="26"/>
  <c r="A37" i="26"/>
  <c r="B37" i="26"/>
  <c r="C37" i="26"/>
  <c r="D37" i="26"/>
  <c r="E37" i="26"/>
  <c r="F37" i="26"/>
  <c r="G37" i="26"/>
  <c r="H37" i="26"/>
  <c r="A38" i="26"/>
  <c r="B38" i="26"/>
  <c r="C38" i="26"/>
  <c r="D38" i="26"/>
  <c r="E38" i="26"/>
  <c r="F38" i="26"/>
  <c r="G38" i="26"/>
  <c r="H38" i="26"/>
  <c r="A39" i="26"/>
  <c r="B39" i="26"/>
  <c r="C39" i="26"/>
  <c r="D39" i="26"/>
  <c r="E39" i="26"/>
  <c r="F39" i="26"/>
  <c r="G39" i="26"/>
  <c r="H39" i="26"/>
  <c r="A40" i="26"/>
  <c r="B40" i="26"/>
  <c r="C40" i="26"/>
  <c r="D40" i="26"/>
  <c r="E40" i="26"/>
  <c r="F40" i="26"/>
  <c r="G40" i="26"/>
  <c r="H40" i="26"/>
  <c r="A41" i="26"/>
  <c r="B41" i="26"/>
  <c r="C41" i="26"/>
  <c r="D41" i="26"/>
  <c r="E41" i="26"/>
  <c r="F41" i="26"/>
  <c r="G41" i="26"/>
  <c r="H41" i="26"/>
  <c r="A42" i="26"/>
  <c r="B42" i="26"/>
  <c r="C42" i="26"/>
  <c r="D42" i="26"/>
  <c r="E42" i="26"/>
  <c r="F42" i="26"/>
  <c r="G42" i="26"/>
  <c r="H42" i="26"/>
  <c r="A43" i="26"/>
  <c r="B43" i="26"/>
  <c r="C43" i="26"/>
  <c r="D43" i="26"/>
  <c r="E43" i="26"/>
  <c r="F43" i="26"/>
  <c r="G43" i="26"/>
  <c r="H43" i="26"/>
  <c r="A44" i="26"/>
  <c r="B44" i="26"/>
  <c r="C44" i="26"/>
  <c r="D44" i="26"/>
  <c r="E44" i="26"/>
  <c r="F44" i="26"/>
  <c r="G44" i="26"/>
  <c r="H44" i="26"/>
  <c r="A45" i="26"/>
  <c r="B45" i="26"/>
  <c r="C45" i="26"/>
  <c r="D45" i="26"/>
  <c r="E45" i="26"/>
  <c r="F45" i="26"/>
  <c r="G45" i="26"/>
  <c r="H45" i="26"/>
  <c r="A46" i="26"/>
  <c r="B46" i="26"/>
  <c r="C46" i="26"/>
  <c r="D46" i="26"/>
  <c r="E46" i="26"/>
  <c r="F46" i="26"/>
  <c r="G46" i="26"/>
  <c r="H46" i="26"/>
  <c r="A47" i="26"/>
  <c r="B47" i="26"/>
  <c r="C47" i="26"/>
  <c r="D47" i="26"/>
  <c r="E47" i="26"/>
  <c r="F47" i="26"/>
  <c r="G47" i="26"/>
  <c r="H47" i="26"/>
  <c r="A48" i="26"/>
  <c r="B48" i="26"/>
  <c r="C48" i="26"/>
  <c r="D48" i="26"/>
  <c r="E48" i="26"/>
  <c r="F48" i="26"/>
  <c r="G48" i="26"/>
  <c r="H48" i="26"/>
  <c r="A49" i="26"/>
  <c r="B49" i="26"/>
  <c r="C49" i="26"/>
  <c r="D49" i="26"/>
  <c r="E49" i="26"/>
  <c r="F49" i="26"/>
  <c r="G49" i="26"/>
  <c r="H49" i="26"/>
  <c r="A50" i="26"/>
  <c r="B50" i="26"/>
  <c r="C50" i="26"/>
  <c r="D50" i="26"/>
  <c r="E50" i="26"/>
  <c r="F50" i="26"/>
  <c r="G50" i="26"/>
  <c r="H50" i="26"/>
  <c r="A51" i="26"/>
  <c r="B51" i="26"/>
  <c r="C51" i="26"/>
  <c r="D51" i="26"/>
  <c r="E51" i="26"/>
  <c r="F51" i="26"/>
  <c r="G51" i="26"/>
  <c r="H51" i="26"/>
  <c r="A52" i="26"/>
  <c r="B52" i="26"/>
  <c r="C52" i="26"/>
  <c r="D52" i="26"/>
  <c r="E52" i="26"/>
  <c r="F52" i="26"/>
  <c r="G52" i="26"/>
  <c r="H52" i="26"/>
  <c r="A53" i="26"/>
  <c r="B53" i="26"/>
  <c r="C53" i="26"/>
  <c r="D53" i="26"/>
  <c r="E53" i="26"/>
  <c r="F53" i="26"/>
  <c r="G53" i="26"/>
  <c r="H53" i="26"/>
  <c r="A54" i="26"/>
  <c r="B54" i="26"/>
  <c r="C54" i="26"/>
  <c r="D54" i="26"/>
  <c r="E54" i="26"/>
  <c r="F54" i="26"/>
  <c r="G54" i="26"/>
  <c r="H54" i="26"/>
  <c r="A55" i="26"/>
  <c r="B55" i="26"/>
  <c r="C55" i="26"/>
  <c r="D55" i="26"/>
  <c r="E55" i="26"/>
  <c r="F55" i="26"/>
  <c r="G55" i="26"/>
  <c r="H55" i="26"/>
  <c r="A56" i="26"/>
  <c r="B56" i="26"/>
  <c r="C56" i="26"/>
  <c r="D56" i="26"/>
  <c r="E56" i="26"/>
  <c r="F56" i="26"/>
  <c r="G56" i="26"/>
  <c r="H56" i="26"/>
  <c r="A57" i="26"/>
  <c r="B57" i="26"/>
  <c r="C57" i="26"/>
  <c r="D57" i="26"/>
  <c r="E57" i="26"/>
  <c r="F57" i="26"/>
  <c r="G57" i="26"/>
  <c r="H57" i="26"/>
  <c r="A58" i="26"/>
  <c r="B58" i="26"/>
  <c r="C58" i="26"/>
  <c r="D58" i="26"/>
  <c r="E58" i="26"/>
  <c r="F58" i="26"/>
  <c r="G58" i="26"/>
  <c r="H58" i="26"/>
  <c r="A59" i="26"/>
  <c r="B59" i="26"/>
  <c r="C59" i="26"/>
  <c r="D59" i="26"/>
  <c r="E59" i="26"/>
  <c r="F59" i="26"/>
  <c r="G59" i="26"/>
  <c r="H59" i="26"/>
  <c r="A60" i="26"/>
  <c r="B60" i="26"/>
  <c r="C60" i="26"/>
  <c r="D60" i="26"/>
  <c r="E60" i="26"/>
  <c r="F60" i="26"/>
  <c r="G60" i="26"/>
  <c r="H60" i="26"/>
  <c r="A61" i="26"/>
  <c r="B61" i="26"/>
  <c r="C61" i="26"/>
  <c r="D61" i="26"/>
  <c r="E61" i="26"/>
  <c r="F61" i="26"/>
  <c r="G61" i="26"/>
  <c r="H61" i="26"/>
  <c r="A62" i="26"/>
  <c r="B62" i="26"/>
  <c r="C62" i="26"/>
  <c r="D62" i="26"/>
  <c r="E62" i="26"/>
  <c r="F62" i="26"/>
  <c r="G62" i="26"/>
  <c r="H62" i="26"/>
  <c r="A63" i="26"/>
  <c r="B63" i="26"/>
  <c r="C63" i="26"/>
  <c r="D63" i="26"/>
  <c r="E63" i="26"/>
  <c r="F63" i="26"/>
  <c r="G63" i="26"/>
  <c r="H63" i="26"/>
  <c r="A64" i="26"/>
  <c r="B64" i="26"/>
  <c r="C64" i="26"/>
  <c r="D64" i="26"/>
  <c r="E64" i="26"/>
  <c r="F64" i="26"/>
  <c r="G64" i="26"/>
  <c r="H64" i="26"/>
  <c r="A65" i="26"/>
  <c r="B65" i="26"/>
  <c r="C65" i="26"/>
  <c r="D65" i="26"/>
  <c r="E65" i="26"/>
  <c r="F65" i="26"/>
  <c r="G65" i="26"/>
  <c r="H65" i="26"/>
  <c r="A66" i="26"/>
  <c r="B66" i="26"/>
  <c r="C66" i="26"/>
  <c r="D66" i="26"/>
  <c r="E66" i="26"/>
  <c r="F66" i="26"/>
  <c r="G66" i="26"/>
  <c r="H66" i="26"/>
  <c r="A67" i="26"/>
  <c r="B67" i="26"/>
  <c r="C67" i="26"/>
  <c r="D67" i="26"/>
  <c r="E67" i="26"/>
  <c r="F67" i="26"/>
  <c r="G67" i="26"/>
  <c r="H67" i="26"/>
  <c r="A68" i="26"/>
  <c r="B68" i="26"/>
  <c r="C68" i="26"/>
  <c r="D68" i="26"/>
  <c r="E68" i="26"/>
  <c r="F68" i="26"/>
  <c r="G68" i="26"/>
  <c r="H68" i="26"/>
  <c r="A69" i="26"/>
  <c r="B69" i="26"/>
  <c r="C69" i="26"/>
  <c r="D69" i="26"/>
  <c r="E69" i="26"/>
  <c r="F69" i="26"/>
  <c r="G69" i="26"/>
  <c r="H69" i="26"/>
  <c r="A70" i="26"/>
  <c r="B70" i="26"/>
  <c r="C70" i="26"/>
  <c r="D70" i="26"/>
  <c r="E70" i="26"/>
  <c r="F70" i="26"/>
  <c r="G70" i="26"/>
  <c r="H70" i="26"/>
  <c r="A71" i="26"/>
  <c r="B71" i="26"/>
  <c r="C71" i="26"/>
  <c r="D71" i="26"/>
  <c r="E71" i="26"/>
  <c r="F71" i="26"/>
  <c r="G71" i="26"/>
  <c r="H71" i="26"/>
  <c r="A72" i="26"/>
  <c r="B72" i="26"/>
  <c r="C72" i="26"/>
  <c r="D72" i="26"/>
  <c r="E72" i="26"/>
  <c r="F72" i="26"/>
  <c r="G72" i="26"/>
  <c r="H72" i="26"/>
  <c r="A73" i="26"/>
  <c r="B73" i="26"/>
  <c r="C73" i="26"/>
  <c r="D73" i="26"/>
  <c r="E73" i="26"/>
  <c r="F73" i="26"/>
  <c r="G73" i="26"/>
  <c r="H73" i="26"/>
  <c r="A74" i="26"/>
  <c r="B74" i="26"/>
  <c r="C74" i="26"/>
  <c r="D74" i="26"/>
  <c r="E74" i="26"/>
  <c r="F74" i="26"/>
  <c r="G74" i="26"/>
  <c r="H74" i="26"/>
  <c r="A75" i="26"/>
  <c r="B75" i="26"/>
  <c r="C75" i="26"/>
  <c r="D75" i="26"/>
  <c r="E75" i="26"/>
  <c r="F75" i="26"/>
  <c r="G75" i="26"/>
  <c r="H75" i="26"/>
  <c r="A76" i="26"/>
  <c r="B76" i="26"/>
  <c r="C76" i="26"/>
  <c r="D76" i="26"/>
  <c r="E76" i="26"/>
  <c r="F76" i="26"/>
  <c r="G76" i="26"/>
  <c r="H76" i="26"/>
  <c r="A77" i="26"/>
  <c r="B77" i="26"/>
  <c r="C77" i="26"/>
  <c r="D77" i="26"/>
  <c r="E77" i="26"/>
  <c r="F77" i="26"/>
  <c r="G77" i="26"/>
  <c r="H77" i="26"/>
  <c r="A78" i="26"/>
  <c r="B78" i="26"/>
  <c r="C78" i="26"/>
  <c r="D78" i="26"/>
  <c r="E78" i="26"/>
  <c r="F78" i="26"/>
  <c r="G78" i="26"/>
  <c r="H78" i="26"/>
  <c r="A79" i="26"/>
  <c r="B79" i="26"/>
  <c r="C79" i="26"/>
  <c r="D79" i="26"/>
  <c r="E79" i="26"/>
  <c r="F79" i="26"/>
  <c r="G79" i="26"/>
  <c r="H79" i="26"/>
  <c r="A80" i="26"/>
  <c r="B80" i="26"/>
  <c r="C80" i="26"/>
  <c r="D80" i="26"/>
  <c r="E80" i="26"/>
  <c r="F80" i="26"/>
  <c r="G80" i="26"/>
  <c r="H80" i="26"/>
  <c r="A81" i="26"/>
  <c r="B81" i="26"/>
  <c r="C81" i="26"/>
  <c r="D81" i="26"/>
  <c r="E81" i="26"/>
  <c r="F81" i="26"/>
  <c r="G81" i="26"/>
  <c r="H81" i="26"/>
  <c r="A82" i="26"/>
  <c r="B82" i="26"/>
  <c r="C82" i="26"/>
  <c r="D82" i="26"/>
  <c r="E82" i="26"/>
  <c r="F82" i="26"/>
  <c r="G82" i="26"/>
  <c r="H82" i="26"/>
  <c r="A83" i="26"/>
  <c r="B83" i="26"/>
  <c r="C83" i="26"/>
  <c r="D83" i="26"/>
  <c r="E83" i="26"/>
  <c r="F83" i="26"/>
  <c r="G83" i="26"/>
  <c r="H83" i="26"/>
  <c r="A84" i="26"/>
  <c r="B84" i="26"/>
  <c r="C84" i="26"/>
  <c r="D84" i="26"/>
  <c r="E84" i="26"/>
  <c r="F84" i="26"/>
  <c r="G84" i="26"/>
  <c r="H84" i="26"/>
  <c r="A85" i="26"/>
  <c r="B85" i="26"/>
  <c r="C85" i="26"/>
  <c r="D85" i="26"/>
  <c r="E85" i="26"/>
  <c r="F85" i="26"/>
  <c r="G85" i="26"/>
  <c r="H85" i="26"/>
  <c r="A86" i="26"/>
  <c r="B86" i="26"/>
  <c r="C86" i="26"/>
  <c r="D86" i="26"/>
  <c r="E86" i="26"/>
  <c r="F86" i="26"/>
  <c r="G86" i="26"/>
  <c r="H86" i="26"/>
  <c r="A87" i="26"/>
  <c r="B87" i="26"/>
  <c r="C87" i="26"/>
  <c r="D87" i="26"/>
  <c r="E87" i="26"/>
  <c r="F87" i="26"/>
  <c r="G87" i="26"/>
  <c r="H87" i="26"/>
  <c r="A88" i="26"/>
  <c r="B88" i="26"/>
  <c r="C88" i="26"/>
  <c r="D88" i="26"/>
  <c r="E88" i="26"/>
  <c r="F88" i="26"/>
  <c r="G88" i="26"/>
  <c r="H88" i="26"/>
  <c r="A89" i="26"/>
  <c r="B89" i="26"/>
  <c r="C89" i="26"/>
  <c r="D89" i="26"/>
  <c r="E89" i="26"/>
  <c r="F89" i="26"/>
  <c r="G89" i="26"/>
  <c r="H89" i="26"/>
  <c r="A90" i="26"/>
  <c r="B90" i="26"/>
  <c r="C90" i="26"/>
  <c r="D90" i="26"/>
  <c r="E90" i="26"/>
  <c r="F90" i="26"/>
  <c r="G90" i="26"/>
  <c r="H90" i="26"/>
  <c r="A91" i="26"/>
  <c r="B91" i="26"/>
  <c r="C91" i="26"/>
  <c r="D91" i="26"/>
  <c r="E91" i="26"/>
  <c r="F91" i="26"/>
  <c r="G91" i="26"/>
  <c r="H91" i="26"/>
  <c r="A92" i="26"/>
  <c r="B92" i="26"/>
  <c r="C92" i="26"/>
  <c r="D92" i="26"/>
  <c r="E92" i="26"/>
  <c r="F92" i="26"/>
  <c r="G92" i="26"/>
  <c r="H92" i="26"/>
  <c r="A93" i="26"/>
  <c r="B93" i="26"/>
  <c r="C93" i="26"/>
  <c r="D93" i="26"/>
  <c r="E93" i="26"/>
  <c r="F93" i="26"/>
  <c r="G93" i="26"/>
  <c r="H93" i="26"/>
  <c r="A94" i="26"/>
  <c r="B94" i="26"/>
  <c r="C94" i="26"/>
  <c r="D94" i="26"/>
  <c r="E94" i="26"/>
  <c r="F94" i="26"/>
  <c r="G94" i="26"/>
  <c r="H94" i="26"/>
  <c r="A95" i="26"/>
  <c r="B95" i="26"/>
  <c r="C95" i="26"/>
  <c r="D95" i="26"/>
  <c r="E95" i="26"/>
  <c r="F95" i="26"/>
  <c r="G95" i="26"/>
  <c r="H95" i="26"/>
  <c r="A96" i="26"/>
  <c r="B96" i="26"/>
  <c r="C96" i="26"/>
  <c r="D96" i="26"/>
  <c r="E96" i="26"/>
  <c r="F96" i="26"/>
  <c r="G96" i="26"/>
  <c r="H96" i="26"/>
  <c r="A97" i="26"/>
  <c r="B97" i="26"/>
  <c r="C97" i="26"/>
  <c r="D97" i="26"/>
  <c r="E97" i="26"/>
  <c r="F97" i="26"/>
  <c r="G97" i="26"/>
  <c r="H97" i="26"/>
  <c r="A98" i="26"/>
  <c r="B98" i="26"/>
  <c r="C98" i="26"/>
  <c r="D98" i="26"/>
  <c r="E98" i="26"/>
  <c r="F98" i="26"/>
  <c r="G98" i="26"/>
  <c r="H98" i="26"/>
  <c r="A99" i="26"/>
  <c r="B99" i="26"/>
  <c r="C99" i="26"/>
  <c r="D99" i="26"/>
  <c r="E99" i="26"/>
  <c r="F99" i="26"/>
  <c r="G99" i="26"/>
  <c r="H99" i="26"/>
  <c r="A100" i="26"/>
  <c r="B100" i="26"/>
  <c r="C100" i="26"/>
  <c r="D100" i="26"/>
  <c r="E100" i="26"/>
  <c r="F100" i="26"/>
  <c r="G100" i="26"/>
  <c r="H100" i="26"/>
  <c r="A101" i="26"/>
  <c r="B101" i="26"/>
  <c r="C101" i="26"/>
  <c r="D101" i="26"/>
  <c r="E101" i="26"/>
  <c r="F101" i="26"/>
  <c r="G101" i="26"/>
  <c r="H101" i="26"/>
  <c r="A102" i="26"/>
  <c r="B102" i="26"/>
  <c r="C102" i="26"/>
  <c r="D102" i="26"/>
  <c r="E102" i="26"/>
  <c r="F102" i="26"/>
  <c r="G102" i="26"/>
  <c r="H102" i="26"/>
  <c r="A103" i="26"/>
  <c r="B103" i="26"/>
  <c r="C103" i="26"/>
  <c r="D103" i="26"/>
  <c r="E103" i="26"/>
  <c r="F103" i="26"/>
  <c r="G103" i="26"/>
  <c r="H103" i="26"/>
  <c r="A104" i="26"/>
  <c r="B104" i="26"/>
  <c r="C104" i="26"/>
  <c r="D104" i="26"/>
  <c r="E104" i="26"/>
  <c r="F104" i="26"/>
  <c r="G104" i="26"/>
  <c r="H104" i="26"/>
  <c r="A105" i="26"/>
  <c r="B105" i="26"/>
  <c r="C105" i="26"/>
  <c r="D105" i="26"/>
  <c r="E105" i="26"/>
  <c r="F105" i="26"/>
  <c r="G105" i="26"/>
  <c r="H105" i="26"/>
  <c r="A106" i="26"/>
  <c r="B106" i="26"/>
  <c r="C106" i="26"/>
  <c r="D106" i="26"/>
  <c r="E106" i="26"/>
  <c r="F106" i="26"/>
  <c r="G106" i="26"/>
  <c r="H106" i="26"/>
  <c r="A107" i="26"/>
  <c r="B107" i="26"/>
  <c r="C107" i="26"/>
  <c r="D107" i="26"/>
  <c r="E107" i="26"/>
  <c r="F107" i="26"/>
  <c r="G107" i="26"/>
  <c r="H107" i="26"/>
  <c r="A108" i="26"/>
  <c r="B108" i="26"/>
  <c r="C108" i="26"/>
  <c r="D108" i="26"/>
  <c r="E108" i="26"/>
  <c r="F108" i="26"/>
  <c r="G108" i="26"/>
  <c r="H108" i="26"/>
  <c r="A109" i="26"/>
  <c r="B109" i="26"/>
  <c r="C109" i="26"/>
  <c r="D109" i="26"/>
  <c r="E109" i="26"/>
  <c r="F109" i="26"/>
  <c r="G109" i="26"/>
  <c r="H109" i="26"/>
  <c r="A110" i="26"/>
  <c r="B110" i="26"/>
  <c r="C110" i="26"/>
  <c r="D110" i="26"/>
  <c r="E110" i="26"/>
  <c r="F110" i="26"/>
  <c r="G110" i="26"/>
  <c r="H110" i="26"/>
  <c r="A111" i="26"/>
  <c r="B111" i="26"/>
  <c r="C111" i="26"/>
  <c r="D111" i="26"/>
  <c r="E111" i="26"/>
  <c r="F111" i="26"/>
  <c r="G111" i="26"/>
  <c r="H111" i="26"/>
  <c r="A112" i="26"/>
  <c r="B112" i="26"/>
  <c r="C112" i="26"/>
  <c r="D112" i="26"/>
  <c r="E112" i="26"/>
  <c r="F112" i="26"/>
  <c r="G112" i="26"/>
  <c r="H112" i="26"/>
  <c r="A113" i="26"/>
  <c r="B113" i="26"/>
  <c r="C113" i="26"/>
  <c r="D113" i="26"/>
  <c r="E113" i="26"/>
  <c r="F113" i="26"/>
  <c r="G113" i="26"/>
  <c r="H113" i="26"/>
  <c r="A114" i="26"/>
  <c r="B114" i="26"/>
  <c r="C114" i="26"/>
  <c r="D114" i="26"/>
  <c r="E114" i="26"/>
  <c r="F114" i="26"/>
  <c r="G114" i="26"/>
  <c r="H114" i="26"/>
  <c r="A115" i="26"/>
  <c r="B115" i="26"/>
  <c r="C115" i="26"/>
  <c r="D115" i="26"/>
  <c r="E115" i="26"/>
  <c r="F115" i="26"/>
  <c r="G115" i="26"/>
  <c r="H115" i="26"/>
  <c r="A116" i="26"/>
  <c r="B116" i="26"/>
  <c r="C116" i="26"/>
  <c r="D116" i="26"/>
  <c r="E116" i="26"/>
  <c r="F116" i="26"/>
  <c r="G116" i="26"/>
  <c r="H116" i="26"/>
  <c r="A117" i="26"/>
  <c r="B117" i="26"/>
  <c r="C117" i="26"/>
  <c r="D117" i="26"/>
  <c r="E117" i="26"/>
  <c r="F117" i="26"/>
  <c r="G117" i="26"/>
  <c r="H117" i="26"/>
  <c r="A118" i="26"/>
  <c r="B118" i="26"/>
  <c r="C118" i="26"/>
  <c r="D118" i="26"/>
  <c r="E118" i="26"/>
  <c r="F118" i="26"/>
  <c r="G118" i="26"/>
  <c r="H118" i="26"/>
  <c r="A119" i="26"/>
  <c r="B119" i="26"/>
  <c r="C119" i="26"/>
  <c r="D119" i="26"/>
  <c r="E119" i="26"/>
  <c r="F119" i="26"/>
  <c r="G119" i="26"/>
  <c r="H119" i="26"/>
  <c r="A120" i="26"/>
  <c r="B120" i="26"/>
  <c r="C120" i="26"/>
  <c r="D120" i="26"/>
  <c r="E120" i="26"/>
  <c r="F120" i="26"/>
  <c r="G120" i="26"/>
  <c r="H120" i="26"/>
  <c r="A121" i="26"/>
  <c r="B121" i="26"/>
  <c r="C121" i="26"/>
  <c r="D121" i="26"/>
  <c r="E121" i="26"/>
  <c r="F121" i="26"/>
  <c r="G121" i="26"/>
  <c r="H121" i="26"/>
  <c r="H124" i="25"/>
  <c r="H123" i="25"/>
  <c r="H122" i="25"/>
  <c r="H121" i="25"/>
  <c r="H120" i="25"/>
  <c r="H119" i="25"/>
  <c r="H118" i="25"/>
  <c r="H117" i="25"/>
  <c r="H116" i="25"/>
  <c r="H115" i="25"/>
  <c r="H114" i="25"/>
  <c r="H113" i="25"/>
  <c r="H112" i="25"/>
  <c r="H111" i="25"/>
  <c r="H110" i="25"/>
  <c r="H109" i="25"/>
  <c r="H108" i="25"/>
  <c r="H107" i="25"/>
  <c r="H106" i="25"/>
  <c r="H105" i="25"/>
  <c r="H104" i="25"/>
  <c r="H103" i="25"/>
  <c r="H102" i="25"/>
  <c r="H101" i="25"/>
  <c r="H100" i="25"/>
  <c r="H99" i="25"/>
  <c r="H98" i="25"/>
  <c r="H97" i="25"/>
  <c r="H96" i="25"/>
  <c r="H95" i="25"/>
  <c r="H94" i="25"/>
  <c r="H93" i="25"/>
  <c r="H92" i="25"/>
  <c r="H91" i="25"/>
  <c r="H90" i="25"/>
  <c r="H89" i="25"/>
  <c r="H88" i="25"/>
  <c r="H87" i="25"/>
  <c r="H86" i="25"/>
  <c r="H85" i="25"/>
  <c r="H84" i="25"/>
  <c r="H83" i="25"/>
  <c r="H82" i="25"/>
  <c r="H81" i="25"/>
  <c r="H80" i="25"/>
  <c r="H79" i="25"/>
  <c r="H78" i="25"/>
  <c r="H77" i="25"/>
  <c r="H76" i="25"/>
  <c r="H75" i="25"/>
  <c r="H74" i="25"/>
  <c r="H73" i="25"/>
  <c r="H72" i="25"/>
  <c r="H71" i="25"/>
  <c r="H70" i="25"/>
  <c r="H69" i="25"/>
  <c r="H68" i="25"/>
  <c r="H67" i="25"/>
  <c r="H66" i="25"/>
  <c r="H65" i="25"/>
  <c r="H64" i="25"/>
  <c r="H63" i="25"/>
  <c r="H62" i="25"/>
  <c r="H61" i="25"/>
  <c r="H60" i="25"/>
  <c r="H59" i="25"/>
  <c r="H58" i="25"/>
  <c r="H57" i="25"/>
  <c r="H56" i="25"/>
  <c r="H55" i="25"/>
  <c r="H54" i="25"/>
  <c r="H53" i="25"/>
  <c r="H52" i="25"/>
  <c r="H51" i="25"/>
  <c r="H50" i="25"/>
  <c r="H49" i="25"/>
  <c r="H48" i="25"/>
  <c r="H47" i="25"/>
  <c r="H46" i="25"/>
  <c r="H45" i="25"/>
  <c r="H44" i="25"/>
  <c r="H43" i="25"/>
  <c r="H42" i="25"/>
  <c r="H41" i="25"/>
  <c r="H40" i="25"/>
  <c r="H39" i="25"/>
  <c r="H38" i="25"/>
  <c r="H37" i="25"/>
  <c r="H36" i="25"/>
  <c r="H35" i="25"/>
  <c r="H34" i="25"/>
  <c r="H33" i="25"/>
  <c r="H32" i="25"/>
  <c r="H31" i="25"/>
  <c r="H30" i="25"/>
  <c r="H29" i="25"/>
  <c r="H28" i="25"/>
  <c r="H27" i="25"/>
  <c r="H26" i="25"/>
  <c r="H25" i="25"/>
  <c r="H24" i="25"/>
  <c r="H23" i="25"/>
  <c r="H22" i="25"/>
  <c r="H21" i="25"/>
  <c r="H20" i="25"/>
  <c r="H19" i="25"/>
  <c r="H18" i="25"/>
  <c r="H17" i="25"/>
  <c r="H16" i="25"/>
  <c r="H15" i="25"/>
  <c r="H14" i="25"/>
  <c r="H13" i="25"/>
  <c r="H12" i="25"/>
  <c r="H11" i="25"/>
  <c r="H10" i="25"/>
  <c r="H9" i="25"/>
  <c r="H8" i="25"/>
  <c r="H7" i="25"/>
  <c r="H6" i="25"/>
  <c r="H5" i="25"/>
  <c r="Q9" i="14"/>
  <c r="Q8" i="14"/>
  <c r="Q7" i="14"/>
  <c r="P7" i="14"/>
  <c r="P6" i="14"/>
  <c r="P8" i="14"/>
  <c r="P9" i="14"/>
  <c r="P10" i="14"/>
  <c r="P5" i="14"/>
  <c r="I104" i="20"/>
  <c r="I105" i="20"/>
  <c r="I106" i="20"/>
  <c r="I107" i="20"/>
  <c r="I108" i="20"/>
  <c r="I109" i="20"/>
  <c r="I110" i="20"/>
  <c r="I111" i="20"/>
  <c r="I112" i="20"/>
  <c r="I113" i="20"/>
  <c r="I114" i="20"/>
  <c r="I115" i="20"/>
  <c r="I116" i="20"/>
  <c r="I117" i="20"/>
  <c r="I118" i="20"/>
  <c r="I119" i="20"/>
  <c r="I120" i="20"/>
  <c r="I121" i="20"/>
  <c r="I122" i="20"/>
  <c r="I123" i="20"/>
  <c r="I124" i="20"/>
  <c r="I125" i="20"/>
  <c r="I6" i="20" l="1"/>
  <c r="I7" i="20"/>
  <c r="I8" i="20"/>
  <c r="I9" i="20"/>
  <c r="I10" i="20"/>
  <c r="I11" i="20"/>
  <c r="I12" i="20"/>
  <c r="I13" i="20"/>
  <c r="I14" i="20"/>
  <c r="I15" i="20"/>
  <c r="I16" i="20"/>
  <c r="I17" i="20"/>
  <c r="I18" i="20"/>
  <c r="I19" i="20"/>
  <c r="I20" i="20"/>
  <c r="I21" i="20"/>
  <c r="I22" i="20"/>
  <c r="I23" i="20"/>
  <c r="I24" i="20"/>
  <c r="I25" i="20"/>
  <c r="I26" i="20"/>
  <c r="I27" i="20"/>
  <c r="I28" i="20"/>
  <c r="I29" i="20"/>
  <c r="I30" i="20"/>
  <c r="I31" i="20"/>
  <c r="I32" i="20"/>
  <c r="I33" i="20"/>
  <c r="I34" i="20"/>
  <c r="I35" i="20"/>
  <c r="I36" i="20"/>
  <c r="I37" i="20"/>
  <c r="I38" i="20"/>
  <c r="I39" i="20"/>
  <c r="I40" i="20"/>
  <c r="I41" i="20"/>
  <c r="I42" i="20"/>
  <c r="I43" i="20"/>
  <c r="I44" i="20"/>
  <c r="I45" i="20"/>
  <c r="I46" i="20"/>
  <c r="I47" i="20"/>
  <c r="I48" i="20"/>
  <c r="I49" i="20"/>
  <c r="I50" i="20"/>
  <c r="I51" i="20"/>
  <c r="I52" i="20"/>
  <c r="I53" i="20"/>
  <c r="I54" i="20"/>
  <c r="I55" i="20"/>
  <c r="I56" i="20"/>
  <c r="I57" i="20"/>
  <c r="I58" i="20"/>
  <c r="I59" i="20"/>
  <c r="I60" i="20"/>
  <c r="I61" i="20"/>
  <c r="I62" i="20"/>
  <c r="I63" i="20"/>
  <c r="I64" i="20"/>
  <c r="I65" i="20"/>
  <c r="I66" i="20"/>
  <c r="I67" i="20"/>
  <c r="I68" i="20"/>
  <c r="I69" i="20"/>
  <c r="I70" i="20"/>
  <c r="I71" i="20"/>
  <c r="I72" i="20"/>
  <c r="I73" i="20"/>
  <c r="I74" i="20"/>
  <c r="I75" i="20"/>
  <c r="I76" i="20"/>
  <c r="I77" i="20"/>
  <c r="I78" i="20"/>
  <c r="I79" i="20"/>
  <c r="I80" i="20"/>
  <c r="I81" i="20"/>
  <c r="I82" i="20"/>
  <c r="I83" i="20"/>
  <c r="I84" i="20"/>
  <c r="I85" i="20"/>
  <c r="I86" i="20"/>
  <c r="I87" i="20"/>
  <c r="I88" i="20"/>
  <c r="I89" i="20"/>
  <c r="I90" i="20"/>
  <c r="I91" i="20"/>
  <c r="I92" i="20"/>
  <c r="I93" i="20"/>
  <c r="I94" i="20"/>
  <c r="I95" i="20"/>
  <c r="I96" i="20"/>
  <c r="I97" i="20"/>
  <c r="I98" i="20"/>
  <c r="I99" i="20"/>
  <c r="I100" i="20"/>
  <c r="I101" i="20"/>
  <c r="I102" i="20"/>
  <c r="I103" i="20"/>
  <c r="I5" i="20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4B4C0E8-4AAF-40C5-BF0C-E3FCA9A00986}" keepAlive="1" name="Consulta - AuthToken" description="Conexión a la consulta 'AuthToken' en el libro." type="5" refreshedVersion="0" background="1">
    <dbPr connection="Provider=Microsoft.Mashup.OleDb.1;Data Source=$Workbook$;Location=AuthToken;Extended Properties=&quot;&quot;" command="SELECT * FROM [AuthToken]"/>
  </connection>
  <connection id="2" xr16:uid="{38AD5161-E4CE-4001-82E4-F903B3352F5D}" name="Consulta - items" description="Conexión a la consulta 'items' en el libro." type="100" refreshedVersion="8" minRefreshableVersion="5">
    <extLst>
      <ext xmlns:x15="http://schemas.microsoft.com/office/spreadsheetml/2010/11/main" uri="{DE250136-89BD-433C-8126-D09CA5730AF9}">
        <x15:connection id="e4c09917-b788-4ef8-aaf1-6a80fe2025eb"/>
      </ext>
    </extLst>
  </connection>
  <connection id="3" xr16:uid="{C7342F16-16ED-4CF2-B2D8-AE6395F0F387}" name="Consulta - productos" description="Conexión a la consulta 'productos' en el libro." type="100" refreshedVersion="8" minRefreshableVersion="5">
    <extLst>
      <ext xmlns:x15="http://schemas.microsoft.com/office/spreadsheetml/2010/11/main" uri="{DE250136-89BD-433C-8126-D09CA5730AF9}">
        <x15:connection id="bccac5d7-8490-4d01-832b-0ef911dda3a8"/>
      </ext>
    </extLst>
  </connection>
  <connection id="4" xr16:uid="{FFA2D5ED-00DD-4608-BFC8-A23587169660}" name="Consulta - transacciones" description="Conexión a la consulta 'transacciones' en el libro." type="100" refreshedVersion="8" minRefreshableVersion="5">
    <extLst>
      <ext xmlns:x15="http://schemas.microsoft.com/office/spreadsheetml/2010/11/main" uri="{DE250136-89BD-433C-8126-D09CA5730AF9}">
        <x15:connection id="bd43570e-7a7d-4980-9952-d180e9dfaf3d"/>
      </ext>
    </extLst>
  </connection>
  <connection id="5" xr16:uid="{4342F2F4-7454-4C57-9A41-8D2E95DA1657}" keepAlive="1" name="Consulta - url" description="Conexión a la consulta 'url' en el libro." type="5" refreshedVersion="0" background="1">
    <dbPr connection="Provider=Microsoft.Mashup.OleDb.1;Data Source=$Workbook$;Location=url;Extended Properties=&quot;&quot;" command="SELECT * FROM [url]"/>
  </connection>
  <connection id="6" xr16:uid="{408F265F-21D7-4660-83EC-F321AAFC570A}" name="Consulta - usuarios" description="Conexión a la consulta 'usuarios' en el libro." type="100" refreshedVersion="8" minRefreshableVersion="5">
    <extLst>
      <ext xmlns:x15="http://schemas.microsoft.com/office/spreadsheetml/2010/11/main" uri="{DE250136-89BD-433C-8126-D09CA5730AF9}">
        <x15:connection id="843ffab8-a391-4821-b8c6-b7af28fd53f7"/>
      </ext>
    </extLst>
  </connection>
  <connection id="7" xr16:uid="{59270E76-3734-4EFE-86BE-068A8259E6DA}" keepAlive="1" name="ThisWorkbookDataModel" description="Modelo de dat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">
    <s v="ThisWorkbookDataModel"/>
    <s v="{[transacciones].[nombre_transaccion].&amp;[VENTA]}"/>
  </metadataStrings>
  <mdxMetadata count="1">
    <mdx n="0" f="s">
      <ms ns="1" c="0"/>
    </mdx>
  </mdxMetadata>
  <valueMetadata count="1">
    <bk>
      <rc t="1" v="0"/>
    </bk>
  </valueMetadata>
</metadata>
</file>

<file path=xl/sharedStrings.xml><?xml version="1.0" encoding="utf-8"?>
<sst xmlns="http://schemas.openxmlformats.org/spreadsheetml/2006/main" count="680" uniqueCount="49">
  <si>
    <t>VENTA</t>
  </si>
  <si>
    <t>Etiquetas de fila</t>
  </si>
  <si>
    <t>Total general</t>
  </si>
  <si>
    <t>23-feb</t>
  </si>
  <si>
    <t>24-feb</t>
  </si>
  <si>
    <t>25-feb</t>
  </si>
  <si>
    <t>26-feb</t>
  </si>
  <si>
    <t>Suma de entrada</t>
  </si>
  <si>
    <t>EFECTIVO</t>
  </si>
  <si>
    <t>NEQUI</t>
  </si>
  <si>
    <t>Etiquetas de columna</t>
  </si>
  <si>
    <t>BASE</t>
  </si>
  <si>
    <t>GASTO</t>
  </si>
  <si>
    <t>RETIRO</t>
  </si>
  <si>
    <t>Suma de egreso</t>
  </si>
  <si>
    <t>fecha (día)</t>
  </si>
  <si>
    <t>tipo_cuenta</t>
  </si>
  <si>
    <t>fecha</t>
  </si>
  <si>
    <t>Recuento de id_item</t>
  </si>
  <si>
    <t>nombre_producto</t>
  </si>
  <si>
    <t>Agua</t>
  </si>
  <si>
    <t>Chori- CRUDO</t>
  </si>
  <si>
    <t>Chorizo</t>
  </si>
  <si>
    <t>Coca cola</t>
  </si>
  <si>
    <t>parri tres carnes</t>
  </si>
  <si>
    <t>Postobon</t>
  </si>
  <si>
    <t>cantidad</t>
  </si>
  <si>
    <t>precio_producto</t>
  </si>
  <si>
    <t>nombre_transaccion</t>
  </si>
  <si>
    <t>https://argentina-infrasonic-halina.ngrok-free.dev</t>
  </si>
  <si>
    <t>https://subformative-marylee-solvently.ngrok-free.dev</t>
  </si>
  <si>
    <t>http://localhost:5000</t>
  </si>
  <si>
    <t>url_DigiLivo</t>
  </si>
  <si>
    <t>url_Choriboni</t>
  </si>
  <si>
    <t>url_Local</t>
  </si>
  <si>
    <t>27-feb</t>
  </si>
  <si>
    <t>tinto</t>
  </si>
  <si>
    <t>carne + chorizo</t>
  </si>
  <si>
    <t>DaviPlata</t>
  </si>
  <si>
    <t>id_factura</t>
  </si>
  <si>
    <t>Suma de valor_total</t>
  </si>
  <si>
    <t>Valor venta</t>
  </si>
  <si>
    <t xml:space="preserve">   </t>
  </si>
  <si>
    <t>28-feb</t>
  </si>
  <si>
    <t>Hit</t>
  </si>
  <si>
    <t>parri 48</t>
  </si>
  <si>
    <t>parri 70</t>
  </si>
  <si>
    <t>parri 40</t>
  </si>
  <si>
    <t>valor_factura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</si>
</sst>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5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44" fontId="2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13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22" fontId="0" fillId="0" borderId="0" xfId="0" applyNumberFormat="1"/>
    <xf numFmtId="164" fontId="0" fillId="0" borderId="0" xfId="0" applyNumberFormat="1"/>
    <xf numFmtId="164" fontId="1" fillId="2" borderId="0" xfId="1" applyNumberFormat="1"/>
    <xf numFmtId="164" fontId="0" fillId="0" borderId="0" xfId="2" applyNumberFormat="1" applyFont="1"/>
    <xf numFmtId="0" fontId="0" fillId="3" borderId="0" xfId="0" applyFill="1"/>
    <xf numFmtId="0" fontId="3" fillId="0" borderId="0" xfId="3"/>
    <xf numFmtId="0" fontId="0" fillId="4" borderId="0" xfId="0" applyFill="1"/>
    <xf numFmtId="164" fontId="0" fillId="5" borderId="0" xfId="2" applyNumberFormat="1" applyFont="1" applyFill="1"/>
    <xf numFmtId="0" fontId="4" fillId="0" borderId="0" xfId="0" applyFont="1"/>
    <xf numFmtId="22" fontId="4" fillId="0" borderId="1" xfId="0" applyNumberFormat="1" applyFont="1" applyBorder="1"/>
  </cellXfs>
  <cellStyles count="4">
    <cellStyle name="Bueno" xfId="1" builtinId="26"/>
    <cellStyle name="Hipervínculo" xfId="3" builtinId="8"/>
    <cellStyle name="Moneda" xfId="2" builtinId="4"/>
    <cellStyle name="Normal" xfId="0" builtinId="0"/>
  </cellStyles>
  <dxfs count="5">
    <dxf>
      <numFmt numFmtId="164" formatCode="_-&quot;$&quot;\ * #,##0_-;\-&quot;$&quot;\ * #,##0_-;_-&quot;$&quot;\ * &quot;-&quot;??_-;_-@_-"/>
    </dxf>
    <dxf>
      <numFmt numFmtId="164" formatCode="_-&quot;$&quot;\ * #,##0_-;\-&quot;$&quot;\ * #,##0_-;_-&quot;$&quot;\ * &quot;-&quot;??_-;_-@_-"/>
    </dxf>
    <dxf>
      <numFmt numFmtId="164" formatCode="_-&quot;$&quot;\ * #,##0_-;\-&quot;$&quot;\ * #,##0_-;_-&quot;$&quot;\ * &quot;-&quot;??_-;_-@_-"/>
    </dxf>
    <dxf>
      <numFmt numFmtId="164" formatCode="_-&quot;$&quot;\ * #,##0_-;\-&quot;$&quot;\ * #,##0_-;_-&quot;$&quot;\ * &quot;-&quot;??_-;_-@_-"/>
    </dxf>
    <dxf>
      <numFmt numFmtId="164" formatCode="_-&quot;$&quot;\ * #,##0_-;\-&quot;$&quot;\ * #,##0_-;_-&quot;$&quot;\ 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18" Type="http://schemas.openxmlformats.org/officeDocument/2006/relationships/customXml" Target="../customXml/item1.xml"/><Relationship Id="rId26" Type="http://schemas.openxmlformats.org/officeDocument/2006/relationships/customXml" Target="../customXml/item9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4.xml"/><Relationship Id="rId34" Type="http://schemas.openxmlformats.org/officeDocument/2006/relationships/customXml" Target="../customXml/item17.xml"/><Relationship Id="rId7" Type="http://schemas.openxmlformats.org/officeDocument/2006/relationships/pivotCacheDefinition" Target="pivotCache/pivotCacheDefinition2.xml"/><Relationship Id="rId12" Type="http://schemas.openxmlformats.org/officeDocument/2006/relationships/connections" Target="connections.xml"/><Relationship Id="rId17" Type="http://schemas.openxmlformats.org/officeDocument/2006/relationships/calcChain" Target="calcChain.xml"/><Relationship Id="rId25" Type="http://schemas.openxmlformats.org/officeDocument/2006/relationships/customXml" Target="../customXml/item8.xml"/><Relationship Id="rId33" Type="http://schemas.openxmlformats.org/officeDocument/2006/relationships/customXml" Target="../customXml/item16.xml"/><Relationship Id="rId2" Type="http://schemas.openxmlformats.org/officeDocument/2006/relationships/worksheet" Target="worksheets/sheet2.xml"/><Relationship Id="rId16" Type="http://schemas.openxmlformats.org/officeDocument/2006/relationships/powerPivotData" Target="model/item.data"/><Relationship Id="rId20" Type="http://schemas.openxmlformats.org/officeDocument/2006/relationships/customXml" Target="../customXml/item3.xml"/><Relationship Id="rId29" Type="http://schemas.openxmlformats.org/officeDocument/2006/relationships/customXml" Target="../customXml/item1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theme" Target="theme/theme1.xml"/><Relationship Id="rId24" Type="http://schemas.openxmlformats.org/officeDocument/2006/relationships/customXml" Target="../customXml/item7.xml"/><Relationship Id="rId32" Type="http://schemas.openxmlformats.org/officeDocument/2006/relationships/customXml" Target="../customXml/item15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23" Type="http://schemas.openxmlformats.org/officeDocument/2006/relationships/customXml" Target="../customXml/item6.xml"/><Relationship Id="rId28" Type="http://schemas.openxmlformats.org/officeDocument/2006/relationships/customXml" Target="../customXml/item11.xml"/><Relationship Id="rId36" Type="http://schemas.openxmlformats.org/officeDocument/2006/relationships/customXml" Target="../customXml/item19.xml"/><Relationship Id="rId10" Type="http://schemas.openxmlformats.org/officeDocument/2006/relationships/pivotCacheDefinition" Target="pivotCache/pivotCacheDefinition5.xml"/><Relationship Id="rId19" Type="http://schemas.openxmlformats.org/officeDocument/2006/relationships/customXml" Target="../customXml/item2.xml"/><Relationship Id="rId31" Type="http://schemas.openxmlformats.org/officeDocument/2006/relationships/customXml" Target="../customXml/item14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4.xml"/><Relationship Id="rId14" Type="http://schemas.openxmlformats.org/officeDocument/2006/relationships/sharedStrings" Target="sharedStrings.xml"/><Relationship Id="rId22" Type="http://schemas.openxmlformats.org/officeDocument/2006/relationships/customXml" Target="../customXml/item5.xml"/><Relationship Id="rId27" Type="http://schemas.openxmlformats.org/officeDocument/2006/relationships/customXml" Target="../customXml/item10.xml"/><Relationship Id="rId30" Type="http://schemas.openxmlformats.org/officeDocument/2006/relationships/customXml" Target="../customXml/item13.xml"/><Relationship Id="rId35" Type="http://schemas.openxmlformats.org/officeDocument/2006/relationships/customXml" Target="../customXml/item18.xml"/><Relationship Id="rId8" Type="http://schemas.openxmlformats.org/officeDocument/2006/relationships/pivotCacheDefinition" Target="pivotCache/pivotCacheDefinition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" refreshedDate="46081.877306828705" backgroundQuery="1" createdVersion="8" refreshedVersion="8" minRefreshableVersion="3" recordCount="0" supportSubquery="1" supportAdvancedDrill="1" xr:uid="{AD6BA708-4447-4F93-B6E0-0A8F75297575}">
  <cacheSource type="external" connectionId="7"/>
  <cacheFields count="4">
    <cacheField name="[transacciones].[nombre_transaccion].[nombre_transaccion]" caption="nombre_transaccion" numFmtId="0" hierarchy="12" level="1">
      <sharedItems count="1">
        <s v="VENTA"/>
      </sharedItems>
    </cacheField>
    <cacheField name="[transacciones].[tipo_cuenta].[tipo_cuenta]" caption="tipo_cuenta" numFmtId="0" hierarchy="13" level="1">
      <sharedItems count="3">
        <s v="DaviPlata"/>
        <s v="EFECTIVO"/>
        <s v="NEQUI"/>
      </sharedItems>
    </cacheField>
    <cacheField name="[transacciones].[fecha (día)].[fecha (día)]" caption="fecha (día)" numFmtId="0" hierarchy="20" level="1">
      <sharedItems count="6">
        <s v="23-feb"/>
        <s v="24-feb"/>
        <s v="25-feb"/>
        <s v="26-feb"/>
        <s v="27-feb"/>
        <s v="28-feb"/>
      </sharedItems>
    </cacheField>
    <cacheField name="[Measures].[Suma de valor_total]" caption="Suma de valor_total" numFmtId="0" hierarchy="44" level="32767"/>
  </cacheFields>
  <cacheHierarchies count="45">
    <cacheHierarchy uniqueName="[items].[id_item]" caption="id_item" attribute="1" defaultMemberUniqueName="[items].[id_item].[All]" allUniqueName="[items].[id_item].[All]" dimensionUniqueName="[items]" displayFolder="" count="0" memberValueDatatype="20" unbalanced="0"/>
    <cacheHierarchy uniqueName="[items].[cantidad]" caption="cantidad" attribute="1" defaultMemberUniqueName="[items].[cantidad].[All]" allUniqueName="[items].[cantidad].[All]" dimensionUniqueName="[items]" displayFolder="" count="0" memberValueDatatype="20" unbalanced="0"/>
    <cacheHierarchy uniqueName="[items].[id_producto]" caption="id_producto" attribute="1" defaultMemberUniqueName="[items].[id_producto].[All]" allUniqueName="[items].[id_producto].[All]" dimensionUniqueName="[items]" displayFolder="" count="0" memberValueDatatype="20" unbalanced="0"/>
    <cacheHierarchy uniqueName="[items].[id_transaccion]" caption="id_transaccion" attribute="1" defaultMemberUniqueName="[items].[id_transaccion].[All]" allUniqueName="[items].[id_transaccion].[All]" dimensionUniqueName="[items]" displayFolder="" count="0" memberValueDatatype="20" unbalanced="0"/>
    <cacheHierarchy uniqueName="[items].[nombre_producto]" caption="nombre_producto" attribute="1" defaultMemberUniqueName="[items].[nombre_producto].[All]" allUniqueName="[items].[nombre_producto].[All]" dimensionUniqueName="[items]" displayFolder="" count="0" memberValueDatatype="130" unbalanced="0"/>
    <cacheHierarchy uniqueName="[items].[precio_producto]" caption="precio_producto" attribute="1" defaultMemberUniqueName="[items].[precio_producto].[All]" allUniqueName="[items].[precio_producto].[All]" dimensionUniqueName="[items]" displayFolder="" count="0" memberValueDatatype="5" unbalanced="0"/>
    <cacheHierarchy uniqueName="[items].[valor_total]" caption="valor_total" attribute="1" defaultMemberUniqueName="[items].[valor_total].[All]" allUniqueName="[items].[valor_total].[All]" dimensionUniqueName="[items]" displayFolder="" count="0" memberValueDatatype="5" unbalanced="0"/>
    <cacheHierarchy uniqueName="[productos].[id_producto]" caption="id_producto" attribute="1" defaultMemberUniqueName="[productos].[id_producto].[All]" allUniqueName="[productos].[id_producto].[All]" dimensionUniqueName="[productos]" displayFolder="" count="0" memberValueDatatype="20" unbalanced="0"/>
    <cacheHierarchy uniqueName="[productos].[nombre_producto]" caption="nombre_producto" attribute="1" defaultMemberUniqueName="[productos].[nombre_producto].[All]" allUniqueName="[productos].[nombre_producto].[All]" dimensionUniqueName="[productos]" displayFolder="" count="0" memberValueDatatype="130" unbalanced="0"/>
    <cacheHierarchy uniqueName="[productos].[precio]" caption="precio" attribute="1" defaultMemberUniqueName="[productos].[precio].[All]" allUniqueName="[productos].[precio].[All]" dimensionUniqueName="[productos]" displayFolder="" count="0" memberValueDatatype="20" unbalanced="0"/>
    <cacheHierarchy uniqueName="[productos].[id_usuario]" caption="id_usuario" attribute="1" defaultMemberUniqueName="[productos].[id_usuario].[All]" allUniqueName="[productos].[id_usuario].[All]" dimensionUniqueName="[productos]" displayFolder="" count="0" memberValueDatatype="20" unbalanced="0"/>
    <cacheHierarchy uniqueName="[transacciones].[id_transaccion]" caption="id_transaccion" attribute="1" defaultMemberUniqueName="[transacciones].[id_transaccion].[All]" allUniqueName="[transacciones].[id_transaccion].[All]" dimensionUniqueName="[transacciones]" displayFolder="" count="0" memberValueDatatype="20" unbalanced="0"/>
    <cacheHierarchy uniqueName="[transacciones].[nombre_transaccion]" caption="nombre_transaccion" attribute="1" defaultMemberUniqueName="[transacciones].[nombre_transaccion].[All]" allUniqueName="[transacciones].[nombre_transaccion].[All]" dimensionUniqueName="[transacciones]" displayFolder="" count="2" memberValueDatatype="130" unbalanced="0">
      <fieldsUsage count="2">
        <fieldUsage x="-1"/>
        <fieldUsage x="0"/>
      </fieldsUsage>
    </cacheHierarchy>
    <cacheHierarchy uniqueName="[transacciones].[tipo_cuenta]" caption="tipo_cuenta" attribute="1" defaultMemberUniqueName="[transacciones].[tipo_cuenta].[All]" allUniqueName="[transacciones].[tipo_cuenta].[All]" dimensionUniqueName="[transacciones]" displayFolder="" count="2" memberValueDatatype="130" unbalanced="0">
      <fieldsUsage count="2">
        <fieldUsage x="-1"/>
        <fieldUsage x="1"/>
      </fieldsUsage>
    </cacheHierarchy>
    <cacheHierarchy uniqueName="[transacciones].[id_factura]" caption="id_factura" attribute="1" defaultMemberUniqueName="[transacciones].[id_factura].[All]" allUniqueName="[transacciones].[id_factura].[All]" dimensionUniqueName="[transacciones]" displayFolder="" count="0" memberValueDatatype="20" unbalanced="0"/>
    <cacheHierarchy uniqueName="[transacciones].[detalle_transaccion]" caption="detalle_transaccion" attribute="1" defaultMemberUniqueName="[transacciones].[detalle_transaccion].[All]" allUniqueName="[transacciones].[detalle_transaccion].[All]" dimensionUniqueName="[transacciones]" displayFolder="" count="0" memberValueDatatype="130" unbalanced="0"/>
    <cacheHierarchy uniqueName="[transacciones].[fecha]" caption="fecha" attribute="1" time="1" defaultMemberUniqueName="[transacciones].[fecha].[All]" allUniqueName="[transacciones].[fecha].[All]" dimensionUniqueName="[transacciones]" displayFolder="" count="0" memberValueDatatype="7" unbalanced="0"/>
    <cacheHierarchy uniqueName="[transacciones].[entrada]" caption="entrada" attribute="1" defaultMemberUniqueName="[transacciones].[entrada].[All]" allUniqueName="[transacciones].[entrada].[All]" dimensionUniqueName="[transacciones]" displayFolder="" count="0" memberValueDatatype="5" unbalanced="0"/>
    <cacheHierarchy uniqueName="[transacciones].[egreso]" caption="egreso" attribute="1" defaultMemberUniqueName="[transacciones].[egreso].[All]" allUniqueName="[transacciones].[egreso].[All]" dimensionUniqueName="[transacciones]" displayFolder="" count="0" memberValueDatatype="5" unbalanced="0"/>
    <cacheHierarchy uniqueName="[transacciones].[id_usuario]" caption="id_usuario" attribute="1" defaultMemberUniqueName="[transacciones].[id_usuario].[All]" allUniqueName="[transacciones].[id_usuario].[All]" dimensionUniqueName="[transacciones]" displayFolder="" count="0" memberValueDatatype="5" unbalanced="0"/>
    <cacheHierarchy uniqueName="[transacciones].[fecha (día)]" caption="fecha (día)" attribute="1" defaultMemberUniqueName="[transacciones].[fecha (día)].[All]" allUniqueName="[transacciones].[fecha (día)].[All]" dimensionUniqueName="[transacciones]" displayFolder="" count="2" memberValueDatatype="130" unbalanced="0">
      <fieldsUsage count="2">
        <fieldUsage x="-1"/>
        <fieldUsage x="2"/>
      </fieldsUsage>
    </cacheHierarchy>
    <cacheHierarchy uniqueName="[transacciones].[fecha (hora)]" caption="fecha (hora)" attribute="1" defaultMemberUniqueName="[transacciones].[fecha (hora)].[All]" allUniqueName="[transacciones].[fecha (hora)].[All]" dimensionUniqueName="[transacciones]" displayFolder="" count="0" memberValueDatatype="130" unbalanced="0"/>
    <cacheHierarchy uniqueName="[transacciones].[fecha (minuto)]" caption="fecha (minuto)" attribute="1" defaultMemberUniqueName="[transacciones].[fecha (minuto)].[All]" allUniqueName="[transacciones].[fecha (minuto)].[All]" dimensionUniqueName="[transacciones]" displayFolder="" count="0" memberValueDatatype="130" unbalanced="0"/>
    <cacheHierarchy uniqueName="[transacciones].[fecha (segundo)]" caption="fecha (segundo)" attribute="1" defaultMemberUniqueName="[transacciones].[fecha (segundo)].[All]" allUniqueName="[transacciones].[fecha (segundo)].[All]" dimensionUniqueName="[transacciones]" displayFolder="" count="0" memberValueDatatype="130" unbalanced="0"/>
    <cacheHierarchy uniqueName="[transacciones].[nombre_usuario]" caption="nombre_usuario" attribute="1" defaultMemberUniqueName="[transacciones].[nombre_usuario].[All]" allUniqueName="[transacciones].[nombre_usuario].[All]" dimensionUniqueName="[transacciones]" displayFolder="" count="0" memberValueDatatype="130" unbalanced="0"/>
    <cacheHierarchy uniqueName="[usuarios].[id_usuario]" caption="id_usuario" attribute="1" defaultMemberUniqueName="[usuarios].[id_usuario].[All]" allUniqueName="[usuarios].[id_usuario].[All]" dimensionUniqueName="[usuarios]" displayFolder="" count="0" memberValueDatatype="20" unbalanced="0"/>
    <cacheHierarchy uniqueName="[usuarios].[nombre_usuario]" caption="nombre_usuario" attribute="1" defaultMemberUniqueName="[usuarios].[nombre_usuario].[All]" allUniqueName="[usuarios].[nombre_usuario].[All]" dimensionUniqueName="[usuarios]" displayFolder="" count="0" memberValueDatatype="130" unbalanced="0"/>
    <cacheHierarchy uniqueName="[usuarios].[rol]" caption="rol" attribute="1" defaultMemberUniqueName="[usuarios].[rol].[All]" allUniqueName="[usuarios].[rol].[All]" dimensionUniqueName="[usuarios]" displayFolder="" count="0" memberValueDatatype="130" unbalanced="0"/>
    <cacheHierarchy uniqueName="[transacciones].[fecha (índice de días)]" caption="fecha (índice de días)" attribute="1" defaultMemberUniqueName="[transacciones].[fecha (índice de días)].[All]" allUniqueName="[transacciones].[fecha (índice de días)].[All]" dimensionUniqueName="[transacciones]" displayFolder="" count="0" memberValueDatatype="5" unbalanced="0" hidden="1"/>
    <cacheHierarchy uniqueName="[Measures].[__XL_Count transacciones]" caption="__XL_Count transacciones" measure="1" displayFolder="" measureGroup="transacciones" count="0" hidden="1"/>
    <cacheHierarchy uniqueName="[Measures].[__XL_Count items]" caption="__XL_Count items" measure="1" displayFolder="" measureGroup="items" count="0" hidden="1"/>
    <cacheHierarchy uniqueName="[Measures].[__XL_Count usuarios]" caption="__XL_Count usuarios" measure="1" displayFolder="" measureGroup="usuarios" count="0" hidden="1"/>
    <cacheHierarchy uniqueName="[Measures].[__XL_Count productos]" caption="__XL_Count productos" measure="1" displayFolder="" measureGroup="productos" count="0" hidden="1"/>
    <cacheHierarchy uniqueName="[Measures].[__No measures defined]" caption="__No measures defined" measure="1" displayFolder="" count="0" hidden="1"/>
    <cacheHierarchy uniqueName="[Measures].[Suma de entrada]" caption="Suma de entrada" measure="1" displayFolder="" measureGroup="transacciones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Recuento de tipo_cuenta]" caption="Recuento de tipo_cuenta" measure="1" displayFolder="" measureGroup="transaccione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a de egreso]" caption="Suma de egreso" measure="1" displayFolder="" measureGroup="transacciones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a de id_item]" caption="Suma de id_item" measure="1" displayFolder="" measureGroup="item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a de id_transaccion]" caption="Suma de id_transaccion" measure="1" displayFolder="" measureGroup="transaccione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Recuento de id_transaccion]" caption="Recuento de id_transaccion" measure="1" displayFolder="" measureGroup="transaccione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a de id_transaccion 2]" caption="Suma de id_transaccion 2" measure="1" displayFolder="" measureGroup="item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Recuento de id_transaccion 2]" caption="Recuento de id_transaccion 2" measure="1" displayFolder="" measureGroup="item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Recuento de entrada]" caption="Recuento de entrada" measure="1" displayFolder="" measureGroup="transacciones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Recuento de id_item]" caption="Recuento de id_item" measure="1" displayFolder="" measureGroup="item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a de valor_total]" caption="Suma de valor_total" measure="1" displayFolder="" measureGroup="items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6"/>
        </ext>
      </extLst>
    </cacheHierarchy>
  </cacheHierarchies>
  <kpis count="0"/>
  <dimensions count="5">
    <dimension name="items" uniqueName="[items]" caption="items"/>
    <dimension measure="1" name="Measures" uniqueName="[Measures]" caption="Measures"/>
    <dimension name="productos" uniqueName="[productos]" caption="productos"/>
    <dimension name="transacciones" uniqueName="[transacciones]" caption="transacciones"/>
    <dimension name="usuarios" uniqueName="[usuarios]" caption="usuarios"/>
  </dimensions>
  <measureGroups count="4">
    <measureGroup name="items" caption="items"/>
    <measureGroup name="productos" caption="productos"/>
    <measureGroup name="transacciones" caption="transacciones"/>
    <measureGroup name="usuarios" caption="usuarios"/>
  </measureGroups>
  <maps count="8">
    <map measureGroup="0" dimension="0"/>
    <map measureGroup="0" dimension="2"/>
    <map measureGroup="0" dimension="3"/>
    <map measureGroup="0" dimension="4"/>
    <map measureGroup="1" dimension="2"/>
    <map measureGroup="2" dimension="3"/>
    <map measureGroup="2" dimension="4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" refreshedDate="46081.877308333336" backgroundQuery="1" createdVersion="8" refreshedVersion="8" minRefreshableVersion="3" recordCount="0" supportSubquery="1" supportAdvancedDrill="1" xr:uid="{A4E41740-7FD3-496D-B4C8-EF670EAE1B9C}">
  <cacheSource type="external" connectionId="7"/>
  <cacheFields count="9">
    <cacheField name="[transacciones].[nombre_transaccion].[nombre_transaccion]" caption="nombre_transaccion" numFmtId="0" hierarchy="12" level="1">
      <sharedItems count="1">
        <s v="VENTA"/>
      </sharedItems>
    </cacheField>
    <cacheField name="[transacciones].[tipo_cuenta].[tipo_cuenta]" caption="tipo_cuenta" numFmtId="0" hierarchy="13" level="1">
      <sharedItems count="3">
        <s v="EFECTIVO"/>
        <s v="NEQUI"/>
        <s v="DaviPlata"/>
      </sharedItems>
    </cacheField>
    <cacheField name="[Measures].[Recuento de id_item]" caption="Recuento de id_item" numFmtId="0" hierarchy="43" level="32767"/>
    <cacheField name="[transacciones].[fecha].[fecha]" caption="fecha" numFmtId="0" hierarchy="16" level="1">
      <sharedItems containsSemiMixedTypes="0" containsNonDate="0" containsDate="1" containsString="0" minDate="2026-02-23T16:36:36" maxDate="2026-02-28T19:10:36" count="90">
        <d v="2026-02-23T16:36:36"/>
        <d v="2026-02-23T17:01:56"/>
        <d v="2026-02-23T17:13:01"/>
        <d v="2026-02-23T17:17:29"/>
        <d v="2026-02-23T18:00:25"/>
        <d v="2026-02-23T18:02:50"/>
        <d v="2026-02-23T18:53:36"/>
        <d v="2026-02-23T19:05:29"/>
        <d v="2026-02-23T19:38:20"/>
        <d v="2026-02-23T20:11:58"/>
        <d v="2026-02-23T20:15:09"/>
        <d v="2026-02-23T20:17:45"/>
        <d v="2026-02-23T20:24:21"/>
        <d v="2026-02-23T20:27:49"/>
        <d v="2026-02-24T15:34:06"/>
        <d v="2026-02-24T15:35:04"/>
        <d v="2026-02-24T17:45:39"/>
        <d v="2026-02-24T18:13:50"/>
        <d v="2026-02-24T18:34:49"/>
        <d v="2026-02-24T18:36:16"/>
        <d v="2026-02-24T18:42:31"/>
        <d v="2026-02-24T19:07:54"/>
        <d v="2026-02-24T20:01:31"/>
        <d v="2026-02-24T20:05:06"/>
        <d v="2026-02-24T20:19:42"/>
        <d v="2026-02-24T20:23:49"/>
        <d v="2026-02-24T20:49:21"/>
        <d v="2026-02-25T13:52:23"/>
        <d v="2026-02-25T13:55:04"/>
        <d v="2026-02-25T14:05:11"/>
        <d v="2026-02-25T14:11:36"/>
        <d v="2026-02-25T14:24:55"/>
        <d v="2026-02-25T14:25:49"/>
        <d v="2026-02-25T16:40:06"/>
        <d v="2026-02-25T16:41:14"/>
        <d v="2026-02-25T18:17:29"/>
        <d v="2026-02-25T18:20:12"/>
        <d v="2026-02-25T18:26:28"/>
        <d v="2026-02-25T18:34:12"/>
        <d v="2026-02-25T18:34:55"/>
        <d v="2026-02-25T18:39:59"/>
        <d v="2026-02-25T19:10:35"/>
        <d v="2026-02-25T19:12:43"/>
        <d v="2026-02-25T19:21:54"/>
        <d v="2026-02-25T19:39:17"/>
        <d v="2026-02-25T19:40:30"/>
        <d v="2026-02-25T19:58:51"/>
        <d v="2026-02-25T20:06:51"/>
        <d v="2026-02-25T20:12:01"/>
        <d v="2026-02-25T20:21:11"/>
        <d v="2026-02-26T13:22:07"/>
        <d v="2026-02-26T13:27:22"/>
        <d v="2026-02-26T15:13:07"/>
        <d v="2026-02-26T17:27:41"/>
        <d v="2026-02-26T18:04:10"/>
        <d v="2026-02-26T18:18:48"/>
        <d v="2026-02-26T18:20:14"/>
        <d v="2026-02-26T18:33:59"/>
        <d v="2026-02-26T19:04:18"/>
        <d v="2026-02-26T19:29:53"/>
        <d v="2026-02-26T19:31:31"/>
        <d v="2026-02-26T19:33:12"/>
        <d v="2026-02-26T20:15:00"/>
        <d v="2026-02-26T20:15:17"/>
        <d v="2026-02-26T20:15:31"/>
        <d v="2026-02-27T15:07:27"/>
        <d v="2026-02-27T15:09:00"/>
        <d v="2026-02-27T17:10:45"/>
        <d v="2026-02-27T17:24:37"/>
        <d v="2026-02-27T17:48:52"/>
        <d v="2026-02-27T18:16:26"/>
        <d v="2026-02-27T19:46:35"/>
        <d v="2026-02-27T20:04:22"/>
        <d v="2026-02-27T20:05:35"/>
        <d v="2026-02-27T20:08:12"/>
        <d v="2026-02-28T18:57:18"/>
        <d v="2026-02-28T18:57:56"/>
        <d v="2026-02-28T18:58:59"/>
        <d v="2026-02-28T19:01:04"/>
        <d v="2026-02-28T19:02:13"/>
        <d v="2026-02-28T19:03:10"/>
        <d v="2026-02-28T19:03:58"/>
        <d v="2026-02-28T19:04:18"/>
        <d v="2026-02-28T19:04:56"/>
        <d v="2026-02-28T19:05:31"/>
        <d v="2026-02-28T19:05:51"/>
        <d v="2026-02-28T19:07:57"/>
        <d v="2026-02-28T19:08:25"/>
        <d v="2026-02-28T19:08:38"/>
        <d v="2026-02-28T19:10:36"/>
      </sharedItems>
      <extLst>
        <ext xmlns:x15="http://schemas.microsoft.com/office/spreadsheetml/2010/11/main" uri="{4F2E5C28-24EA-4eb8-9CBF-B6C8F9C3D259}">
          <x15:cachedUniqueNames>
            <x15:cachedUniqueName index="0" name="[transacciones].[fecha].&amp;[2026-02-23T16:36:35.866667]"/>
            <x15:cachedUniqueName index="1" name="[transacciones].[fecha].&amp;[2026-02-23T17:01:55.816667]"/>
            <x15:cachedUniqueName index="2" name="[transacciones].[fecha].&amp;[2026-02-23T17:13:00.56]"/>
            <x15:cachedUniqueName index="3" name="[transacciones].[fecha].&amp;[2026-02-23T17:17:29.466667]"/>
            <x15:cachedUniqueName index="4" name="[transacciones].[fecha].&amp;[2026-02-23T18:00:25.296667]"/>
            <x15:cachedUniqueName index="5" name="[transacciones].[fecha].&amp;[2026-02-23T18:02:50.156667]"/>
            <x15:cachedUniqueName index="6" name="[transacciones].[fecha].&amp;[2026-02-23T18:53:36.25]"/>
            <x15:cachedUniqueName index="7" name="[transacciones].[fecha].&amp;[2026-02-23T19:05:29.056667]"/>
            <x15:cachedUniqueName index="8" name="[transacciones].[fecha].&amp;[2026-02-23T19:38:19.86]"/>
            <x15:cachedUniqueName index="9" name="[transacciones].[fecha].&amp;[2026-02-23T20:11:57.673333]"/>
            <x15:cachedUniqueName index="10" name="[transacciones].[fecha].&amp;[2026-02-23T20:15:09.25]"/>
            <x15:cachedUniqueName index="11" name="[transacciones].[fecha].&amp;[2026-02-23T20:17:44.503333]"/>
            <x15:cachedUniqueName index="12" name="[transacciones].[fecha].&amp;[2026-02-23T20:24:20.71]"/>
            <x15:cachedUniqueName index="13" name="[transacciones].[fecha].&amp;[2026-02-23T20:27:48.96]"/>
            <x15:cachedUniqueName index="14" name="[transacciones].[fecha].&amp;[2026-02-24T15:34:06.146667]"/>
            <x15:cachedUniqueName index="15" name="[transacciones].[fecha].&amp;[2026-02-24T15:35:03.62]"/>
            <x15:cachedUniqueName index="16" name="[transacciones].[fecha].&amp;[2026-02-24T17:45:39.456667]"/>
            <x15:cachedUniqueName index="17" name="[transacciones].[fecha].&amp;[2026-02-24T18:13:50.206667]"/>
            <x15:cachedUniqueName index="18" name="[transacciones].[fecha].&amp;[2026-02-24T18:34:48.72]"/>
            <x15:cachedUniqueName index="19" name="[transacciones].[fecha].&amp;[2026-02-24T18:36:15.69]"/>
            <x15:cachedUniqueName index="20" name="[transacciones].[fecha].&amp;[2026-02-24T18:42:30.956667]"/>
            <x15:cachedUniqueName index="21" name="[transacciones].[fecha].&amp;[2026-02-24T19:07:53.706667]"/>
            <x15:cachedUniqueName index="22" name="[transacciones].[fecha].&amp;[2026-02-24T20:01:30.64]"/>
            <x15:cachedUniqueName index="23" name="[transacciones].[fecha].&amp;[2026-02-24T20:05:05.64]"/>
            <x15:cachedUniqueName index="24" name="[transacciones].[fecha].&amp;[2026-02-24T20:19:41.79]"/>
            <x15:cachedUniqueName index="25" name="[transacciones].[fecha].&amp;[2026-02-24T20:23:48.64]"/>
            <x15:cachedUniqueName index="26" name="[transacciones].[fecha].&amp;[2026-02-24T20:49:21.27]"/>
            <x15:cachedUniqueName index="27" name="[transacciones].[fecha].&amp;[2026-02-25T13:52:22.706667]"/>
            <x15:cachedUniqueName index="28" name="[transacciones].[fecha].&amp;[2026-02-25T13:55:03.656667]"/>
            <x15:cachedUniqueName index="29" name="[transacciones].[fecha].&amp;[2026-02-25T14:05:11.346667]"/>
            <x15:cachedUniqueName index="30" name="[transacciones].[fecha].&amp;[2026-02-25T14:11:36.29]"/>
            <x15:cachedUniqueName index="31" name="[transacciones].[fecha].&amp;[2026-02-25T14:24:54.56]"/>
            <x15:cachedUniqueName index="32" name="[transacciones].[fecha].&amp;[2026-02-25T14:25:49.376667]"/>
            <x15:cachedUniqueName index="33" name="[transacciones].[fecha].&amp;[2026-02-25T16:40:06.296667]"/>
            <x15:cachedUniqueName index="34" name="[transacciones].[fecha].&amp;[2026-02-25T16:41:14.16]"/>
            <x15:cachedUniqueName index="35" name="[transacciones].[fecha].&amp;[2026-02-25T18:17:29.126667]"/>
            <x15:cachedUniqueName index="36" name="[transacciones].[fecha].&amp;[2026-02-25T18:20:11.623333]"/>
            <x15:cachedUniqueName index="37" name="[transacciones].[fecha].&amp;[2026-02-25T18:26:27.92]"/>
            <x15:cachedUniqueName index="38" name="[transacciones].[fecha].&amp;[2026-02-25T18:34:11.783333]"/>
            <x15:cachedUniqueName index="39" name="[transacciones].[fecha].&amp;[2026-02-25T18:34:55.243333]"/>
            <x15:cachedUniqueName index="40" name="[transacciones].[fecha].&amp;[2026-02-25T18:39:59.116667]"/>
            <x15:cachedUniqueName index="41" name="[transacciones].[fecha].&amp;[2026-02-25T19:10:34.886667]"/>
            <x15:cachedUniqueName index="42" name="[transacciones].[fecha].&amp;[2026-02-25T19:12:42.98]"/>
            <x15:cachedUniqueName index="43" name="[transacciones].[fecha].&amp;[2026-02-25T19:21:53.8]"/>
            <x15:cachedUniqueName index="44" name="[transacciones].[fecha].&amp;[2026-02-25T19:39:17.01]"/>
            <x15:cachedUniqueName index="45" name="[transacciones].[fecha].&amp;[2026-02-25T19:40:29.633333]"/>
            <x15:cachedUniqueName index="46" name="[transacciones].[fecha].&amp;[2026-02-25T19:58:50.843333]"/>
            <x15:cachedUniqueName index="47" name="[transacciones].[fecha].&amp;[2026-02-25T20:06:51.046667]"/>
            <x15:cachedUniqueName index="48" name="[transacciones].[fecha].&amp;[2026-02-25T20:12:00.843333]"/>
            <x15:cachedUniqueName index="49" name="[transacciones].[fecha].&amp;[2026-02-25T20:21:11.203333]"/>
            <x15:cachedUniqueName index="50" name="[transacciones].[fecha].&amp;[2026-02-26T13:22:07.446667]"/>
            <x15:cachedUniqueName index="51" name="[transacciones].[fecha].&amp;[2026-02-26T13:27:21.903333]"/>
            <x15:cachedUniqueName index="52" name="[transacciones].[fecha].&amp;[2026-02-26T15:13:06.77]"/>
            <x15:cachedUniqueName index="53" name="[transacciones].[fecha].&amp;[2026-02-26T17:27:40.78]"/>
            <x15:cachedUniqueName index="54" name="[transacciones].[fecha].&amp;[2026-02-26T18:04:10.47]"/>
            <x15:cachedUniqueName index="55" name="[transacciones].[fecha].&amp;[2026-02-26T18:18:47.966667]"/>
            <x15:cachedUniqueName index="56" name="[transacciones].[fecha].&amp;[2026-02-26T18:20:13.746667]"/>
            <x15:cachedUniqueName index="57" name="[transacciones].[fecha].&amp;[2026-02-26T18:33:58.626667]"/>
            <x15:cachedUniqueName index="58" name="[transacciones].[fecha].&amp;[2026-02-26T19:04:18.39]"/>
            <x15:cachedUniqueName index="59" name="[transacciones].[fecha].&amp;[2026-02-26T19:29:52.633333]"/>
            <x15:cachedUniqueName index="60" name="[transacciones].[fecha].&amp;[2026-02-26T19:31:30.646667]"/>
            <x15:cachedUniqueName index="61" name="[transacciones].[fecha].&amp;[2026-02-26T19:33:11.836667]"/>
            <x15:cachedUniqueName index="62" name="[transacciones].[fecha].&amp;[2026-02-26T20:14:59.84]"/>
            <x15:cachedUniqueName index="63" name="[transacciones].[fecha].&amp;[2026-02-26T20:15:17.336667]"/>
            <x15:cachedUniqueName index="64" name="[transacciones].[fecha].&amp;[2026-02-26T20:15:31.096667]"/>
            <x15:cachedUniqueName index="65" name="[transacciones].[fecha].&amp;[2026-02-27T15:07:26.95]"/>
            <x15:cachedUniqueName index="66" name="[transacciones].[fecha].&amp;[2026-02-27T15:08:59.923333]"/>
            <x15:cachedUniqueName index="67" name="[transacciones].[fecha].&amp;[2026-02-27T17:10:44.963333]"/>
            <x15:cachedUniqueName index="68" name="[transacciones].[fecha].&amp;[2026-02-27T17:24:37.173333]"/>
            <x15:cachedUniqueName index="69" name="[transacciones].[fecha].&amp;[2026-02-27T17:48:51.64]"/>
            <x15:cachedUniqueName index="70" name="[transacciones].[fecha].&amp;[2026-02-27T18:16:26.25]"/>
            <x15:cachedUniqueName index="71" name="[transacciones].[fecha].&amp;[2026-02-27T19:46:35.44]"/>
            <x15:cachedUniqueName index="72" name="[transacciones].[fecha].&amp;[2026-02-27T20:04:22.24]"/>
            <x15:cachedUniqueName index="73" name="[transacciones].[fecha].&amp;[2026-02-27T20:05:35.29]"/>
            <x15:cachedUniqueName index="74" name="[transacciones].[fecha].&amp;[2026-02-27T20:08:11.523333]"/>
            <x15:cachedUniqueName index="75" name="[transacciones].[fecha].&amp;[2026-02-28T18:57:18.233333]"/>
            <x15:cachedUniqueName index="76" name="[transacciones].[fecha].&amp;[2026-02-28T18:57:55.983333]"/>
            <x15:cachedUniqueName index="77" name="[transacciones].[fecha].&amp;[2026-02-28T18:58:58.8]"/>
            <x15:cachedUniqueName index="78" name="[transacciones].[fecha].&amp;[2026-02-28T19:01:04.256667]"/>
            <x15:cachedUniqueName index="79" name="[transacciones].[fecha].&amp;[2026-02-28T19:02:13.483333]"/>
            <x15:cachedUniqueName index="80" name="[transacciones].[fecha].&amp;[2026-02-28T19:03:10.083333]"/>
            <x15:cachedUniqueName index="81" name="[transacciones].[fecha].&amp;[2026-02-28T19:03:57.723333]"/>
            <x15:cachedUniqueName index="82" name="[transacciones].[fecha].&amp;[2026-02-28T19:04:18.356667]"/>
            <x15:cachedUniqueName index="83" name="[transacciones].[fecha].&amp;[2026-02-28T19:04:56.256667]"/>
            <x15:cachedUniqueName index="84" name="[transacciones].[fecha].&amp;[2026-02-28T19:05:31.006667]"/>
            <x15:cachedUniqueName index="85" name="[transacciones].[fecha].&amp;[2026-02-28T19:05:51.39]"/>
            <x15:cachedUniqueName index="86" name="[transacciones].[fecha].&amp;[2026-02-28T19:07:57.083333]"/>
            <x15:cachedUniqueName index="87" name="[transacciones].[fecha].&amp;[2026-02-28T19:08:25.05]"/>
            <x15:cachedUniqueName index="88" name="[transacciones].[fecha].&amp;[2026-02-28T19:08:37.606667]"/>
            <x15:cachedUniqueName index="89" name="[transacciones].[fecha].&amp;[2026-02-28T19:10:35.983333]"/>
          </x15:cachedUniqueNames>
        </ext>
      </extLst>
    </cacheField>
    <cacheField name="[productos].[nombre_producto].[nombre_producto]" caption="nombre_producto" numFmtId="0" hierarchy="8" level="1">
      <sharedItems count="12">
        <s v="Chorizo"/>
        <s v="Coca cola"/>
        <s v="Agua"/>
        <s v="Postobon"/>
        <s v="Chori- CRUDO"/>
        <s v="parri tres carnes"/>
        <s v="carne + chorizo"/>
        <s v="tinto"/>
        <s v="Hit"/>
        <s v="parri 48"/>
        <s v="parri 70"/>
        <s v="parri 40"/>
      </sharedItems>
    </cacheField>
    <cacheField name="[items].[cantidad].[cantidad]" caption="cantidad" numFmtId="0" hierarchy="1" level="1">
      <sharedItems containsSemiMixedTypes="0" containsString="0" containsNumber="1" containsInteger="1" minValue="1" maxValue="6" count="6">
        <n v="2"/>
        <n v="1"/>
        <n v="3"/>
        <n v="5"/>
        <n v="4"/>
        <n v="6"/>
      </sharedItems>
      <extLst>
        <ext xmlns:x15="http://schemas.microsoft.com/office/spreadsheetml/2010/11/main" uri="{4F2E5C28-24EA-4eb8-9CBF-B6C8F9C3D259}">
          <x15:cachedUniqueNames>
            <x15:cachedUniqueName index="0" name="[items].[cantidad].&amp;[2]"/>
            <x15:cachedUniqueName index="1" name="[items].[cantidad].&amp;[1]"/>
            <x15:cachedUniqueName index="2" name="[items].[cantidad].&amp;[3]"/>
            <x15:cachedUniqueName index="3" name="[items].[cantidad].&amp;[5]"/>
            <x15:cachedUniqueName index="4" name="[items].[cantidad].&amp;[4]"/>
            <x15:cachedUniqueName index="5" name="[items].[cantidad].&amp;[6]"/>
          </x15:cachedUniqueNames>
        </ext>
      </extLst>
    </cacheField>
    <cacheField name="[items].[precio_producto].[precio_producto]" caption="precio_producto" numFmtId="0" hierarchy="5" level="1">
      <sharedItems containsSemiMixedTypes="0" containsString="0" containsNumber="1" containsInteger="1" minValue="2000" maxValue="70000" count="9">
        <n v="8000"/>
        <n v="3000"/>
        <n v="4500"/>
        <n v="35000"/>
        <n v="25000"/>
        <n v="2000"/>
        <n v="48000"/>
        <n v="70000"/>
        <n v="40000"/>
      </sharedItems>
    </cacheField>
    <cacheField name="[transacciones].[fecha (día)].[fecha (día)]" caption="fecha (día)" numFmtId="0" hierarchy="20" level="1">
      <sharedItems count="6">
        <s v="23-feb"/>
        <s v="24-feb"/>
        <s v="25-feb"/>
        <s v="26-feb"/>
        <s v="27-feb"/>
        <s v="28-feb"/>
      </sharedItems>
    </cacheField>
    <cacheField name="[transacciones].[id_factura].[id_factura]" caption="id_factura" numFmtId="0" hierarchy="14" level="1">
      <sharedItems containsSemiMixedTypes="0" containsString="0" containsNumber="1" containsInteger="1" minValue="2" maxValue="93" count="90"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4"/>
        <n v="35"/>
        <n v="36"/>
        <n v="37"/>
        <n v="38"/>
        <n v="39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</sharedItems>
      <extLst>
        <ext xmlns:x15="http://schemas.microsoft.com/office/spreadsheetml/2010/11/main" uri="{4F2E5C28-24EA-4eb8-9CBF-B6C8F9C3D259}">
          <x15:cachedUniqueNames>
            <x15:cachedUniqueName index="0" name="[transacciones].[id_factura].&amp;[2]"/>
            <x15:cachedUniqueName index="1" name="[transacciones].[id_factura].&amp;[3]"/>
            <x15:cachedUniqueName index="2" name="[transacciones].[id_factura].&amp;[4]"/>
            <x15:cachedUniqueName index="3" name="[transacciones].[id_factura].&amp;[5]"/>
            <x15:cachedUniqueName index="4" name="[transacciones].[id_factura].&amp;[6]"/>
            <x15:cachedUniqueName index="5" name="[transacciones].[id_factura].&amp;[7]"/>
            <x15:cachedUniqueName index="6" name="[transacciones].[id_factura].&amp;[8]"/>
            <x15:cachedUniqueName index="7" name="[transacciones].[id_factura].&amp;[9]"/>
            <x15:cachedUniqueName index="8" name="[transacciones].[id_factura].&amp;[10]"/>
            <x15:cachedUniqueName index="9" name="[transacciones].[id_factura].&amp;[11]"/>
            <x15:cachedUniqueName index="10" name="[transacciones].[id_factura].&amp;[12]"/>
            <x15:cachedUniqueName index="11" name="[transacciones].[id_factura].&amp;[13]"/>
            <x15:cachedUniqueName index="12" name="[transacciones].[id_factura].&amp;[14]"/>
            <x15:cachedUniqueName index="13" name="[transacciones].[id_factura].&amp;[15]"/>
            <x15:cachedUniqueName index="14" name="[transacciones].[id_factura].&amp;[16]"/>
            <x15:cachedUniqueName index="15" name="[transacciones].[id_factura].&amp;[17]"/>
            <x15:cachedUniqueName index="16" name="[transacciones].[id_factura].&amp;[18]"/>
            <x15:cachedUniqueName index="17" name="[transacciones].[id_factura].&amp;[19]"/>
            <x15:cachedUniqueName index="18" name="[transacciones].[id_factura].&amp;[20]"/>
            <x15:cachedUniqueName index="19" name="[transacciones].[id_factura].&amp;[21]"/>
            <x15:cachedUniqueName index="20" name="[transacciones].[id_factura].&amp;[22]"/>
            <x15:cachedUniqueName index="21" name="[transacciones].[id_factura].&amp;[23]"/>
            <x15:cachedUniqueName index="22" name="[transacciones].[id_factura].&amp;[24]"/>
            <x15:cachedUniqueName index="23" name="[transacciones].[id_factura].&amp;[25]"/>
            <x15:cachedUniqueName index="24" name="[transacciones].[id_factura].&amp;[26]"/>
            <x15:cachedUniqueName index="25" name="[transacciones].[id_factura].&amp;[27]"/>
            <x15:cachedUniqueName index="26" name="[transacciones].[id_factura].&amp;[28]"/>
            <x15:cachedUniqueName index="27" name="[transacciones].[id_factura].&amp;[29]"/>
            <x15:cachedUniqueName index="28" name="[transacciones].[id_factura].&amp;[30]"/>
            <x15:cachedUniqueName index="29" name="[transacciones].[id_factura].&amp;[31]"/>
            <x15:cachedUniqueName index="30" name="[transacciones].[id_factura].&amp;[32]"/>
            <x15:cachedUniqueName index="31" name="[transacciones].[id_factura].&amp;[34]"/>
            <x15:cachedUniqueName index="32" name="[transacciones].[id_factura].&amp;[35]"/>
            <x15:cachedUniqueName index="33" name="[transacciones].[id_factura].&amp;[36]"/>
            <x15:cachedUniqueName index="34" name="[transacciones].[id_factura].&amp;[37]"/>
            <x15:cachedUniqueName index="35" name="[transacciones].[id_factura].&amp;[38]"/>
            <x15:cachedUniqueName index="36" name="[transacciones].[id_factura].&amp;[39]"/>
            <x15:cachedUniqueName index="37" name="[transacciones].[id_factura].&amp;[41]"/>
            <x15:cachedUniqueName index="38" name="[transacciones].[id_factura].&amp;[42]"/>
            <x15:cachedUniqueName index="39" name="[transacciones].[id_factura].&amp;[43]"/>
            <x15:cachedUniqueName index="40" name="[transacciones].[id_factura].&amp;[44]"/>
            <x15:cachedUniqueName index="41" name="[transacciones].[id_factura].&amp;[45]"/>
            <x15:cachedUniqueName index="42" name="[transacciones].[id_factura].&amp;[46]"/>
            <x15:cachedUniqueName index="43" name="[transacciones].[id_factura].&amp;[47]"/>
            <x15:cachedUniqueName index="44" name="[transacciones].[id_factura].&amp;[48]"/>
            <x15:cachedUniqueName index="45" name="[transacciones].[id_factura].&amp;[49]"/>
            <x15:cachedUniqueName index="46" name="[transacciones].[id_factura].&amp;[50]"/>
            <x15:cachedUniqueName index="47" name="[transacciones].[id_factura].&amp;[51]"/>
            <x15:cachedUniqueName index="48" name="[transacciones].[id_factura].&amp;[52]"/>
            <x15:cachedUniqueName index="49" name="[transacciones].[id_factura].&amp;[53]"/>
            <x15:cachedUniqueName index="50" name="[transacciones].[id_factura].&amp;[54]"/>
            <x15:cachedUniqueName index="51" name="[transacciones].[id_factura].&amp;[55]"/>
            <x15:cachedUniqueName index="52" name="[transacciones].[id_factura].&amp;[56]"/>
            <x15:cachedUniqueName index="53" name="[transacciones].[id_factura].&amp;[57]"/>
            <x15:cachedUniqueName index="54" name="[transacciones].[id_factura].&amp;[58]"/>
            <x15:cachedUniqueName index="55" name="[transacciones].[id_factura].&amp;[59]"/>
            <x15:cachedUniqueName index="56" name="[transacciones].[id_factura].&amp;[60]"/>
            <x15:cachedUniqueName index="57" name="[transacciones].[id_factura].&amp;[61]"/>
            <x15:cachedUniqueName index="58" name="[transacciones].[id_factura].&amp;[62]"/>
            <x15:cachedUniqueName index="59" name="[transacciones].[id_factura].&amp;[63]"/>
            <x15:cachedUniqueName index="60" name="[transacciones].[id_factura].&amp;[64]"/>
            <x15:cachedUniqueName index="61" name="[transacciones].[id_factura].&amp;[65]"/>
            <x15:cachedUniqueName index="62" name="[transacciones].[id_factura].&amp;[66]"/>
            <x15:cachedUniqueName index="63" name="[transacciones].[id_factura].&amp;[67]"/>
            <x15:cachedUniqueName index="64" name="[transacciones].[id_factura].&amp;[68]"/>
            <x15:cachedUniqueName index="65" name="[transacciones].[id_factura].&amp;[69]"/>
            <x15:cachedUniqueName index="66" name="[transacciones].[id_factura].&amp;[70]"/>
            <x15:cachedUniqueName index="67" name="[transacciones].[id_factura].&amp;[71]"/>
            <x15:cachedUniqueName index="68" name="[transacciones].[id_factura].&amp;[72]"/>
            <x15:cachedUniqueName index="69" name="[transacciones].[id_factura].&amp;[73]"/>
            <x15:cachedUniqueName index="70" name="[transacciones].[id_factura].&amp;[74]"/>
            <x15:cachedUniqueName index="71" name="[transacciones].[id_factura].&amp;[75]"/>
            <x15:cachedUniqueName index="72" name="[transacciones].[id_factura].&amp;[76]"/>
            <x15:cachedUniqueName index="73" name="[transacciones].[id_factura].&amp;[77]"/>
            <x15:cachedUniqueName index="74" name="[transacciones].[id_factura].&amp;[78]"/>
            <x15:cachedUniqueName index="75" name="[transacciones].[id_factura].&amp;[79]"/>
            <x15:cachedUniqueName index="76" name="[transacciones].[id_factura].&amp;[80]"/>
            <x15:cachedUniqueName index="77" name="[transacciones].[id_factura].&amp;[81]"/>
            <x15:cachedUniqueName index="78" name="[transacciones].[id_factura].&amp;[82]"/>
            <x15:cachedUniqueName index="79" name="[transacciones].[id_factura].&amp;[83]"/>
            <x15:cachedUniqueName index="80" name="[transacciones].[id_factura].&amp;[84]"/>
            <x15:cachedUniqueName index="81" name="[transacciones].[id_factura].&amp;[85]"/>
            <x15:cachedUniqueName index="82" name="[transacciones].[id_factura].&amp;[86]"/>
            <x15:cachedUniqueName index="83" name="[transacciones].[id_factura].&amp;[87]"/>
            <x15:cachedUniqueName index="84" name="[transacciones].[id_factura].&amp;[88]"/>
            <x15:cachedUniqueName index="85" name="[transacciones].[id_factura].&amp;[89]"/>
            <x15:cachedUniqueName index="86" name="[transacciones].[id_factura].&amp;[90]"/>
            <x15:cachedUniqueName index="87" name="[transacciones].[id_factura].&amp;[91]"/>
            <x15:cachedUniqueName index="88" name="[transacciones].[id_factura].&amp;[92]"/>
            <x15:cachedUniqueName index="89" name="[transacciones].[id_factura].&amp;[93]"/>
          </x15:cachedUniqueNames>
        </ext>
      </extLst>
    </cacheField>
  </cacheFields>
  <cacheHierarchies count="45">
    <cacheHierarchy uniqueName="[items].[id_item]" caption="id_item" attribute="1" defaultMemberUniqueName="[items].[id_item].[All]" allUniqueName="[items].[id_item].[All]" dimensionUniqueName="[items]" displayFolder="" count="0" memberValueDatatype="20" unbalanced="0"/>
    <cacheHierarchy uniqueName="[items].[cantidad]" caption="cantidad" attribute="1" defaultMemberUniqueName="[items].[cantidad].[All]" allUniqueName="[items].[cantidad].[All]" dimensionUniqueName="[items]" displayFolder="" count="2" memberValueDatatype="20" unbalanced="0">
      <fieldsUsage count="2">
        <fieldUsage x="-1"/>
        <fieldUsage x="5"/>
      </fieldsUsage>
    </cacheHierarchy>
    <cacheHierarchy uniqueName="[items].[id_producto]" caption="id_producto" attribute="1" defaultMemberUniqueName="[items].[id_producto].[All]" allUniqueName="[items].[id_producto].[All]" dimensionUniqueName="[items]" displayFolder="" count="0" memberValueDatatype="20" unbalanced="0"/>
    <cacheHierarchy uniqueName="[items].[id_transaccion]" caption="id_transaccion" attribute="1" defaultMemberUniqueName="[items].[id_transaccion].[All]" allUniqueName="[items].[id_transaccion].[All]" dimensionUniqueName="[items]" displayFolder="" count="0" memberValueDatatype="20" unbalanced="0"/>
    <cacheHierarchy uniqueName="[items].[nombre_producto]" caption="nombre_producto" attribute="1" defaultMemberUniqueName="[items].[nombre_producto].[All]" allUniqueName="[items].[nombre_producto].[All]" dimensionUniqueName="[items]" displayFolder="" count="0" memberValueDatatype="130" unbalanced="0"/>
    <cacheHierarchy uniqueName="[items].[precio_producto]" caption="precio_producto" attribute="1" defaultMemberUniqueName="[items].[precio_producto].[All]" allUniqueName="[items].[precio_producto].[All]" dimensionUniqueName="[items]" displayFolder="" count="2" memberValueDatatype="5" unbalanced="0">
      <fieldsUsage count="2">
        <fieldUsage x="-1"/>
        <fieldUsage x="6"/>
      </fieldsUsage>
    </cacheHierarchy>
    <cacheHierarchy uniqueName="[items].[valor_total]" caption="valor_total" attribute="1" defaultMemberUniqueName="[items].[valor_total].[All]" allUniqueName="[items].[valor_total].[All]" dimensionUniqueName="[items]" displayFolder="" count="0" memberValueDatatype="5" unbalanced="0"/>
    <cacheHierarchy uniqueName="[productos].[id_producto]" caption="id_producto" attribute="1" defaultMemberUniqueName="[productos].[id_producto].[All]" allUniqueName="[productos].[id_producto].[All]" dimensionUniqueName="[productos]" displayFolder="" count="0" memberValueDatatype="20" unbalanced="0"/>
    <cacheHierarchy uniqueName="[productos].[nombre_producto]" caption="nombre_producto" attribute="1" defaultMemberUniqueName="[productos].[nombre_producto].[All]" allUniqueName="[productos].[nombre_producto].[All]" dimensionUniqueName="[productos]" displayFolder="" count="2" memberValueDatatype="130" unbalanced="0">
      <fieldsUsage count="2">
        <fieldUsage x="-1"/>
        <fieldUsage x="4"/>
      </fieldsUsage>
    </cacheHierarchy>
    <cacheHierarchy uniqueName="[productos].[precio]" caption="precio" attribute="1" defaultMemberUniqueName="[productos].[precio].[All]" allUniqueName="[productos].[precio].[All]" dimensionUniqueName="[productos]" displayFolder="" count="0" memberValueDatatype="20" unbalanced="0"/>
    <cacheHierarchy uniqueName="[productos].[id_usuario]" caption="id_usuario" attribute="1" defaultMemberUniqueName="[productos].[id_usuario].[All]" allUniqueName="[productos].[id_usuario].[All]" dimensionUniqueName="[productos]" displayFolder="" count="0" memberValueDatatype="20" unbalanced="0"/>
    <cacheHierarchy uniqueName="[transacciones].[id_transaccion]" caption="id_transaccion" attribute="1" defaultMemberUniqueName="[transacciones].[id_transaccion].[All]" allUniqueName="[transacciones].[id_transaccion].[All]" dimensionUniqueName="[transacciones]" displayFolder="" count="0" memberValueDatatype="20" unbalanced="0"/>
    <cacheHierarchy uniqueName="[transacciones].[nombre_transaccion]" caption="nombre_transaccion" attribute="1" defaultMemberUniqueName="[transacciones].[nombre_transaccion].[All]" allUniqueName="[transacciones].[nombre_transaccion].[All]" dimensionUniqueName="[transacciones]" displayFolder="" count="2" memberValueDatatype="130" unbalanced="0">
      <fieldsUsage count="2">
        <fieldUsage x="-1"/>
        <fieldUsage x="0"/>
      </fieldsUsage>
    </cacheHierarchy>
    <cacheHierarchy uniqueName="[transacciones].[tipo_cuenta]" caption="tipo_cuenta" attribute="1" defaultMemberUniqueName="[transacciones].[tipo_cuenta].[All]" allUniqueName="[transacciones].[tipo_cuenta].[All]" dimensionUniqueName="[transacciones]" displayFolder="" count="2" memberValueDatatype="130" unbalanced="0">
      <fieldsUsage count="2">
        <fieldUsage x="-1"/>
        <fieldUsage x="1"/>
      </fieldsUsage>
    </cacheHierarchy>
    <cacheHierarchy uniqueName="[transacciones].[id_factura]" caption="id_factura" attribute="1" defaultMemberUniqueName="[transacciones].[id_factura].[All]" allUniqueName="[transacciones].[id_factura].[All]" dimensionUniqueName="[transacciones]" displayFolder="" count="2" memberValueDatatype="20" unbalanced="0">
      <fieldsUsage count="2">
        <fieldUsage x="-1"/>
        <fieldUsage x="8"/>
      </fieldsUsage>
    </cacheHierarchy>
    <cacheHierarchy uniqueName="[transacciones].[detalle_transaccion]" caption="detalle_transaccion" attribute="1" defaultMemberUniqueName="[transacciones].[detalle_transaccion].[All]" allUniqueName="[transacciones].[detalle_transaccion].[All]" dimensionUniqueName="[transacciones]" displayFolder="" count="0" memberValueDatatype="130" unbalanced="0"/>
    <cacheHierarchy uniqueName="[transacciones].[fecha]" caption="fecha" attribute="1" time="1" defaultMemberUniqueName="[transacciones].[fecha].[All]" allUniqueName="[transacciones].[fecha].[All]" dimensionUniqueName="[transacciones]" displayFolder="" count="2" memberValueDatatype="7" unbalanced="0">
      <fieldsUsage count="2">
        <fieldUsage x="-1"/>
        <fieldUsage x="3"/>
      </fieldsUsage>
    </cacheHierarchy>
    <cacheHierarchy uniqueName="[transacciones].[entrada]" caption="entrada" attribute="1" defaultMemberUniqueName="[transacciones].[entrada].[All]" allUniqueName="[transacciones].[entrada].[All]" dimensionUniqueName="[transacciones]" displayFolder="" count="0" memberValueDatatype="5" unbalanced="0"/>
    <cacheHierarchy uniqueName="[transacciones].[egreso]" caption="egreso" attribute="1" defaultMemberUniqueName="[transacciones].[egreso].[All]" allUniqueName="[transacciones].[egreso].[All]" dimensionUniqueName="[transacciones]" displayFolder="" count="0" memberValueDatatype="5" unbalanced="0"/>
    <cacheHierarchy uniqueName="[transacciones].[id_usuario]" caption="id_usuario" attribute="1" defaultMemberUniqueName="[transacciones].[id_usuario].[All]" allUniqueName="[transacciones].[id_usuario].[All]" dimensionUniqueName="[transacciones]" displayFolder="" count="0" memberValueDatatype="5" unbalanced="0"/>
    <cacheHierarchy uniqueName="[transacciones].[fecha (día)]" caption="fecha (día)" attribute="1" defaultMemberUniqueName="[transacciones].[fecha (día)].[All]" allUniqueName="[transacciones].[fecha (día)].[All]" dimensionUniqueName="[transacciones]" displayFolder="" count="2" memberValueDatatype="130" unbalanced="0">
      <fieldsUsage count="2">
        <fieldUsage x="-1"/>
        <fieldUsage x="7"/>
      </fieldsUsage>
    </cacheHierarchy>
    <cacheHierarchy uniqueName="[transacciones].[fecha (hora)]" caption="fecha (hora)" attribute="1" defaultMemberUniqueName="[transacciones].[fecha (hora)].[All]" allUniqueName="[transacciones].[fecha (hora)].[All]" dimensionUniqueName="[transacciones]" displayFolder="" count="0" memberValueDatatype="130" unbalanced="0"/>
    <cacheHierarchy uniqueName="[transacciones].[fecha (minuto)]" caption="fecha (minuto)" attribute="1" defaultMemberUniqueName="[transacciones].[fecha (minuto)].[All]" allUniqueName="[transacciones].[fecha (minuto)].[All]" dimensionUniqueName="[transacciones]" displayFolder="" count="0" memberValueDatatype="130" unbalanced="0"/>
    <cacheHierarchy uniqueName="[transacciones].[fecha (segundo)]" caption="fecha (segundo)" attribute="1" defaultMemberUniqueName="[transacciones].[fecha (segundo)].[All]" allUniqueName="[transacciones].[fecha (segundo)].[All]" dimensionUniqueName="[transacciones]" displayFolder="" count="0" memberValueDatatype="130" unbalanced="0"/>
    <cacheHierarchy uniqueName="[transacciones].[nombre_usuario]" caption="nombre_usuario" attribute="1" defaultMemberUniqueName="[transacciones].[nombre_usuario].[All]" allUniqueName="[transacciones].[nombre_usuario].[All]" dimensionUniqueName="[transacciones]" displayFolder="" count="0" memberValueDatatype="130" unbalanced="0"/>
    <cacheHierarchy uniqueName="[usuarios].[id_usuario]" caption="id_usuario" attribute="1" defaultMemberUniqueName="[usuarios].[id_usuario].[All]" allUniqueName="[usuarios].[id_usuario].[All]" dimensionUniqueName="[usuarios]" displayFolder="" count="0" memberValueDatatype="20" unbalanced="0"/>
    <cacheHierarchy uniqueName="[usuarios].[nombre_usuario]" caption="nombre_usuario" attribute="1" defaultMemberUniqueName="[usuarios].[nombre_usuario].[All]" allUniqueName="[usuarios].[nombre_usuario].[All]" dimensionUniqueName="[usuarios]" displayFolder="" count="0" memberValueDatatype="130" unbalanced="0"/>
    <cacheHierarchy uniqueName="[usuarios].[rol]" caption="rol" attribute="1" defaultMemberUniqueName="[usuarios].[rol].[All]" allUniqueName="[usuarios].[rol].[All]" dimensionUniqueName="[usuarios]" displayFolder="" count="0" memberValueDatatype="130" unbalanced="0"/>
    <cacheHierarchy uniqueName="[transacciones].[fecha (índice de días)]" caption="fecha (índice de días)" attribute="1" defaultMemberUniqueName="[transacciones].[fecha (índice de días)].[All]" allUniqueName="[transacciones].[fecha (índice de días)].[All]" dimensionUniqueName="[transacciones]" displayFolder="" count="0" memberValueDatatype="5" unbalanced="0" hidden="1"/>
    <cacheHierarchy uniqueName="[Measures].[__XL_Count transacciones]" caption="__XL_Count transacciones" measure="1" displayFolder="" measureGroup="transacciones" count="0" hidden="1"/>
    <cacheHierarchy uniqueName="[Measures].[__XL_Count items]" caption="__XL_Count items" measure="1" displayFolder="" measureGroup="items" count="0" hidden="1"/>
    <cacheHierarchy uniqueName="[Measures].[__XL_Count usuarios]" caption="__XL_Count usuarios" measure="1" displayFolder="" measureGroup="usuarios" count="0" hidden="1"/>
    <cacheHierarchy uniqueName="[Measures].[__XL_Count productos]" caption="__XL_Count productos" measure="1" displayFolder="" measureGroup="productos" count="0" hidden="1"/>
    <cacheHierarchy uniqueName="[Measures].[__No measures defined]" caption="__No measures defined" measure="1" displayFolder="" count="0" hidden="1"/>
    <cacheHierarchy uniqueName="[Measures].[Suma de entrada]" caption="Suma de entrada" measure="1" displayFolder="" measureGroup="transacciones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Recuento de tipo_cuenta]" caption="Recuento de tipo_cuenta" measure="1" displayFolder="" measureGroup="transaccione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a de egreso]" caption="Suma de egreso" measure="1" displayFolder="" measureGroup="transacciones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a de id_item]" caption="Suma de id_item" measure="1" displayFolder="" measureGroup="item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a de id_transaccion]" caption="Suma de id_transaccion" measure="1" displayFolder="" measureGroup="transaccione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Recuento de id_transaccion]" caption="Recuento de id_transaccion" measure="1" displayFolder="" measureGroup="transaccione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a de id_transaccion 2]" caption="Suma de id_transaccion 2" measure="1" displayFolder="" measureGroup="item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Recuento de id_transaccion 2]" caption="Recuento de id_transaccion 2" measure="1" displayFolder="" measureGroup="item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Recuento de entrada]" caption="Recuento de entrada" measure="1" displayFolder="" measureGroup="transacciones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Recuento de id_item]" caption="Recuento de id_item" measure="1" displayFolder="" measureGroup="items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a de valor_total]" caption="Suma de valor_total" measure="1" displayFolder="" measureGroup="item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</cacheHierarchies>
  <kpis count="0"/>
  <dimensions count="5">
    <dimension name="items" uniqueName="[items]" caption="items"/>
    <dimension measure="1" name="Measures" uniqueName="[Measures]" caption="Measures"/>
    <dimension name="productos" uniqueName="[productos]" caption="productos"/>
    <dimension name="transacciones" uniqueName="[transacciones]" caption="transacciones"/>
    <dimension name="usuarios" uniqueName="[usuarios]" caption="usuarios"/>
  </dimensions>
  <measureGroups count="4">
    <measureGroup name="items" caption="items"/>
    <measureGroup name="productos" caption="productos"/>
    <measureGroup name="transacciones" caption="transacciones"/>
    <measureGroup name="usuarios" caption="usuarios"/>
  </measureGroups>
  <maps count="8">
    <map measureGroup="0" dimension="0"/>
    <map measureGroup="0" dimension="2"/>
    <map measureGroup="0" dimension="3"/>
    <map measureGroup="0" dimension="4"/>
    <map measureGroup="1" dimension="2"/>
    <map measureGroup="2" dimension="3"/>
    <map measureGroup="2" dimension="4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" refreshedDate="46081.877309722222" backgroundQuery="1" createdVersion="8" refreshedVersion="8" minRefreshableVersion="3" recordCount="0" supportSubquery="1" supportAdvancedDrill="1" xr:uid="{79981766-EA88-4DC6-BE96-8498B107B8B6}">
  <cacheSource type="external" connectionId="7"/>
  <cacheFields count="6">
    <cacheField name="[transacciones].[fecha].[fecha]" caption="fecha" numFmtId="0" hierarchy="16" level="1">
      <sharedItems containsSemiMixedTypes="0" containsNonDate="0" containsDate="1" containsString="0" minDate="2026-02-23T16:02:00" maxDate="2026-02-23T20:59:11" count="28">
        <d v="2026-02-23T16:02:00"/>
        <d v="2026-02-23T16:21:25"/>
        <d v="2026-02-23T17:08:04"/>
        <d v="2026-02-23T19:37:14"/>
        <d v="2026-02-23T20:59:11"/>
        <d v="2026-02-23T20:56:39"/>
        <d v="2026-02-23T20:29:34"/>
        <d v="2026-02-23T16:08:57"/>
        <d v="2026-02-23T16:11:01"/>
        <d v="2026-02-23T16:28:54"/>
        <d v="2026-02-23T16:34:46"/>
        <d v="2026-02-23T16:36:36"/>
        <d v="2026-02-23T17:01:56"/>
        <d v="2026-02-23T17:09:08"/>
        <d v="2026-02-23T17:13:01"/>
        <d v="2026-02-23T17:17:29"/>
        <d v="2026-02-23T17:53:51"/>
        <d v="2026-02-23T17:56:13"/>
        <d v="2026-02-23T18:00:25"/>
        <d v="2026-02-23T18:02:50"/>
        <d v="2026-02-23T18:53:36"/>
        <d v="2026-02-23T19:05:29"/>
        <d v="2026-02-23T19:38:20"/>
        <d v="2026-02-23T20:11:58"/>
        <d v="2026-02-23T20:15:09"/>
        <d v="2026-02-23T20:17:45"/>
        <d v="2026-02-23T20:24:21"/>
        <d v="2026-02-23T20:27:49"/>
      </sharedItems>
      <extLst>
        <ext xmlns:x15="http://schemas.microsoft.com/office/spreadsheetml/2010/11/main" uri="{4F2E5C28-24EA-4eb8-9CBF-B6C8F9C3D259}">
          <x15:cachedUniqueNames>
            <x15:cachedUniqueName index="0" name="[transacciones].[fecha].&amp;[2026-02-23T16:01:59.743333]"/>
            <x15:cachedUniqueName index="1" name="[transacciones].[fecha].&amp;[2026-02-23T16:21:24.986667]"/>
            <x15:cachedUniqueName index="2" name="[transacciones].[fecha].&amp;[2026-02-23T17:08:04.19]"/>
            <x15:cachedUniqueName index="3" name="[transacciones].[fecha].&amp;[2026-02-23T19:37:14.483333]"/>
            <x15:cachedUniqueName index="4" name="[transacciones].[fecha].&amp;[2026-02-23T20:59:10.583333]"/>
            <x15:cachedUniqueName index="5" name="[transacciones].[fecha].&amp;[2026-02-23T20:56:39.043333]"/>
            <x15:cachedUniqueName index="6" name="[transacciones].[fecha].&amp;[2026-02-23T20:29:33.99]"/>
            <x15:cachedUniqueName index="7" name="[transacciones].[fecha].&amp;[2026-02-23T16:08:56.71]"/>
            <x15:cachedUniqueName index="8" name="[transacciones].[fecha].&amp;[2026-02-23T16:11:01.45]"/>
            <x15:cachedUniqueName index="9" name="[transacciones].[fecha].&amp;[2026-02-23T16:28:53.97]"/>
            <x15:cachedUniqueName index="10" name="[transacciones].[fecha].&amp;[2026-02-23T16:34:46.396667]"/>
            <x15:cachedUniqueName index="11" name="[transacciones].[fecha].&amp;[2026-02-23T16:36:35.866667]"/>
            <x15:cachedUniqueName index="12" name="[transacciones].[fecha].&amp;[2026-02-23T17:01:55.816667]"/>
            <x15:cachedUniqueName index="13" name="[transacciones].[fecha].&amp;[2026-02-23T17:09:07.906667]"/>
            <x15:cachedUniqueName index="14" name="[transacciones].[fecha].&amp;[2026-02-23T17:13:00.56]"/>
            <x15:cachedUniqueName index="15" name="[transacciones].[fecha].&amp;[2026-02-23T17:17:29.466667]"/>
            <x15:cachedUniqueName index="16" name="[transacciones].[fecha].&amp;[2026-02-23T17:53:51.05]"/>
            <x15:cachedUniqueName index="17" name="[transacciones].[fecha].&amp;[2026-02-23T17:56:13.433333]"/>
            <x15:cachedUniqueName index="18" name="[transacciones].[fecha].&amp;[2026-02-23T18:00:25.296667]"/>
            <x15:cachedUniqueName index="19" name="[transacciones].[fecha].&amp;[2026-02-23T18:02:50.156667]"/>
            <x15:cachedUniqueName index="20" name="[transacciones].[fecha].&amp;[2026-02-23T18:53:36.25]"/>
            <x15:cachedUniqueName index="21" name="[transacciones].[fecha].&amp;[2026-02-23T19:05:29.056667]"/>
            <x15:cachedUniqueName index="22" name="[transacciones].[fecha].&amp;[2026-02-23T19:38:19.86]"/>
            <x15:cachedUniqueName index="23" name="[transacciones].[fecha].&amp;[2026-02-23T20:11:57.673333]"/>
            <x15:cachedUniqueName index="24" name="[transacciones].[fecha].&amp;[2026-02-23T20:15:09.25]"/>
            <x15:cachedUniqueName index="25" name="[transacciones].[fecha].&amp;[2026-02-23T20:17:44.503333]"/>
            <x15:cachedUniqueName index="26" name="[transacciones].[fecha].&amp;[2026-02-23T20:24:20.71]"/>
            <x15:cachedUniqueName index="27" name="[transacciones].[fecha].&amp;[2026-02-23T20:27:48.96]"/>
          </x15:cachedUniqueNames>
        </ext>
      </extLst>
    </cacheField>
    <cacheField name="[transacciones].[fecha (día)].[fecha (día)]" caption="fecha (día)" numFmtId="0" hierarchy="20" level="1">
      <sharedItems count="6">
        <s v="23-feb"/>
        <s v="24-feb"/>
        <s v="25-feb"/>
        <s v="26-feb"/>
        <s v="27-feb"/>
        <s v="28-feb"/>
      </sharedItems>
    </cacheField>
    <cacheField name="[Measures].[Suma de entrada]" caption="Suma de entrada" numFmtId="0" hierarchy="34" level="32767"/>
    <cacheField name="[transacciones].[nombre_transaccion].[nombre_transaccion]" caption="nombre_transaccion" numFmtId="0" hierarchy="12" level="1">
      <sharedItems count="2">
        <s v="BASE"/>
        <s v="VENTA"/>
      </sharedItems>
    </cacheField>
    <cacheField name="[transacciones].[tipo_cuenta].[tipo_cuenta]" caption="tipo_cuenta" numFmtId="0" hierarchy="13" level="1">
      <sharedItems count="3">
        <s v="EFECTIVO"/>
        <s v="DaviPlata"/>
        <s v="NEQUI"/>
      </sharedItems>
    </cacheField>
    <cacheField name="[transacciones].[detalle_transaccion].[detalle_transaccion]" caption="detalle_transaccion" numFmtId="0" hierarchy="15" level="1">
      <sharedItems count="4">
        <s v="Base del día"/>
        <s v="nomina mayerli"/>
        <s v="vecino dijo traia los 2000 - PENDIENTE"/>
        <s v="Venta"/>
      </sharedItems>
    </cacheField>
  </cacheFields>
  <cacheHierarchies count="45">
    <cacheHierarchy uniqueName="[items].[id_item]" caption="id_item" attribute="1" defaultMemberUniqueName="[items].[id_item].[All]" allUniqueName="[items].[id_item].[All]" dimensionUniqueName="[items]" displayFolder="" count="0" memberValueDatatype="20" unbalanced="0"/>
    <cacheHierarchy uniqueName="[items].[cantidad]" caption="cantidad" attribute="1" defaultMemberUniqueName="[items].[cantidad].[All]" allUniqueName="[items].[cantidad].[All]" dimensionUniqueName="[items]" displayFolder="" count="0" memberValueDatatype="20" unbalanced="0"/>
    <cacheHierarchy uniqueName="[items].[id_producto]" caption="id_producto" attribute="1" defaultMemberUniqueName="[items].[id_producto].[All]" allUniqueName="[items].[id_producto].[All]" dimensionUniqueName="[items]" displayFolder="" count="0" memberValueDatatype="20" unbalanced="0"/>
    <cacheHierarchy uniqueName="[items].[id_transaccion]" caption="id_transaccion" attribute="1" defaultMemberUniqueName="[items].[id_transaccion].[All]" allUniqueName="[items].[id_transaccion].[All]" dimensionUniqueName="[items]" displayFolder="" count="0" memberValueDatatype="20" unbalanced="0"/>
    <cacheHierarchy uniqueName="[items].[nombre_producto]" caption="nombre_producto" attribute="1" defaultMemberUniqueName="[items].[nombre_producto].[All]" allUniqueName="[items].[nombre_producto].[All]" dimensionUniqueName="[items]" displayFolder="" count="0" memberValueDatatype="130" unbalanced="0"/>
    <cacheHierarchy uniqueName="[items].[precio_producto]" caption="precio_producto" attribute="1" defaultMemberUniqueName="[items].[precio_producto].[All]" allUniqueName="[items].[precio_producto].[All]" dimensionUniqueName="[items]" displayFolder="" count="0" memberValueDatatype="5" unbalanced="0"/>
    <cacheHierarchy uniqueName="[items].[valor_total]" caption="valor_total" attribute="1" defaultMemberUniqueName="[items].[valor_total].[All]" allUniqueName="[items].[valor_total].[All]" dimensionUniqueName="[items]" displayFolder="" count="0" memberValueDatatype="5" unbalanced="0"/>
    <cacheHierarchy uniqueName="[productos].[id_producto]" caption="id_producto" attribute="1" defaultMemberUniqueName="[productos].[id_producto].[All]" allUniqueName="[productos].[id_producto].[All]" dimensionUniqueName="[productos]" displayFolder="" count="0" memberValueDatatype="20" unbalanced="0"/>
    <cacheHierarchy uniqueName="[productos].[nombre_producto]" caption="nombre_producto" attribute="1" defaultMemberUniqueName="[productos].[nombre_producto].[All]" allUniqueName="[productos].[nombre_producto].[All]" dimensionUniqueName="[productos]" displayFolder="" count="0" memberValueDatatype="130" unbalanced="0"/>
    <cacheHierarchy uniqueName="[productos].[precio]" caption="precio" attribute="1" defaultMemberUniqueName="[productos].[precio].[All]" allUniqueName="[productos].[precio].[All]" dimensionUniqueName="[productos]" displayFolder="" count="0" memberValueDatatype="20" unbalanced="0"/>
    <cacheHierarchy uniqueName="[productos].[id_usuario]" caption="id_usuario" attribute="1" defaultMemberUniqueName="[productos].[id_usuario].[All]" allUniqueName="[productos].[id_usuario].[All]" dimensionUniqueName="[productos]" displayFolder="" count="0" memberValueDatatype="20" unbalanced="0"/>
    <cacheHierarchy uniqueName="[transacciones].[id_transaccion]" caption="id_transaccion" attribute="1" defaultMemberUniqueName="[transacciones].[id_transaccion].[All]" allUniqueName="[transacciones].[id_transaccion].[All]" dimensionUniqueName="[transacciones]" displayFolder="" count="0" memberValueDatatype="20" unbalanced="0"/>
    <cacheHierarchy uniqueName="[transacciones].[nombre_transaccion]" caption="nombre_transaccion" attribute="1" defaultMemberUniqueName="[transacciones].[nombre_transaccion].[All]" allUniqueName="[transacciones].[nombre_transaccion].[All]" dimensionUniqueName="[transacciones]" displayFolder="" count="2" memberValueDatatype="130" unbalanced="0">
      <fieldsUsage count="2">
        <fieldUsage x="-1"/>
        <fieldUsage x="3"/>
      </fieldsUsage>
    </cacheHierarchy>
    <cacheHierarchy uniqueName="[transacciones].[tipo_cuenta]" caption="tipo_cuenta" attribute="1" defaultMemberUniqueName="[transacciones].[tipo_cuenta].[All]" allUniqueName="[transacciones].[tipo_cuenta].[All]" dimensionUniqueName="[transacciones]" displayFolder="" count="2" memberValueDatatype="130" unbalanced="0">
      <fieldsUsage count="2">
        <fieldUsage x="-1"/>
        <fieldUsage x="4"/>
      </fieldsUsage>
    </cacheHierarchy>
    <cacheHierarchy uniqueName="[transacciones].[id_factura]" caption="id_factura" attribute="1" defaultMemberUniqueName="[transacciones].[id_factura].[All]" allUniqueName="[transacciones].[id_factura].[All]" dimensionUniqueName="[transacciones]" displayFolder="" count="0" memberValueDatatype="20" unbalanced="0"/>
    <cacheHierarchy uniqueName="[transacciones].[detalle_transaccion]" caption="detalle_transaccion" attribute="1" defaultMemberUniqueName="[transacciones].[detalle_transaccion].[All]" allUniqueName="[transacciones].[detalle_transaccion].[All]" dimensionUniqueName="[transacciones]" displayFolder="" count="2" memberValueDatatype="130" unbalanced="0">
      <fieldsUsage count="2">
        <fieldUsage x="-1"/>
        <fieldUsage x="5"/>
      </fieldsUsage>
    </cacheHierarchy>
    <cacheHierarchy uniqueName="[transacciones].[fecha]" caption="fecha" attribute="1" time="1" defaultMemberUniqueName="[transacciones].[fecha].[All]" allUniqueName="[transacciones].[fecha].[All]" dimensionUniqueName="[transacciones]" displayFolder="" count="2" memberValueDatatype="7" unbalanced="0">
      <fieldsUsage count="2">
        <fieldUsage x="-1"/>
        <fieldUsage x="0"/>
      </fieldsUsage>
    </cacheHierarchy>
    <cacheHierarchy uniqueName="[transacciones].[entrada]" caption="entrada" attribute="1" defaultMemberUniqueName="[transacciones].[entrada].[All]" allUniqueName="[transacciones].[entrada].[All]" dimensionUniqueName="[transacciones]" displayFolder="" count="0" memberValueDatatype="5" unbalanced="0"/>
    <cacheHierarchy uniqueName="[transacciones].[egreso]" caption="egreso" attribute="1" defaultMemberUniqueName="[transacciones].[egreso].[All]" allUniqueName="[transacciones].[egreso].[All]" dimensionUniqueName="[transacciones]" displayFolder="" count="0" memberValueDatatype="5" unbalanced="0"/>
    <cacheHierarchy uniqueName="[transacciones].[id_usuario]" caption="id_usuario" attribute="1" defaultMemberUniqueName="[transacciones].[id_usuario].[All]" allUniqueName="[transacciones].[id_usuario].[All]" dimensionUniqueName="[transacciones]" displayFolder="" count="0" memberValueDatatype="5" unbalanced="0"/>
    <cacheHierarchy uniqueName="[transacciones].[fecha (día)]" caption="fecha (día)" attribute="1" defaultMemberUniqueName="[transacciones].[fecha (día)].[All]" allUniqueName="[transacciones].[fecha (día)].[All]" dimensionUniqueName="[transacciones]" displayFolder="" count="2" memberValueDatatype="130" unbalanced="0">
      <fieldsUsage count="2">
        <fieldUsage x="-1"/>
        <fieldUsage x="1"/>
      </fieldsUsage>
    </cacheHierarchy>
    <cacheHierarchy uniqueName="[transacciones].[fecha (hora)]" caption="fecha (hora)" attribute="1" defaultMemberUniqueName="[transacciones].[fecha (hora)].[All]" allUniqueName="[transacciones].[fecha (hora)].[All]" dimensionUniqueName="[transacciones]" displayFolder="" count="0" memberValueDatatype="130" unbalanced="0"/>
    <cacheHierarchy uniqueName="[transacciones].[fecha (minuto)]" caption="fecha (minuto)" attribute="1" defaultMemberUniqueName="[transacciones].[fecha (minuto)].[All]" allUniqueName="[transacciones].[fecha (minuto)].[All]" dimensionUniqueName="[transacciones]" displayFolder="" count="0" memberValueDatatype="130" unbalanced="0"/>
    <cacheHierarchy uniqueName="[transacciones].[fecha (segundo)]" caption="fecha (segundo)" attribute="1" defaultMemberUniqueName="[transacciones].[fecha (segundo)].[All]" allUniqueName="[transacciones].[fecha (segundo)].[All]" dimensionUniqueName="[transacciones]" displayFolder="" count="0" memberValueDatatype="130" unbalanced="0"/>
    <cacheHierarchy uniqueName="[transacciones].[nombre_usuario]" caption="nombre_usuario" attribute="1" defaultMemberUniqueName="[transacciones].[nombre_usuario].[All]" allUniqueName="[transacciones].[nombre_usuario].[All]" dimensionUniqueName="[transacciones]" displayFolder="" count="0" memberValueDatatype="130" unbalanced="0"/>
    <cacheHierarchy uniqueName="[usuarios].[id_usuario]" caption="id_usuario" attribute="1" defaultMemberUniqueName="[usuarios].[id_usuario].[All]" allUniqueName="[usuarios].[id_usuario].[All]" dimensionUniqueName="[usuarios]" displayFolder="" count="0" memberValueDatatype="20" unbalanced="0"/>
    <cacheHierarchy uniqueName="[usuarios].[nombre_usuario]" caption="nombre_usuario" attribute="1" defaultMemberUniqueName="[usuarios].[nombre_usuario].[All]" allUniqueName="[usuarios].[nombre_usuario].[All]" dimensionUniqueName="[usuarios]" displayFolder="" count="0" memberValueDatatype="130" unbalanced="0"/>
    <cacheHierarchy uniqueName="[usuarios].[rol]" caption="rol" attribute="1" defaultMemberUniqueName="[usuarios].[rol].[All]" allUniqueName="[usuarios].[rol].[All]" dimensionUniqueName="[usuarios]" displayFolder="" count="0" memberValueDatatype="130" unbalanced="0"/>
    <cacheHierarchy uniqueName="[transacciones].[fecha (índice de días)]" caption="fecha (índice de días)" attribute="1" defaultMemberUniqueName="[transacciones].[fecha (índice de días)].[All]" allUniqueName="[transacciones].[fecha (índice de días)].[All]" dimensionUniqueName="[transacciones]" displayFolder="" count="0" memberValueDatatype="5" unbalanced="0" hidden="1"/>
    <cacheHierarchy uniqueName="[Measures].[__XL_Count transacciones]" caption="__XL_Count transacciones" measure="1" displayFolder="" measureGroup="transacciones" count="0" hidden="1"/>
    <cacheHierarchy uniqueName="[Measures].[__XL_Count items]" caption="__XL_Count items" measure="1" displayFolder="" measureGroup="items" count="0" hidden="1"/>
    <cacheHierarchy uniqueName="[Measures].[__XL_Count usuarios]" caption="__XL_Count usuarios" measure="1" displayFolder="" measureGroup="usuarios" count="0" hidden="1"/>
    <cacheHierarchy uniqueName="[Measures].[__XL_Count productos]" caption="__XL_Count productos" measure="1" displayFolder="" measureGroup="productos" count="0" hidden="1"/>
    <cacheHierarchy uniqueName="[Measures].[__No measures defined]" caption="__No measures defined" measure="1" displayFolder="" count="0" hidden="1"/>
    <cacheHierarchy uniqueName="[Measures].[Suma de entrada]" caption="Suma de entrada" measure="1" displayFolder="" measureGroup="transacciones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Recuento de tipo_cuenta]" caption="Recuento de tipo_cuenta" measure="1" displayFolder="" measureGroup="transaccione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a de egreso]" caption="Suma de egreso" measure="1" displayFolder="" measureGroup="transacciones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a de id_item]" caption="Suma de id_item" measure="1" displayFolder="" measureGroup="item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a de id_transaccion]" caption="Suma de id_transaccion" measure="1" displayFolder="" measureGroup="transaccione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Recuento de id_transaccion]" caption="Recuento de id_transaccion" measure="1" displayFolder="" measureGroup="transaccione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a de id_transaccion 2]" caption="Suma de id_transaccion 2" measure="1" displayFolder="" measureGroup="item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Recuento de id_transaccion 2]" caption="Recuento de id_transaccion 2" measure="1" displayFolder="" measureGroup="item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Recuento de entrada]" caption="Recuento de entrada" measure="1" displayFolder="" measureGroup="transacciones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Recuento de id_item]" caption="Recuento de id_item" measure="1" displayFolder="" measureGroup="item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a de valor_total]" caption="Suma de valor_total" measure="1" displayFolder="" measureGroup="item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</cacheHierarchies>
  <kpis count="0"/>
  <dimensions count="5">
    <dimension name="items" uniqueName="[items]" caption="items"/>
    <dimension measure="1" name="Measures" uniqueName="[Measures]" caption="Measures"/>
    <dimension name="productos" uniqueName="[productos]" caption="productos"/>
    <dimension name="transacciones" uniqueName="[transacciones]" caption="transacciones"/>
    <dimension name="usuarios" uniqueName="[usuarios]" caption="usuarios"/>
  </dimensions>
  <measureGroups count="4">
    <measureGroup name="items" caption="items"/>
    <measureGroup name="productos" caption="productos"/>
    <measureGroup name="transacciones" caption="transacciones"/>
    <measureGroup name="usuarios" caption="usuarios"/>
  </measureGroups>
  <maps count="8">
    <map measureGroup="0" dimension="0"/>
    <map measureGroup="0" dimension="2"/>
    <map measureGroup="0" dimension="3"/>
    <map measureGroup="0" dimension="4"/>
    <map measureGroup="1" dimension="2"/>
    <map measureGroup="2" dimension="3"/>
    <map measureGroup="2" dimension="4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" refreshedDate="46081.877311226854" backgroundQuery="1" createdVersion="8" refreshedVersion="8" minRefreshableVersion="3" recordCount="0" supportSubquery="1" supportAdvancedDrill="1" xr:uid="{A94ADAE7-65DD-433F-8F54-367EDB439BF2}">
  <cacheSource type="external" connectionId="7"/>
  <cacheFields count="6">
    <cacheField name="[transacciones].[fecha].[fecha]" caption="fecha" numFmtId="0" hierarchy="16" level="1">
      <sharedItems containsSemiMixedTypes="0" containsNonDate="0" containsDate="1" containsString="0" minDate="2026-02-23T16:02:00" maxDate="2026-02-23T20:59:11" count="28">
        <d v="2026-02-23T16:02:00"/>
        <d v="2026-02-23T16:21:25"/>
        <d v="2026-02-23T17:08:04"/>
        <d v="2026-02-23T19:37:14"/>
        <d v="2026-02-23T20:59:11"/>
        <d v="2026-02-23T20:56:39"/>
        <d v="2026-02-23T20:29:34"/>
        <d v="2026-02-23T16:08:57"/>
        <d v="2026-02-23T16:11:01"/>
        <d v="2026-02-23T16:28:54"/>
        <d v="2026-02-23T16:34:46"/>
        <d v="2026-02-23T16:36:36"/>
        <d v="2026-02-23T17:01:56"/>
        <d v="2026-02-23T17:09:08"/>
        <d v="2026-02-23T17:13:01"/>
        <d v="2026-02-23T17:17:29"/>
        <d v="2026-02-23T17:53:51"/>
        <d v="2026-02-23T17:56:13"/>
        <d v="2026-02-23T18:00:25"/>
        <d v="2026-02-23T18:02:50"/>
        <d v="2026-02-23T18:53:36"/>
        <d v="2026-02-23T19:05:29"/>
        <d v="2026-02-23T19:38:20"/>
        <d v="2026-02-23T20:11:58"/>
        <d v="2026-02-23T20:15:09"/>
        <d v="2026-02-23T20:17:45"/>
        <d v="2026-02-23T20:24:21"/>
        <d v="2026-02-23T20:27:49"/>
      </sharedItems>
      <extLst>
        <ext xmlns:x15="http://schemas.microsoft.com/office/spreadsheetml/2010/11/main" uri="{4F2E5C28-24EA-4eb8-9CBF-B6C8F9C3D259}">
          <x15:cachedUniqueNames>
            <x15:cachedUniqueName index="0" name="[transacciones].[fecha].&amp;[2026-02-23T16:01:59.743333]"/>
            <x15:cachedUniqueName index="1" name="[transacciones].[fecha].&amp;[2026-02-23T16:21:24.986667]"/>
            <x15:cachedUniqueName index="2" name="[transacciones].[fecha].&amp;[2026-02-23T17:08:04.19]"/>
            <x15:cachedUniqueName index="3" name="[transacciones].[fecha].&amp;[2026-02-23T19:37:14.483333]"/>
            <x15:cachedUniqueName index="4" name="[transacciones].[fecha].&amp;[2026-02-23T20:59:10.583333]"/>
            <x15:cachedUniqueName index="5" name="[transacciones].[fecha].&amp;[2026-02-23T20:56:39.043333]"/>
            <x15:cachedUniqueName index="6" name="[transacciones].[fecha].&amp;[2026-02-23T20:29:33.99]"/>
            <x15:cachedUniqueName index="7" name="[transacciones].[fecha].&amp;[2026-02-23T16:08:56.71]"/>
            <x15:cachedUniqueName index="8" name="[transacciones].[fecha].&amp;[2026-02-23T16:11:01.45]"/>
            <x15:cachedUniqueName index="9" name="[transacciones].[fecha].&amp;[2026-02-23T16:28:53.97]"/>
            <x15:cachedUniqueName index="10" name="[transacciones].[fecha].&amp;[2026-02-23T16:34:46.396667]"/>
            <x15:cachedUniqueName index="11" name="[transacciones].[fecha].&amp;[2026-02-23T16:36:35.866667]"/>
            <x15:cachedUniqueName index="12" name="[transacciones].[fecha].&amp;[2026-02-23T17:01:55.816667]"/>
            <x15:cachedUniqueName index="13" name="[transacciones].[fecha].&amp;[2026-02-23T17:09:07.906667]"/>
            <x15:cachedUniqueName index="14" name="[transacciones].[fecha].&amp;[2026-02-23T17:13:00.56]"/>
            <x15:cachedUniqueName index="15" name="[transacciones].[fecha].&amp;[2026-02-23T17:17:29.466667]"/>
            <x15:cachedUniqueName index="16" name="[transacciones].[fecha].&amp;[2026-02-23T17:53:51.05]"/>
            <x15:cachedUniqueName index="17" name="[transacciones].[fecha].&amp;[2026-02-23T17:56:13.433333]"/>
            <x15:cachedUniqueName index="18" name="[transacciones].[fecha].&amp;[2026-02-23T18:00:25.296667]"/>
            <x15:cachedUniqueName index="19" name="[transacciones].[fecha].&amp;[2026-02-23T18:02:50.156667]"/>
            <x15:cachedUniqueName index="20" name="[transacciones].[fecha].&amp;[2026-02-23T18:53:36.25]"/>
            <x15:cachedUniqueName index="21" name="[transacciones].[fecha].&amp;[2026-02-23T19:05:29.056667]"/>
            <x15:cachedUniqueName index="22" name="[transacciones].[fecha].&amp;[2026-02-23T19:38:19.86]"/>
            <x15:cachedUniqueName index="23" name="[transacciones].[fecha].&amp;[2026-02-23T20:11:57.673333]"/>
            <x15:cachedUniqueName index="24" name="[transacciones].[fecha].&amp;[2026-02-23T20:15:09.25]"/>
            <x15:cachedUniqueName index="25" name="[transacciones].[fecha].&amp;[2026-02-23T20:17:44.503333]"/>
            <x15:cachedUniqueName index="26" name="[transacciones].[fecha].&amp;[2026-02-23T20:24:20.71]"/>
            <x15:cachedUniqueName index="27" name="[transacciones].[fecha].&amp;[2026-02-23T20:27:48.96]"/>
          </x15:cachedUniqueNames>
        </ext>
      </extLst>
    </cacheField>
    <cacheField name="[transacciones].[fecha (día)].[fecha (día)]" caption="fecha (día)" numFmtId="0" hierarchy="20" level="1">
      <sharedItems count="6">
        <s v="23-feb"/>
        <s v="24-feb"/>
        <s v="25-feb"/>
        <s v="26-feb"/>
        <s v="27-feb"/>
        <s v="28-feb"/>
      </sharedItems>
    </cacheField>
    <cacheField name="[transacciones].[nombre_transaccion].[nombre_transaccion]" caption="nombre_transaccion" numFmtId="0" hierarchy="12" level="1">
      <sharedItems count="4">
        <s v="BASE"/>
        <s v="GASTO"/>
        <s v="RETIRO"/>
        <s v="VENTA"/>
      </sharedItems>
    </cacheField>
    <cacheField name="[transacciones].[tipo_cuenta].[tipo_cuenta]" caption="tipo_cuenta" numFmtId="0" hierarchy="13" level="1">
      <sharedItems count="2">
        <s v="EFECTIVO"/>
        <s v="NEQUI"/>
      </sharedItems>
    </cacheField>
    <cacheField name="[transacciones].[detalle_transaccion].[detalle_transaccion]" caption="detalle_transaccion" numFmtId="0" hierarchy="15" level="1">
      <sharedItems count="4">
        <s v="Base del día"/>
        <s v="nomina mayerli"/>
        <s v="vecino dijo traia los 2000 - PENDIENTE"/>
        <s v="Venta"/>
      </sharedItems>
    </cacheField>
    <cacheField name="[Measures].[Suma de egreso]" caption="Suma de egreso" numFmtId="0" hierarchy="36" level="32767"/>
  </cacheFields>
  <cacheHierarchies count="45">
    <cacheHierarchy uniqueName="[items].[id_item]" caption="id_item" attribute="1" defaultMemberUniqueName="[items].[id_item].[All]" allUniqueName="[items].[id_item].[All]" dimensionUniqueName="[items]" displayFolder="" count="0" memberValueDatatype="20" unbalanced="0"/>
    <cacheHierarchy uniqueName="[items].[cantidad]" caption="cantidad" attribute="1" defaultMemberUniqueName="[items].[cantidad].[All]" allUniqueName="[items].[cantidad].[All]" dimensionUniqueName="[items]" displayFolder="" count="0" memberValueDatatype="20" unbalanced="0"/>
    <cacheHierarchy uniqueName="[items].[id_producto]" caption="id_producto" attribute="1" defaultMemberUniqueName="[items].[id_producto].[All]" allUniqueName="[items].[id_producto].[All]" dimensionUniqueName="[items]" displayFolder="" count="0" memberValueDatatype="20" unbalanced="0"/>
    <cacheHierarchy uniqueName="[items].[id_transaccion]" caption="id_transaccion" attribute="1" defaultMemberUniqueName="[items].[id_transaccion].[All]" allUniqueName="[items].[id_transaccion].[All]" dimensionUniqueName="[items]" displayFolder="" count="0" memberValueDatatype="20" unbalanced="0"/>
    <cacheHierarchy uniqueName="[items].[nombre_producto]" caption="nombre_producto" attribute="1" defaultMemberUniqueName="[items].[nombre_producto].[All]" allUniqueName="[items].[nombre_producto].[All]" dimensionUniqueName="[items]" displayFolder="" count="0" memberValueDatatype="130" unbalanced="0"/>
    <cacheHierarchy uniqueName="[items].[precio_producto]" caption="precio_producto" attribute="1" defaultMemberUniqueName="[items].[precio_producto].[All]" allUniqueName="[items].[precio_producto].[All]" dimensionUniqueName="[items]" displayFolder="" count="0" memberValueDatatype="5" unbalanced="0"/>
    <cacheHierarchy uniqueName="[items].[valor_total]" caption="valor_total" attribute="1" defaultMemberUniqueName="[items].[valor_total].[All]" allUniqueName="[items].[valor_total].[All]" dimensionUniqueName="[items]" displayFolder="" count="0" memberValueDatatype="5" unbalanced="0"/>
    <cacheHierarchy uniqueName="[productos].[id_producto]" caption="id_producto" attribute="1" defaultMemberUniqueName="[productos].[id_producto].[All]" allUniqueName="[productos].[id_producto].[All]" dimensionUniqueName="[productos]" displayFolder="" count="0" memberValueDatatype="20" unbalanced="0"/>
    <cacheHierarchy uniqueName="[productos].[nombre_producto]" caption="nombre_producto" attribute="1" defaultMemberUniqueName="[productos].[nombre_producto].[All]" allUniqueName="[productos].[nombre_producto].[All]" dimensionUniqueName="[productos]" displayFolder="" count="0" memberValueDatatype="130" unbalanced="0"/>
    <cacheHierarchy uniqueName="[productos].[precio]" caption="precio" attribute="1" defaultMemberUniqueName="[productos].[precio].[All]" allUniqueName="[productos].[precio].[All]" dimensionUniqueName="[productos]" displayFolder="" count="0" memberValueDatatype="20" unbalanced="0"/>
    <cacheHierarchy uniqueName="[productos].[id_usuario]" caption="id_usuario" attribute="1" defaultMemberUniqueName="[productos].[id_usuario].[All]" allUniqueName="[productos].[id_usuario].[All]" dimensionUniqueName="[productos]" displayFolder="" count="0" memberValueDatatype="20" unbalanced="0"/>
    <cacheHierarchy uniqueName="[transacciones].[id_transaccion]" caption="id_transaccion" attribute="1" defaultMemberUniqueName="[transacciones].[id_transaccion].[All]" allUniqueName="[transacciones].[id_transaccion].[All]" dimensionUniqueName="[transacciones]" displayFolder="" count="0" memberValueDatatype="20" unbalanced="0"/>
    <cacheHierarchy uniqueName="[transacciones].[nombre_transaccion]" caption="nombre_transaccion" attribute="1" defaultMemberUniqueName="[transacciones].[nombre_transaccion].[All]" allUniqueName="[transacciones].[nombre_transaccion].[All]" dimensionUniqueName="[transacciones]" displayFolder="" count="2" memberValueDatatype="130" unbalanced="0">
      <fieldsUsage count="2">
        <fieldUsage x="-1"/>
        <fieldUsage x="2"/>
      </fieldsUsage>
    </cacheHierarchy>
    <cacheHierarchy uniqueName="[transacciones].[tipo_cuenta]" caption="tipo_cuenta" attribute="1" defaultMemberUniqueName="[transacciones].[tipo_cuenta].[All]" allUniqueName="[transacciones].[tipo_cuenta].[All]" dimensionUniqueName="[transacciones]" displayFolder="" count="2" memberValueDatatype="130" unbalanced="0">
      <fieldsUsage count="2">
        <fieldUsage x="-1"/>
        <fieldUsage x="3"/>
      </fieldsUsage>
    </cacheHierarchy>
    <cacheHierarchy uniqueName="[transacciones].[id_factura]" caption="id_factura" attribute="1" defaultMemberUniqueName="[transacciones].[id_factura].[All]" allUniqueName="[transacciones].[id_factura].[All]" dimensionUniqueName="[transacciones]" displayFolder="" count="0" memberValueDatatype="20" unbalanced="0"/>
    <cacheHierarchy uniqueName="[transacciones].[detalle_transaccion]" caption="detalle_transaccion" attribute="1" defaultMemberUniqueName="[transacciones].[detalle_transaccion].[All]" allUniqueName="[transacciones].[detalle_transaccion].[All]" dimensionUniqueName="[transacciones]" displayFolder="" count="2" memberValueDatatype="130" unbalanced="0">
      <fieldsUsage count="2">
        <fieldUsage x="-1"/>
        <fieldUsage x="4"/>
      </fieldsUsage>
    </cacheHierarchy>
    <cacheHierarchy uniqueName="[transacciones].[fecha]" caption="fecha" attribute="1" time="1" defaultMemberUniqueName="[transacciones].[fecha].[All]" allUniqueName="[transacciones].[fecha].[All]" dimensionUniqueName="[transacciones]" displayFolder="" count="2" memberValueDatatype="7" unbalanced="0">
      <fieldsUsage count="2">
        <fieldUsage x="-1"/>
        <fieldUsage x="0"/>
      </fieldsUsage>
    </cacheHierarchy>
    <cacheHierarchy uniqueName="[transacciones].[entrada]" caption="entrada" attribute="1" defaultMemberUniqueName="[transacciones].[entrada].[All]" allUniqueName="[transacciones].[entrada].[All]" dimensionUniqueName="[transacciones]" displayFolder="" count="0" memberValueDatatype="5" unbalanced="0"/>
    <cacheHierarchy uniqueName="[transacciones].[egreso]" caption="egreso" attribute="1" defaultMemberUniqueName="[transacciones].[egreso].[All]" allUniqueName="[transacciones].[egreso].[All]" dimensionUniqueName="[transacciones]" displayFolder="" count="0" memberValueDatatype="5" unbalanced="0"/>
    <cacheHierarchy uniqueName="[transacciones].[id_usuario]" caption="id_usuario" attribute="1" defaultMemberUniqueName="[transacciones].[id_usuario].[All]" allUniqueName="[transacciones].[id_usuario].[All]" dimensionUniqueName="[transacciones]" displayFolder="" count="0" memberValueDatatype="5" unbalanced="0"/>
    <cacheHierarchy uniqueName="[transacciones].[fecha (día)]" caption="fecha (día)" attribute="1" defaultMemberUniqueName="[transacciones].[fecha (día)].[All]" allUniqueName="[transacciones].[fecha (día)].[All]" dimensionUniqueName="[transacciones]" displayFolder="" count="2" memberValueDatatype="130" unbalanced="0">
      <fieldsUsage count="2">
        <fieldUsage x="-1"/>
        <fieldUsage x="1"/>
      </fieldsUsage>
    </cacheHierarchy>
    <cacheHierarchy uniqueName="[transacciones].[fecha (hora)]" caption="fecha (hora)" attribute="1" defaultMemberUniqueName="[transacciones].[fecha (hora)].[All]" allUniqueName="[transacciones].[fecha (hora)].[All]" dimensionUniqueName="[transacciones]" displayFolder="" count="0" memberValueDatatype="130" unbalanced="0"/>
    <cacheHierarchy uniqueName="[transacciones].[fecha (minuto)]" caption="fecha (minuto)" attribute="1" defaultMemberUniqueName="[transacciones].[fecha (minuto)].[All]" allUniqueName="[transacciones].[fecha (minuto)].[All]" dimensionUniqueName="[transacciones]" displayFolder="" count="0" memberValueDatatype="130" unbalanced="0"/>
    <cacheHierarchy uniqueName="[transacciones].[fecha (segundo)]" caption="fecha (segundo)" attribute="1" defaultMemberUniqueName="[transacciones].[fecha (segundo)].[All]" allUniqueName="[transacciones].[fecha (segundo)].[All]" dimensionUniqueName="[transacciones]" displayFolder="" count="0" memberValueDatatype="130" unbalanced="0"/>
    <cacheHierarchy uniqueName="[transacciones].[nombre_usuario]" caption="nombre_usuario" attribute="1" defaultMemberUniqueName="[transacciones].[nombre_usuario].[All]" allUniqueName="[transacciones].[nombre_usuario].[All]" dimensionUniqueName="[transacciones]" displayFolder="" count="0" memberValueDatatype="130" unbalanced="0"/>
    <cacheHierarchy uniqueName="[usuarios].[id_usuario]" caption="id_usuario" attribute="1" defaultMemberUniqueName="[usuarios].[id_usuario].[All]" allUniqueName="[usuarios].[id_usuario].[All]" dimensionUniqueName="[usuarios]" displayFolder="" count="0" memberValueDatatype="20" unbalanced="0"/>
    <cacheHierarchy uniqueName="[usuarios].[nombre_usuario]" caption="nombre_usuario" attribute="1" defaultMemberUniqueName="[usuarios].[nombre_usuario].[All]" allUniqueName="[usuarios].[nombre_usuario].[All]" dimensionUniqueName="[usuarios]" displayFolder="" count="0" memberValueDatatype="130" unbalanced="0"/>
    <cacheHierarchy uniqueName="[usuarios].[rol]" caption="rol" attribute="1" defaultMemberUniqueName="[usuarios].[rol].[All]" allUniqueName="[usuarios].[rol].[All]" dimensionUniqueName="[usuarios]" displayFolder="" count="0" memberValueDatatype="130" unbalanced="0"/>
    <cacheHierarchy uniqueName="[transacciones].[fecha (índice de días)]" caption="fecha (índice de días)" attribute="1" defaultMemberUniqueName="[transacciones].[fecha (índice de días)].[All]" allUniqueName="[transacciones].[fecha (índice de días)].[All]" dimensionUniqueName="[transacciones]" displayFolder="" count="0" memberValueDatatype="5" unbalanced="0" hidden="1"/>
    <cacheHierarchy uniqueName="[Measures].[__XL_Count transacciones]" caption="__XL_Count transacciones" measure="1" displayFolder="" measureGroup="transacciones" count="0" hidden="1"/>
    <cacheHierarchy uniqueName="[Measures].[__XL_Count items]" caption="__XL_Count items" measure="1" displayFolder="" measureGroup="items" count="0" hidden="1"/>
    <cacheHierarchy uniqueName="[Measures].[__XL_Count usuarios]" caption="__XL_Count usuarios" measure="1" displayFolder="" measureGroup="usuarios" count="0" hidden="1"/>
    <cacheHierarchy uniqueName="[Measures].[__XL_Count productos]" caption="__XL_Count productos" measure="1" displayFolder="" measureGroup="productos" count="0" hidden="1"/>
    <cacheHierarchy uniqueName="[Measures].[__No measures defined]" caption="__No measures defined" measure="1" displayFolder="" count="0" hidden="1"/>
    <cacheHierarchy uniqueName="[Measures].[Suma de entrada]" caption="Suma de entrada" measure="1" displayFolder="" measureGroup="transacciones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Recuento de tipo_cuenta]" caption="Recuento de tipo_cuenta" measure="1" displayFolder="" measureGroup="transaccione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a de egreso]" caption="Suma de egreso" measure="1" displayFolder="" measureGroup="transacciones" count="0" oneField="1" hidden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a de id_item]" caption="Suma de id_item" measure="1" displayFolder="" measureGroup="item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a de id_transaccion]" caption="Suma de id_transaccion" measure="1" displayFolder="" measureGroup="transaccione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Recuento de id_transaccion]" caption="Recuento de id_transaccion" measure="1" displayFolder="" measureGroup="transaccione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a de id_transaccion 2]" caption="Suma de id_transaccion 2" measure="1" displayFolder="" measureGroup="item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Recuento de id_transaccion 2]" caption="Recuento de id_transaccion 2" measure="1" displayFolder="" measureGroup="item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Recuento de entrada]" caption="Recuento de entrada" measure="1" displayFolder="" measureGroup="transacciones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Recuento de id_item]" caption="Recuento de id_item" measure="1" displayFolder="" measureGroup="item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a de valor_total]" caption="Suma de valor_total" measure="1" displayFolder="" measureGroup="item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</cacheHierarchies>
  <kpis count="0"/>
  <dimensions count="5">
    <dimension name="items" uniqueName="[items]" caption="items"/>
    <dimension measure="1" name="Measures" uniqueName="[Measures]" caption="Measures"/>
    <dimension name="productos" uniqueName="[productos]" caption="productos"/>
    <dimension name="transacciones" uniqueName="[transacciones]" caption="transacciones"/>
    <dimension name="usuarios" uniqueName="[usuarios]" caption="usuarios"/>
  </dimensions>
  <measureGroups count="4">
    <measureGroup name="items" caption="items"/>
    <measureGroup name="productos" caption="productos"/>
    <measureGroup name="transacciones" caption="transacciones"/>
    <measureGroup name="usuarios" caption="usuarios"/>
  </measureGroups>
  <maps count="8">
    <map measureGroup="0" dimension="0"/>
    <map measureGroup="0" dimension="2"/>
    <map measureGroup="0" dimension="3"/>
    <map measureGroup="0" dimension="4"/>
    <map measureGroup="1" dimension="2"/>
    <map measureGroup="2" dimension="3"/>
    <map measureGroup="2" dimension="4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" refreshedDate="46082.97625" backgroundQuery="1" createdVersion="8" refreshedVersion="8" minRefreshableVersion="3" recordCount="0" supportSubquery="1" supportAdvancedDrill="1" xr:uid="{348F4971-D144-476A-8E74-CA2AE6F09B97}">
  <cacheSource type="external" connectionId="7"/>
  <cacheFields count="8">
    <cacheField name="[transacciones].[nombre_transaccion].[nombre_transaccion]" caption="nombre_transaccion" numFmtId="0" hierarchy="12" level="1">
      <sharedItems count="1">
        <s v="VENTA"/>
      </sharedItems>
    </cacheField>
    <cacheField name="[transacciones].[tipo_cuenta].[tipo_cuenta]" caption="tipo_cuenta" numFmtId="0" hierarchy="13" level="1">
      <sharedItems count="3">
        <s v="EFECTIVO"/>
        <s v="NEQUI"/>
        <s v="DaviPlata"/>
      </sharedItems>
    </cacheField>
    <cacheField name="[Measures].[Recuento de id_item]" caption="Recuento de id_item" numFmtId="0" hierarchy="43" level="32767"/>
    <cacheField name="[transacciones].[fecha].[fecha]" caption="fecha" numFmtId="0" hierarchy="16" level="1">
      <sharedItems containsSemiMixedTypes="0" containsNonDate="0" containsDate="1" containsString="0" minDate="2026-02-23T16:36:36" maxDate="2026-02-28T19:10:36" count="90">
        <d v="2026-02-23T16:36:36"/>
        <d v="2026-02-23T17:01:56"/>
        <d v="2026-02-23T17:13:01"/>
        <d v="2026-02-23T17:17:29"/>
        <d v="2026-02-23T18:00:25"/>
        <d v="2026-02-23T18:02:50"/>
        <d v="2026-02-23T18:53:36"/>
        <d v="2026-02-23T19:05:29"/>
        <d v="2026-02-23T19:38:20"/>
        <d v="2026-02-23T20:11:58"/>
        <d v="2026-02-23T20:15:09"/>
        <d v="2026-02-23T20:17:45"/>
        <d v="2026-02-23T20:24:21"/>
        <d v="2026-02-23T20:27:49"/>
        <d v="2026-02-24T15:34:06"/>
        <d v="2026-02-24T15:35:04"/>
        <d v="2026-02-24T17:45:39"/>
        <d v="2026-02-24T18:13:50"/>
        <d v="2026-02-24T18:34:49"/>
        <d v="2026-02-24T18:36:16"/>
        <d v="2026-02-24T18:42:31"/>
        <d v="2026-02-24T19:07:54"/>
        <d v="2026-02-24T20:01:31"/>
        <d v="2026-02-24T20:05:06"/>
        <d v="2026-02-24T20:19:42"/>
        <d v="2026-02-24T20:23:49"/>
        <d v="2026-02-24T20:49:21"/>
        <d v="2026-02-25T13:52:23"/>
        <d v="2026-02-25T13:55:04"/>
        <d v="2026-02-25T14:05:11"/>
        <d v="2026-02-25T14:11:36"/>
        <d v="2026-02-25T14:24:55"/>
        <d v="2026-02-25T14:25:49"/>
        <d v="2026-02-25T16:40:06"/>
        <d v="2026-02-25T16:41:14"/>
        <d v="2026-02-25T18:17:29"/>
        <d v="2026-02-25T18:20:12"/>
        <d v="2026-02-25T18:26:28"/>
        <d v="2026-02-25T18:34:12"/>
        <d v="2026-02-25T18:34:55"/>
        <d v="2026-02-25T18:39:59"/>
        <d v="2026-02-25T19:10:35"/>
        <d v="2026-02-25T19:12:43"/>
        <d v="2026-02-25T19:21:54"/>
        <d v="2026-02-25T19:39:17"/>
        <d v="2026-02-25T19:40:30"/>
        <d v="2026-02-25T19:58:51"/>
        <d v="2026-02-25T20:06:51"/>
        <d v="2026-02-25T20:12:01"/>
        <d v="2026-02-25T20:21:11"/>
        <d v="2026-02-26T13:22:07"/>
        <d v="2026-02-26T13:27:22"/>
        <d v="2026-02-26T15:13:07"/>
        <d v="2026-02-26T17:27:41"/>
        <d v="2026-02-26T18:04:10"/>
        <d v="2026-02-26T18:18:48"/>
        <d v="2026-02-26T18:20:14"/>
        <d v="2026-02-26T18:33:59"/>
        <d v="2026-02-26T19:04:18"/>
        <d v="2026-02-26T19:29:53"/>
        <d v="2026-02-26T19:31:31"/>
        <d v="2026-02-26T19:33:12"/>
        <d v="2026-02-26T20:15:00"/>
        <d v="2026-02-26T20:15:17"/>
        <d v="2026-02-26T20:15:31"/>
        <d v="2026-02-27T15:07:27"/>
        <d v="2026-02-27T15:09:00"/>
        <d v="2026-02-27T17:10:45"/>
        <d v="2026-02-27T17:24:37"/>
        <d v="2026-02-27T17:48:52"/>
        <d v="2026-02-27T18:16:26"/>
        <d v="2026-02-27T19:46:35"/>
        <d v="2026-02-27T20:04:22"/>
        <d v="2026-02-27T20:05:35"/>
        <d v="2026-02-27T20:08:12"/>
        <d v="2026-02-28T18:57:18"/>
        <d v="2026-02-28T18:57:56"/>
        <d v="2026-02-28T18:58:59"/>
        <d v="2026-02-28T19:01:04"/>
        <d v="2026-02-28T19:02:13"/>
        <d v="2026-02-28T19:03:10"/>
        <d v="2026-02-28T19:03:58"/>
        <d v="2026-02-28T19:04:18"/>
        <d v="2026-02-28T19:04:56"/>
        <d v="2026-02-28T19:05:31"/>
        <d v="2026-02-28T19:05:51"/>
        <d v="2026-02-28T19:07:57"/>
        <d v="2026-02-28T19:08:25"/>
        <d v="2026-02-28T19:08:38"/>
        <d v="2026-02-28T19:10:36"/>
      </sharedItems>
      <extLst>
        <ext xmlns:x15="http://schemas.microsoft.com/office/spreadsheetml/2010/11/main" uri="{4F2E5C28-24EA-4eb8-9CBF-B6C8F9C3D259}">
          <x15:cachedUniqueNames>
            <x15:cachedUniqueName index="0" name="[transacciones].[fecha].&amp;[2026-02-23T16:36:35.866667]"/>
            <x15:cachedUniqueName index="1" name="[transacciones].[fecha].&amp;[2026-02-23T17:01:55.816667]"/>
            <x15:cachedUniqueName index="2" name="[transacciones].[fecha].&amp;[2026-02-23T17:13:00.56]"/>
            <x15:cachedUniqueName index="3" name="[transacciones].[fecha].&amp;[2026-02-23T17:17:29.466667]"/>
            <x15:cachedUniqueName index="4" name="[transacciones].[fecha].&amp;[2026-02-23T18:00:25.296667]"/>
            <x15:cachedUniqueName index="5" name="[transacciones].[fecha].&amp;[2026-02-23T18:02:50.156667]"/>
            <x15:cachedUniqueName index="6" name="[transacciones].[fecha].&amp;[2026-02-23T18:53:36.25]"/>
            <x15:cachedUniqueName index="7" name="[transacciones].[fecha].&amp;[2026-02-23T19:05:29.056667]"/>
            <x15:cachedUniqueName index="8" name="[transacciones].[fecha].&amp;[2026-02-23T19:38:19.86]"/>
            <x15:cachedUniqueName index="9" name="[transacciones].[fecha].&amp;[2026-02-23T20:11:57.673333]"/>
            <x15:cachedUniqueName index="10" name="[transacciones].[fecha].&amp;[2026-02-23T20:15:09.25]"/>
            <x15:cachedUniqueName index="11" name="[transacciones].[fecha].&amp;[2026-02-23T20:17:44.503333]"/>
            <x15:cachedUniqueName index="12" name="[transacciones].[fecha].&amp;[2026-02-23T20:24:20.71]"/>
            <x15:cachedUniqueName index="13" name="[transacciones].[fecha].&amp;[2026-02-23T20:27:48.96]"/>
            <x15:cachedUniqueName index="14" name="[transacciones].[fecha].&amp;[2026-02-24T15:34:06.146667]"/>
            <x15:cachedUniqueName index="15" name="[transacciones].[fecha].&amp;[2026-02-24T15:35:03.62]"/>
            <x15:cachedUniqueName index="16" name="[transacciones].[fecha].&amp;[2026-02-24T17:45:39.456667]"/>
            <x15:cachedUniqueName index="17" name="[transacciones].[fecha].&amp;[2026-02-24T18:13:50.206667]"/>
            <x15:cachedUniqueName index="18" name="[transacciones].[fecha].&amp;[2026-02-24T18:34:48.72]"/>
            <x15:cachedUniqueName index="19" name="[transacciones].[fecha].&amp;[2026-02-24T18:36:15.69]"/>
            <x15:cachedUniqueName index="20" name="[transacciones].[fecha].&amp;[2026-02-24T18:42:30.956667]"/>
            <x15:cachedUniqueName index="21" name="[transacciones].[fecha].&amp;[2026-02-24T19:07:53.706667]"/>
            <x15:cachedUniqueName index="22" name="[transacciones].[fecha].&amp;[2026-02-24T20:01:30.64]"/>
            <x15:cachedUniqueName index="23" name="[transacciones].[fecha].&amp;[2026-02-24T20:05:05.64]"/>
            <x15:cachedUniqueName index="24" name="[transacciones].[fecha].&amp;[2026-02-24T20:19:41.79]"/>
            <x15:cachedUniqueName index="25" name="[transacciones].[fecha].&amp;[2026-02-24T20:23:48.64]"/>
            <x15:cachedUniqueName index="26" name="[transacciones].[fecha].&amp;[2026-02-24T20:49:21.27]"/>
            <x15:cachedUniqueName index="27" name="[transacciones].[fecha].&amp;[2026-02-25T13:52:22.706667]"/>
            <x15:cachedUniqueName index="28" name="[transacciones].[fecha].&amp;[2026-02-25T13:55:03.656667]"/>
            <x15:cachedUniqueName index="29" name="[transacciones].[fecha].&amp;[2026-02-25T14:05:11.346667]"/>
            <x15:cachedUniqueName index="30" name="[transacciones].[fecha].&amp;[2026-02-25T14:11:36.29]"/>
            <x15:cachedUniqueName index="31" name="[transacciones].[fecha].&amp;[2026-02-25T14:24:54.56]"/>
            <x15:cachedUniqueName index="32" name="[transacciones].[fecha].&amp;[2026-02-25T14:25:49.376667]"/>
            <x15:cachedUniqueName index="33" name="[transacciones].[fecha].&amp;[2026-02-25T16:40:06.296667]"/>
            <x15:cachedUniqueName index="34" name="[transacciones].[fecha].&amp;[2026-02-25T16:41:14.16]"/>
            <x15:cachedUniqueName index="35" name="[transacciones].[fecha].&amp;[2026-02-25T18:17:29.126667]"/>
            <x15:cachedUniqueName index="36" name="[transacciones].[fecha].&amp;[2026-02-25T18:20:11.623333]"/>
            <x15:cachedUniqueName index="37" name="[transacciones].[fecha].&amp;[2026-02-25T18:26:27.92]"/>
            <x15:cachedUniqueName index="38" name="[transacciones].[fecha].&amp;[2026-02-25T18:34:11.783333]"/>
            <x15:cachedUniqueName index="39" name="[transacciones].[fecha].&amp;[2026-02-25T18:34:55.243333]"/>
            <x15:cachedUniqueName index="40" name="[transacciones].[fecha].&amp;[2026-02-25T18:39:59.116667]"/>
            <x15:cachedUniqueName index="41" name="[transacciones].[fecha].&amp;[2026-02-25T19:10:34.886667]"/>
            <x15:cachedUniqueName index="42" name="[transacciones].[fecha].&amp;[2026-02-25T19:12:42.98]"/>
            <x15:cachedUniqueName index="43" name="[transacciones].[fecha].&amp;[2026-02-25T19:21:53.8]"/>
            <x15:cachedUniqueName index="44" name="[transacciones].[fecha].&amp;[2026-02-25T19:39:17.01]"/>
            <x15:cachedUniqueName index="45" name="[transacciones].[fecha].&amp;[2026-02-25T19:40:29.633333]"/>
            <x15:cachedUniqueName index="46" name="[transacciones].[fecha].&amp;[2026-02-25T19:58:50.843333]"/>
            <x15:cachedUniqueName index="47" name="[transacciones].[fecha].&amp;[2026-02-25T20:06:51.046667]"/>
            <x15:cachedUniqueName index="48" name="[transacciones].[fecha].&amp;[2026-02-25T20:12:00.843333]"/>
            <x15:cachedUniqueName index="49" name="[transacciones].[fecha].&amp;[2026-02-25T20:21:11.203333]"/>
            <x15:cachedUniqueName index="50" name="[transacciones].[fecha].&amp;[2026-02-26T13:22:07.446667]"/>
            <x15:cachedUniqueName index="51" name="[transacciones].[fecha].&amp;[2026-02-26T13:27:21.903333]"/>
            <x15:cachedUniqueName index="52" name="[transacciones].[fecha].&amp;[2026-02-26T15:13:06.77]"/>
            <x15:cachedUniqueName index="53" name="[transacciones].[fecha].&amp;[2026-02-26T17:27:40.78]"/>
            <x15:cachedUniqueName index="54" name="[transacciones].[fecha].&amp;[2026-02-26T18:04:10.47]"/>
            <x15:cachedUniqueName index="55" name="[transacciones].[fecha].&amp;[2026-02-26T18:18:47.966667]"/>
            <x15:cachedUniqueName index="56" name="[transacciones].[fecha].&amp;[2026-02-26T18:20:13.746667]"/>
            <x15:cachedUniqueName index="57" name="[transacciones].[fecha].&amp;[2026-02-26T18:33:58.626667]"/>
            <x15:cachedUniqueName index="58" name="[transacciones].[fecha].&amp;[2026-02-26T19:04:18.39]"/>
            <x15:cachedUniqueName index="59" name="[transacciones].[fecha].&amp;[2026-02-26T19:29:52.633333]"/>
            <x15:cachedUniqueName index="60" name="[transacciones].[fecha].&amp;[2026-02-26T19:31:30.646667]"/>
            <x15:cachedUniqueName index="61" name="[transacciones].[fecha].&amp;[2026-02-26T19:33:11.836667]"/>
            <x15:cachedUniqueName index="62" name="[transacciones].[fecha].&amp;[2026-02-26T20:14:59.84]"/>
            <x15:cachedUniqueName index="63" name="[transacciones].[fecha].&amp;[2026-02-26T20:15:17.336667]"/>
            <x15:cachedUniqueName index="64" name="[transacciones].[fecha].&amp;[2026-02-26T20:15:31.096667]"/>
            <x15:cachedUniqueName index="65" name="[transacciones].[fecha].&amp;[2026-02-27T15:07:26.95]"/>
            <x15:cachedUniqueName index="66" name="[transacciones].[fecha].&amp;[2026-02-27T15:08:59.923333]"/>
            <x15:cachedUniqueName index="67" name="[transacciones].[fecha].&amp;[2026-02-27T17:10:44.963333]"/>
            <x15:cachedUniqueName index="68" name="[transacciones].[fecha].&amp;[2026-02-27T17:24:37.173333]"/>
            <x15:cachedUniqueName index="69" name="[transacciones].[fecha].&amp;[2026-02-27T17:48:51.64]"/>
            <x15:cachedUniqueName index="70" name="[transacciones].[fecha].&amp;[2026-02-27T18:16:26.25]"/>
            <x15:cachedUniqueName index="71" name="[transacciones].[fecha].&amp;[2026-02-27T19:46:35.44]"/>
            <x15:cachedUniqueName index="72" name="[transacciones].[fecha].&amp;[2026-02-27T20:04:22.24]"/>
            <x15:cachedUniqueName index="73" name="[transacciones].[fecha].&amp;[2026-02-27T20:05:35.29]"/>
            <x15:cachedUniqueName index="74" name="[transacciones].[fecha].&amp;[2026-02-27T20:08:11.523333]"/>
            <x15:cachedUniqueName index="75" name="[transacciones].[fecha].&amp;[2026-02-28T18:57:18.233333]"/>
            <x15:cachedUniqueName index="76" name="[transacciones].[fecha].&amp;[2026-02-28T18:57:55.983333]"/>
            <x15:cachedUniqueName index="77" name="[transacciones].[fecha].&amp;[2026-02-28T18:58:58.8]"/>
            <x15:cachedUniqueName index="78" name="[transacciones].[fecha].&amp;[2026-02-28T19:01:04.256667]"/>
            <x15:cachedUniqueName index="79" name="[transacciones].[fecha].&amp;[2026-02-28T19:02:13.483333]"/>
            <x15:cachedUniqueName index="80" name="[transacciones].[fecha].&amp;[2026-02-28T19:03:10.083333]"/>
            <x15:cachedUniqueName index="81" name="[transacciones].[fecha].&amp;[2026-02-28T19:03:57.723333]"/>
            <x15:cachedUniqueName index="82" name="[transacciones].[fecha].&amp;[2026-02-28T19:04:18.356667]"/>
            <x15:cachedUniqueName index="83" name="[transacciones].[fecha].&amp;[2026-02-28T19:04:56.256667]"/>
            <x15:cachedUniqueName index="84" name="[transacciones].[fecha].&amp;[2026-02-28T19:05:31.006667]"/>
            <x15:cachedUniqueName index="85" name="[transacciones].[fecha].&amp;[2026-02-28T19:05:51.39]"/>
            <x15:cachedUniqueName index="86" name="[transacciones].[fecha].&amp;[2026-02-28T19:07:57.083333]"/>
            <x15:cachedUniqueName index="87" name="[transacciones].[fecha].&amp;[2026-02-28T19:08:25.05]"/>
            <x15:cachedUniqueName index="88" name="[transacciones].[fecha].&amp;[2026-02-28T19:08:37.606667]"/>
            <x15:cachedUniqueName index="89" name="[transacciones].[fecha].&amp;[2026-02-28T19:10:35.983333]"/>
          </x15:cachedUniqueNames>
        </ext>
      </extLst>
    </cacheField>
    <cacheField name="[productos].[nombre_producto].[nombre_producto]" caption="nombre_producto" numFmtId="0" hierarchy="8" level="1">
      <sharedItems count="12">
        <s v="Chorizo"/>
        <s v="Coca cola"/>
        <s v="Agua"/>
        <s v="Postobon"/>
        <s v="Chori- CRUDO"/>
        <s v="parri tres carnes"/>
        <s v="carne + chorizo"/>
        <s v="tinto"/>
        <s v="Hit"/>
        <s v="parri 48"/>
        <s v="parri 70"/>
        <s v="parri 40"/>
      </sharedItems>
    </cacheField>
    <cacheField name="[items].[cantidad].[cantidad]" caption="cantidad" numFmtId="0" hierarchy="1" level="1">
      <sharedItems containsSemiMixedTypes="0" containsString="0" containsNumber="1" containsInteger="1" minValue="1" maxValue="6" count="6">
        <n v="2"/>
        <n v="1"/>
        <n v="3"/>
        <n v="5"/>
        <n v="4"/>
        <n v="6"/>
      </sharedItems>
      <extLst>
        <ext xmlns:x15="http://schemas.microsoft.com/office/spreadsheetml/2010/11/main" uri="{4F2E5C28-24EA-4eb8-9CBF-B6C8F9C3D259}">
          <x15:cachedUniqueNames>
            <x15:cachedUniqueName index="0" name="[items].[cantidad].&amp;[2]"/>
            <x15:cachedUniqueName index="1" name="[items].[cantidad].&amp;[1]"/>
            <x15:cachedUniqueName index="2" name="[items].[cantidad].&amp;[3]"/>
            <x15:cachedUniqueName index="3" name="[items].[cantidad].&amp;[5]"/>
            <x15:cachedUniqueName index="4" name="[items].[cantidad].&amp;[4]"/>
            <x15:cachedUniqueName index="5" name="[items].[cantidad].&amp;[6]"/>
          </x15:cachedUniqueNames>
        </ext>
      </extLst>
    </cacheField>
    <cacheField name="[items].[precio_producto].[precio_producto]" caption="precio_producto" numFmtId="0" hierarchy="5" level="1">
      <sharedItems containsSemiMixedTypes="0" containsString="0" containsNumber="1" containsInteger="1" minValue="2000" maxValue="70000" count="9">
        <n v="8000"/>
        <n v="3000"/>
        <n v="4500"/>
        <n v="35000"/>
        <n v="25000"/>
        <n v="2000"/>
        <n v="48000"/>
        <n v="70000"/>
        <n v="40000"/>
      </sharedItems>
    </cacheField>
    <cacheField name="[transacciones].[id_factura].[id_factura]" caption="id_factura" numFmtId="0" hierarchy="14" level="1">
      <sharedItems containsSemiMixedTypes="0" containsString="0" containsNumber="1" containsInteger="1" minValue="2" maxValue="93" count="90"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4"/>
        <n v="35"/>
        <n v="36"/>
        <n v="37"/>
        <n v="38"/>
        <n v="39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</sharedItems>
      <extLst>
        <ext xmlns:x15="http://schemas.microsoft.com/office/spreadsheetml/2010/11/main" uri="{4F2E5C28-24EA-4eb8-9CBF-B6C8F9C3D259}">
          <x15:cachedUniqueNames>
            <x15:cachedUniqueName index="0" name="[transacciones].[id_factura].&amp;[2]"/>
            <x15:cachedUniqueName index="1" name="[transacciones].[id_factura].&amp;[3]"/>
            <x15:cachedUniqueName index="2" name="[transacciones].[id_factura].&amp;[4]"/>
            <x15:cachedUniqueName index="3" name="[transacciones].[id_factura].&amp;[5]"/>
            <x15:cachedUniqueName index="4" name="[transacciones].[id_factura].&amp;[6]"/>
            <x15:cachedUniqueName index="5" name="[transacciones].[id_factura].&amp;[7]"/>
            <x15:cachedUniqueName index="6" name="[transacciones].[id_factura].&amp;[8]"/>
            <x15:cachedUniqueName index="7" name="[transacciones].[id_factura].&amp;[9]"/>
            <x15:cachedUniqueName index="8" name="[transacciones].[id_factura].&amp;[10]"/>
            <x15:cachedUniqueName index="9" name="[transacciones].[id_factura].&amp;[11]"/>
            <x15:cachedUniqueName index="10" name="[transacciones].[id_factura].&amp;[12]"/>
            <x15:cachedUniqueName index="11" name="[transacciones].[id_factura].&amp;[13]"/>
            <x15:cachedUniqueName index="12" name="[transacciones].[id_factura].&amp;[14]"/>
            <x15:cachedUniqueName index="13" name="[transacciones].[id_factura].&amp;[15]"/>
            <x15:cachedUniqueName index="14" name="[transacciones].[id_factura].&amp;[16]"/>
            <x15:cachedUniqueName index="15" name="[transacciones].[id_factura].&amp;[17]"/>
            <x15:cachedUniqueName index="16" name="[transacciones].[id_factura].&amp;[18]"/>
            <x15:cachedUniqueName index="17" name="[transacciones].[id_factura].&amp;[19]"/>
            <x15:cachedUniqueName index="18" name="[transacciones].[id_factura].&amp;[20]"/>
            <x15:cachedUniqueName index="19" name="[transacciones].[id_factura].&amp;[21]"/>
            <x15:cachedUniqueName index="20" name="[transacciones].[id_factura].&amp;[22]"/>
            <x15:cachedUniqueName index="21" name="[transacciones].[id_factura].&amp;[23]"/>
            <x15:cachedUniqueName index="22" name="[transacciones].[id_factura].&amp;[24]"/>
            <x15:cachedUniqueName index="23" name="[transacciones].[id_factura].&amp;[25]"/>
            <x15:cachedUniqueName index="24" name="[transacciones].[id_factura].&amp;[26]"/>
            <x15:cachedUniqueName index="25" name="[transacciones].[id_factura].&amp;[27]"/>
            <x15:cachedUniqueName index="26" name="[transacciones].[id_factura].&amp;[28]"/>
            <x15:cachedUniqueName index="27" name="[transacciones].[id_factura].&amp;[29]"/>
            <x15:cachedUniqueName index="28" name="[transacciones].[id_factura].&amp;[30]"/>
            <x15:cachedUniqueName index="29" name="[transacciones].[id_factura].&amp;[31]"/>
            <x15:cachedUniqueName index="30" name="[transacciones].[id_factura].&amp;[32]"/>
            <x15:cachedUniqueName index="31" name="[transacciones].[id_factura].&amp;[34]"/>
            <x15:cachedUniqueName index="32" name="[transacciones].[id_factura].&amp;[35]"/>
            <x15:cachedUniqueName index="33" name="[transacciones].[id_factura].&amp;[36]"/>
            <x15:cachedUniqueName index="34" name="[transacciones].[id_factura].&amp;[37]"/>
            <x15:cachedUniqueName index="35" name="[transacciones].[id_factura].&amp;[38]"/>
            <x15:cachedUniqueName index="36" name="[transacciones].[id_factura].&amp;[39]"/>
            <x15:cachedUniqueName index="37" name="[transacciones].[id_factura].&amp;[41]"/>
            <x15:cachedUniqueName index="38" name="[transacciones].[id_factura].&amp;[42]"/>
            <x15:cachedUniqueName index="39" name="[transacciones].[id_factura].&amp;[43]"/>
            <x15:cachedUniqueName index="40" name="[transacciones].[id_factura].&amp;[44]"/>
            <x15:cachedUniqueName index="41" name="[transacciones].[id_factura].&amp;[45]"/>
            <x15:cachedUniqueName index="42" name="[transacciones].[id_factura].&amp;[46]"/>
            <x15:cachedUniqueName index="43" name="[transacciones].[id_factura].&amp;[47]"/>
            <x15:cachedUniqueName index="44" name="[transacciones].[id_factura].&amp;[48]"/>
            <x15:cachedUniqueName index="45" name="[transacciones].[id_factura].&amp;[49]"/>
            <x15:cachedUniqueName index="46" name="[transacciones].[id_factura].&amp;[50]"/>
            <x15:cachedUniqueName index="47" name="[transacciones].[id_factura].&amp;[51]"/>
            <x15:cachedUniqueName index="48" name="[transacciones].[id_factura].&amp;[52]"/>
            <x15:cachedUniqueName index="49" name="[transacciones].[id_factura].&amp;[53]"/>
            <x15:cachedUniqueName index="50" name="[transacciones].[id_factura].&amp;[54]"/>
            <x15:cachedUniqueName index="51" name="[transacciones].[id_factura].&amp;[55]"/>
            <x15:cachedUniqueName index="52" name="[transacciones].[id_factura].&amp;[56]"/>
            <x15:cachedUniqueName index="53" name="[transacciones].[id_factura].&amp;[57]"/>
            <x15:cachedUniqueName index="54" name="[transacciones].[id_factura].&amp;[58]"/>
            <x15:cachedUniqueName index="55" name="[transacciones].[id_factura].&amp;[59]"/>
            <x15:cachedUniqueName index="56" name="[transacciones].[id_factura].&amp;[60]"/>
            <x15:cachedUniqueName index="57" name="[transacciones].[id_factura].&amp;[61]"/>
            <x15:cachedUniqueName index="58" name="[transacciones].[id_factura].&amp;[62]"/>
            <x15:cachedUniqueName index="59" name="[transacciones].[id_factura].&amp;[63]"/>
            <x15:cachedUniqueName index="60" name="[transacciones].[id_factura].&amp;[64]"/>
            <x15:cachedUniqueName index="61" name="[transacciones].[id_factura].&amp;[65]"/>
            <x15:cachedUniqueName index="62" name="[transacciones].[id_factura].&amp;[66]"/>
            <x15:cachedUniqueName index="63" name="[transacciones].[id_factura].&amp;[67]"/>
            <x15:cachedUniqueName index="64" name="[transacciones].[id_factura].&amp;[68]"/>
            <x15:cachedUniqueName index="65" name="[transacciones].[id_factura].&amp;[69]"/>
            <x15:cachedUniqueName index="66" name="[transacciones].[id_factura].&amp;[70]"/>
            <x15:cachedUniqueName index="67" name="[transacciones].[id_factura].&amp;[71]"/>
            <x15:cachedUniqueName index="68" name="[transacciones].[id_factura].&amp;[72]"/>
            <x15:cachedUniqueName index="69" name="[transacciones].[id_factura].&amp;[73]"/>
            <x15:cachedUniqueName index="70" name="[transacciones].[id_factura].&amp;[74]"/>
            <x15:cachedUniqueName index="71" name="[transacciones].[id_factura].&amp;[75]"/>
            <x15:cachedUniqueName index="72" name="[transacciones].[id_factura].&amp;[76]"/>
            <x15:cachedUniqueName index="73" name="[transacciones].[id_factura].&amp;[77]"/>
            <x15:cachedUniqueName index="74" name="[transacciones].[id_factura].&amp;[78]"/>
            <x15:cachedUniqueName index="75" name="[transacciones].[id_factura].&amp;[79]"/>
            <x15:cachedUniqueName index="76" name="[transacciones].[id_factura].&amp;[80]"/>
            <x15:cachedUniqueName index="77" name="[transacciones].[id_factura].&amp;[81]"/>
            <x15:cachedUniqueName index="78" name="[transacciones].[id_factura].&amp;[82]"/>
            <x15:cachedUniqueName index="79" name="[transacciones].[id_factura].&amp;[83]"/>
            <x15:cachedUniqueName index="80" name="[transacciones].[id_factura].&amp;[84]"/>
            <x15:cachedUniqueName index="81" name="[transacciones].[id_factura].&amp;[85]"/>
            <x15:cachedUniqueName index="82" name="[transacciones].[id_factura].&amp;[86]"/>
            <x15:cachedUniqueName index="83" name="[transacciones].[id_factura].&amp;[87]"/>
            <x15:cachedUniqueName index="84" name="[transacciones].[id_factura].&amp;[88]"/>
            <x15:cachedUniqueName index="85" name="[transacciones].[id_factura].&amp;[89]"/>
            <x15:cachedUniqueName index="86" name="[transacciones].[id_factura].&amp;[90]"/>
            <x15:cachedUniqueName index="87" name="[transacciones].[id_factura].&amp;[91]"/>
            <x15:cachedUniqueName index="88" name="[transacciones].[id_factura].&amp;[92]"/>
            <x15:cachedUniqueName index="89" name="[transacciones].[id_factura].&amp;[93]"/>
          </x15:cachedUniqueNames>
        </ext>
      </extLst>
    </cacheField>
  </cacheFields>
  <cacheHierarchies count="45">
    <cacheHierarchy uniqueName="[items].[id_item]" caption="id_item" attribute="1" defaultMemberUniqueName="[items].[id_item].[All]" allUniqueName="[items].[id_item].[All]" dimensionUniqueName="[items]" displayFolder="" count="0" memberValueDatatype="20" unbalanced="0"/>
    <cacheHierarchy uniqueName="[items].[cantidad]" caption="cantidad" attribute="1" defaultMemberUniqueName="[items].[cantidad].[All]" allUniqueName="[items].[cantidad].[All]" dimensionUniqueName="[items]" displayFolder="" count="2" memberValueDatatype="20" unbalanced="0">
      <fieldsUsage count="2">
        <fieldUsage x="-1"/>
        <fieldUsage x="5"/>
      </fieldsUsage>
    </cacheHierarchy>
    <cacheHierarchy uniqueName="[items].[id_producto]" caption="id_producto" attribute="1" defaultMemberUniqueName="[items].[id_producto].[All]" allUniqueName="[items].[id_producto].[All]" dimensionUniqueName="[items]" displayFolder="" count="0" memberValueDatatype="20" unbalanced="0"/>
    <cacheHierarchy uniqueName="[items].[id_transaccion]" caption="id_transaccion" attribute="1" defaultMemberUniqueName="[items].[id_transaccion].[All]" allUniqueName="[items].[id_transaccion].[All]" dimensionUniqueName="[items]" displayFolder="" count="0" memberValueDatatype="20" unbalanced="0"/>
    <cacheHierarchy uniqueName="[items].[nombre_producto]" caption="nombre_producto" attribute="1" defaultMemberUniqueName="[items].[nombre_producto].[All]" allUniqueName="[items].[nombre_producto].[All]" dimensionUniqueName="[items]" displayFolder="" count="0" memberValueDatatype="130" unbalanced="0"/>
    <cacheHierarchy uniqueName="[items].[precio_producto]" caption="precio_producto" attribute="1" defaultMemberUniqueName="[items].[precio_producto].[All]" allUniqueName="[items].[precio_producto].[All]" dimensionUniqueName="[items]" displayFolder="" count="2" memberValueDatatype="5" unbalanced="0">
      <fieldsUsage count="2">
        <fieldUsage x="-1"/>
        <fieldUsage x="6"/>
      </fieldsUsage>
    </cacheHierarchy>
    <cacheHierarchy uniqueName="[items].[valor_total]" caption="valor_total" attribute="1" defaultMemberUniqueName="[items].[valor_total].[All]" allUniqueName="[items].[valor_total].[All]" dimensionUniqueName="[items]" displayFolder="" count="0" memberValueDatatype="5" unbalanced="0"/>
    <cacheHierarchy uniqueName="[productos].[id_producto]" caption="id_producto" attribute="1" defaultMemberUniqueName="[productos].[id_producto].[All]" allUniqueName="[productos].[id_producto].[All]" dimensionUniqueName="[productos]" displayFolder="" count="0" memberValueDatatype="20" unbalanced="0"/>
    <cacheHierarchy uniqueName="[productos].[nombre_producto]" caption="nombre_producto" attribute="1" defaultMemberUniqueName="[productos].[nombre_producto].[All]" allUniqueName="[productos].[nombre_producto].[All]" dimensionUniqueName="[productos]" displayFolder="" count="2" memberValueDatatype="130" unbalanced="0">
      <fieldsUsage count="2">
        <fieldUsage x="-1"/>
        <fieldUsage x="4"/>
      </fieldsUsage>
    </cacheHierarchy>
    <cacheHierarchy uniqueName="[productos].[precio]" caption="precio" attribute="1" defaultMemberUniqueName="[productos].[precio].[All]" allUniqueName="[productos].[precio].[All]" dimensionUniqueName="[productos]" displayFolder="" count="0" memberValueDatatype="20" unbalanced="0"/>
    <cacheHierarchy uniqueName="[productos].[id_usuario]" caption="id_usuario" attribute="1" defaultMemberUniqueName="[productos].[id_usuario].[All]" allUniqueName="[productos].[id_usuario].[All]" dimensionUniqueName="[productos]" displayFolder="" count="0" memberValueDatatype="20" unbalanced="0"/>
    <cacheHierarchy uniqueName="[transacciones].[id_transaccion]" caption="id_transaccion" attribute="1" defaultMemberUniqueName="[transacciones].[id_transaccion].[All]" allUniqueName="[transacciones].[id_transaccion].[All]" dimensionUniqueName="[transacciones]" displayFolder="" count="0" memberValueDatatype="20" unbalanced="0"/>
    <cacheHierarchy uniqueName="[transacciones].[nombre_transaccion]" caption="nombre_transaccion" attribute="1" defaultMemberUniqueName="[transacciones].[nombre_transaccion].[All]" allUniqueName="[transacciones].[nombre_transaccion].[All]" dimensionUniqueName="[transacciones]" displayFolder="" count="2" memberValueDatatype="130" unbalanced="0">
      <fieldsUsage count="2">
        <fieldUsage x="-1"/>
        <fieldUsage x="0"/>
      </fieldsUsage>
    </cacheHierarchy>
    <cacheHierarchy uniqueName="[transacciones].[tipo_cuenta]" caption="tipo_cuenta" attribute="1" defaultMemberUniqueName="[transacciones].[tipo_cuenta].[All]" allUniqueName="[transacciones].[tipo_cuenta].[All]" dimensionUniqueName="[transacciones]" displayFolder="" count="2" memberValueDatatype="130" unbalanced="0">
      <fieldsUsage count="2">
        <fieldUsage x="-1"/>
        <fieldUsage x="1"/>
      </fieldsUsage>
    </cacheHierarchy>
    <cacheHierarchy uniqueName="[transacciones].[id_factura]" caption="id_factura" attribute="1" defaultMemberUniqueName="[transacciones].[id_factura].[All]" allUniqueName="[transacciones].[id_factura].[All]" dimensionUniqueName="[transacciones]" displayFolder="" count="2" memberValueDatatype="20" unbalanced="0">
      <fieldsUsage count="2">
        <fieldUsage x="-1"/>
        <fieldUsage x="7"/>
      </fieldsUsage>
    </cacheHierarchy>
    <cacheHierarchy uniqueName="[transacciones].[detalle_transaccion]" caption="detalle_transaccion" attribute="1" defaultMemberUniqueName="[transacciones].[detalle_transaccion].[All]" allUniqueName="[transacciones].[detalle_transaccion].[All]" dimensionUniqueName="[transacciones]" displayFolder="" count="0" memberValueDatatype="130" unbalanced="0"/>
    <cacheHierarchy uniqueName="[transacciones].[fecha]" caption="fecha" attribute="1" time="1" defaultMemberUniqueName="[transacciones].[fecha].[All]" allUniqueName="[transacciones].[fecha].[All]" dimensionUniqueName="[transacciones]" displayFolder="" count="2" memberValueDatatype="7" unbalanced="0">
      <fieldsUsage count="2">
        <fieldUsage x="-1"/>
        <fieldUsage x="3"/>
      </fieldsUsage>
    </cacheHierarchy>
    <cacheHierarchy uniqueName="[transacciones].[entrada]" caption="entrada" attribute="1" defaultMemberUniqueName="[transacciones].[entrada].[All]" allUniqueName="[transacciones].[entrada].[All]" dimensionUniqueName="[transacciones]" displayFolder="" count="0" memberValueDatatype="5" unbalanced="0"/>
    <cacheHierarchy uniqueName="[transacciones].[egreso]" caption="egreso" attribute="1" defaultMemberUniqueName="[transacciones].[egreso].[All]" allUniqueName="[transacciones].[egreso].[All]" dimensionUniqueName="[transacciones]" displayFolder="" count="0" memberValueDatatype="5" unbalanced="0"/>
    <cacheHierarchy uniqueName="[transacciones].[id_usuario]" caption="id_usuario" attribute="1" defaultMemberUniqueName="[transacciones].[id_usuario].[All]" allUniqueName="[transacciones].[id_usuario].[All]" dimensionUniqueName="[transacciones]" displayFolder="" count="0" memberValueDatatype="5" unbalanced="0"/>
    <cacheHierarchy uniqueName="[transacciones].[fecha (día)]" caption="fecha (día)" attribute="1" defaultMemberUniqueName="[transacciones].[fecha (día)].[All]" allUniqueName="[transacciones].[fecha (día)].[All]" dimensionUniqueName="[transacciones]" displayFolder="" count="2" memberValueDatatype="130" unbalanced="0"/>
    <cacheHierarchy uniqueName="[transacciones].[fecha (hora)]" caption="fecha (hora)" attribute="1" defaultMemberUniqueName="[transacciones].[fecha (hora)].[All]" allUniqueName="[transacciones].[fecha (hora)].[All]" dimensionUniqueName="[transacciones]" displayFolder="" count="2" memberValueDatatype="130" unbalanced="0"/>
    <cacheHierarchy uniqueName="[transacciones].[fecha (minuto)]" caption="fecha (minuto)" attribute="1" defaultMemberUniqueName="[transacciones].[fecha (minuto)].[All]" allUniqueName="[transacciones].[fecha (minuto)].[All]" dimensionUniqueName="[transacciones]" displayFolder="" count="0" memberValueDatatype="130" unbalanced="0"/>
    <cacheHierarchy uniqueName="[transacciones].[fecha (segundo)]" caption="fecha (segundo)" attribute="1" defaultMemberUniqueName="[transacciones].[fecha (segundo)].[All]" allUniqueName="[transacciones].[fecha (segundo)].[All]" dimensionUniqueName="[transacciones]" displayFolder="" count="0" memberValueDatatype="130" unbalanced="0"/>
    <cacheHierarchy uniqueName="[transacciones].[nombre_usuario]" caption="nombre_usuario" attribute="1" defaultMemberUniqueName="[transacciones].[nombre_usuario].[All]" allUniqueName="[transacciones].[nombre_usuario].[All]" dimensionUniqueName="[transacciones]" displayFolder="" count="0" memberValueDatatype="130" unbalanced="0"/>
    <cacheHierarchy uniqueName="[usuarios].[id_usuario]" caption="id_usuario" attribute="1" defaultMemberUniqueName="[usuarios].[id_usuario].[All]" allUniqueName="[usuarios].[id_usuario].[All]" dimensionUniqueName="[usuarios]" displayFolder="" count="0" memberValueDatatype="20" unbalanced="0"/>
    <cacheHierarchy uniqueName="[usuarios].[nombre_usuario]" caption="nombre_usuario" attribute="1" defaultMemberUniqueName="[usuarios].[nombre_usuario].[All]" allUniqueName="[usuarios].[nombre_usuario].[All]" dimensionUniqueName="[usuarios]" displayFolder="" count="0" memberValueDatatype="130" unbalanced="0"/>
    <cacheHierarchy uniqueName="[usuarios].[rol]" caption="rol" attribute="1" defaultMemberUniqueName="[usuarios].[rol].[All]" allUniqueName="[usuarios].[rol].[All]" dimensionUniqueName="[usuarios]" displayFolder="" count="0" memberValueDatatype="130" unbalanced="0"/>
    <cacheHierarchy uniqueName="[transacciones].[fecha (índice de días)]" caption="fecha (índice de días)" attribute="1" defaultMemberUniqueName="[transacciones].[fecha (índice de días)].[All]" allUniqueName="[transacciones].[fecha (índice de días)].[All]" dimensionUniqueName="[transacciones]" displayFolder="" count="0" memberValueDatatype="5" unbalanced="0" hidden="1"/>
    <cacheHierarchy uniqueName="[Measures].[__XL_Count transacciones]" caption="__XL_Count transacciones" measure="1" displayFolder="" measureGroup="transacciones" count="0" hidden="1"/>
    <cacheHierarchy uniqueName="[Measures].[__XL_Count items]" caption="__XL_Count items" measure="1" displayFolder="" measureGroup="items" count="0" hidden="1"/>
    <cacheHierarchy uniqueName="[Measures].[__XL_Count usuarios]" caption="__XL_Count usuarios" measure="1" displayFolder="" measureGroup="usuarios" count="0" hidden="1"/>
    <cacheHierarchy uniqueName="[Measures].[__XL_Count productos]" caption="__XL_Count productos" measure="1" displayFolder="" measureGroup="productos" count="0" hidden="1"/>
    <cacheHierarchy uniqueName="[Measures].[__No measures defined]" caption="__No measures defined" measure="1" displayFolder="" count="0" hidden="1"/>
    <cacheHierarchy uniqueName="[Measures].[Suma de entrada]" caption="Suma de entrada" measure="1" displayFolder="" measureGroup="transacciones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Recuento de tipo_cuenta]" caption="Recuento de tipo_cuenta" measure="1" displayFolder="" measureGroup="transaccione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a de egreso]" caption="Suma de egreso" measure="1" displayFolder="" measureGroup="transacciones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a de id_item]" caption="Suma de id_item" measure="1" displayFolder="" measureGroup="item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a de id_transaccion]" caption="Suma de id_transaccion" measure="1" displayFolder="" measureGroup="transaccione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Recuento de id_transaccion]" caption="Recuento de id_transaccion" measure="1" displayFolder="" measureGroup="transaccione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a de id_transaccion 2]" caption="Suma de id_transaccion 2" measure="1" displayFolder="" measureGroup="item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Recuento de id_transaccion 2]" caption="Recuento de id_transaccion 2" measure="1" displayFolder="" measureGroup="item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Recuento de entrada]" caption="Recuento de entrada" measure="1" displayFolder="" measureGroup="transacciones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Recuento de id_item]" caption="Recuento de id_item" measure="1" displayFolder="" measureGroup="items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a de valor_total]" caption="Suma de valor_total" measure="1" displayFolder="" measureGroup="item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</cacheHierarchies>
  <kpis count="0"/>
  <dimensions count="5">
    <dimension name="items" uniqueName="[items]" caption="items"/>
    <dimension measure="1" name="Measures" uniqueName="[Measures]" caption="Measures"/>
    <dimension name="productos" uniqueName="[productos]" caption="productos"/>
    <dimension name="transacciones" uniqueName="[transacciones]" caption="transacciones"/>
    <dimension name="usuarios" uniqueName="[usuarios]" caption="usuarios"/>
  </dimensions>
  <measureGroups count="4">
    <measureGroup name="items" caption="items"/>
    <measureGroup name="productos" caption="productos"/>
    <measureGroup name="transacciones" caption="transacciones"/>
    <measureGroup name="usuarios" caption="usuarios"/>
  </measureGroups>
  <maps count="8">
    <map measureGroup="0" dimension="0"/>
    <map measureGroup="0" dimension="2"/>
    <map measureGroup="0" dimension="3"/>
    <map measureGroup="0" dimension="4"/>
    <map measureGroup="1" dimension="2"/>
    <map measureGroup="2" dimension="3"/>
    <map measureGroup="2" dimension="4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2E8051-8380-40B3-8257-397DDF2A346C}" name="TablaDinámica3" cacheId="25" applyNumberFormats="0" applyBorderFormats="0" applyFontFormats="0" applyPatternFormats="0" applyAlignmentFormats="0" applyWidthHeightFormats="1" dataCaption="Valores" tag="338be18e-c5dc-48f6-b7f5-d06929573759" updatedVersion="8" minRefreshableVersion="3" useAutoFormatting="1" subtotalHiddenItems="1" rowGrandTotals="0" colGrandTotals="0" itemPrintTitles="1" createdVersion="8" indent="0" compact="0" compactData="0" multipleFieldFilters="0">
  <location ref="A4:G124" firstHeaderRow="1" firstDataRow="1" firstDataCol="6" rowPageCount="1" colPageCount="1"/>
  <pivotFields count="8">
    <pivotField name="nombre_transaccion" axis="axisPage" compact="0" allDrilled="1" outline="0" subtotalTop="0" showAll="0" dataSourceSort="1" defaultSubtotal="0" defaultAttributeDrillState="1">
      <items count="1">
        <item s="1"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3">
        <item s="1" x="0"/>
        <item s="1" x="1"/>
        <item s="1"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9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6">
        <item x="0"/>
        <item x="1"/>
        <item x="2"/>
        <item x="3"/>
        <item x="4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9">
        <item x="0"/>
        <item x="1"/>
        <item x="2"/>
        <item x="3"/>
        <item x="4"/>
        <item x="5"/>
        <item x="6"/>
        <item x="7"/>
        <item x="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9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6">
    <field x="3"/>
    <field x="7"/>
    <field x="4"/>
    <field x="6"/>
    <field x="1"/>
    <field x="5"/>
  </rowFields>
  <rowItems count="120">
    <i>
      <x/>
      <x/>
      <x/>
      <x/>
      <x/>
      <x/>
    </i>
    <i>
      <x v="1"/>
      <x v="1"/>
      <x/>
      <x/>
      <x v="1"/>
      <x v="1"/>
    </i>
    <i>
      <x v="2"/>
      <x v="2"/>
      <x/>
      <x/>
      <x/>
      <x/>
    </i>
    <i r="2">
      <x v="1"/>
      <x v="1"/>
      <x/>
      <x/>
    </i>
    <i>
      <x v="3"/>
      <x v="3"/>
      <x/>
      <x/>
      <x v="1"/>
      <x v="2"/>
    </i>
    <i>
      <x v="4"/>
      <x v="4"/>
      <x v="2"/>
      <x v="1"/>
      <x/>
      <x/>
    </i>
    <i r="2">
      <x/>
      <x/>
      <x/>
      <x/>
    </i>
    <i>
      <x v="5"/>
      <x v="5"/>
      <x/>
      <x/>
      <x/>
      <x/>
    </i>
    <i r="2">
      <x v="3"/>
      <x v="1"/>
      <x/>
      <x v="1"/>
    </i>
    <i>
      <x v="6"/>
      <x v="6"/>
      <x/>
      <x/>
      <x/>
      <x v="1"/>
    </i>
    <i>
      <x v="7"/>
      <x v="7"/>
      <x/>
      <x/>
      <x/>
      <x/>
    </i>
    <i r="2">
      <x v="1"/>
      <x v="1"/>
      <x/>
      <x/>
    </i>
    <i>
      <x v="8"/>
      <x v="8"/>
      <x/>
      <x/>
      <x/>
      <x v="2"/>
    </i>
    <i>
      <x v="9"/>
      <x v="9"/>
      <x/>
      <x/>
      <x/>
      <x v="1"/>
    </i>
    <i>
      <x v="10"/>
      <x v="10"/>
      <x/>
      <x/>
      <x/>
      <x v="1"/>
    </i>
    <i>
      <x v="11"/>
      <x v="11"/>
      <x/>
      <x/>
      <x/>
      <x v="1"/>
    </i>
    <i r="2">
      <x v="3"/>
      <x v="1"/>
      <x/>
      <x v="1"/>
    </i>
    <i>
      <x v="12"/>
      <x v="12"/>
      <x/>
      <x/>
      <x/>
      <x v="2"/>
    </i>
    <i>
      <x v="13"/>
      <x v="13"/>
      <x/>
      <x/>
      <x/>
      <x v="1"/>
    </i>
    <i>
      <x v="14"/>
      <x v="14"/>
      <x/>
      <x/>
      <x/>
      <x v="3"/>
    </i>
    <i>
      <x v="15"/>
      <x v="15"/>
      <x/>
      <x/>
      <x/>
      <x v="2"/>
    </i>
    <i>
      <x v="16"/>
      <x v="16"/>
      <x/>
      <x/>
      <x/>
      <x v="1"/>
    </i>
    <i>
      <x v="17"/>
      <x v="17"/>
      <x/>
      <x/>
      <x/>
      <x v="1"/>
    </i>
    <i>
      <x v="18"/>
      <x v="18"/>
      <x/>
      <x/>
      <x/>
      <x/>
    </i>
    <i>
      <x v="19"/>
      <x v="19"/>
      <x/>
      <x/>
      <x/>
      <x v="1"/>
    </i>
    <i>
      <x v="20"/>
      <x v="20"/>
      <x v="4"/>
      <x v="2"/>
      <x/>
      <x/>
    </i>
    <i r="2">
      <x/>
      <x/>
      <x/>
      <x v="1"/>
    </i>
    <i>
      <x v="21"/>
      <x v="21"/>
      <x/>
      <x/>
      <x/>
      <x v="1"/>
    </i>
    <i>
      <x v="22"/>
      <x v="22"/>
      <x/>
      <x/>
      <x v="1"/>
      <x v="1"/>
    </i>
    <i>
      <x v="23"/>
      <x v="23"/>
      <x/>
      <x/>
      <x/>
      <x v="1"/>
    </i>
    <i>
      <x v="24"/>
      <x v="24"/>
      <x v="2"/>
      <x v="1"/>
      <x/>
      <x v="1"/>
    </i>
    <i r="2">
      <x/>
      <x/>
      <x/>
      <x v="2"/>
    </i>
    <i r="2">
      <x v="3"/>
      <x v="1"/>
      <x/>
      <x v="1"/>
    </i>
    <i>
      <x v="25"/>
      <x v="25"/>
      <x/>
      <x/>
      <x/>
      <x v="4"/>
    </i>
    <i r="2">
      <x v="1"/>
      <x v="1"/>
      <x/>
      <x/>
    </i>
    <i>
      <x v="26"/>
      <x v="26"/>
      <x/>
      <x/>
      <x/>
      <x v="1"/>
    </i>
    <i>
      <x v="27"/>
      <x v="27"/>
      <x/>
      <x/>
      <x/>
      <x v="1"/>
    </i>
    <i>
      <x v="28"/>
      <x v="28"/>
      <x/>
      <x/>
      <x/>
      <x v="1"/>
    </i>
    <i>
      <x v="29"/>
      <x v="29"/>
      <x/>
      <x/>
      <x/>
      <x v="1"/>
    </i>
    <i>
      <x v="30"/>
      <x v="30"/>
      <x v="5"/>
      <x v="3"/>
      <x/>
      <x v="1"/>
    </i>
    <i>
      <x v="31"/>
      <x v="31"/>
      <x v="5"/>
      <x v="3"/>
      <x/>
      <x v="1"/>
    </i>
    <i>
      <x v="32"/>
      <x v="32"/>
      <x/>
      <x/>
      <x/>
      <x/>
    </i>
    <i>
      <x v="33"/>
      <x v="33"/>
      <x/>
      <x/>
      <x/>
      <x v="1"/>
    </i>
    <i>
      <x v="34"/>
      <x v="34"/>
      <x/>
      <x/>
      <x v="1"/>
      <x v="1"/>
    </i>
    <i>
      <x v="35"/>
      <x v="35"/>
      <x/>
      <x/>
      <x/>
      <x v="1"/>
    </i>
    <i>
      <x v="36"/>
      <x v="36"/>
      <x/>
      <x/>
      <x/>
      <x v="1"/>
    </i>
    <i>
      <x v="37"/>
      <x v="37"/>
      <x/>
      <x/>
      <x/>
      <x v="1"/>
    </i>
    <i>
      <x v="38"/>
      <x v="38"/>
      <x/>
      <x/>
      <x/>
      <x v="3"/>
    </i>
    <i>
      <x v="39"/>
      <x v="39"/>
      <x v="1"/>
      <x v="1"/>
      <x/>
      <x/>
    </i>
    <i r="2">
      <x v="3"/>
      <x v="1"/>
      <x/>
      <x v="1"/>
    </i>
    <i>
      <x v="40"/>
      <x v="40"/>
      <x/>
      <x/>
      <x/>
      <x v="2"/>
    </i>
    <i>
      <x v="41"/>
      <x v="41"/>
      <x/>
      <x/>
      <x v="1"/>
      <x v="1"/>
    </i>
    <i>
      <x v="42"/>
      <x v="42"/>
      <x/>
      <x/>
      <x/>
      <x v="1"/>
    </i>
    <i r="2">
      <x v="1"/>
      <x v="1"/>
      <x/>
      <x v="1"/>
    </i>
    <i>
      <x v="43"/>
      <x v="43"/>
      <x v="4"/>
      <x v="2"/>
      <x v="1"/>
      <x v="3"/>
    </i>
    <i>
      <x v="44"/>
      <x v="44"/>
      <x v="5"/>
      <x v="3"/>
      <x/>
      <x v="1"/>
    </i>
    <i r="2">
      <x v="3"/>
      <x v="1"/>
      <x/>
      <x v="1"/>
    </i>
    <i>
      <x v="45"/>
      <x v="45"/>
      <x/>
      <x/>
      <x/>
      <x/>
    </i>
    <i>
      <x v="46"/>
      <x v="46"/>
      <x/>
      <x/>
      <x/>
      <x/>
    </i>
    <i>
      <x v="47"/>
      <x v="47"/>
      <x/>
      <x/>
      <x/>
      <x v="4"/>
    </i>
    <i>
      <x v="48"/>
      <x v="48"/>
      <x/>
      <x/>
      <x v="1"/>
      <x v="1"/>
    </i>
    <i>
      <x v="49"/>
      <x v="49"/>
      <x/>
      <x/>
      <x/>
      <x/>
    </i>
    <i>
      <x v="50"/>
      <x v="50"/>
      <x v="4"/>
      <x v="2"/>
      <x/>
      <x/>
    </i>
    <i>
      <x v="51"/>
      <x v="51"/>
      <x/>
      <x/>
      <x/>
      <x/>
    </i>
    <i>
      <x v="52"/>
      <x v="52"/>
      <x v="6"/>
      <x v="4"/>
      <x v="1"/>
      <x v="1"/>
    </i>
    <i>
      <x v="53"/>
      <x v="53"/>
      <x/>
      <x/>
      <x v="1"/>
      <x v="3"/>
    </i>
    <i r="2">
      <x v="3"/>
      <x v="1"/>
      <x v="1"/>
      <x v="2"/>
    </i>
    <i>
      <x v="54"/>
      <x v="54"/>
      <x/>
      <x/>
      <x/>
      <x v="1"/>
    </i>
    <i>
      <x v="55"/>
      <x v="55"/>
      <x/>
      <x/>
      <x v="1"/>
      <x v="1"/>
    </i>
    <i>
      <x v="56"/>
      <x v="56"/>
      <x/>
      <x/>
      <x/>
      <x v="1"/>
    </i>
    <i>
      <x v="57"/>
      <x v="57"/>
      <x/>
      <x/>
      <x v="1"/>
      <x v="1"/>
    </i>
    <i>
      <x v="58"/>
      <x v="58"/>
      <x/>
      <x/>
      <x/>
      <x/>
    </i>
    <i>
      <x v="59"/>
      <x v="59"/>
      <x/>
      <x/>
      <x v="1"/>
      <x/>
    </i>
    <i r="2">
      <x v="1"/>
      <x v="1"/>
      <x v="1"/>
      <x v="1"/>
    </i>
    <i>
      <x v="60"/>
      <x v="60"/>
      <x/>
      <x/>
      <x/>
      <x v="1"/>
    </i>
    <i>
      <x v="61"/>
      <x v="61"/>
      <x/>
      <x/>
      <x/>
      <x v="1"/>
    </i>
    <i>
      <x v="62"/>
      <x v="62"/>
      <x/>
      <x/>
      <x/>
      <x v="1"/>
    </i>
    <i r="2">
      <x v="3"/>
      <x v="1"/>
      <x/>
      <x v="1"/>
    </i>
    <i>
      <x v="63"/>
      <x v="63"/>
      <x/>
      <x/>
      <x v="1"/>
      <x v="1"/>
    </i>
    <i>
      <x v="64"/>
      <x v="64"/>
      <x/>
      <x/>
      <x v="1"/>
      <x v="1"/>
    </i>
    <i>
      <x v="65"/>
      <x v="65"/>
      <x/>
      <x/>
      <x v="1"/>
      <x v="1"/>
    </i>
    <i r="2">
      <x v="3"/>
      <x v="1"/>
      <x v="1"/>
      <x v="1"/>
    </i>
    <i>
      <x v="66"/>
      <x v="66"/>
      <x/>
      <x/>
      <x/>
      <x v="1"/>
    </i>
    <i>
      <x v="67"/>
      <x v="67"/>
      <x/>
      <x/>
      <x/>
      <x v="1"/>
    </i>
    <i r="2">
      <x v="5"/>
      <x v="3"/>
      <x/>
      <x v="1"/>
    </i>
    <i r="2">
      <x v="7"/>
      <x v="5"/>
      <x/>
      <x v="1"/>
    </i>
    <i>
      <x v="68"/>
      <x v="68"/>
      <x/>
      <x/>
      <x/>
      <x v="2"/>
    </i>
    <i r="2">
      <x v="1"/>
      <x v="1"/>
      <x/>
      <x/>
    </i>
    <i r="2">
      <x v="5"/>
      <x v="3"/>
      <x/>
      <x v="1"/>
    </i>
    <i>
      <x v="69"/>
      <x v="69"/>
      <x/>
      <x/>
      <x/>
      <x/>
    </i>
    <i r="2">
      <x v="1"/>
      <x v="1"/>
      <x/>
      <x v="1"/>
    </i>
    <i>
      <x v="70"/>
      <x v="70"/>
      <x/>
      <x/>
      <x v="1"/>
      <x v="2"/>
    </i>
    <i>
      <x v="71"/>
      <x v="71"/>
      <x v="2"/>
      <x v="1"/>
      <x v="2"/>
      <x v="1"/>
    </i>
    <i r="2">
      <x/>
      <x/>
      <x v="2"/>
      <x v="1"/>
    </i>
    <i>
      <x v="72"/>
      <x v="72"/>
      <x/>
      <x/>
      <x v="1"/>
      <x/>
    </i>
    <i>
      <x v="73"/>
      <x v="73"/>
      <x/>
      <x/>
      <x/>
      <x v="4"/>
    </i>
    <i r="2">
      <x v="1"/>
      <x v="1"/>
      <x/>
      <x v="2"/>
    </i>
    <i>
      <x v="74"/>
      <x v="74"/>
      <x/>
      <x/>
      <x/>
      <x v="1"/>
    </i>
    <i>
      <x v="75"/>
      <x v="75"/>
      <x v="4"/>
      <x v="2"/>
      <x/>
      <x v="5"/>
    </i>
    <i>
      <x v="76"/>
      <x v="76"/>
      <x/>
      <x/>
      <x v="1"/>
      <x/>
    </i>
    <i>
      <x v="77"/>
      <x v="77"/>
      <x v="2"/>
      <x v="1"/>
      <x v="1"/>
      <x v="1"/>
    </i>
    <i r="2">
      <x/>
      <x/>
      <x v="1"/>
      <x v="1"/>
    </i>
    <i r="2">
      <x v="7"/>
      <x v="5"/>
      <x v="1"/>
      <x v="1"/>
    </i>
    <i>
      <x v="78"/>
      <x v="78"/>
      <x/>
      <x/>
      <x/>
      <x/>
    </i>
    <i r="2">
      <x v="1"/>
      <x v="1"/>
      <x/>
      <x v="1"/>
    </i>
    <i>
      <x v="79"/>
      <x v="79"/>
      <x/>
      <x/>
      <x/>
      <x/>
    </i>
    <i r="2">
      <x v="1"/>
      <x v="1"/>
      <x/>
      <x v="1"/>
    </i>
    <i>
      <x v="80"/>
      <x v="80"/>
      <x/>
      <x/>
      <x/>
      <x v="1"/>
    </i>
    <i r="2">
      <x v="1"/>
      <x v="1"/>
      <x/>
      <x v="1"/>
    </i>
    <i>
      <x v="81"/>
      <x v="81"/>
      <x/>
      <x/>
      <x/>
      <x v="4"/>
    </i>
    <i r="2">
      <x v="1"/>
      <x v="1"/>
      <x/>
      <x/>
    </i>
    <i>
      <x v="82"/>
      <x v="82"/>
      <x/>
      <x/>
      <x/>
      <x/>
    </i>
    <i>
      <x v="83"/>
      <x v="83"/>
      <x/>
      <x/>
      <x/>
      <x v="2"/>
    </i>
    <i r="2">
      <x v="8"/>
      <x v="2"/>
      <x/>
      <x v="1"/>
    </i>
    <i>
      <x v="84"/>
      <x v="84"/>
      <x v="5"/>
      <x v="3"/>
      <x/>
      <x v="1"/>
    </i>
    <i>
      <x v="85"/>
      <x v="85"/>
      <x v="5"/>
      <x v="3"/>
      <x/>
      <x v="1"/>
    </i>
    <i>
      <x v="86"/>
      <x v="86"/>
      <x v="9"/>
      <x v="6"/>
      <x/>
      <x v="1"/>
    </i>
    <i>
      <x v="87"/>
      <x v="87"/>
      <x v="10"/>
      <x v="7"/>
      <x/>
      <x/>
    </i>
    <i>
      <x v="88"/>
      <x v="88"/>
      <x v="11"/>
      <x v="8"/>
      <x/>
      <x v="1"/>
    </i>
    <i>
      <x v="89"/>
      <x v="89"/>
      <x v="4"/>
      <x v="2"/>
      <x v="1"/>
      <x v="4"/>
    </i>
  </rowItems>
  <colItems count="1">
    <i/>
  </colItems>
  <pageFields count="1">
    <pageField fld="0" hier="12" name="[transacciones].[nombre_transaccion].&amp;[VENTA]" cap="VENTA"/>
  </pageFields>
  <dataFields count="1">
    <dataField name="Recuento de id_item" fld="2" subtotal="count" baseField="0" baseItem="0"/>
  </dataFields>
  <formats count="1">
    <format dxfId="0">
      <pivotArea outline="0" collapsedLevelsAreSubtotals="1" fieldPosition="0"/>
    </format>
  </formats>
  <pivotHierarchies count="4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 caption="edwin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 caption="Recuento de id_transaccion"/>
    <pivotHierarchy dragToData="1"/>
    <pivotHierarchy dragToData="1" caption="N. productos"/>
    <pivotHierarchy dragToData="1"/>
    <pivotHierarchy dragToData="1" caption="Recuento de id_item"/>
    <pivotHierarchy dragToData="1"/>
  </pivotHierarchies>
  <pivotTableStyleInfo name="PivotStyleLight16" showRowHeaders="1" showColHeaders="1" showRowStripes="0" showColStripes="0" showLastColumn="1"/>
  <rowHierarchiesUsage count="6">
    <rowHierarchyUsage hierarchyUsage="16"/>
    <rowHierarchyUsage hierarchyUsage="14"/>
    <rowHierarchyUsage hierarchyUsage="8"/>
    <rowHierarchyUsage hierarchyUsage="5"/>
    <rowHierarchyUsage hierarchyUsage="13"/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fillDownLabelsDefault="1" calculatedMembersInFilters="1" hideValuesRow="1"/>
    </ext>
    <ext xmlns:x15="http://schemas.microsoft.com/office/spreadsheetml/2010/11/main" uri="{E67621CE-5B39-4880-91FE-76760E9C1902}">
      <x15:pivotTableUISettings>
        <x15:activeTabTopLevelEntity name="[transacciones]"/>
        <x15:activeTabTopLevelEntity name="[items]"/>
        <x15:activeTabTopLevelEntity name="[producto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FFB010-BB69-4288-A5C2-64A4CACEBCBC}" name="TablaDinámica2" cacheId="5" applyNumberFormats="0" applyBorderFormats="0" applyFontFormats="0" applyPatternFormats="0" applyAlignmentFormats="0" applyWidthHeightFormats="1" dataCaption="Valores" tag="24a3d8ae-fd27-4bfc-95e5-9de02ba0fc04" updatedVersion="8" minRefreshableVersion="3" useAutoFormatting="1" subtotalHiddenItems="1" itemPrintTitles="1" createdVersion="8" indent="0" outline="1" outlineData="1" multipleFieldFilters="0">
  <location ref="H2:N11" firstHeaderRow="1" firstDataRow="3" firstDataCol="1"/>
  <pivotFields count="6">
    <pivotField axis="axisRow" allDrilled="1" subtotalTop="0" showAll="0" dataSourceSort="1" defaultSubtotal="0" defaultAttributeDrillState="1">
      <items count="2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</items>
    </pivotField>
    <pivotField axis="axisRow" allDrilled="1" subtotalTop="0" showAll="0" dataSourceSort="1" defaultSubtotal="0">
      <items count="6">
        <item x="0" e="0"/>
        <item x="1" e="0"/>
        <item x="2" e="0"/>
        <item x="3" e="0"/>
        <item x="4" e="0"/>
        <item x="5" e="0"/>
      </items>
    </pivotField>
    <pivotField name="edwin" axis="axisCol" allDrilled="1" subtotalTop="0" showAll="0" dataSourceSort="1" defaultSubtotal="0" defaultAttributeDrillState="1">
      <items count="4">
        <item x="0"/>
        <item x="1"/>
        <item x="2"/>
        <item x="3"/>
      </items>
    </pivotField>
    <pivotField axis="axisCol" allDrilled="1" subtotalTop="0" showAll="0" dataSourceSort="1" defaultSubtotal="0" defaultAttributeDrillState="1">
      <items count="2">
        <item s="1" x="0"/>
        <item s="1" x="1"/>
      </items>
    </pivotField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</pivotFields>
  <rowFields count="3">
    <field x="1"/>
    <field x="4"/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2">
    <field x="3"/>
    <field x="2"/>
  </colFields>
  <colItems count="6">
    <i>
      <x/>
      <x/>
    </i>
    <i r="1">
      <x v="1"/>
    </i>
    <i r="1">
      <x v="2"/>
    </i>
    <i r="1">
      <x v="3"/>
    </i>
    <i>
      <x v="1"/>
      <x v="3"/>
    </i>
    <i t="grand">
      <x/>
    </i>
  </colItems>
  <dataFields count="1">
    <dataField name="Suma de egreso" fld="5" baseField="0" baseItem="0"/>
  </dataFields>
  <formats count="1">
    <format dxfId="3">
      <pivotArea outline="0" collapsedLevelsAreSubtotals="1" fieldPosition="0"/>
    </format>
  </formats>
  <pivotHierarchies count="4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 caption="edwin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3">
    <rowHierarchyUsage hierarchyUsage="20"/>
    <rowHierarchyUsage hierarchyUsage="15"/>
    <rowHierarchyUsage hierarchyUsage="16"/>
  </rowHierarchiesUsage>
  <colHierarchiesUsage count="2">
    <colHierarchyUsage hierarchyUsage="13"/>
    <colHierarchyUsage hierarchyUsage="1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ransaccion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BDC6F8-0FAD-4D45-A62C-C6C33CCDDAD0}" name="TablaDinámica1" cacheId="4" applyNumberFormats="0" applyBorderFormats="0" applyFontFormats="0" applyPatternFormats="0" applyAlignmentFormats="0" applyWidthHeightFormats="1" dataCaption="Valores" tag="17195d19-f644-4940-a03d-baa4d59330eb" updatedVersion="8" minRefreshableVersion="3" useAutoFormatting="1" subtotalHiddenItems="1" itemPrintTitles="1" createdVersion="8" indent="0" outline="1" outlineData="1" multipleFieldFilters="0" colHeaderCaption="   ">
  <location ref="A2:F11" firstHeaderRow="1" firstDataRow="3" firstDataCol="1"/>
  <pivotFields count="6">
    <pivotField axis="axisRow" allDrilled="1" subtotalTop="0" showAll="0" dataSourceSort="1" defaultSubtotal="0" defaultAttributeDrillState="1">
      <items count="2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</items>
    </pivotField>
    <pivotField axis="axisRow" allDrilled="1" subtotalTop="0" showAll="0" dataSourceSort="1" defaultSubtotal="0">
      <items count="6">
        <item x="0" e="0"/>
        <item x="1" e="0"/>
        <item x="2" e="0"/>
        <item x="3" e="0"/>
        <item x="4" e="0"/>
        <item x="5" e="0"/>
      </items>
    </pivotField>
    <pivotField dataField="1" subtotalTop="0" showAll="0" defaultSubtotal="0"/>
    <pivotField name="edwin" axis="axisCol" allDrilled="1" subtotalTop="0" showAll="0" dataSourceSort="1" defaultSubtotal="0" defaultAttributeDrillState="1">
      <items count="2">
        <item s="1" x="0"/>
        <item s="1" x="1"/>
      </items>
    </pivotField>
    <pivotField axis="axisCol" allDrilled="1" subtotalTop="0" showAll="0" defaultSubtotal="0" defaultAttributeDrillState="1">
      <items count="3">
        <item s="1" x="0"/>
        <item s="1" x="1"/>
        <item s="1" x="2"/>
      </items>
    </pivotField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</pivotFields>
  <rowFields count="3">
    <field x="1"/>
    <field x="5"/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2">
    <field x="3"/>
    <field x="4"/>
  </colFields>
  <colItems count="5">
    <i>
      <x/>
      <x/>
    </i>
    <i>
      <x v="1"/>
      <x/>
    </i>
    <i r="1">
      <x v="1"/>
    </i>
    <i r="1">
      <x v="2"/>
    </i>
    <i t="grand">
      <x/>
    </i>
  </colItems>
  <dataFields count="1">
    <dataField name="Suma de entrada" fld="2" baseField="0" baseItem="0" numFmtId="164"/>
  </dataFields>
  <formats count="1">
    <format dxfId="4">
      <pivotArea outline="0" collapsedLevelsAreSubtotals="1" fieldPosition="0"/>
    </format>
  </formats>
  <pivotHierarchies count="4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4" level="1">
        <member name=""/>
        <member name=""/>
        <member name="[transacciones].[nombre_transaccion].&amp;[SALIDA_INV]"/>
        <member name="[transacciones].[nombre_transaccion].&amp;[ENTRADA_INV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3">
    <rowHierarchyUsage hierarchyUsage="20"/>
    <rowHierarchyUsage hierarchyUsage="15"/>
    <rowHierarchyUsage hierarchyUsage="16"/>
  </rowHierarchiesUsage>
  <colHierarchiesUsage count="2">
    <colHierarchyUsage hierarchyUsage="12"/>
    <colHierarchyUsage hierarchyUsage="13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ransaccion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F458BF-143F-4CBE-BC3F-7801E571B61A}" name="TablaDinámica3" cacheId="3" applyNumberFormats="0" applyBorderFormats="0" applyFontFormats="0" applyPatternFormats="0" applyAlignmentFormats="0" applyWidthHeightFormats="1" dataCaption="Valores" tag="338be18e-c5dc-48f6-b7f5-d06929573759" updatedVersion="8" minRefreshableVersion="3" useAutoFormatting="1" subtotalHiddenItems="1" colGrandTotals="0" itemPrintTitles="1" createdVersion="8" indent="0" compact="0" compactData="0" multipleFieldFilters="0">
  <location ref="A4:H125" firstHeaderRow="1" firstDataRow="1" firstDataCol="7" rowPageCount="1" colPageCount="1"/>
  <pivotFields count="9">
    <pivotField name="nombre_transaccion" axis="axisPage" compact="0" allDrilled="1" outline="0" subtotalTop="0" showAll="0" dataSourceSort="1" defaultSubtotal="0" defaultAttributeDrillState="1">
      <items count="1">
        <item s="1" x="0"/>
      </items>
    </pivotField>
    <pivotField axis="axisRow" compact="0" allDrilled="1" outline="0" subtotalTop="0" showAll="0" dataSourceSort="1" defaultSubtotal="0" defaultAttributeDrillState="1">
      <items count="3">
        <item s="1" x="0"/>
        <item s="1" x="1"/>
        <item s="1" x="2"/>
      </items>
    </pivotField>
    <pivotField dataField="1" compact="0" outline="0" subtotalTop="0" showAll="0" defaultSubtotal="0"/>
    <pivotField axis="axisRow" compact="0" allDrilled="1" outline="0" subtotalTop="0" showAll="0" dataSourceSort="1" defaultSubtotal="0" defaultAttributeDrillState="1">
      <items count="9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</items>
    </pivotField>
    <pivotField axis="axisRow" compact="0" allDrilled="1" outline="0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axis="axisRow" compact="0" allDrilled="1" outline="0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  <pivotField axis="axisRow" compact="0" allDrilled="1" outline="0" subtotalTop="0" showAll="0" dataSourceSort="1" defaultSubtotal="0" defaultAttributeDrillState="1">
      <items count="9">
        <item x="0"/>
        <item x="1"/>
        <item x="2"/>
        <item x="3"/>
        <item x="4"/>
        <item x="5"/>
        <item x="6"/>
        <item x="7"/>
        <item x="8"/>
      </items>
    </pivotField>
    <pivotField axis="axisRow" compact="0" allDrilled="1" outline="0" subtotalTop="0" showAll="0" dataSourceSort="1" defaultSubtotal="0" defaultAttributeDrillState="1">
      <items count="6">
        <item x="0"/>
        <item x="1"/>
        <item x="2"/>
        <item x="3"/>
        <item x="4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9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</items>
    </pivotField>
  </pivotFields>
  <rowFields count="7">
    <field x="7"/>
    <field x="3"/>
    <field x="8"/>
    <field x="4"/>
    <field x="6"/>
    <field x="1"/>
    <field x="5"/>
  </rowFields>
  <rowItems count="121">
    <i>
      <x/>
      <x/>
      <x/>
      <x/>
      <x/>
      <x/>
      <x/>
    </i>
    <i r="1">
      <x v="1"/>
      <x v="1"/>
      <x/>
      <x/>
      <x v="1"/>
      <x v="1"/>
    </i>
    <i r="1">
      <x v="2"/>
      <x v="2"/>
      <x/>
      <x/>
      <x/>
      <x/>
    </i>
    <i r="3">
      <x v="1"/>
      <x v="1"/>
      <x/>
      <x/>
    </i>
    <i r="1">
      <x v="3"/>
      <x v="3"/>
      <x/>
      <x/>
      <x v="1"/>
      <x v="2"/>
    </i>
    <i r="1">
      <x v="4"/>
      <x v="4"/>
      <x v="2"/>
      <x v="1"/>
      <x/>
      <x/>
    </i>
    <i r="3">
      <x/>
      <x/>
      <x/>
      <x/>
    </i>
    <i r="1">
      <x v="5"/>
      <x v="5"/>
      <x/>
      <x/>
      <x/>
      <x/>
    </i>
    <i r="3">
      <x v="3"/>
      <x v="1"/>
      <x/>
      <x v="1"/>
    </i>
    <i r="1">
      <x v="6"/>
      <x v="6"/>
      <x/>
      <x/>
      <x/>
      <x v="1"/>
    </i>
    <i r="1">
      <x v="7"/>
      <x v="7"/>
      <x/>
      <x/>
      <x/>
      <x/>
    </i>
    <i r="3">
      <x v="1"/>
      <x v="1"/>
      <x/>
      <x/>
    </i>
    <i r="1">
      <x v="8"/>
      <x v="8"/>
      <x/>
      <x/>
      <x/>
      <x v="2"/>
    </i>
    <i r="1">
      <x v="9"/>
      <x v="9"/>
      <x/>
      <x/>
      <x/>
      <x v="1"/>
    </i>
    <i r="1">
      <x v="10"/>
      <x v="10"/>
      <x/>
      <x/>
      <x/>
      <x v="1"/>
    </i>
    <i r="1">
      <x v="11"/>
      <x v="11"/>
      <x/>
      <x/>
      <x/>
      <x v="1"/>
    </i>
    <i r="3">
      <x v="3"/>
      <x v="1"/>
      <x/>
      <x v="1"/>
    </i>
    <i r="1">
      <x v="12"/>
      <x v="12"/>
      <x/>
      <x/>
      <x/>
      <x v="2"/>
    </i>
    <i r="1">
      <x v="13"/>
      <x v="13"/>
      <x/>
      <x/>
      <x/>
      <x v="1"/>
    </i>
    <i>
      <x v="1"/>
      <x v="14"/>
      <x v="14"/>
      <x/>
      <x/>
      <x/>
      <x v="3"/>
    </i>
    <i r="1">
      <x v="15"/>
      <x v="15"/>
      <x/>
      <x/>
      <x/>
      <x v="2"/>
    </i>
    <i r="1">
      <x v="16"/>
      <x v="16"/>
      <x/>
      <x/>
      <x/>
      <x v="1"/>
    </i>
    <i r="1">
      <x v="17"/>
      <x v="17"/>
      <x/>
      <x/>
      <x/>
      <x v="1"/>
    </i>
    <i r="1">
      <x v="18"/>
      <x v="18"/>
      <x/>
      <x/>
      <x/>
      <x/>
    </i>
    <i r="1">
      <x v="19"/>
      <x v="19"/>
      <x/>
      <x/>
      <x/>
      <x v="1"/>
    </i>
    <i r="1">
      <x v="20"/>
      <x v="20"/>
      <x v="4"/>
      <x v="2"/>
      <x/>
      <x/>
    </i>
    <i r="3">
      <x/>
      <x/>
      <x/>
      <x v="1"/>
    </i>
    <i r="1">
      <x v="21"/>
      <x v="21"/>
      <x/>
      <x/>
      <x/>
      <x v="1"/>
    </i>
    <i r="1">
      <x v="22"/>
      <x v="22"/>
      <x/>
      <x/>
      <x v="1"/>
      <x v="1"/>
    </i>
    <i r="1">
      <x v="23"/>
      <x v="23"/>
      <x/>
      <x/>
      <x/>
      <x v="1"/>
    </i>
    <i r="1">
      <x v="24"/>
      <x v="24"/>
      <x v="2"/>
      <x v="1"/>
      <x/>
      <x v="1"/>
    </i>
    <i r="3">
      <x/>
      <x/>
      <x/>
      <x v="2"/>
    </i>
    <i r="3">
      <x v="3"/>
      <x v="1"/>
      <x/>
      <x v="1"/>
    </i>
    <i r="1">
      <x v="25"/>
      <x v="25"/>
      <x/>
      <x/>
      <x/>
      <x v="4"/>
    </i>
    <i r="3">
      <x v="1"/>
      <x v="1"/>
      <x/>
      <x/>
    </i>
    <i r="1">
      <x v="26"/>
      <x v="26"/>
      <x/>
      <x/>
      <x/>
      <x v="1"/>
    </i>
    <i>
      <x v="2"/>
      <x v="27"/>
      <x v="27"/>
      <x/>
      <x/>
      <x/>
      <x v="1"/>
    </i>
    <i r="1">
      <x v="28"/>
      <x v="28"/>
      <x/>
      <x/>
      <x/>
      <x v="1"/>
    </i>
    <i r="1">
      <x v="29"/>
      <x v="29"/>
      <x/>
      <x/>
      <x/>
      <x v="1"/>
    </i>
    <i r="1">
      <x v="30"/>
      <x v="30"/>
      <x v="5"/>
      <x v="3"/>
      <x/>
      <x v="1"/>
    </i>
    <i r="1">
      <x v="31"/>
      <x v="31"/>
      <x v="5"/>
      <x v="3"/>
      <x/>
      <x v="1"/>
    </i>
    <i r="1">
      <x v="32"/>
      <x v="32"/>
      <x/>
      <x/>
      <x/>
      <x/>
    </i>
    <i r="1">
      <x v="33"/>
      <x v="33"/>
      <x/>
      <x/>
      <x/>
      <x v="1"/>
    </i>
    <i r="1">
      <x v="34"/>
      <x v="34"/>
      <x/>
      <x/>
      <x v="1"/>
      <x v="1"/>
    </i>
    <i r="1">
      <x v="35"/>
      <x v="35"/>
      <x/>
      <x/>
      <x/>
      <x v="1"/>
    </i>
    <i r="1">
      <x v="36"/>
      <x v="36"/>
      <x/>
      <x/>
      <x/>
      <x v="1"/>
    </i>
    <i r="1">
      <x v="37"/>
      <x v="37"/>
      <x/>
      <x/>
      <x/>
      <x v="1"/>
    </i>
    <i r="1">
      <x v="38"/>
      <x v="38"/>
      <x/>
      <x/>
      <x/>
      <x v="3"/>
    </i>
    <i r="1">
      <x v="39"/>
      <x v="39"/>
      <x v="1"/>
      <x v="1"/>
      <x/>
      <x/>
    </i>
    <i r="3">
      <x v="3"/>
      <x v="1"/>
      <x/>
      <x v="1"/>
    </i>
    <i r="1">
      <x v="40"/>
      <x v="40"/>
      <x/>
      <x/>
      <x/>
      <x v="2"/>
    </i>
    <i r="1">
      <x v="41"/>
      <x v="41"/>
      <x/>
      <x/>
      <x v="1"/>
      <x v="1"/>
    </i>
    <i r="1">
      <x v="42"/>
      <x v="42"/>
      <x/>
      <x/>
      <x/>
      <x v="1"/>
    </i>
    <i r="3">
      <x v="1"/>
      <x v="1"/>
      <x/>
      <x v="1"/>
    </i>
    <i r="1">
      <x v="43"/>
      <x v="43"/>
      <x v="4"/>
      <x v="2"/>
      <x v="1"/>
      <x v="3"/>
    </i>
    <i r="1">
      <x v="44"/>
      <x v="44"/>
      <x v="5"/>
      <x v="3"/>
      <x/>
      <x v="1"/>
    </i>
    <i r="3">
      <x v="3"/>
      <x v="1"/>
      <x/>
      <x v="1"/>
    </i>
    <i r="1">
      <x v="45"/>
      <x v="45"/>
      <x/>
      <x/>
      <x/>
      <x/>
    </i>
    <i r="1">
      <x v="46"/>
      <x v="46"/>
      <x/>
      <x/>
      <x/>
      <x/>
    </i>
    <i r="1">
      <x v="47"/>
      <x v="47"/>
      <x/>
      <x/>
      <x/>
      <x v="4"/>
    </i>
    <i r="1">
      <x v="48"/>
      <x v="48"/>
      <x/>
      <x/>
      <x v="1"/>
      <x v="1"/>
    </i>
    <i r="1">
      <x v="49"/>
      <x v="49"/>
      <x/>
      <x/>
      <x/>
      <x/>
    </i>
    <i>
      <x v="3"/>
      <x v="50"/>
      <x v="50"/>
      <x v="4"/>
      <x v="2"/>
      <x/>
      <x/>
    </i>
    <i r="1">
      <x v="51"/>
      <x v="51"/>
      <x/>
      <x/>
      <x/>
      <x/>
    </i>
    <i r="1">
      <x v="52"/>
      <x v="52"/>
      <x v="6"/>
      <x v="4"/>
      <x v="1"/>
      <x v="1"/>
    </i>
    <i r="1">
      <x v="53"/>
      <x v="53"/>
      <x/>
      <x/>
      <x v="1"/>
      <x v="3"/>
    </i>
    <i r="3">
      <x v="3"/>
      <x v="1"/>
      <x v="1"/>
      <x v="2"/>
    </i>
    <i r="1">
      <x v="54"/>
      <x v="54"/>
      <x/>
      <x/>
      <x/>
      <x v="1"/>
    </i>
    <i r="1">
      <x v="55"/>
      <x v="55"/>
      <x/>
      <x/>
      <x v="1"/>
      <x v="1"/>
    </i>
    <i r="1">
      <x v="56"/>
      <x v="56"/>
      <x/>
      <x/>
      <x/>
      <x v="1"/>
    </i>
    <i r="1">
      <x v="57"/>
      <x v="57"/>
      <x/>
      <x/>
      <x v="1"/>
      <x v="1"/>
    </i>
    <i r="1">
      <x v="58"/>
      <x v="58"/>
      <x/>
      <x/>
      <x/>
      <x/>
    </i>
    <i r="1">
      <x v="59"/>
      <x v="59"/>
      <x/>
      <x/>
      <x v="1"/>
      <x/>
    </i>
    <i r="3">
      <x v="1"/>
      <x v="1"/>
      <x v="1"/>
      <x v="1"/>
    </i>
    <i r="1">
      <x v="60"/>
      <x v="60"/>
      <x/>
      <x/>
      <x/>
      <x v="1"/>
    </i>
    <i r="1">
      <x v="61"/>
      <x v="61"/>
      <x/>
      <x/>
      <x/>
      <x v="1"/>
    </i>
    <i r="1">
      <x v="62"/>
      <x v="62"/>
      <x/>
      <x/>
      <x/>
      <x v="1"/>
    </i>
    <i r="3">
      <x v="3"/>
      <x v="1"/>
      <x/>
      <x v="1"/>
    </i>
    <i r="1">
      <x v="63"/>
      <x v="63"/>
      <x/>
      <x/>
      <x v="1"/>
      <x v="1"/>
    </i>
    <i r="1">
      <x v="64"/>
      <x v="64"/>
      <x/>
      <x/>
      <x v="1"/>
      <x v="1"/>
    </i>
    <i>
      <x v="4"/>
      <x v="65"/>
      <x v="65"/>
      <x/>
      <x/>
      <x v="1"/>
      <x v="1"/>
    </i>
    <i r="3">
      <x v="3"/>
      <x v="1"/>
      <x v="1"/>
      <x v="1"/>
    </i>
    <i r="1">
      <x v="66"/>
      <x v="66"/>
      <x/>
      <x/>
      <x/>
      <x v="1"/>
    </i>
    <i r="1">
      <x v="67"/>
      <x v="67"/>
      <x/>
      <x/>
      <x/>
      <x v="1"/>
    </i>
    <i r="3">
      <x v="5"/>
      <x v="3"/>
      <x/>
      <x v="1"/>
    </i>
    <i r="3">
      <x v="7"/>
      <x v="5"/>
      <x/>
      <x v="1"/>
    </i>
    <i r="1">
      <x v="68"/>
      <x v="68"/>
      <x/>
      <x/>
      <x/>
      <x v="2"/>
    </i>
    <i r="3">
      <x v="1"/>
      <x v="1"/>
      <x/>
      <x/>
    </i>
    <i r="3">
      <x v="5"/>
      <x v="3"/>
      <x/>
      <x v="1"/>
    </i>
    <i r="1">
      <x v="69"/>
      <x v="69"/>
      <x/>
      <x/>
      <x/>
      <x/>
    </i>
    <i r="3">
      <x v="1"/>
      <x v="1"/>
      <x/>
      <x v="1"/>
    </i>
    <i r="1">
      <x v="70"/>
      <x v="70"/>
      <x/>
      <x/>
      <x v="1"/>
      <x v="2"/>
    </i>
    <i r="1">
      <x v="71"/>
      <x v="71"/>
      <x v="2"/>
      <x v="1"/>
      <x v="2"/>
      <x v="1"/>
    </i>
    <i r="3">
      <x/>
      <x/>
      <x v="2"/>
      <x v="1"/>
    </i>
    <i r="1">
      <x v="72"/>
      <x v="72"/>
      <x/>
      <x/>
      <x v="1"/>
      <x/>
    </i>
    <i r="1">
      <x v="73"/>
      <x v="73"/>
      <x/>
      <x/>
      <x/>
      <x v="4"/>
    </i>
    <i r="3">
      <x v="1"/>
      <x v="1"/>
      <x/>
      <x v="2"/>
    </i>
    <i r="1">
      <x v="74"/>
      <x v="74"/>
      <x/>
      <x/>
      <x/>
      <x v="1"/>
    </i>
    <i>
      <x v="5"/>
      <x v="75"/>
      <x v="75"/>
      <x v="4"/>
      <x v="2"/>
      <x/>
      <x v="5"/>
    </i>
    <i r="1">
      <x v="76"/>
      <x v="76"/>
      <x/>
      <x/>
      <x v="1"/>
      <x/>
    </i>
    <i r="1">
      <x v="77"/>
      <x v="77"/>
      <x v="2"/>
      <x v="1"/>
      <x v="1"/>
      <x v="1"/>
    </i>
    <i r="3">
      <x/>
      <x/>
      <x v="1"/>
      <x v="1"/>
    </i>
    <i r="3">
      <x v="7"/>
      <x v="5"/>
      <x v="1"/>
      <x v="1"/>
    </i>
    <i r="1">
      <x v="78"/>
      <x v="78"/>
      <x/>
      <x/>
      <x/>
      <x/>
    </i>
    <i r="3">
      <x v="1"/>
      <x v="1"/>
      <x/>
      <x v="1"/>
    </i>
    <i r="1">
      <x v="79"/>
      <x v="79"/>
      <x/>
      <x/>
      <x/>
      <x/>
    </i>
    <i r="3">
      <x v="1"/>
      <x v="1"/>
      <x/>
      <x v="1"/>
    </i>
    <i r="1">
      <x v="80"/>
      <x v="80"/>
      <x/>
      <x/>
      <x/>
      <x v="1"/>
    </i>
    <i r="3">
      <x v="1"/>
      <x v="1"/>
      <x/>
      <x v="1"/>
    </i>
    <i r="1">
      <x v="81"/>
      <x v="81"/>
      <x/>
      <x/>
      <x/>
      <x v="4"/>
    </i>
    <i r="3">
      <x v="1"/>
      <x v="1"/>
      <x/>
      <x/>
    </i>
    <i r="1">
      <x v="82"/>
      <x v="82"/>
      <x/>
      <x/>
      <x/>
      <x/>
    </i>
    <i r="1">
      <x v="83"/>
      <x v="83"/>
      <x/>
      <x/>
      <x/>
      <x v="2"/>
    </i>
    <i r="3">
      <x v="8"/>
      <x v="2"/>
      <x/>
      <x v="1"/>
    </i>
    <i r="1">
      <x v="84"/>
      <x v="84"/>
      <x v="5"/>
      <x v="3"/>
      <x/>
      <x v="1"/>
    </i>
    <i r="1">
      <x v="85"/>
      <x v="85"/>
      <x v="5"/>
      <x v="3"/>
      <x/>
      <x v="1"/>
    </i>
    <i r="1">
      <x v="86"/>
      <x v="86"/>
      <x v="9"/>
      <x v="6"/>
      <x/>
      <x v="1"/>
    </i>
    <i r="1">
      <x v="87"/>
      <x v="87"/>
      <x v="10"/>
      <x v="7"/>
      <x/>
      <x/>
    </i>
    <i r="1">
      <x v="88"/>
      <x v="88"/>
      <x v="11"/>
      <x v="8"/>
      <x/>
      <x v="1"/>
    </i>
    <i r="1">
      <x v="89"/>
      <x v="89"/>
      <x v="4"/>
      <x v="2"/>
      <x v="1"/>
      <x v="4"/>
    </i>
    <i t="grand">
      <x/>
    </i>
  </rowItems>
  <colItems count="1">
    <i/>
  </colItems>
  <pageFields count="1">
    <pageField fld="0" hier="12" name="[transacciones].[nombre_transaccion].&amp;[VENTA]" cap="VENTA"/>
  </pageFields>
  <dataFields count="1">
    <dataField name="Recuento de id_item" fld="2" subtotal="count" baseField="0" baseItem="0"/>
  </dataFields>
  <formats count="1">
    <format dxfId="1">
      <pivotArea outline="0" collapsedLevelsAreSubtotals="1" fieldPosition="0"/>
    </format>
  </formats>
  <pivotHierarchies count="4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 caption="edwin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 caption="Recuento de id_transaccion"/>
    <pivotHierarchy dragToData="1"/>
    <pivotHierarchy dragToData="1" caption="N. productos"/>
    <pivotHierarchy dragToData="1"/>
    <pivotHierarchy dragToData="1" caption="Recuento de id_item"/>
    <pivotHierarchy dragToData="1"/>
  </pivotHierarchies>
  <pivotTableStyleInfo name="PivotStyleLight16" showRowHeaders="1" showColHeaders="1" showRowStripes="0" showColStripes="0" showLastColumn="1"/>
  <rowHierarchiesUsage count="7">
    <rowHierarchyUsage hierarchyUsage="20"/>
    <rowHierarchyUsage hierarchyUsage="16"/>
    <rowHierarchyUsage hierarchyUsage="14"/>
    <rowHierarchyUsage hierarchyUsage="8"/>
    <rowHierarchyUsage hierarchyUsage="5"/>
    <rowHierarchyUsage hierarchyUsage="13"/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ransacciones]"/>
        <x15:activeTabTopLevelEntity name="[items]"/>
        <x15:activeTabTopLevelEntity name="[producto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FF9378-8C05-4D34-88B7-B7B2745E7D6B}" name="TablaDinámica1" cacheId="2" applyNumberFormats="0" applyBorderFormats="0" applyFontFormats="0" applyPatternFormats="0" applyAlignmentFormats="0" applyWidthHeightFormats="1" dataCaption="Valores" tag="338be18e-c5dc-48f6-b7f5-d06929573759" updatedVersion="8" minRefreshableVersion="3" useAutoFormatting="1" subtotalHiddenItems="1" itemPrintTitles="1" createdVersion="8" indent="0" compact="0" compactData="0" multipleFieldFilters="0">
  <location ref="K4:O12" firstHeaderRow="1" firstDataRow="2" firstDataCol="1" rowPageCount="1" colPageCount="1"/>
  <pivotFields count="4">
    <pivotField name="nombre_transaccion" axis="axisPage" compact="0" allDrilled="1" outline="0" subtotalTop="0" showAll="0" dataSourceSort="1" defaultSubtotal="0" defaultAttributeDrillState="1">
      <items count="1">
        <item s="1" x="0"/>
      </items>
    </pivotField>
    <pivotField axis="axisCol" compact="0" allDrilled="1" outline="0" subtotalTop="0" showAll="0" sortType="ascending" defaultSubtotal="0" defaultAttributeDrillState="1">
      <items count="3">
        <item s="1" x="0"/>
        <item s="1" x="1"/>
        <item s="1" x="2"/>
      </items>
    </pivotField>
    <pivotField axis="axisRow" compact="0" allDrilled="1" outline="0" subtotalTop="0" showAll="0" dataSourceSort="1" defaultSubtotal="0" defaultAttributeDrillState="1">
      <items count="6">
        <item x="0"/>
        <item x="1"/>
        <item x="2"/>
        <item x="3"/>
        <item x="4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pageFields count="1">
    <pageField fld="0" hier="12" name="[transacciones].[nombre_transaccion].&amp;[VENTA]" cap="VENTA"/>
  </pageFields>
  <dataFields count="1">
    <dataField name="Suma de valor_total" fld="3" baseField="0" baseItem="0"/>
  </dataFields>
  <formats count="1">
    <format dxfId="2">
      <pivotArea outline="0" collapsedLevelsAreSubtotals="1" fieldPosition="0"/>
    </format>
  </formats>
  <pivotHierarchies count="4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 caption="edwin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 caption="Recuento de id_transaccion"/>
    <pivotHierarchy dragToData="1"/>
    <pivotHierarchy dragToData="1" caption="N. productos"/>
    <pivotHierarchy dragToData="1"/>
    <pivotHierarchy dragToData="1" caption="Recuento de id_item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0"/>
  </rowHierarchiesUsage>
  <colHierarchiesUsage count="1">
    <colHierarchyUsage hierarchyUsage="13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ransacciones]"/>
        <x15:activeTabTopLevelEntity name="[items]"/>
        <x15:activeTabTopLevelEntity name="[producto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://localhost:5000/" TargetMode="External"/><Relationship Id="rId2" Type="http://schemas.openxmlformats.org/officeDocument/2006/relationships/hyperlink" Target="https://subformative-marylee-solvently.ngrok-free.dev/" TargetMode="External"/><Relationship Id="rId1" Type="http://schemas.openxmlformats.org/officeDocument/2006/relationships/hyperlink" Target="https://argentina-infrasonic-halina.ngrok-free.dev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C4FC8-3269-4475-9E80-92B116C86F9B}">
  <dimension ref="A2:M125"/>
  <sheetViews>
    <sheetView zoomScale="85" zoomScaleNormal="85" workbookViewId="0">
      <selection activeCell="A8" sqref="A8"/>
    </sheetView>
  </sheetViews>
  <sheetFormatPr baseColWidth="10" defaultRowHeight="15" x14ac:dyDescent="0.25"/>
  <cols>
    <col min="1" max="1" width="20" bestFit="1" customWidth="1"/>
    <col min="2" max="2" width="17.7109375" bestFit="1" customWidth="1"/>
    <col min="3" max="3" width="30.28515625" customWidth="1"/>
    <col min="4" max="4" width="10.85546875" bestFit="1" customWidth="1"/>
    <col min="5" max="5" width="13.85546875" bestFit="1" customWidth="1"/>
    <col min="6" max="6" width="10.85546875" bestFit="1" customWidth="1"/>
    <col min="7" max="7" width="19.5703125" style="6" bestFit="1" customWidth="1"/>
    <col min="8" max="9" width="19.5703125" bestFit="1" customWidth="1"/>
    <col min="11" max="11" width="18.7109375" bestFit="1" customWidth="1"/>
    <col min="12" max="12" width="19.5703125" style="6" bestFit="1" customWidth="1"/>
    <col min="13" max="13" width="19.5703125" bestFit="1" customWidth="1"/>
  </cols>
  <sheetData>
    <row r="2" spans="1:13" x14ac:dyDescent="0.25">
      <c r="A2" s="1" t="s">
        <v>28</v>
      </c>
      <c r="B2" t="s" vm="1">
        <v>0</v>
      </c>
      <c r="H2" s="4"/>
      <c r="M2" s="4"/>
    </row>
    <row r="4" spans="1:13" x14ac:dyDescent="0.25">
      <c r="A4" s="1" t="s">
        <v>17</v>
      </c>
      <c r="B4" s="1" t="s">
        <v>39</v>
      </c>
      <c r="C4" s="1" t="s">
        <v>19</v>
      </c>
      <c r="D4" s="1" t="s">
        <v>27</v>
      </c>
      <c r="E4" s="1" t="s">
        <v>16</v>
      </c>
      <c r="F4" s="1" t="s">
        <v>26</v>
      </c>
      <c r="G4" t="s">
        <v>18</v>
      </c>
      <c r="H4" s="11" t="s">
        <v>48</v>
      </c>
      <c r="L4"/>
    </row>
    <row r="5" spans="1:13" x14ac:dyDescent="0.25">
      <c r="A5" s="3">
        <v>46076.692083333335</v>
      </c>
      <c r="B5">
        <v>2</v>
      </c>
      <c r="C5" t="s">
        <v>22</v>
      </c>
      <c r="D5">
        <v>8000</v>
      </c>
      <c r="E5" t="s">
        <v>8</v>
      </c>
      <c r="F5">
        <v>2</v>
      </c>
      <c r="G5" s="4">
        <v>1</v>
      </c>
      <c r="H5">
        <f>+D5*F5</f>
        <v>16000</v>
      </c>
      <c r="L5"/>
    </row>
    <row r="6" spans="1:13" x14ac:dyDescent="0.25">
      <c r="A6" s="3">
        <v>46076.709675925929</v>
      </c>
      <c r="B6">
        <v>3</v>
      </c>
      <c r="C6" t="s">
        <v>22</v>
      </c>
      <c r="D6">
        <v>8000</v>
      </c>
      <c r="E6" t="s">
        <v>9</v>
      </c>
      <c r="F6">
        <v>1</v>
      </c>
      <c r="G6" s="4">
        <v>1</v>
      </c>
      <c r="H6">
        <f t="shared" ref="H6:H69" si="0">+D6*F6</f>
        <v>8000</v>
      </c>
      <c r="L6"/>
    </row>
    <row r="7" spans="1:13" x14ac:dyDescent="0.25">
      <c r="A7" s="3">
        <v>46076.717372685183</v>
      </c>
      <c r="B7">
        <v>4</v>
      </c>
      <c r="C7" t="s">
        <v>22</v>
      </c>
      <c r="D7">
        <v>8000</v>
      </c>
      <c r="E7" t="s">
        <v>8</v>
      </c>
      <c r="F7">
        <v>2</v>
      </c>
      <c r="G7" s="4">
        <v>1</v>
      </c>
      <c r="H7">
        <f t="shared" si="0"/>
        <v>16000</v>
      </c>
      <c r="L7"/>
    </row>
    <row r="8" spans="1:13" x14ac:dyDescent="0.25">
      <c r="A8" s="3">
        <v>46076.717372685183</v>
      </c>
      <c r="B8">
        <v>4</v>
      </c>
      <c r="C8" t="s">
        <v>23</v>
      </c>
      <c r="D8">
        <v>3000</v>
      </c>
      <c r="E8" t="s">
        <v>8</v>
      </c>
      <c r="F8">
        <v>2</v>
      </c>
      <c r="G8" s="4">
        <v>1</v>
      </c>
      <c r="H8">
        <f t="shared" si="0"/>
        <v>6000</v>
      </c>
      <c r="L8"/>
    </row>
    <row r="9" spans="1:13" x14ac:dyDescent="0.25">
      <c r="A9" s="3">
        <v>46076.72047453704</v>
      </c>
      <c r="B9">
        <v>5</v>
      </c>
      <c r="C9" t="s">
        <v>22</v>
      </c>
      <c r="D9">
        <v>8000</v>
      </c>
      <c r="E9" t="s">
        <v>9</v>
      </c>
      <c r="F9">
        <v>3</v>
      </c>
      <c r="G9" s="4">
        <v>1</v>
      </c>
      <c r="H9">
        <f t="shared" si="0"/>
        <v>24000</v>
      </c>
      <c r="L9"/>
    </row>
    <row r="10" spans="1:13" x14ac:dyDescent="0.25">
      <c r="A10" s="3">
        <v>46076.750289351854</v>
      </c>
      <c r="B10">
        <v>6</v>
      </c>
      <c r="C10" t="s">
        <v>20</v>
      </c>
      <c r="D10">
        <v>3000</v>
      </c>
      <c r="E10" t="s">
        <v>8</v>
      </c>
      <c r="F10">
        <v>2</v>
      </c>
      <c r="G10" s="4">
        <v>1</v>
      </c>
      <c r="H10">
        <f t="shared" si="0"/>
        <v>6000</v>
      </c>
      <c r="L10"/>
    </row>
    <row r="11" spans="1:13" x14ac:dyDescent="0.25">
      <c r="A11" s="3">
        <v>46076.750289351854</v>
      </c>
      <c r="B11">
        <v>6</v>
      </c>
      <c r="C11" t="s">
        <v>22</v>
      </c>
      <c r="D11">
        <v>8000</v>
      </c>
      <c r="E11" t="s">
        <v>8</v>
      </c>
      <c r="F11">
        <v>2</v>
      </c>
      <c r="G11" s="4">
        <v>1</v>
      </c>
      <c r="H11">
        <f t="shared" si="0"/>
        <v>16000</v>
      </c>
      <c r="L11"/>
    </row>
    <row r="12" spans="1:13" x14ac:dyDescent="0.25">
      <c r="A12" s="3">
        <v>46076.751967592594</v>
      </c>
      <c r="B12">
        <v>7</v>
      </c>
      <c r="C12" t="s">
        <v>22</v>
      </c>
      <c r="D12">
        <v>8000</v>
      </c>
      <c r="E12" t="s">
        <v>8</v>
      </c>
      <c r="F12">
        <v>2</v>
      </c>
      <c r="G12" s="4">
        <v>1</v>
      </c>
      <c r="H12">
        <f t="shared" si="0"/>
        <v>16000</v>
      </c>
      <c r="L12"/>
    </row>
    <row r="13" spans="1:13" x14ac:dyDescent="0.25">
      <c r="A13" s="3">
        <v>46076.751967592594</v>
      </c>
      <c r="B13">
        <v>7</v>
      </c>
      <c r="C13" t="s">
        <v>25</v>
      </c>
      <c r="D13">
        <v>3000</v>
      </c>
      <c r="E13" t="s">
        <v>8</v>
      </c>
      <c r="F13">
        <v>1</v>
      </c>
      <c r="G13" s="4">
        <v>1</v>
      </c>
      <c r="H13">
        <f t="shared" si="0"/>
        <v>3000</v>
      </c>
      <c r="L13"/>
    </row>
    <row r="14" spans="1:13" x14ac:dyDescent="0.25">
      <c r="A14" s="3">
        <v>46076.787222222221</v>
      </c>
      <c r="B14">
        <v>8</v>
      </c>
      <c r="C14" t="s">
        <v>22</v>
      </c>
      <c r="D14">
        <v>8000</v>
      </c>
      <c r="E14" t="s">
        <v>8</v>
      </c>
      <c r="F14">
        <v>1</v>
      </c>
      <c r="G14" s="4">
        <v>1</v>
      </c>
      <c r="H14">
        <f t="shared" si="0"/>
        <v>8000</v>
      </c>
      <c r="L14"/>
    </row>
    <row r="15" spans="1:13" x14ac:dyDescent="0.25">
      <c r="A15" s="3">
        <v>46076.795474537037</v>
      </c>
      <c r="B15">
        <v>9</v>
      </c>
      <c r="C15" t="s">
        <v>22</v>
      </c>
      <c r="D15">
        <v>8000</v>
      </c>
      <c r="E15" t="s">
        <v>8</v>
      </c>
      <c r="F15">
        <v>2</v>
      </c>
      <c r="G15" s="4">
        <v>1</v>
      </c>
      <c r="H15">
        <f t="shared" si="0"/>
        <v>16000</v>
      </c>
      <c r="L15"/>
    </row>
    <row r="16" spans="1:13" x14ac:dyDescent="0.25">
      <c r="A16" s="3">
        <v>46076.795474537037</v>
      </c>
      <c r="B16">
        <v>9</v>
      </c>
      <c r="C16" t="s">
        <v>23</v>
      </c>
      <c r="D16">
        <v>3000</v>
      </c>
      <c r="E16" t="s">
        <v>8</v>
      </c>
      <c r="F16">
        <v>2</v>
      </c>
      <c r="G16" s="4">
        <v>1</v>
      </c>
      <c r="H16">
        <f t="shared" si="0"/>
        <v>6000</v>
      </c>
      <c r="L16"/>
    </row>
    <row r="17" spans="1:12" x14ac:dyDescent="0.25">
      <c r="A17" s="3">
        <v>46076.818287037036</v>
      </c>
      <c r="B17">
        <v>10</v>
      </c>
      <c r="C17" t="s">
        <v>22</v>
      </c>
      <c r="D17">
        <v>8000</v>
      </c>
      <c r="E17" t="s">
        <v>8</v>
      </c>
      <c r="F17">
        <v>3</v>
      </c>
      <c r="G17" s="4">
        <v>1</v>
      </c>
      <c r="H17">
        <f t="shared" si="0"/>
        <v>24000</v>
      </c>
      <c r="L17"/>
    </row>
    <row r="18" spans="1:12" x14ac:dyDescent="0.25">
      <c r="A18" s="3">
        <v>46076.841643518521</v>
      </c>
      <c r="B18">
        <v>11</v>
      </c>
      <c r="C18" t="s">
        <v>22</v>
      </c>
      <c r="D18">
        <v>8000</v>
      </c>
      <c r="E18" t="s">
        <v>8</v>
      </c>
      <c r="F18">
        <v>1</v>
      </c>
      <c r="G18" s="4">
        <v>1</v>
      </c>
      <c r="H18">
        <f t="shared" si="0"/>
        <v>8000</v>
      </c>
      <c r="L18"/>
    </row>
    <row r="19" spans="1:12" x14ac:dyDescent="0.25">
      <c r="A19" s="3">
        <v>46076.843854166669</v>
      </c>
      <c r="B19">
        <v>12</v>
      </c>
      <c r="C19" t="s">
        <v>22</v>
      </c>
      <c r="D19">
        <v>8000</v>
      </c>
      <c r="E19" t="s">
        <v>8</v>
      </c>
      <c r="F19">
        <v>1</v>
      </c>
      <c r="G19" s="4">
        <v>1</v>
      </c>
      <c r="H19">
        <f t="shared" si="0"/>
        <v>8000</v>
      </c>
      <c r="L19"/>
    </row>
    <row r="20" spans="1:12" x14ac:dyDescent="0.25">
      <c r="A20" s="3">
        <v>46076.845659722225</v>
      </c>
      <c r="B20">
        <v>13</v>
      </c>
      <c r="C20" t="s">
        <v>22</v>
      </c>
      <c r="D20">
        <v>8000</v>
      </c>
      <c r="E20" t="s">
        <v>8</v>
      </c>
      <c r="F20">
        <v>1</v>
      </c>
      <c r="G20" s="4">
        <v>1</v>
      </c>
      <c r="H20">
        <f t="shared" si="0"/>
        <v>8000</v>
      </c>
      <c r="L20"/>
    </row>
    <row r="21" spans="1:12" x14ac:dyDescent="0.25">
      <c r="A21" s="3">
        <v>46076.845659722225</v>
      </c>
      <c r="B21">
        <v>13</v>
      </c>
      <c r="C21" t="s">
        <v>25</v>
      </c>
      <c r="D21">
        <v>3000</v>
      </c>
      <c r="E21" t="s">
        <v>8</v>
      </c>
      <c r="F21">
        <v>1</v>
      </c>
      <c r="G21" s="4">
        <v>1</v>
      </c>
      <c r="H21">
        <f t="shared" si="0"/>
        <v>3000</v>
      </c>
      <c r="L21"/>
    </row>
    <row r="22" spans="1:12" x14ac:dyDescent="0.25">
      <c r="A22" s="3">
        <v>46076.850243055553</v>
      </c>
      <c r="B22">
        <v>14</v>
      </c>
      <c r="C22" t="s">
        <v>22</v>
      </c>
      <c r="D22">
        <v>8000</v>
      </c>
      <c r="E22" t="s">
        <v>8</v>
      </c>
      <c r="F22">
        <v>3</v>
      </c>
      <c r="G22" s="4">
        <v>1</v>
      </c>
      <c r="H22">
        <f t="shared" si="0"/>
        <v>24000</v>
      </c>
      <c r="L22"/>
    </row>
    <row r="23" spans="1:12" x14ac:dyDescent="0.25">
      <c r="A23" s="3">
        <v>46076.852650462963</v>
      </c>
      <c r="B23">
        <v>15</v>
      </c>
      <c r="C23" t="s">
        <v>22</v>
      </c>
      <c r="D23">
        <v>8000</v>
      </c>
      <c r="E23" t="s">
        <v>8</v>
      </c>
      <c r="F23">
        <v>1</v>
      </c>
      <c r="G23" s="4">
        <v>1</v>
      </c>
      <c r="H23">
        <f t="shared" si="0"/>
        <v>8000</v>
      </c>
      <c r="L23"/>
    </row>
    <row r="24" spans="1:12" x14ac:dyDescent="0.25">
      <c r="A24" s="3">
        <v>46077.648680555554</v>
      </c>
      <c r="B24">
        <v>16</v>
      </c>
      <c r="C24" t="s">
        <v>22</v>
      </c>
      <c r="D24">
        <v>8000</v>
      </c>
      <c r="E24" t="s">
        <v>8</v>
      </c>
      <c r="F24">
        <v>5</v>
      </c>
      <c r="G24" s="4">
        <v>1</v>
      </c>
      <c r="H24">
        <f t="shared" si="0"/>
        <v>40000</v>
      </c>
      <c r="L24"/>
    </row>
    <row r="25" spans="1:12" x14ac:dyDescent="0.25">
      <c r="A25" s="3">
        <v>46077.649351851855</v>
      </c>
      <c r="B25">
        <v>17</v>
      </c>
      <c r="C25" t="s">
        <v>22</v>
      </c>
      <c r="D25">
        <v>8000</v>
      </c>
      <c r="E25" t="s">
        <v>8</v>
      </c>
      <c r="F25">
        <v>3</v>
      </c>
      <c r="G25" s="4">
        <v>1</v>
      </c>
      <c r="H25">
        <f t="shared" si="0"/>
        <v>24000</v>
      </c>
      <c r="L25"/>
    </row>
    <row r="26" spans="1:12" x14ac:dyDescent="0.25">
      <c r="A26" s="3">
        <v>46077.740034722221</v>
      </c>
      <c r="B26">
        <v>18</v>
      </c>
      <c r="C26" t="s">
        <v>22</v>
      </c>
      <c r="D26">
        <v>8000</v>
      </c>
      <c r="E26" t="s">
        <v>8</v>
      </c>
      <c r="F26">
        <v>1</v>
      </c>
      <c r="G26" s="4">
        <v>1</v>
      </c>
      <c r="H26">
        <f t="shared" si="0"/>
        <v>8000</v>
      </c>
      <c r="L26"/>
    </row>
    <row r="27" spans="1:12" x14ac:dyDescent="0.25">
      <c r="A27" s="3">
        <v>46077.759606481479</v>
      </c>
      <c r="B27">
        <v>19</v>
      </c>
      <c r="C27" t="s">
        <v>22</v>
      </c>
      <c r="D27">
        <v>8000</v>
      </c>
      <c r="E27" t="s">
        <v>8</v>
      </c>
      <c r="F27">
        <v>1</v>
      </c>
      <c r="G27" s="4">
        <v>1</v>
      </c>
      <c r="H27">
        <f t="shared" si="0"/>
        <v>8000</v>
      </c>
      <c r="L27"/>
    </row>
    <row r="28" spans="1:12" x14ac:dyDescent="0.25">
      <c r="A28" s="3">
        <v>46077.774178240739</v>
      </c>
      <c r="B28">
        <v>20</v>
      </c>
      <c r="C28" t="s">
        <v>22</v>
      </c>
      <c r="D28">
        <v>8000</v>
      </c>
      <c r="E28" t="s">
        <v>8</v>
      </c>
      <c r="F28">
        <v>2</v>
      </c>
      <c r="G28" s="4">
        <v>1</v>
      </c>
      <c r="H28">
        <f t="shared" si="0"/>
        <v>16000</v>
      </c>
      <c r="L28"/>
    </row>
    <row r="29" spans="1:12" x14ac:dyDescent="0.25">
      <c r="A29" s="3">
        <v>46077.775185185186</v>
      </c>
      <c r="B29">
        <v>21</v>
      </c>
      <c r="C29" t="s">
        <v>22</v>
      </c>
      <c r="D29">
        <v>8000</v>
      </c>
      <c r="E29" t="s">
        <v>8</v>
      </c>
      <c r="F29">
        <v>1</v>
      </c>
      <c r="G29" s="4">
        <v>1</v>
      </c>
      <c r="H29">
        <f t="shared" si="0"/>
        <v>8000</v>
      </c>
      <c r="L29"/>
    </row>
    <row r="30" spans="1:12" x14ac:dyDescent="0.25">
      <c r="A30" s="3">
        <v>46077.77952546296</v>
      </c>
      <c r="B30">
        <v>22</v>
      </c>
      <c r="C30" t="s">
        <v>21</v>
      </c>
      <c r="D30">
        <v>4500</v>
      </c>
      <c r="E30" t="s">
        <v>8</v>
      </c>
      <c r="F30">
        <v>2</v>
      </c>
      <c r="G30" s="4">
        <v>1</v>
      </c>
      <c r="H30">
        <f t="shared" si="0"/>
        <v>9000</v>
      </c>
      <c r="L30"/>
    </row>
    <row r="31" spans="1:12" x14ac:dyDescent="0.25">
      <c r="A31" s="3">
        <v>46077.77952546296</v>
      </c>
      <c r="B31">
        <v>22</v>
      </c>
      <c r="C31" t="s">
        <v>22</v>
      </c>
      <c r="D31">
        <v>8000</v>
      </c>
      <c r="E31" t="s">
        <v>8</v>
      </c>
      <c r="F31">
        <v>1</v>
      </c>
      <c r="G31" s="4">
        <v>1</v>
      </c>
      <c r="H31">
        <f t="shared" si="0"/>
        <v>8000</v>
      </c>
      <c r="L31"/>
    </row>
    <row r="32" spans="1:12" x14ac:dyDescent="0.25">
      <c r="A32" s="3">
        <v>46077.797152777777</v>
      </c>
      <c r="B32">
        <v>23</v>
      </c>
      <c r="C32" t="s">
        <v>22</v>
      </c>
      <c r="D32">
        <v>8000</v>
      </c>
      <c r="E32" t="s">
        <v>8</v>
      </c>
      <c r="F32">
        <v>1</v>
      </c>
      <c r="G32" s="4">
        <v>1</v>
      </c>
      <c r="H32">
        <f t="shared" si="0"/>
        <v>8000</v>
      </c>
      <c r="L32"/>
    </row>
    <row r="33" spans="1:12" x14ac:dyDescent="0.25">
      <c r="A33" s="3">
        <v>46077.834386574075</v>
      </c>
      <c r="B33">
        <v>24</v>
      </c>
      <c r="C33" t="s">
        <v>22</v>
      </c>
      <c r="D33">
        <v>8000</v>
      </c>
      <c r="E33" t="s">
        <v>9</v>
      </c>
      <c r="F33">
        <v>1</v>
      </c>
      <c r="G33" s="4">
        <v>1</v>
      </c>
      <c r="H33">
        <f t="shared" si="0"/>
        <v>8000</v>
      </c>
      <c r="L33"/>
    </row>
    <row r="34" spans="1:12" x14ac:dyDescent="0.25">
      <c r="A34" s="3">
        <v>46077.836875000001</v>
      </c>
      <c r="B34">
        <v>25</v>
      </c>
      <c r="C34" t="s">
        <v>22</v>
      </c>
      <c r="D34">
        <v>8000</v>
      </c>
      <c r="E34" t="s">
        <v>8</v>
      </c>
      <c r="F34">
        <v>1</v>
      </c>
      <c r="G34" s="4">
        <v>1</v>
      </c>
      <c r="H34">
        <f t="shared" si="0"/>
        <v>8000</v>
      </c>
      <c r="L34"/>
    </row>
    <row r="35" spans="1:12" x14ac:dyDescent="0.25">
      <c r="A35" s="3">
        <v>46077.847013888888</v>
      </c>
      <c r="B35">
        <v>26</v>
      </c>
      <c r="C35" t="s">
        <v>20</v>
      </c>
      <c r="D35">
        <v>3000</v>
      </c>
      <c r="E35" t="s">
        <v>8</v>
      </c>
      <c r="F35">
        <v>1</v>
      </c>
      <c r="G35" s="4">
        <v>1</v>
      </c>
      <c r="H35">
        <f t="shared" si="0"/>
        <v>3000</v>
      </c>
      <c r="L35"/>
    </row>
    <row r="36" spans="1:12" x14ac:dyDescent="0.25">
      <c r="A36" s="3">
        <v>46077.847013888888</v>
      </c>
      <c r="B36">
        <v>26</v>
      </c>
      <c r="C36" t="s">
        <v>22</v>
      </c>
      <c r="D36">
        <v>8000</v>
      </c>
      <c r="E36" t="s">
        <v>8</v>
      </c>
      <c r="F36">
        <v>3</v>
      </c>
      <c r="G36" s="4">
        <v>1</v>
      </c>
      <c r="H36">
        <f t="shared" si="0"/>
        <v>24000</v>
      </c>
      <c r="L36"/>
    </row>
    <row r="37" spans="1:12" x14ac:dyDescent="0.25">
      <c r="A37" s="3">
        <v>46077.847013888888</v>
      </c>
      <c r="B37">
        <v>26</v>
      </c>
      <c r="C37" t="s">
        <v>25</v>
      </c>
      <c r="D37">
        <v>3000</v>
      </c>
      <c r="E37" t="s">
        <v>8</v>
      </c>
      <c r="F37">
        <v>1</v>
      </c>
      <c r="G37" s="4">
        <v>1</v>
      </c>
      <c r="H37">
        <f t="shared" si="0"/>
        <v>3000</v>
      </c>
      <c r="L37"/>
    </row>
    <row r="38" spans="1:12" x14ac:dyDescent="0.25">
      <c r="A38" s="3">
        <v>46077.849872685183</v>
      </c>
      <c r="B38">
        <v>27</v>
      </c>
      <c r="C38" t="s">
        <v>22</v>
      </c>
      <c r="D38">
        <v>8000</v>
      </c>
      <c r="E38" t="s">
        <v>8</v>
      </c>
      <c r="F38">
        <v>4</v>
      </c>
      <c r="G38" s="4">
        <v>1</v>
      </c>
      <c r="H38">
        <f t="shared" si="0"/>
        <v>32000</v>
      </c>
      <c r="L38"/>
    </row>
    <row r="39" spans="1:12" x14ac:dyDescent="0.25">
      <c r="A39" s="3">
        <v>46077.849872685183</v>
      </c>
      <c r="B39">
        <v>27</v>
      </c>
      <c r="C39" t="s">
        <v>23</v>
      </c>
      <c r="D39">
        <v>3000</v>
      </c>
      <c r="E39" t="s">
        <v>8</v>
      </c>
      <c r="F39">
        <v>2</v>
      </c>
      <c r="G39" s="4">
        <v>1</v>
      </c>
      <c r="H39">
        <f t="shared" si="0"/>
        <v>6000</v>
      </c>
      <c r="L39"/>
    </row>
    <row r="40" spans="1:12" x14ac:dyDescent="0.25">
      <c r="A40" s="3">
        <v>46077.867604166669</v>
      </c>
      <c r="B40">
        <v>28</v>
      </c>
      <c r="C40" t="s">
        <v>22</v>
      </c>
      <c r="D40">
        <v>8000</v>
      </c>
      <c r="E40" t="s">
        <v>8</v>
      </c>
      <c r="F40">
        <v>1</v>
      </c>
      <c r="G40" s="4">
        <v>1</v>
      </c>
      <c r="H40">
        <f t="shared" si="0"/>
        <v>8000</v>
      </c>
      <c r="L40"/>
    </row>
    <row r="41" spans="1:12" x14ac:dyDescent="0.25">
      <c r="A41" s="3">
        <v>46078.578043981484</v>
      </c>
      <c r="B41">
        <v>29</v>
      </c>
      <c r="C41" t="s">
        <v>22</v>
      </c>
      <c r="D41">
        <v>8000</v>
      </c>
      <c r="E41" t="s">
        <v>8</v>
      </c>
      <c r="F41">
        <v>1</v>
      </c>
      <c r="G41" s="4">
        <v>1</v>
      </c>
      <c r="H41">
        <f t="shared" si="0"/>
        <v>8000</v>
      </c>
      <c r="L41"/>
    </row>
    <row r="42" spans="1:12" x14ac:dyDescent="0.25">
      <c r="A42" s="3">
        <v>46078.579907407409</v>
      </c>
      <c r="B42">
        <v>30</v>
      </c>
      <c r="C42" t="s">
        <v>22</v>
      </c>
      <c r="D42">
        <v>8000</v>
      </c>
      <c r="E42" t="s">
        <v>8</v>
      </c>
      <c r="F42">
        <v>1</v>
      </c>
      <c r="G42" s="4">
        <v>1</v>
      </c>
      <c r="H42">
        <f t="shared" si="0"/>
        <v>8000</v>
      </c>
      <c r="L42"/>
    </row>
    <row r="43" spans="1:12" x14ac:dyDescent="0.25">
      <c r="A43" s="3">
        <v>46078.58693287037</v>
      </c>
      <c r="B43">
        <v>31</v>
      </c>
      <c r="C43" t="s">
        <v>22</v>
      </c>
      <c r="D43">
        <v>8000</v>
      </c>
      <c r="E43" t="s">
        <v>8</v>
      </c>
      <c r="F43">
        <v>1</v>
      </c>
      <c r="G43" s="4">
        <v>1</v>
      </c>
      <c r="H43">
        <f t="shared" si="0"/>
        <v>8000</v>
      </c>
      <c r="L43"/>
    </row>
    <row r="44" spans="1:12" x14ac:dyDescent="0.25">
      <c r="A44" s="3">
        <v>46078.59138888889</v>
      </c>
      <c r="B44">
        <v>32</v>
      </c>
      <c r="C44" t="s">
        <v>24</v>
      </c>
      <c r="D44">
        <v>35000</v>
      </c>
      <c r="E44" t="s">
        <v>8</v>
      </c>
      <c r="F44">
        <v>1</v>
      </c>
      <c r="G44" s="4">
        <v>1</v>
      </c>
      <c r="H44">
        <f t="shared" si="0"/>
        <v>35000</v>
      </c>
      <c r="L44"/>
    </row>
    <row r="45" spans="1:12" x14ac:dyDescent="0.25">
      <c r="A45" s="3">
        <v>46078.600636574076</v>
      </c>
      <c r="B45">
        <v>34</v>
      </c>
      <c r="C45" t="s">
        <v>24</v>
      </c>
      <c r="D45">
        <v>35000</v>
      </c>
      <c r="E45" t="s">
        <v>8</v>
      </c>
      <c r="F45">
        <v>1</v>
      </c>
      <c r="G45" s="4">
        <v>1</v>
      </c>
      <c r="H45">
        <f t="shared" si="0"/>
        <v>35000</v>
      </c>
      <c r="L45"/>
    </row>
    <row r="46" spans="1:12" x14ac:dyDescent="0.25">
      <c r="A46" s="3">
        <v>46078.601261574076</v>
      </c>
      <c r="B46">
        <v>35</v>
      </c>
      <c r="C46" t="s">
        <v>22</v>
      </c>
      <c r="D46">
        <v>8000</v>
      </c>
      <c r="E46" t="s">
        <v>8</v>
      </c>
      <c r="F46">
        <v>2</v>
      </c>
      <c r="G46" s="4">
        <v>1</v>
      </c>
      <c r="H46">
        <f t="shared" si="0"/>
        <v>16000</v>
      </c>
      <c r="L46"/>
    </row>
    <row r="47" spans="1:12" x14ac:dyDescent="0.25">
      <c r="A47" s="3">
        <v>46078.694513888891</v>
      </c>
      <c r="B47">
        <v>36</v>
      </c>
      <c r="C47" t="s">
        <v>22</v>
      </c>
      <c r="D47">
        <v>8000</v>
      </c>
      <c r="E47" t="s">
        <v>8</v>
      </c>
      <c r="F47">
        <v>1</v>
      </c>
      <c r="G47" s="4">
        <v>1</v>
      </c>
      <c r="H47">
        <f t="shared" si="0"/>
        <v>8000</v>
      </c>
      <c r="L47"/>
    </row>
    <row r="48" spans="1:12" x14ac:dyDescent="0.25">
      <c r="A48" s="3">
        <v>46078.695300925923</v>
      </c>
      <c r="B48">
        <v>37</v>
      </c>
      <c r="C48" t="s">
        <v>22</v>
      </c>
      <c r="D48">
        <v>8000</v>
      </c>
      <c r="E48" t="s">
        <v>9</v>
      </c>
      <c r="F48">
        <v>1</v>
      </c>
      <c r="G48" s="4">
        <v>1</v>
      </c>
      <c r="H48">
        <f t="shared" si="0"/>
        <v>8000</v>
      </c>
      <c r="L48"/>
    </row>
    <row r="49" spans="1:12" x14ac:dyDescent="0.25">
      <c r="A49" s="3">
        <v>46078.762141203704</v>
      </c>
      <c r="B49">
        <v>38</v>
      </c>
      <c r="C49" t="s">
        <v>22</v>
      </c>
      <c r="D49">
        <v>8000</v>
      </c>
      <c r="E49" t="s">
        <v>8</v>
      </c>
      <c r="F49">
        <v>1</v>
      </c>
      <c r="G49" s="4">
        <v>1</v>
      </c>
      <c r="H49">
        <f t="shared" si="0"/>
        <v>8000</v>
      </c>
      <c r="L49"/>
    </row>
    <row r="50" spans="1:12" x14ac:dyDescent="0.25">
      <c r="A50" s="3">
        <v>46078.764027777775</v>
      </c>
      <c r="B50">
        <v>39</v>
      </c>
      <c r="C50" t="s">
        <v>22</v>
      </c>
      <c r="D50">
        <v>8000</v>
      </c>
      <c r="E50" t="s">
        <v>8</v>
      </c>
      <c r="F50">
        <v>1</v>
      </c>
      <c r="G50" s="4">
        <v>1</v>
      </c>
      <c r="H50">
        <f t="shared" si="0"/>
        <v>8000</v>
      </c>
      <c r="L50"/>
    </row>
    <row r="51" spans="1:12" x14ac:dyDescent="0.25">
      <c r="A51" s="3">
        <v>46078.768379629626</v>
      </c>
      <c r="B51">
        <v>41</v>
      </c>
      <c r="C51" t="s">
        <v>22</v>
      </c>
      <c r="D51">
        <v>8000</v>
      </c>
      <c r="E51" t="s">
        <v>8</v>
      </c>
      <c r="F51">
        <v>1</v>
      </c>
      <c r="G51" s="4">
        <v>1</v>
      </c>
      <c r="H51">
        <f t="shared" si="0"/>
        <v>8000</v>
      </c>
      <c r="L51"/>
    </row>
    <row r="52" spans="1:12" x14ac:dyDescent="0.25">
      <c r="A52" s="3">
        <v>46078.77375</v>
      </c>
      <c r="B52">
        <v>42</v>
      </c>
      <c r="C52" t="s">
        <v>22</v>
      </c>
      <c r="D52">
        <v>8000</v>
      </c>
      <c r="E52" t="s">
        <v>8</v>
      </c>
      <c r="F52">
        <v>5</v>
      </c>
      <c r="G52" s="4">
        <v>1</v>
      </c>
      <c r="H52">
        <f t="shared" si="0"/>
        <v>40000</v>
      </c>
      <c r="L52"/>
    </row>
    <row r="53" spans="1:12" x14ac:dyDescent="0.25">
      <c r="A53" s="3">
        <v>46078.774247685185</v>
      </c>
      <c r="B53">
        <v>43</v>
      </c>
      <c r="C53" t="s">
        <v>23</v>
      </c>
      <c r="D53">
        <v>3000</v>
      </c>
      <c r="E53" t="s">
        <v>8</v>
      </c>
      <c r="F53">
        <v>2</v>
      </c>
      <c r="G53" s="4">
        <v>1</v>
      </c>
      <c r="H53">
        <f t="shared" si="0"/>
        <v>6000</v>
      </c>
      <c r="L53"/>
    </row>
    <row r="54" spans="1:12" x14ac:dyDescent="0.25">
      <c r="A54" s="3">
        <v>46078.774247685185</v>
      </c>
      <c r="B54">
        <v>43</v>
      </c>
      <c r="C54" t="s">
        <v>25</v>
      </c>
      <c r="D54">
        <v>3000</v>
      </c>
      <c r="E54" t="s">
        <v>8</v>
      </c>
      <c r="F54">
        <v>1</v>
      </c>
      <c r="G54" s="4">
        <v>1</v>
      </c>
      <c r="H54">
        <f t="shared" si="0"/>
        <v>3000</v>
      </c>
      <c r="L54"/>
    </row>
    <row r="55" spans="1:12" x14ac:dyDescent="0.25">
      <c r="A55" s="3">
        <v>46078.777766203704</v>
      </c>
      <c r="B55">
        <v>44</v>
      </c>
      <c r="C55" t="s">
        <v>22</v>
      </c>
      <c r="D55">
        <v>8000</v>
      </c>
      <c r="E55" t="s">
        <v>8</v>
      </c>
      <c r="F55">
        <v>3</v>
      </c>
      <c r="G55" s="4">
        <v>1</v>
      </c>
      <c r="H55">
        <f t="shared" si="0"/>
        <v>24000</v>
      </c>
      <c r="L55"/>
    </row>
    <row r="56" spans="1:12" x14ac:dyDescent="0.25">
      <c r="A56" s="3">
        <v>46078.799016203702</v>
      </c>
      <c r="B56">
        <v>45</v>
      </c>
      <c r="C56" t="s">
        <v>22</v>
      </c>
      <c r="D56">
        <v>8000</v>
      </c>
      <c r="E56" t="s">
        <v>9</v>
      </c>
      <c r="F56">
        <v>1</v>
      </c>
      <c r="G56" s="4">
        <v>1</v>
      </c>
      <c r="H56">
        <f t="shared" si="0"/>
        <v>8000</v>
      </c>
      <c r="L56"/>
    </row>
    <row r="57" spans="1:12" x14ac:dyDescent="0.25">
      <c r="A57" s="3">
        <v>46078.800497685188</v>
      </c>
      <c r="B57">
        <v>46</v>
      </c>
      <c r="C57" t="s">
        <v>22</v>
      </c>
      <c r="D57">
        <v>8000</v>
      </c>
      <c r="E57" t="s">
        <v>8</v>
      </c>
      <c r="F57">
        <v>1</v>
      </c>
      <c r="G57" s="4">
        <v>1</v>
      </c>
      <c r="H57">
        <f t="shared" si="0"/>
        <v>8000</v>
      </c>
      <c r="L57"/>
    </row>
    <row r="58" spans="1:12" x14ac:dyDescent="0.25">
      <c r="A58" s="3">
        <v>46078.800497685188</v>
      </c>
      <c r="B58">
        <v>46</v>
      </c>
      <c r="C58" t="s">
        <v>23</v>
      </c>
      <c r="D58">
        <v>3000</v>
      </c>
      <c r="E58" t="s">
        <v>8</v>
      </c>
      <c r="F58">
        <v>1</v>
      </c>
      <c r="G58" s="4">
        <v>1</v>
      </c>
      <c r="H58">
        <f t="shared" si="0"/>
        <v>3000</v>
      </c>
      <c r="L58"/>
    </row>
    <row r="59" spans="1:12" x14ac:dyDescent="0.25">
      <c r="A59" s="3">
        <v>46078.806875000002</v>
      </c>
      <c r="B59">
        <v>47</v>
      </c>
      <c r="C59" t="s">
        <v>21</v>
      </c>
      <c r="D59">
        <v>4500</v>
      </c>
      <c r="E59" t="s">
        <v>9</v>
      </c>
      <c r="F59">
        <v>5</v>
      </c>
      <c r="G59" s="4">
        <v>1</v>
      </c>
      <c r="H59">
        <f t="shared" si="0"/>
        <v>22500</v>
      </c>
      <c r="L59"/>
    </row>
    <row r="60" spans="1:12" x14ac:dyDescent="0.25">
      <c r="A60" s="3">
        <v>46078.81894675926</v>
      </c>
      <c r="B60">
        <v>48</v>
      </c>
      <c r="C60" t="s">
        <v>24</v>
      </c>
      <c r="D60">
        <v>35000</v>
      </c>
      <c r="E60" t="s">
        <v>8</v>
      </c>
      <c r="F60">
        <v>1</v>
      </c>
      <c r="G60" s="4">
        <v>1</v>
      </c>
      <c r="H60">
        <f t="shared" si="0"/>
        <v>35000</v>
      </c>
      <c r="L60"/>
    </row>
    <row r="61" spans="1:12" x14ac:dyDescent="0.25">
      <c r="A61" s="3">
        <v>46078.81894675926</v>
      </c>
      <c r="B61">
        <v>48</v>
      </c>
      <c r="C61" t="s">
        <v>25</v>
      </c>
      <c r="D61">
        <v>3000</v>
      </c>
      <c r="E61" t="s">
        <v>8</v>
      </c>
      <c r="F61">
        <v>1</v>
      </c>
      <c r="G61" s="4">
        <v>1</v>
      </c>
      <c r="H61">
        <f t="shared" si="0"/>
        <v>3000</v>
      </c>
      <c r="L61"/>
    </row>
    <row r="62" spans="1:12" x14ac:dyDescent="0.25">
      <c r="A62" s="3">
        <v>46078.819791666669</v>
      </c>
      <c r="B62">
        <v>49</v>
      </c>
      <c r="C62" t="s">
        <v>22</v>
      </c>
      <c r="D62">
        <v>8000</v>
      </c>
      <c r="E62" t="s">
        <v>8</v>
      </c>
      <c r="F62">
        <v>2</v>
      </c>
      <c r="G62" s="4">
        <v>1</v>
      </c>
      <c r="H62">
        <f t="shared" si="0"/>
        <v>16000</v>
      </c>
      <c r="L62"/>
    </row>
    <row r="63" spans="1:12" x14ac:dyDescent="0.25">
      <c r="A63" s="3">
        <v>46078.83253472222</v>
      </c>
      <c r="B63">
        <v>50</v>
      </c>
      <c r="C63" t="s">
        <v>22</v>
      </c>
      <c r="D63">
        <v>8000</v>
      </c>
      <c r="E63" t="s">
        <v>8</v>
      </c>
      <c r="F63">
        <v>2</v>
      </c>
      <c r="G63" s="4">
        <v>1</v>
      </c>
      <c r="H63">
        <f t="shared" si="0"/>
        <v>16000</v>
      </c>
      <c r="L63"/>
    </row>
    <row r="64" spans="1:12" x14ac:dyDescent="0.25">
      <c r="A64" s="3">
        <v>46078.838090277779</v>
      </c>
      <c r="B64">
        <v>51</v>
      </c>
      <c r="C64" t="s">
        <v>22</v>
      </c>
      <c r="D64">
        <v>8000</v>
      </c>
      <c r="E64" t="s">
        <v>8</v>
      </c>
      <c r="F64">
        <v>4</v>
      </c>
      <c r="G64" s="4">
        <v>1</v>
      </c>
      <c r="H64">
        <f t="shared" si="0"/>
        <v>32000</v>
      </c>
      <c r="L64"/>
    </row>
    <row r="65" spans="1:12" x14ac:dyDescent="0.25">
      <c r="A65" s="3">
        <v>46078.841678240744</v>
      </c>
      <c r="B65">
        <v>52</v>
      </c>
      <c r="C65" t="s">
        <v>22</v>
      </c>
      <c r="D65">
        <v>8000</v>
      </c>
      <c r="E65" t="s">
        <v>9</v>
      </c>
      <c r="F65">
        <v>1</v>
      </c>
      <c r="G65" s="4">
        <v>1</v>
      </c>
      <c r="H65">
        <f t="shared" si="0"/>
        <v>8000</v>
      </c>
      <c r="L65"/>
    </row>
    <row r="66" spans="1:12" x14ac:dyDescent="0.25">
      <c r="A66" s="3">
        <v>46078.848043981481</v>
      </c>
      <c r="B66">
        <v>53</v>
      </c>
      <c r="C66" t="s">
        <v>22</v>
      </c>
      <c r="D66">
        <v>8000</v>
      </c>
      <c r="E66" t="s">
        <v>8</v>
      </c>
      <c r="F66">
        <v>2</v>
      </c>
      <c r="G66" s="4">
        <v>1</v>
      </c>
      <c r="H66">
        <f t="shared" si="0"/>
        <v>16000</v>
      </c>
      <c r="L66"/>
    </row>
    <row r="67" spans="1:12" x14ac:dyDescent="0.25">
      <c r="A67" s="3">
        <v>46079.557025462964</v>
      </c>
      <c r="B67">
        <v>54</v>
      </c>
      <c r="C67" t="s">
        <v>21</v>
      </c>
      <c r="D67">
        <v>4500</v>
      </c>
      <c r="E67" t="s">
        <v>8</v>
      </c>
      <c r="F67">
        <v>2</v>
      </c>
      <c r="G67" s="4">
        <v>1</v>
      </c>
      <c r="H67">
        <f t="shared" si="0"/>
        <v>9000</v>
      </c>
      <c r="L67"/>
    </row>
    <row r="68" spans="1:12" x14ac:dyDescent="0.25">
      <c r="A68" s="3">
        <v>46079.560671296298</v>
      </c>
      <c r="B68">
        <v>55</v>
      </c>
      <c r="C68" t="s">
        <v>22</v>
      </c>
      <c r="D68">
        <v>8000</v>
      </c>
      <c r="E68" t="s">
        <v>8</v>
      </c>
      <c r="F68">
        <v>2</v>
      </c>
      <c r="G68" s="4">
        <v>1</v>
      </c>
      <c r="H68">
        <f t="shared" si="0"/>
        <v>16000</v>
      </c>
      <c r="L68"/>
    </row>
    <row r="69" spans="1:12" x14ac:dyDescent="0.25">
      <c r="A69" s="3">
        <v>46079.634108796294</v>
      </c>
      <c r="B69">
        <v>56</v>
      </c>
      <c r="C69" t="s">
        <v>37</v>
      </c>
      <c r="D69">
        <v>25000</v>
      </c>
      <c r="E69" t="s">
        <v>9</v>
      </c>
      <c r="F69">
        <v>1</v>
      </c>
      <c r="G69" s="4">
        <v>1</v>
      </c>
      <c r="H69">
        <f t="shared" si="0"/>
        <v>25000</v>
      </c>
      <c r="L69"/>
    </row>
    <row r="70" spans="1:12" x14ac:dyDescent="0.25">
      <c r="A70" s="3">
        <v>46079.72755787037</v>
      </c>
      <c r="B70">
        <v>57</v>
      </c>
      <c r="C70" t="s">
        <v>22</v>
      </c>
      <c r="D70">
        <v>8000</v>
      </c>
      <c r="E70" t="s">
        <v>9</v>
      </c>
      <c r="F70">
        <v>5</v>
      </c>
      <c r="G70" s="4">
        <v>1</v>
      </c>
      <c r="H70">
        <f t="shared" ref="H70:H125" si="1">+D70*F70</f>
        <v>40000</v>
      </c>
      <c r="L70"/>
    </row>
    <row r="71" spans="1:12" x14ac:dyDescent="0.25">
      <c r="A71" s="3">
        <v>46079.72755787037</v>
      </c>
      <c r="B71">
        <v>57</v>
      </c>
      <c r="C71" t="s">
        <v>25</v>
      </c>
      <c r="D71">
        <v>3000</v>
      </c>
      <c r="E71" t="s">
        <v>9</v>
      </c>
      <c r="F71">
        <v>3</v>
      </c>
      <c r="G71" s="4">
        <v>1</v>
      </c>
      <c r="H71">
        <f t="shared" si="1"/>
        <v>9000</v>
      </c>
      <c r="L71"/>
    </row>
    <row r="72" spans="1:12" x14ac:dyDescent="0.25">
      <c r="A72" s="3">
        <v>46079.752893518518</v>
      </c>
      <c r="B72">
        <v>58</v>
      </c>
      <c r="C72" t="s">
        <v>22</v>
      </c>
      <c r="D72">
        <v>8000</v>
      </c>
      <c r="E72" t="s">
        <v>8</v>
      </c>
      <c r="F72">
        <v>1</v>
      </c>
      <c r="G72" s="4">
        <v>1</v>
      </c>
      <c r="H72">
        <f t="shared" si="1"/>
        <v>8000</v>
      </c>
      <c r="L72"/>
    </row>
    <row r="73" spans="1:12" x14ac:dyDescent="0.25">
      <c r="A73" s="3">
        <v>46079.763055555559</v>
      </c>
      <c r="B73">
        <v>59</v>
      </c>
      <c r="C73" t="s">
        <v>22</v>
      </c>
      <c r="D73">
        <v>8000</v>
      </c>
      <c r="E73" t="s">
        <v>9</v>
      </c>
      <c r="F73">
        <v>1</v>
      </c>
      <c r="G73" s="4">
        <v>1</v>
      </c>
      <c r="H73">
        <f t="shared" si="1"/>
        <v>8000</v>
      </c>
      <c r="L73"/>
    </row>
    <row r="74" spans="1:12" x14ac:dyDescent="0.25">
      <c r="A74" s="3">
        <v>46079.764050925929</v>
      </c>
      <c r="B74">
        <v>60</v>
      </c>
      <c r="C74" t="s">
        <v>22</v>
      </c>
      <c r="D74">
        <v>8000</v>
      </c>
      <c r="E74" t="s">
        <v>8</v>
      </c>
      <c r="F74">
        <v>1</v>
      </c>
      <c r="G74" s="4">
        <v>1</v>
      </c>
      <c r="H74">
        <f t="shared" si="1"/>
        <v>8000</v>
      </c>
      <c r="L74"/>
    </row>
    <row r="75" spans="1:12" x14ac:dyDescent="0.25">
      <c r="A75" s="3">
        <v>46079.773599537039</v>
      </c>
      <c r="B75">
        <v>61</v>
      </c>
      <c r="C75" t="s">
        <v>22</v>
      </c>
      <c r="D75">
        <v>8000</v>
      </c>
      <c r="E75" t="s">
        <v>9</v>
      </c>
      <c r="F75">
        <v>1</v>
      </c>
      <c r="G75" s="4">
        <v>1</v>
      </c>
      <c r="H75">
        <f t="shared" si="1"/>
        <v>8000</v>
      </c>
      <c r="L75"/>
    </row>
    <row r="76" spans="1:12" x14ac:dyDescent="0.25">
      <c r="A76" s="3">
        <v>46079.794652777775</v>
      </c>
      <c r="B76">
        <v>62</v>
      </c>
      <c r="C76" t="s">
        <v>22</v>
      </c>
      <c r="D76">
        <v>8000</v>
      </c>
      <c r="E76" t="s">
        <v>8</v>
      </c>
      <c r="F76">
        <v>2</v>
      </c>
      <c r="G76" s="4">
        <v>1</v>
      </c>
      <c r="H76">
        <f t="shared" si="1"/>
        <v>16000</v>
      </c>
      <c r="L76"/>
    </row>
    <row r="77" spans="1:12" x14ac:dyDescent="0.25">
      <c r="A77" s="3">
        <v>46079.812418981484</v>
      </c>
      <c r="B77">
        <v>63</v>
      </c>
      <c r="C77" t="s">
        <v>22</v>
      </c>
      <c r="D77">
        <v>8000</v>
      </c>
      <c r="E77" t="s">
        <v>9</v>
      </c>
      <c r="F77">
        <v>2</v>
      </c>
      <c r="G77" s="4">
        <v>1</v>
      </c>
      <c r="H77">
        <f t="shared" si="1"/>
        <v>16000</v>
      </c>
      <c r="L77"/>
    </row>
    <row r="78" spans="1:12" x14ac:dyDescent="0.25">
      <c r="A78" s="3">
        <v>46079.812418981484</v>
      </c>
      <c r="B78">
        <v>63</v>
      </c>
      <c r="C78" t="s">
        <v>23</v>
      </c>
      <c r="D78">
        <v>3000</v>
      </c>
      <c r="E78" t="s">
        <v>9</v>
      </c>
      <c r="F78">
        <v>1</v>
      </c>
      <c r="G78" s="4">
        <v>1</v>
      </c>
      <c r="H78">
        <f t="shared" si="1"/>
        <v>3000</v>
      </c>
      <c r="L78"/>
    </row>
    <row r="79" spans="1:12" x14ac:dyDescent="0.25">
      <c r="A79" s="3">
        <v>46079.81355324074</v>
      </c>
      <c r="B79">
        <v>64</v>
      </c>
      <c r="C79" t="s">
        <v>22</v>
      </c>
      <c r="D79">
        <v>8000</v>
      </c>
      <c r="E79" t="s">
        <v>8</v>
      </c>
      <c r="F79">
        <v>1</v>
      </c>
      <c r="G79" s="4">
        <v>1</v>
      </c>
      <c r="H79">
        <f t="shared" si="1"/>
        <v>8000</v>
      </c>
      <c r="L79"/>
    </row>
    <row r="80" spans="1:12" x14ac:dyDescent="0.25">
      <c r="A80" s="3">
        <v>46079.814722222225</v>
      </c>
      <c r="B80">
        <v>65</v>
      </c>
      <c r="C80" t="s">
        <v>22</v>
      </c>
      <c r="D80">
        <v>8000</v>
      </c>
      <c r="E80" t="s">
        <v>8</v>
      </c>
      <c r="F80">
        <v>1</v>
      </c>
      <c r="G80" s="4">
        <v>1</v>
      </c>
      <c r="H80">
        <f t="shared" si="1"/>
        <v>8000</v>
      </c>
      <c r="L80"/>
    </row>
    <row r="81" spans="1:12" x14ac:dyDescent="0.25">
      <c r="A81" s="3">
        <v>46079.84375</v>
      </c>
      <c r="B81">
        <v>66</v>
      </c>
      <c r="C81" t="s">
        <v>22</v>
      </c>
      <c r="D81">
        <v>8000</v>
      </c>
      <c r="E81" t="s">
        <v>8</v>
      </c>
      <c r="F81">
        <v>1</v>
      </c>
      <c r="G81" s="4">
        <v>1</v>
      </c>
      <c r="H81">
        <f t="shared" si="1"/>
        <v>8000</v>
      </c>
      <c r="L81"/>
    </row>
    <row r="82" spans="1:12" x14ac:dyDescent="0.25">
      <c r="A82" s="3">
        <v>46079.84375</v>
      </c>
      <c r="B82">
        <v>66</v>
      </c>
      <c r="C82" t="s">
        <v>25</v>
      </c>
      <c r="D82">
        <v>3000</v>
      </c>
      <c r="E82" t="s">
        <v>8</v>
      </c>
      <c r="F82">
        <v>1</v>
      </c>
      <c r="G82" s="4">
        <v>1</v>
      </c>
      <c r="H82">
        <f t="shared" si="1"/>
        <v>3000</v>
      </c>
      <c r="L82"/>
    </row>
    <row r="83" spans="1:12" x14ac:dyDescent="0.25">
      <c r="A83" s="3">
        <v>46079.843946759262</v>
      </c>
      <c r="B83">
        <v>67</v>
      </c>
      <c r="C83" t="s">
        <v>22</v>
      </c>
      <c r="D83">
        <v>8000</v>
      </c>
      <c r="E83" t="s">
        <v>9</v>
      </c>
      <c r="F83">
        <v>1</v>
      </c>
      <c r="G83" s="4">
        <v>1</v>
      </c>
      <c r="H83">
        <f t="shared" si="1"/>
        <v>8000</v>
      </c>
      <c r="L83"/>
    </row>
    <row r="84" spans="1:12" x14ac:dyDescent="0.25">
      <c r="A84" s="3">
        <v>46079.844108796293</v>
      </c>
      <c r="B84">
        <v>68</v>
      </c>
      <c r="C84" t="s">
        <v>22</v>
      </c>
      <c r="D84">
        <v>8000</v>
      </c>
      <c r="E84" t="s">
        <v>9</v>
      </c>
      <c r="F84">
        <v>1</v>
      </c>
      <c r="G84" s="4">
        <v>1</v>
      </c>
      <c r="H84">
        <f t="shared" si="1"/>
        <v>8000</v>
      </c>
      <c r="L84"/>
    </row>
    <row r="85" spans="1:12" x14ac:dyDescent="0.25">
      <c r="A85" s="3">
        <v>46080.630173611113</v>
      </c>
      <c r="B85">
        <v>69</v>
      </c>
      <c r="C85" t="s">
        <v>22</v>
      </c>
      <c r="D85">
        <v>8000</v>
      </c>
      <c r="E85" t="s">
        <v>9</v>
      </c>
      <c r="F85">
        <v>1</v>
      </c>
      <c r="G85" s="4">
        <v>1</v>
      </c>
      <c r="H85">
        <f t="shared" si="1"/>
        <v>8000</v>
      </c>
      <c r="L85"/>
    </row>
    <row r="86" spans="1:12" x14ac:dyDescent="0.25">
      <c r="A86" s="3">
        <v>46080.630173611113</v>
      </c>
      <c r="B86">
        <v>69</v>
      </c>
      <c r="C86" t="s">
        <v>25</v>
      </c>
      <c r="D86">
        <v>3000</v>
      </c>
      <c r="E86" t="s">
        <v>9</v>
      </c>
      <c r="F86">
        <v>1</v>
      </c>
      <c r="G86" s="4">
        <v>1</v>
      </c>
      <c r="H86">
        <f t="shared" si="1"/>
        <v>3000</v>
      </c>
      <c r="L86"/>
    </row>
    <row r="87" spans="1:12" x14ac:dyDescent="0.25">
      <c r="A87" s="3">
        <v>46080.631249999999</v>
      </c>
      <c r="B87">
        <v>70</v>
      </c>
      <c r="C87" t="s">
        <v>22</v>
      </c>
      <c r="D87">
        <v>8000</v>
      </c>
      <c r="E87" t="s">
        <v>8</v>
      </c>
      <c r="F87">
        <v>1</v>
      </c>
      <c r="G87" s="4">
        <v>1</v>
      </c>
      <c r="H87">
        <f t="shared" si="1"/>
        <v>8000</v>
      </c>
      <c r="L87"/>
    </row>
    <row r="88" spans="1:12" x14ac:dyDescent="0.25">
      <c r="A88" s="3">
        <v>46080.715798611112</v>
      </c>
      <c r="B88">
        <v>71</v>
      </c>
      <c r="C88" t="s">
        <v>22</v>
      </c>
      <c r="D88">
        <v>8000</v>
      </c>
      <c r="E88" t="s">
        <v>8</v>
      </c>
      <c r="F88">
        <v>1</v>
      </c>
      <c r="G88" s="4">
        <v>1</v>
      </c>
      <c r="H88">
        <f t="shared" si="1"/>
        <v>8000</v>
      </c>
      <c r="L88"/>
    </row>
    <row r="89" spans="1:12" x14ac:dyDescent="0.25">
      <c r="A89" s="3">
        <v>46080.715798611112</v>
      </c>
      <c r="B89">
        <v>71</v>
      </c>
      <c r="C89" t="s">
        <v>24</v>
      </c>
      <c r="D89">
        <v>35000</v>
      </c>
      <c r="E89" t="s">
        <v>8</v>
      </c>
      <c r="F89">
        <v>1</v>
      </c>
      <c r="G89" s="4">
        <v>1</v>
      </c>
      <c r="H89">
        <f t="shared" si="1"/>
        <v>35000</v>
      </c>
      <c r="L89"/>
    </row>
    <row r="90" spans="1:12" x14ac:dyDescent="0.25">
      <c r="A90" s="3">
        <v>46080.715798611112</v>
      </c>
      <c r="B90">
        <v>71</v>
      </c>
      <c r="C90" t="s">
        <v>36</v>
      </c>
      <c r="D90">
        <v>2000</v>
      </c>
      <c r="E90" t="s">
        <v>8</v>
      </c>
      <c r="F90">
        <v>1</v>
      </c>
      <c r="G90" s="4">
        <v>1</v>
      </c>
      <c r="H90">
        <f t="shared" si="1"/>
        <v>2000</v>
      </c>
      <c r="L90"/>
    </row>
    <row r="91" spans="1:12" x14ac:dyDescent="0.25">
      <c r="A91" s="3">
        <v>46080.725428240738</v>
      </c>
      <c r="B91">
        <v>72</v>
      </c>
      <c r="C91" t="s">
        <v>22</v>
      </c>
      <c r="D91">
        <v>8000</v>
      </c>
      <c r="E91" t="s">
        <v>8</v>
      </c>
      <c r="F91">
        <v>3</v>
      </c>
      <c r="G91" s="4">
        <v>1</v>
      </c>
      <c r="H91">
        <f t="shared" si="1"/>
        <v>24000</v>
      </c>
      <c r="L91"/>
    </row>
    <row r="92" spans="1:12" x14ac:dyDescent="0.25">
      <c r="A92" s="3">
        <v>46080.725428240738</v>
      </c>
      <c r="B92">
        <v>72</v>
      </c>
      <c r="C92" t="s">
        <v>23</v>
      </c>
      <c r="D92">
        <v>3000</v>
      </c>
      <c r="E92" t="s">
        <v>8</v>
      </c>
      <c r="F92">
        <v>2</v>
      </c>
      <c r="G92" s="4">
        <v>1</v>
      </c>
      <c r="H92">
        <f t="shared" si="1"/>
        <v>6000</v>
      </c>
      <c r="L92"/>
    </row>
    <row r="93" spans="1:12" x14ac:dyDescent="0.25">
      <c r="A93" s="3">
        <v>46080.725428240738</v>
      </c>
      <c r="B93">
        <v>72</v>
      </c>
      <c r="C93" t="s">
        <v>24</v>
      </c>
      <c r="D93">
        <v>35000</v>
      </c>
      <c r="E93" t="s">
        <v>8</v>
      </c>
      <c r="F93">
        <v>1</v>
      </c>
      <c r="G93" s="4">
        <v>1</v>
      </c>
      <c r="H93">
        <f t="shared" si="1"/>
        <v>35000</v>
      </c>
      <c r="L93"/>
    </row>
    <row r="94" spans="1:12" x14ac:dyDescent="0.25">
      <c r="A94" s="3">
        <v>46080.742268518516</v>
      </c>
      <c r="B94">
        <v>73</v>
      </c>
      <c r="C94" t="s">
        <v>22</v>
      </c>
      <c r="D94">
        <v>8000</v>
      </c>
      <c r="E94" t="s">
        <v>8</v>
      </c>
      <c r="F94">
        <v>2</v>
      </c>
      <c r="G94" s="4">
        <v>1</v>
      </c>
      <c r="H94">
        <f t="shared" si="1"/>
        <v>16000</v>
      </c>
      <c r="L94"/>
    </row>
    <row r="95" spans="1:12" x14ac:dyDescent="0.25">
      <c r="A95" s="3">
        <v>46080.742268518516</v>
      </c>
      <c r="B95">
        <v>73</v>
      </c>
      <c r="C95" t="s">
        <v>23</v>
      </c>
      <c r="D95">
        <v>3000</v>
      </c>
      <c r="E95" t="s">
        <v>8</v>
      </c>
      <c r="F95">
        <v>1</v>
      </c>
      <c r="G95" s="4">
        <v>1</v>
      </c>
      <c r="H95">
        <f t="shared" si="1"/>
        <v>3000</v>
      </c>
      <c r="L95"/>
    </row>
    <row r="96" spans="1:12" x14ac:dyDescent="0.25">
      <c r="A96" s="3">
        <v>46080.761412037034</v>
      </c>
      <c r="B96">
        <v>74</v>
      </c>
      <c r="C96" t="s">
        <v>22</v>
      </c>
      <c r="D96">
        <v>8000</v>
      </c>
      <c r="E96" t="s">
        <v>9</v>
      </c>
      <c r="F96">
        <v>3</v>
      </c>
      <c r="G96" s="4">
        <v>1</v>
      </c>
      <c r="H96">
        <f t="shared" si="1"/>
        <v>24000</v>
      </c>
      <c r="L96"/>
    </row>
    <row r="97" spans="1:12" x14ac:dyDescent="0.25">
      <c r="A97" s="3">
        <v>46080.824016203704</v>
      </c>
      <c r="B97">
        <v>75</v>
      </c>
      <c r="C97" t="s">
        <v>20</v>
      </c>
      <c r="D97">
        <v>3000</v>
      </c>
      <c r="E97" t="s">
        <v>38</v>
      </c>
      <c r="F97">
        <v>1</v>
      </c>
      <c r="G97" s="4">
        <v>1</v>
      </c>
      <c r="H97">
        <f t="shared" si="1"/>
        <v>3000</v>
      </c>
      <c r="L97"/>
    </row>
    <row r="98" spans="1:12" x14ac:dyDescent="0.25">
      <c r="A98" s="3">
        <v>46080.824016203704</v>
      </c>
      <c r="B98">
        <v>75</v>
      </c>
      <c r="C98" t="s">
        <v>22</v>
      </c>
      <c r="D98">
        <v>8000</v>
      </c>
      <c r="E98" t="s">
        <v>38</v>
      </c>
      <c r="F98">
        <v>1</v>
      </c>
      <c r="G98" s="4">
        <v>1</v>
      </c>
      <c r="H98">
        <f t="shared" si="1"/>
        <v>8000</v>
      </c>
      <c r="L98"/>
    </row>
    <row r="99" spans="1:12" x14ac:dyDescent="0.25">
      <c r="A99" s="3">
        <v>46080.836365740739</v>
      </c>
      <c r="B99">
        <v>76</v>
      </c>
      <c r="C99" t="s">
        <v>22</v>
      </c>
      <c r="D99">
        <v>8000</v>
      </c>
      <c r="E99" t="s">
        <v>9</v>
      </c>
      <c r="F99">
        <v>2</v>
      </c>
      <c r="G99" s="4">
        <v>1</v>
      </c>
      <c r="H99">
        <f t="shared" si="1"/>
        <v>16000</v>
      </c>
      <c r="L99"/>
    </row>
    <row r="100" spans="1:12" x14ac:dyDescent="0.25">
      <c r="A100" s="3">
        <v>46080.837210648147</v>
      </c>
      <c r="B100">
        <v>77</v>
      </c>
      <c r="C100" t="s">
        <v>22</v>
      </c>
      <c r="D100">
        <v>8000</v>
      </c>
      <c r="E100" t="s">
        <v>8</v>
      </c>
      <c r="F100">
        <v>4</v>
      </c>
      <c r="G100" s="4">
        <v>1</v>
      </c>
      <c r="H100">
        <f t="shared" si="1"/>
        <v>32000</v>
      </c>
      <c r="L100"/>
    </row>
    <row r="101" spans="1:12" x14ac:dyDescent="0.25">
      <c r="A101" s="3">
        <v>46080.837210648147</v>
      </c>
      <c r="B101">
        <v>77</v>
      </c>
      <c r="C101" t="s">
        <v>23</v>
      </c>
      <c r="D101">
        <v>3000</v>
      </c>
      <c r="E101" t="s">
        <v>8</v>
      </c>
      <c r="F101">
        <v>3</v>
      </c>
      <c r="G101" s="4">
        <v>1</v>
      </c>
      <c r="H101">
        <f t="shared" si="1"/>
        <v>9000</v>
      </c>
      <c r="L101"/>
    </row>
    <row r="102" spans="1:12" x14ac:dyDescent="0.25">
      <c r="A102" s="3">
        <v>46080.83902777778</v>
      </c>
      <c r="B102">
        <v>78</v>
      </c>
      <c r="C102" t="s">
        <v>22</v>
      </c>
      <c r="D102">
        <v>8000</v>
      </c>
      <c r="E102" t="s">
        <v>8</v>
      </c>
      <c r="F102">
        <v>1</v>
      </c>
      <c r="G102" s="4">
        <v>1</v>
      </c>
      <c r="H102">
        <f t="shared" si="1"/>
        <v>8000</v>
      </c>
      <c r="L102"/>
    </row>
    <row r="103" spans="1:12" x14ac:dyDescent="0.25">
      <c r="A103" s="3">
        <v>46081.78979166667</v>
      </c>
      <c r="B103">
        <v>79</v>
      </c>
      <c r="C103" t="s">
        <v>21</v>
      </c>
      <c r="D103">
        <v>4500</v>
      </c>
      <c r="E103" t="s">
        <v>8</v>
      </c>
      <c r="F103">
        <v>6</v>
      </c>
      <c r="G103" s="4">
        <v>1</v>
      </c>
      <c r="H103">
        <f t="shared" si="1"/>
        <v>27000</v>
      </c>
      <c r="L103"/>
    </row>
    <row r="104" spans="1:12" x14ac:dyDescent="0.25">
      <c r="A104" s="3">
        <v>46081.790231481478</v>
      </c>
      <c r="B104">
        <v>80</v>
      </c>
      <c r="C104" t="s">
        <v>22</v>
      </c>
      <c r="D104">
        <v>8000</v>
      </c>
      <c r="E104" t="s">
        <v>9</v>
      </c>
      <c r="F104">
        <v>2</v>
      </c>
      <c r="G104" s="4">
        <v>1</v>
      </c>
      <c r="H104">
        <f t="shared" si="1"/>
        <v>16000</v>
      </c>
    </row>
    <row r="105" spans="1:12" x14ac:dyDescent="0.25">
      <c r="A105" s="3">
        <v>46081.790960648148</v>
      </c>
      <c r="B105">
        <v>81</v>
      </c>
      <c r="C105" t="s">
        <v>20</v>
      </c>
      <c r="D105">
        <v>3000</v>
      </c>
      <c r="E105" t="s">
        <v>9</v>
      </c>
      <c r="F105">
        <v>1</v>
      </c>
      <c r="G105" s="4">
        <v>1</v>
      </c>
      <c r="H105">
        <f t="shared" si="1"/>
        <v>3000</v>
      </c>
    </row>
    <row r="106" spans="1:12" x14ac:dyDescent="0.25">
      <c r="A106" s="3">
        <v>46081.790960648148</v>
      </c>
      <c r="B106">
        <v>81</v>
      </c>
      <c r="C106" t="s">
        <v>22</v>
      </c>
      <c r="D106">
        <v>8000</v>
      </c>
      <c r="E106" t="s">
        <v>9</v>
      </c>
      <c r="F106">
        <v>1</v>
      </c>
      <c r="G106" s="4">
        <v>1</v>
      </c>
      <c r="H106">
        <f t="shared" si="1"/>
        <v>8000</v>
      </c>
    </row>
    <row r="107" spans="1:12" x14ac:dyDescent="0.25">
      <c r="A107" s="3">
        <v>46081.790960648148</v>
      </c>
      <c r="B107">
        <v>81</v>
      </c>
      <c r="C107" t="s">
        <v>36</v>
      </c>
      <c r="D107">
        <v>2000</v>
      </c>
      <c r="E107" t="s">
        <v>9</v>
      </c>
      <c r="F107">
        <v>1</v>
      </c>
      <c r="G107" s="4">
        <v>1</v>
      </c>
      <c r="H107">
        <f t="shared" si="1"/>
        <v>2000</v>
      </c>
    </row>
    <row r="108" spans="1:12" x14ac:dyDescent="0.25">
      <c r="A108" s="3">
        <v>46081.792407407411</v>
      </c>
      <c r="B108">
        <v>82</v>
      </c>
      <c r="C108" t="s">
        <v>22</v>
      </c>
      <c r="D108">
        <v>8000</v>
      </c>
      <c r="E108" t="s">
        <v>8</v>
      </c>
      <c r="F108">
        <v>2</v>
      </c>
      <c r="G108" s="4">
        <v>1</v>
      </c>
      <c r="H108">
        <f t="shared" si="1"/>
        <v>16000</v>
      </c>
    </row>
    <row r="109" spans="1:12" x14ac:dyDescent="0.25">
      <c r="A109" s="3">
        <v>46081.792407407411</v>
      </c>
      <c r="B109">
        <v>82</v>
      </c>
      <c r="C109" t="s">
        <v>23</v>
      </c>
      <c r="D109">
        <v>3000</v>
      </c>
      <c r="E109" t="s">
        <v>8</v>
      </c>
      <c r="F109">
        <v>1</v>
      </c>
      <c r="G109" s="4">
        <v>1</v>
      </c>
      <c r="H109">
        <f t="shared" si="1"/>
        <v>3000</v>
      </c>
    </row>
    <row r="110" spans="1:12" x14ac:dyDescent="0.25">
      <c r="A110" s="3">
        <v>46081.793206018519</v>
      </c>
      <c r="B110">
        <v>83</v>
      </c>
      <c r="C110" t="s">
        <v>22</v>
      </c>
      <c r="D110">
        <v>8000</v>
      </c>
      <c r="E110" t="s">
        <v>8</v>
      </c>
      <c r="F110">
        <v>2</v>
      </c>
      <c r="G110" s="4">
        <v>1</v>
      </c>
      <c r="H110">
        <f t="shared" si="1"/>
        <v>16000</v>
      </c>
    </row>
    <row r="111" spans="1:12" x14ac:dyDescent="0.25">
      <c r="A111" s="3">
        <v>46081.793206018519</v>
      </c>
      <c r="B111">
        <v>83</v>
      </c>
      <c r="C111" t="s">
        <v>23</v>
      </c>
      <c r="D111">
        <v>3000</v>
      </c>
      <c r="E111" t="s">
        <v>8</v>
      </c>
      <c r="F111">
        <v>1</v>
      </c>
      <c r="G111" s="4">
        <v>1</v>
      </c>
      <c r="H111">
        <f t="shared" si="1"/>
        <v>3000</v>
      </c>
    </row>
    <row r="112" spans="1:12" x14ac:dyDescent="0.25">
      <c r="A112" s="3">
        <v>46081.793865740743</v>
      </c>
      <c r="B112">
        <v>84</v>
      </c>
      <c r="C112" t="s">
        <v>22</v>
      </c>
      <c r="D112">
        <v>8000</v>
      </c>
      <c r="E112" t="s">
        <v>8</v>
      </c>
      <c r="F112">
        <v>1</v>
      </c>
      <c r="G112" s="4">
        <v>1</v>
      </c>
      <c r="H112">
        <f t="shared" si="1"/>
        <v>8000</v>
      </c>
    </row>
    <row r="113" spans="1:8" x14ac:dyDescent="0.25">
      <c r="A113" s="3">
        <v>46081.793865740743</v>
      </c>
      <c r="B113">
        <v>84</v>
      </c>
      <c r="C113" t="s">
        <v>23</v>
      </c>
      <c r="D113">
        <v>3000</v>
      </c>
      <c r="E113" t="s">
        <v>8</v>
      </c>
      <c r="F113">
        <v>1</v>
      </c>
      <c r="G113" s="4">
        <v>1</v>
      </c>
      <c r="H113">
        <f t="shared" si="1"/>
        <v>3000</v>
      </c>
    </row>
    <row r="114" spans="1:8" x14ac:dyDescent="0.25">
      <c r="A114" s="3">
        <v>46081.794421296298</v>
      </c>
      <c r="B114">
        <v>85</v>
      </c>
      <c r="C114" t="s">
        <v>22</v>
      </c>
      <c r="D114">
        <v>8000</v>
      </c>
      <c r="E114" t="s">
        <v>8</v>
      </c>
      <c r="F114">
        <v>4</v>
      </c>
      <c r="G114" s="4">
        <v>1</v>
      </c>
      <c r="H114">
        <f t="shared" si="1"/>
        <v>32000</v>
      </c>
    </row>
    <row r="115" spans="1:8" x14ac:dyDescent="0.25">
      <c r="A115" s="3">
        <v>46081.794421296298</v>
      </c>
      <c r="B115">
        <v>85</v>
      </c>
      <c r="C115" t="s">
        <v>23</v>
      </c>
      <c r="D115">
        <v>3000</v>
      </c>
      <c r="E115" t="s">
        <v>8</v>
      </c>
      <c r="F115">
        <v>2</v>
      </c>
      <c r="G115" s="4">
        <v>1</v>
      </c>
      <c r="H115">
        <f t="shared" si="1"/>
        <v>6000</v>
      </c>
    </row>
    <row r="116" spans="1:8" x14ac:dyDescent="0.25">
      <c r="A116" s="3">
        <v>46081.794652777775</v>
      </c>
      <c r="B116">
        <v>86</v>
      </c>
      <c r="C116" t="s">
        <v>22</v>
      </c>
      <c r="D116">
        <v>8000</v>
      </c>
      <c r="E116" t="s">
        <v>8</v>
      </c>
      <c r="F116">
        <v>2</v>
      </c>
      <c r="G116" s="4">
        <v>1</v>
      </c>
      <c r="H116">
        <f t="shared" si="1"/>
        <v>16000</v>
      </c>
    </row>
    <row r="117" spans="1:8" x14ac:dyDescent="0.25">
      <c r="A117" s="3">
        <v>46081.795092592591</v>
      </c>
      <c r="B117">
        <v>87</v>
      </c>
      <c r="C117" t="s">
        <v>22</v>
      </c>
      <c r="D117">
        <v>8000</v>
      </c>
      <c r="E117" t="s">
        <v>8</v>
      </c>
      <c r="F117">
        <v>3</v>
      </c>
      <c r="G117" s="4">
        <v>1</v>
      </c>
      <c r="H117">
        <f t="shared" si="1"/>
        <v>24000</v>
      </c>
    </row>
    <row r="118" spans="1:8" x14ac:dyDescent="0.25">
      <c r="A118" s="3">
        <v>46081.795092592591</v>
      </c>
      <c r="B118">
        <v>87</v>
      </c>
      <c r="C118" t="s">
        <v>44</v>
      </c>
      <c r="D118">
        <v>4500</v>
      </c>
      <c r="E118" t="s">
        <v>8</v>
      </c>
      <c r="F118">
        <v>1</v>
      </c>
      <c r="G118" s="4">
        <v>1</v>
      </c>
      <c r="H118">
        <f t="shared" si="1"/>
        <v>4500</v>
      </c>
    </row>
    <row r="119" spans="1:8" x14ac:dyDescent="0.25">
      <c r="A119" s="3">
        <v>46081.795497685183</v>
      </c>
      <c r="B119">
        <v>88</v>
      </c>
      <c r="C119" t="s">
        <v>24</v>
      </c>
      <c r="D119">
        <v>35000</v>
      </c>
      <c r="E119" t="s">
        <v>8</v>
      </c>
      <c r="F119">
        <v>1</v>
      </c>
      <c r="G119" s="4">
        <v>1</v>
      </c>
      <c r="H119">
        <f t="shared" si="1"/>
        <v>35000</v>
      </c>
    </row>
    <row r="120" spans="1:8" x14ac:dyDescent="0.25">
      <c r="A120" s="3">
        <v>46081.795729166668</v>
      </c>
      <c r="B120">
        <v>89</v>
      </c>
      <c r="C120" t="s">
        <v>24</v>
      </c>
      <c r="D120">
        <v>35000</v>
      </c>
      <c r="E120" t="s">
        <v>8</v>
      </c>
      <c r="F120">
        <v>1</v>
      </c>
      <c r="G120" s="4">
        <v>1</v>
      </c>
      <c r="H120">
        <f t="shared" si="1"/>
        <v>35000</v>
      </c>
    </row>
    <row r="121" spans="1:8" x14ac:dyDescent="0.25">
      <c r="A121" s="3">
        <v>46081.7971875</v>
      </c>
      <c r="B121">
        <v>90</v>
      </c>
      <c r="C121" t="s">
        <v>45</v>
      </c>
      <c r="D121">
        <v>48000</v>
      </c>
      <c r="E121" t="s">
        <v>8</v>
      </c>
      <c r="F121">
        <v>1</v>
      </c>
      <c r="G121" s="4">
        <v>1</v>
      </c>
      <c r="H121">
        <f t="shared" si="1"/>
        <v>48000</v>
      </c>
    </row>
    <row r="122" spans="1:8" x14ac:dyDescent="0.25">
      <c r="A122" s="3">
        <v>46081.797511574077</v>
      </c>
      <c r="B122">
        <v>91</v>
      </c>
      <c r="C122" t="s">
        <v>46</v>
      </c>
      <c r="D122">
        <v>70000</v>
      </c>
      <c r="E122" t="s">
        <v>8</v>
      </c>
      <c r="F122">
        <v>2</v>
      </c>
      <c r="G122" s="4">
        <v>1</v>
      </c>
      <c r="H122">
        <f t="shared" si="1"/>
        <v>140000</v>
      </c>
    </row>
    <row r="123" spans="1:8" x14ac:dyDescent="0.25">
      <c r="A123" s="3">
        <v>46081.797662037039</v>
      </c>
      <c r="B123">
        <v>92</v>
      </c>
      <c r="C123" t="s">
        <v>47</v>
      </c>
      <c r="D123">
        <v>40000</v>
      </c>
      <c r="E123" t="s">
        <v>8</v>
      </c>
      <c r="F123">
        <v>1</v>
      </c>
      <c r="G123" s="4">
        <v>1</v>
      </c>
      <c r="H123">
        <f t="shared" si="1"/>
        <v>40000</v>
      </c>
    </row>
    <row r="124" spans="1:8" x14ac:dyDescent="0.25">
      <c r="A124" s="3">
        <v>46081.799027777779</v>
      </c>
      <c r="B124">
        <v>93</v>
      </c>
      <c r="C124" t="s">
        <v>21</v>
      </c>
      <c r="D124">
        <v>4500</v>
      </c>
      <c r="E124" t="s">
        <v>9</v>
      </c>
      <c r="F124">
        <v>4</v>
      </c>
      <c r="G124" s="4">
        <v>1</v>
      </c>
      <c r="H124">
        <f t="shared" si="1"/>
        <v>18000</v>
      </c>
    </row>
    <row r="125" spans="1:8" x14ac:dyDescent="0.25">
      <c r="G12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682F5-2240-40E3-8757-D662123D57DF}">
  <sheetPr>
    <tabColor rgb="FFFFFF00"/>
  </sheetPr>
  <dimension ref="A1:H121"/>
  <sheetViews>
    <sheetView tabSelected="1" workbookViewId="0">
      <selection activeCell="H2" sqref="H2:H121"/>
    </sheetView>
  </sheetViews>
  <sheetFormatPr baseColWidth="10" defaultRowHeight="15" x14ac:dyDescent="0.25"/>
  <cols>
    <col min="1" max="1" width="15.7109375" bestFit="1" customWidth="1"/>
    <col min="4" max="4" width="15.5703125" bestFit="1" customWidth="1"/>
    <col min="5" max="5" width="11.7109375" customWidth="1"/>
    <col min="6" max="6" width="8.5703125" bestFit="1" customWidth="1"/>
    <col min="8" max="8" width="12.5703125" bestFit="1" customWidth="1"/>
  </cols>
  <sheetData>
    <row r="1" spans="1:8" x14ac:dyDescent="0.25">
      <c r="A1" t="str">
        <f>sales!A4</f>
        <v>fecha</v>
      </c>
      <c r="B1" t="str">
        <f>sales!B4</f>
        <v>id_factura</v>
      </c>
      <c r="C1" t="str">
        <f>sales!C4</f>
        <v>nombre_producto</v>
      </c>
      <c r="D1" t="str">
        <f>sales!D4</f>
        <v>precio_producto</v>
      </c>
      <c r="E1" t="str">
        <f>sales!E4</f>
        <v>tipo_cuenta</v>
      </c>
      <c r="F1" t="str">
        <f>sales!F4</f>
        <v>cantidad</v>
      </c>
      <c r="G1" t="str">
        <f>sales!G4</f>
        <v>Recuento de id_item</v>
      </c>
      <c r="H1" t="str">
        <f>sales!H4</f>
        <v>valor_factura</v>
      </c>
    </row>
    <row r="2" spans="1:8" x14ac:dyDescent="0.25">
      <c r="A2" s="12">
        <f>sales!A5</f>
        <v>46076.692083333335</v>
      </c>
      <c r="B2">
        <f>sales!B5</f>
        <v>2</v>
      </c>
      <c r="C2" t="str">
        <f>sales!C5</f>
        <v>Chorizo</v>
      </c>
      <c r="D2">
        <f>sales!D5</f>
        <v>8000</v>
      </c>
      <c r="E2" t="str">
        <f>sales!E5</f>
        <v>EFECTIVO</v>
      </c>
      <c r="F2">
        <f>sales!F5</f>
        <v>2</v>
      </c>
      <c r="G2">
        <f>sales!G5</f>
        <v>1</v>
      </c>
      <c r="H2">
        <f>sales!H5</f>
        <v>16000</v>
      </c>
    </row>
    <row r="3" spans="1:8" x14ac:dyDescent="0.25">
      <c r="A3" s="12">
        <f>sales!A6</f>
        <v>46076.709675925929</v>
      </c>
      <c r="B3">
        <f>sales!B6</f>
        <v>3</v>
      </c>
      <c r="C3" t="str">
        <f>sales!C6</f>
        <v>Chorizo</v>
      </c>
      <c r="D3">
        <f>sales!D6</f>
        <v>8000</v>
      </c>
      <c r="E3" t="str">
        <f>sales!E6</f>
        <v>NEQUI</v>
      </c>
      <c r="F3">
        <f>sales!F6</f>
        <v>1</v>
      </c>
      <c r="G3">
        <f>sales!G6</f>
        <v>1</v>
      </c>
      <c r="H3">
        <f>sales!H6</f>
        <v>8000</v>
      </c>
    </row>
    <row r="4" spans="1:8" x14ac:dyDescent="0.25">
      <c r="A4" s="12">
        <f>sales!A7</f>
        <v>46076.717372685183</v>
      </c>
      <c r="B4">
        <f>sales!B7</f>
        <v>4</v>
      </c>
      <c r="C4" t="str">
        <f>sales!C7</f>
        <v>Chorizo</v>
      </c>
      <c r="D4">
        <f>sales!D7</f>
        <v>8000</v>
      </c>
      <c r="E4" t="str">
        <f>sales!E7</f>
        <v>EFECTIVO</v>
      </c>
      <c r="F4">
        <f>sales!F7</f>
        <v>2</v>
      </c>
      <c r="G4">
        <f>sales!G7</f>
        <v>1</v>
      </c>
      <c r="H4">
        <f>sales!H7</f>
        <v>16000</v>
      </c>
    </row>
    <row r="5" spans="1:8" x14ac:dyDescent="0.25">
      <c r="A5" s="12">
        <f>sales!A8</f>
        <v>46076.717372685183</v>
      </c>
      <c r="B5">
        <f>sales!B8</f>
        <v>4</v>
      </c>
      <c r="C5" t="str">
        <f>sales!C8</f>
        <v>Coca cola</v>
      </c>
      <c r="D5">
        <f>sales!D8</f>
        <v>3000</v>
      </c>
      <c r="E5" t="str">
        <f>sales!E8</f>
        <v>EFECTIVO</v>
      </c>
      <c r="F5">
        <f>sales!F8</f>
        <v>2</v>
      </c>
      <c r="G5">
        <f>sales!G8</f>
        <v>1</v>
      </c>
      <c r="H5">
        <f>sales!H8</f>
        <v>6000</v>
      </c>
    </row>
    <row r="6" spans="1:8" x14ac:dyDescent="0.25">
      <c r="A6" s="12">
        <f>sales!A9</f>
        <v>46076.72047453704</v>
      </c>
      <c r="B6">
        <f>sales!B9</f>
        <v>5</v>
      </c>
      <c r="C6" t="str">
        <f>sales!C9</f>
        <v>Chorizo</v>
      </c>
      <c r="D6">
        <f>sales!D9</f>
        <v>8000</v>
      </c>
      <c r="E6" t="str">
        <f>sales!E9</f>
        <v>NEQUI</v>
      </c>
      <c r="F6">
        <f>sales!F9</f>
        <v>3</v>
      </c>
      <c r="G6">
        <f>sales!G9</f>
        <v>1</v>
      </c>
      <c r="H6">
        <f>sales!H9</f>
        <v>24000</v>
      </c>
    </row>
    <row r="7" spans="1:8" x14ac:dyDescent="0.25">
      <c r="A7" s="12">
        <f>sales!A10</f>
        <v>46076.750289351854</v>
      </c>
      <c r="B7">
        <f>sales!B10</f>
        <v>6</v>
      </c>
      <c r="C7" t="str">
        <f>sales!C10</f>
        <v>Agua</v>
      </c>
      <c r="D7">
        <f>sales!D10</f>
        <v>3000</v>
      </c>
      <c r="E7" t="str">
        <f>sales!E10</f>
        <v>EFECTIVO</v>
      </c>
      <c r="F7">
        <f>sales!F10</f>
        <v>2</v>
      </c>
      <c r="G7">
        <f>sales!G10</f>
        <v>1</v>
      </c>
      <c r="H7">
        <f>sales!H10</f>
        <v>6000</v>
      </c>
    </row>
    <row r="8" spans="1:8" x14ac:dyDescent="0.25">
      <c r="A8" s="12">
        <f>sales!A11</f>
        <v>46076.750289351854</v>
      </c>
      <c r="B8">
        <f>sales!B11</f>
        <v>6</v>
      </c>
      <c r="C8" t="str">
        <f>sales!C11</f>
        <v>Chorizo</v>
      </c>
      <c r="D8">
        <f>sales!D11</f>
        <v>8000</v>
      </c>
      <c r="E8" t="str">
        <f>sales!E11</f>
        <v>EFECTIVO</v>
      </c>
      <c r="F8">
        <f>sales!F11</f>
        <v>2</v>
      </c>
      <c r="G8">
        <f>sales!G11</f>
        <v>1</v>
      </c>
      <c r="H8">
        <f>sales!H11</f>
        <v>16000</v>
      </c>
    </row>
    <row r="9" spans="1:8" x14ac:dyDescent="0.25">
      <c r="A9" s="12">
        <f>sales!A12</f>
        <v>46076.751967592594</v>
      </c>
      <c r="B9">
        <f>sales!B12</f>
        <v>7</v>
      </c>
      <c r="C9" t="str">
        <f>sales!C12</f>
        <v>Chorizo</v>
      </c>
      <c r="D9">
        <f>sales!D12</f>
        <v>8000</v>
      </c>
      <c r="E9" t="str">
        <f>sales!E12</f>
        <v>EFECTIVO</v>
      </c>
      <c r="F9">
        <f>sales!F12</f>
        <v>2</v>
      </c>
      <c r="G9">
        <f>sales!G12</f>
        <v>1</v>
      </c>
      <c r="H9">
        <f>sales!H12</f>
        <v>16000</v>
      </c>
    </row>
    <row r="10" spans="1:8" x14ac:dyDescent="0.25">
      <c r="A10" s="12">
        <f>sales!A13</f>
        <v>46076.751967592594</v>
      </c>
      <c r="B10">
        <f>sales!B13</f>
        <v>7</v>
      </c>
      <c r="C10" t="str">
        <f>sales!C13</f>
        <v>Postobon</v>
      </c>
      <c r="D10">
        <f>sales!D13</f>
        <v>3000</v>
      </c>
      <c r="E10" t="str">
        <f>sales!E13</f>
        <v>EFECTIVO</v>
      </c>
      <c r="F10">
        <f>sales!F13</f>
        <v>1</v>
      </c>
      <c r="G10">
        <f>sales!G13</f>
        <v>1</v>
      </c>
      <c r="H10">
        <f>sales!H13</f>
        <v>3000</v>
      </c>
    </row>
    <row r="11" spans="1:8" x14ac:dyDescent="0.25">
      <c r="A11" s="12">
        <f>sales!A14</f>
        <v>46076.787222222221</v>
      </c>
      <c r="B11">
        <f>sales!B14</f>
        <v>8</v>
      </c>
      <c r="C11" t="str">
        <f>sales!C14</f>
        <v>Chorizo</v>
      </c>
      <c r="D11">
        <f>sales!D14</f>
        <v>8000</v>
      </c>
      <c r="E11" t="str">
        <f>sales!E14</f>
        <v>EFECTIVO</v>
      </c>
      <c r="F11">
        <f>sales!F14</f>
        <v>1</v>
      </c>
      <c r="G11">
        <f>sales!G14</f>
        <v>1</v>
      </c>
      <c r="H11">
        <f>sales!H14</f>
        <v>8000</v>
      </c>
    </row>
    <row r="12" spans="1:8" x14ac:dyDescent="0.25">
      <c r="A12" s="12">
        <f>sales!A15</f>
        <v>46076.795474537037</v>
      </c>
      <c r="B12">
        <f>sales!B15</f>
        <v>9</v>
      </c>
      <c r="C12" t="str">
        <f>sales!C15</f>
        <v>Chorizo</v>
      </c>
      <c r="D12">
        <f>sales!D15</f>
        <v>8000</v>
      </c>
      <c r="E12" t="str">
        <f>sales!E15</f>
        <v>EFECTIVO</v>
      </c>
      <c r="F12">
        <f>sales!F15</f>
        <v>2</v>
      </c>
      <c r="G12">
        <f>sales!G15</f>
        <v>1</v>
      </c>
      <c r="H12">
        <f>sales!H15</f>
        <v>16000</v>
      </c>
    </row>
    <row r="13" spans="1:8" x14ac:dyDescent="0.25">
      <c r="A13" s="12">
        <f>sales!A16</f>
        <v>46076.795474537037</v>
      </c>
      <c r="B13">
        <f>sales!B16</f>
        <v>9</v>
      </c>
      <c r="C13" t="str">
        <f>sales!C16</f>
        <v>Coca cola</v>
      </c>
      <c r="D13">
        <f>sales!D16</f>
        <v>3000</v>
      </c>
      <c r="E13" t="str">
        <f>sales!E16</f>
        <v>EFECTIVO</v>
      </c>
      <c r="F13">
        <f>sales!F16</f>
        <v>2</v>
      </c>
      <c r="G13">
        <f>sales!G16</f>
        <v>1</v>
      </c>
      <c r="H13">
        <f>sales!H16</f>
        <v>6000</v>
      </c>
    </row>
    <row r="14" spans="1:8" x14ac:dyDescent="0.25">
      <c r="A14" s="12">
        <f>sales!A17</f>
        <v>46076.818287037036</v>
      </c>
      <c r="B14">
        <f>sales!B17</f>
        <v>10</v>
      </c>
      <c r="C14" t="str">
        <f>sales!C17</f>
        <v>Chorizo</v>
      </c>
      <c r="D14">
        <f>sales!D17</f>
        <v>8000</v>
      </c>
      <c r="E14" t="str">
        <f>sales!E17</f>
        <v>EFECTIVO</v>
      </c>
      <c r="F14">
        <f>sales!F17</f>
        <v>3</v>
      </c>
      <c r="G14">
        <f>sales!G17</f>
        <v>1</v>
      </c>
      <c r="H14">
        <f>sales!H17</f>
        <v>24000</v>
      </c>
    </row>
    <row r="15" spans="1:8" x14ac:dyDescent="0.25">
      <c r="A15" s="12">
        <f>sales!A18</f>
        <v>46076.841643518521</v>
      </c>
      <c r="B15">
        <f>sales!B18</f>
        <v>11</v>
      </c>
      <c r="C15" t="str">
        <f>sales!C18</f>
        <v>Chorizo</v>
      </c>
      <c r="D15">
        <f>sales!D18</f>
        <v>8000</v>
      </c>
      <c r="E15" t="str">
        <f>sales!E18</f>
        <v>EFECTIVO</v>
      </c>
      <c r="F15">
        <f>sales!F18</f>
        <v>1</v>
      </c>
      <c r="G15">
        <f>sales!G18</f>
        <v>1</v>
      </c>
      <c r="H15">
        <f>sales!H18</f>
        <v>8000</v>
      </c>
    </row>
    <row r="16" spans="1:8" x14ac:dyDescent="0.25">
      <c r="A16" s="12">
        <f>sales!A19</f>
        <v>46076.843854166669</v>
      </c>
      <c r="B16">
        <f>sales!B19</f>
        <v>12</v>
      </c>
      <c r="C16" t="str">
        <f>sales!C19</f>
        <v>Chorizo</v>
      </c>
      <c r="D16">
        <f>sales!D19</f>
        <v>8000</v>
      </c>
      <c r="E16" t="str">
        <f>sales!E19</f>
        <v>EFECTIVO</v>
      </c>
      <c r="F16">
        <f>sales!F19</f>
        <v>1</v>
      </c>
      <c r="G16">
        <f>sales!G19</f>
        <v>1</v>
      </c>
      <c r="H16">
        <f>sales!H19</f>
        <v>8000</v>
      </c>
    </row>
    <row r="17" spans="1:8" x14ac:dyDescent="0.25">
      <c r="A17" s="12">
        <f>sales!A20</f>
        <v>46076.845659722225</v>
      </c>
      <c r="B17">
        <f>sales!B20</f>
        <v>13</v>
      </c>
      <c r="C17" t="str">
        <f>sales!C20</f>
        <v>Chorizo</v>
      </c>
      <c r="D17">
        <f>sales!D20</f>
        <v>8000</v>
      </c>
      <c r="E17" t="str">
        <f>sales!E20</f>
        <v>EFECTIVO</v>
      </c>
      <c r="F17">
        <f>sales!F20</f>
        <v>1</v>
      </c>
      <c r="G17">
        <f>sales!G20</f>
        <v>1</v>
      </c>
      <c r="H17">
        <f>sales!H20</f>
        <v>8000</v>
      </c>
    </row>
    <row r="18" spans="1:8" x14ac:dyDescent="0.25">
      <c r="A18" s="12">
        <f>sales!A21</f>
        <v>46076.845659722225</v>
      </c>
      <c r="B18">
        <f>sales!B21</f>
        <v>13</v>
      </c>
      <c r="C18" t="str">
        <f>sales!C21</f>
        <v>Postobon</v>
      </c>
      <c r="D18">
        <f>sales!D21</f>
        <v>3000</v>
      </c>
      <c r="E18" t="str">
        <f>sales!E21</f>
        <v>EFECTIVO</v>
      </c>
      <c r="F18">
        <f>sales!F21</f>
        <v>1</v>
      </c>
      <c r="G18">
        <f>sales!G21</f>
        <v>1</v>
      </c>
      <c r="H18">
        <f>sales!H21</f>
        <v>3000</v>
      </c>
    </row>
    <row r="19" spans="1:8" x14ac:dyDescent="0.25">
      <c r="A19" s="12">
        <f>sales!A22</f>
        <v>46076.850243055553</v>
      </c>
      <c r="B19">
        <f>sales!B22</f>
        <v>14</v>
      </c>
      <c r="C19" t="str">
        <f>sales!C22</f>
        <v>Chorizo</v>
      </c>
      <c r="D19">
        <f>sales!D22</f>
        <v>8000</v>
      </c>
      <c r="E19" t="str">
        <f>sales!E22</f>
        <v>EFECTIVO</v>
      </c>
      <c r="F19">
        <f>sales!F22</f>
        <v>3</v>
      </c>
      <c r="G19">
        <f>sales!G22</f>
        <v>1</v>
      </c>
      <c r="H19">
        <f>sales!H22</f>
        <v>24000</v>
      </c>
    </row>
    <row r="20" spans="1:8" x14ac:dyDescent="0.25">
      <c r="A20" s="12">
        <f>sales!A23</f>
        <v>46076.852650462963</v>
      </c>
      <c r="B20">
        <f>sales!B23</f>
        <v>15</v>
      </c>
      <c r="C20" t="str">
        <f>sales!C23</f>
        <v>Chorizo</v>
      </c>
      <c r="D20">
        <f>sales!D23</f>
        <v>8000</v>
      </c>
      <c r="E20" t="str">
        <f>sales!E23</f>
        <v>EFECTIVO</v>
      </c>
      <c r="F20">
        <f>sales!F23</f>
        <v>1</v>
      </c>
      <c r="G20">
        <f>sales!G23</f>
        <v>1</v>
      </c>
      <c r="H20">
        <f>sales!H23</f>
        <v>8000</v>
      </c>
    </row>
    <row r="21" spans="1:8" x14ac:dyDescent="0.25">
      <c r="A21" s="12">
        <f>sales!A24</f>
        <v>46077.648680555554</v>
      </c>
      <c r="B21">
        <f>sales!B24</f>
        <v>16</v>
      </c>
      <c r="C21" t="str">
        <f>sales!C24</f>
        <v>Chorizo</v>
      </c>
      <c r="D21">
        <f>sales!D24</f>
        <v>8000</v>
      </c>
      <c r="E21" t="str">
        <f>sales!E24</f>
        <v>EFECTIVO</v>
      </c>
      <c r="F21">
        <f>sales!F24</f>
        <v>5</v>
      </c>
      <c r="G21">
        <f>sales!G24</f>
        <v>1</v>
      </c>
      <c r="H21">
        <f>sales!H24</f>
        <v>40000</v>
      </c>
    </row>
    <row r="22" spans="1:8" x14ac:dyDescent="0.25">
      <c r="A22" s="12">
        <f>sales!A25</f>
        <v>46077.649351851855</v>
      </c>
      <c r="B22">
        <f>sales!B25</f>
        <v>17</v>
      </c>
      <c r="C22" t="str">
        <f>sales!C25</f>
        <v>Chorizo</v>
      </c>
      <c r="D22">
        <f>sales!D25</f>
        <v>8000</v>
      </c>
      <c r="E22" t="str">
        <f>sales!E25</f>
        <v>EFECTIVO</v>
      </c>
      <c r="F22">
        <f>sales!F25</f>
        <v>3</v>
      </c>
      <c r="G22">
        <f>sales!G25</f>
        <v>1</v>
      </c>
      <c r="H22">
        <f>sales!H25</f>
        <v>24000</v>
      </c>
    </row>
    <row r="23" spans="1:8" x14ac:dyDescent="0.25">
      <c r="A23" s="12">
        <f>sales!A26</f>
        <v>46077.740034722221</v>
      </c>
      <c r="B23">
        <f>sales!B26</f>
        <v>18</v>
      </c>
      <c r="C23" t="str">
        <f>sales!C26</f>
        <v>Chorizo</v>
      </c>
      <c r="D23">
        <f>sales!D26</f>
        <v>8000</v>
      </c>
      <c r="E23" t="str">
        <f>sales!E26</f>
        <v>EFECTIVO</v>
      </c>
      <c r="F23">
        <f>sales!F26</f>
        <v>1</v>
      </c>
      <c r="G23">
        <f>sales!G26</f>
        <v>1</v>
      </c>
      <c r="H23">
        <f>sales!H26</f>
        <v>8000</v>
      </c>
    </row>
    <row r="24" spans="1:8" x14ac:dyDescent="0.25">
      <c r="A24" s="12">
        <f>sales!A27</f>
        <v>46077.759606481479</v>
      </c>
      <c r="B24">
        <f>sales!B27</f>
        <v>19</v>
      </c>
      <c r="C24" t="str">
        <f>sales!C27</f>
        <v>Chorizo</v>
      </c>
      <c r="D24">
        <f>sales!D27</f>
        <v>8000</v>
      </c>
      <c r="E24" t="str">
        <f>sales!E27</f>
        <v>EFECTIVO</v>
      </c>
      <c r="F24">
        <f>sales!F27</f>
        <v>1</v>
      </c>
      <c r="G24">
        <f>sales!G27</f>
        <v>1</v>
      </c>
      <c r="H24">
        <f>sales!H27</f>
        <v>8000</v>
      </c>
    </row>
    <row r="25" spans="1:8" x14ac:dyDescent="0.25">
      <c r="A25" s="12">
        <f>sales!A28</f>
        <v>46077.774178240739</v>
      </c>
      <c r="B25">
        <f>sales!B28</f>
        <v>20</v>
      </c>
      <c r="C25" t="str">
        <f>sales!C28</f>
        <v>Chorizo</v>
      </c>
      <c r="D25">
        <f>sales!D28</f>
        <v>8000</v>
      </c>
      <c r="E25" t="str">
        <f>sales!E28</f>
        <v>EFECTIVO</v>
      </c>
      <c r="F25">
        <f>sales!F28</f>
        <v>2</v>
      </c>
      <c r="G25">
        <f>sales!G28</f>
        <v>1</v>
      </c>
      <c r="H25">
        <f>sales!H28</f>
        <v>16000</v>
      </c>
    </row>
    <row r="26" spans="1:8" x14ac:dyDescent="0.25">
      <c r="A26" s="12">
        <f>sales!A29</f>
        <v>46077.775185185186</v>
      </c>
      <c r="B26">
        <f>sales!B29</f>
        <v>21</v>
      </c>
      <c r="C26" t="str">
        <f>sales!C29</f>
        <v>Chorizo</v>
      </c>
      <c r="D26">
        <f>sales!D29</f>
        <v>8000</v>
      </c>
      <c r="E26" t="str">
        <f>sales!E29</f>
        <v>EFECTIVO</v>
      </c>
      <c r="F26">
        <f>sales!F29</f>
        <v>1</v>
      </c>
      <c r="G26">
        <f>sales!G29</f>
        <v>1</v>
      </c>
      <c r="H26">
        <f>sales!H29</f>
        <v>8000</v>
      </c>
    </row>
    <row r="27" spans="1:8" x14ac:dyDescent="0.25">
      <c r="A27" s="12">
        <f>sales!A30</f>
        <v>46077.77952546296</v>
      </c>
      <c r="B27">
        <f>sales!B30</f>
        <v>22</v>
      </c>
      <c r="C27" t="str">
        <f>sales!C30</f>
        <v>Chori- CRUDO</v>
      </c>
      <c r="D27">
        <f>sales!D30</f>
        <v>4500</v>
      </c>
      <c r="E27" t="str">
        <f>sales!E30</f>
        <v>EFECTIVO</v>
      </c>
      <c r="F27">
        <f>sales!F30</f>
        <v>2</v>
      </c>
      <c r="G27">
        <f>sales!G30</f>
        <v>1</v>
      </c>
      <c r="H27">
        <f>sales!H30</f>
        <v>9000</v>
      </c>
    </row>
    <row r="28" spans="1:8" x14ac:dyDescent="0.25">
      <c r="A28" s="12">
        <f>sales!A31</f>
        <v>46077.77952546296</v>
      </c>
      <c r="B28">
        <f>sales!B31</f>
        <v>22</v>
      </c>
      <c r="C28" t="str">
        <f>sales!C31</f>
        <v>Chorizo</v>
      </c>
      <c r="D28">
        <f>sales!D31</f>
        <v>8000</v>
      </c>
      <c r="E28" t="str">
        <f>sales!E31</f>
        <v>EFECTIVO</v>
      </c>
      <c r="F28">
        <f>sales!F31</f>
        <v>1</v>
      </c>
      <c r="G28">
        <f>sales!G31</f>
        <v>1</v>
      </c>
      <c r="H28">
        <f>sales!H31</f>
        <v>8000</v>
      </c>
    </row>
    <row r="29" spans="1:8" x14ac:dyDescent="0.25">
      <c r="A29" s="12">
        <f>sales!A32</f>
        <v>46077.797152777777</v>
      </c>
      <c r="B29">
        <f>sales!B32</f>
        <v>23</v>
      </c>
      <c r="C29" t="str">
        <f>sales!C32</f>
        <v>Chorizo</v>
      </c>
      <c r="D29">
        <f>sales!D32</f>
        <v>8000</v>
      </c>
      <c r="E29" t="str">
        <f>sales!E32</f>
        <v>EFECTIVO</v>
      </c>
      <c r="F29">
        <f>sales!F32</f>
        <v>1</v>
      </c>
      <c r="G29">
        <f>sales!G32</f>
        <v>1</v>
      </c>
      <c r="H29">
        <f>sales!H32</f>
        <v>8000</v>
      </c>
    </row>
    <row r="30" spans="1:8" x14ac:dyDescent="0.25">
      <c r="A30" s="12">
        <f>sales!A33</f>
        <v>46077.834386574075</v>
      </c>
      <c r="B30">
        <f>sales!B33</f>
        <v>24</v>
      </c>
      <c r="C30" t="str">
        <f>sales!C33</f>
        <v>Chorizo</v>
      </c>
      <c r="D30">
        <f>sales!D33</f>
        <v>8000</v>
      </c>
      <c r="E30" t="str">
        <f>sales!E33</f>
        <v>NEQUI</v>
      </c>
      <c r="F30">
        <f>sales!F33</f>
        <v>1</v>
      </c>
      <c r="G30">
        <f>sales!G33</f>
        <v>1</v>
      </c>
      <c r="H30">
        <f>sales!H33</f>
        <v>8000</v>
      </c>
    </row>
    <row r="31" spans="1:8" x14ac:dyDescent="0.25">
      <c r="A31" s="12">
        <f>sales!A34</f>
        <v>46077.836875000001</v>
      </c>
      <c r="B31">
        <f>sales!B34</f>
        <v>25</v>
      </c>
      <c r="C31" t="str">
        <f>sales!C34</f>
        <v>Chorizo</v>
      </c>
      <c r="D31">
        <f>sales!D34</f>
        <v>8000</v>
      </c>
      <c r="E31" t="str">
        <f>sales!E34</f>
        <v>EFECTIVO</v>
      </c>
      <c r="F31">
        <f>sales!F34</f>
        <v>1</v>
      </c>
      <c r="G31">
        <f>sales!G34</f>
        <v>1</v>
      </c>
      <c r="H31">
        <f>sales!H34</f>
        <v>8000</v>
      </c>
    </row>
    <row r="32" spans="1:8" x14ac:dyDescent="0.25">
      <c r="A32" s="12">
        <f>sales!A35</f>
        <v>46077.847013888888</v>
      </c>
      <c r="B32">
        <f>sales!B35</f>
        <v>26</v>
      </c>
      <c r="C32" t="str">
        <f>sales!C35</f>
        <v>Agua</v>
      </c>
      <c r="D32">
        <f>sales!D35</f>
        <v>3000</v>
      </c>
      <c r="E32" t="str">
        <f>sales!E35</f>
        <v>EFECTIVO</v>
      </c>
      <c r="F32">
        <f>sales!F35</f>
        <v>1</v>
      </c>
      <c r="G32">
        <f>sales!G35</f>
        <v>1</v>
      </c>
      <c r="H32">
        <f>sales!H35</f>
        <v>3000</v>
      </c>
    </row>
    <row r="33" spans="1:8" x14ac:dyDescent="0.25">
      <c r="A33" s="12">
        <f>sales!A36</f>
        <v>46077.847013888888</v>
      </c>
      <c r="B33">
        <f>sales!B36</f>
        <v>26</v>
      </c>
      <c r="C33" t="str">
        <f>sales!C36</f>
        <v>Chorizo</v>
      </c>
      <c r="D33">
        <f>sales!D36</f>
        <v>8000</v>
      </c>
      <c r="E33" t="str">
        <f>sales!E36</f>
        <v>EFECTIVO</v>
      </c>
      <c r="F33">
        <f>sales!F36</f>
        <v>3</v>
      </c>
      <c r="G33">
        <f>sales!G36</f>
        <v>1</v>
      </c>
      <c r="H33">
        <f>sales!H36</f>
        <v>24000</v>
      </c>
    </row>
    <row r="34" spans="1:8" x14ac:dyDescent="0.25">
      <c r="A34" s="12">
        <f>sales!A37</f>
        <v>46077.847013888888</v>
      </c>
      <c r="B34">
        <f>sales!B37</f>
        <v>26</v>
      </c>
      <c r="C34" t="str">
        <f>sales!C37</f>
        <v>Postobon</v>
      </c>
      <c r="D34">
        <f>sales!D37</f>
        <v>3000</v>
      </c>
      <c r="E34" t="str">
        <f>sales!E37</f>
        <v>EFECTIVO</v>
      </c>
      <c r="F34">
        <f>sales!F37</f>
        <v>1</v>
      </c>
      <c r="G34">
        <f>sales!G37</f>
        <v>1</v>
      </c>
      <c r="H34">
        <f>sales!H37</f>
        <v>3000</v>
      </c>
    </row>
    <row r="35" spans="1:8" x14ac:dyDescent="0.25">
      <c r="A35" s="12">
        <f>sales!A38</f>
        <v>46077.849872685183</v>
      </c>
      <c r="B35">
        <f>sales!B38</f>
        <v>27</v>
      </c>
      <c r="C35" t="str">
        <f>sales!C38</f>
        <v>Chorizo</v>
      </c>
      <c r="D35">
        <f>sales!D38</f>
        <v>8000</v>
      </c>
      <c r="E35" t="str">
        <f>sales!E38</f>
        <v>EFECTIVO</v>
      </c>
      <c r="F35">
        <f>sales!F38</f>
        <v>4</v>
      </c>
      <c r="G35">
        <f>sales!G38</f>
        <v>1</v>
      </c>
      <c r="H35">
        <f>sales!H38</f>
        <v>32000</v>
      </c>
    </row>
    <row r="36" spans="1:8" x14ac:dyDescent="0.25">
      <c r="A36" s="12">
        <f>sales!A39</f>
        <v>46077.849872685183</v>
      </c>
      <c r="B36">
        <f>sales!B39</f>
        <v>27</v>
      </c>
      <c r="C36" t="str">
        <f>sales!C39</f>
        <v>Coca cola</v>
      </c>
      <c r="D36">
        <f>sales!D39</f>
        <v>3000</v>
      </c>
      <c r="E36" t="str">
        <f>sales!E39</f>
        <v>EFECTIVO</v>
      </c>
      <c r="F36">
        <f>sales!F39</f>
        <v>2</v>
      </c>
      <c r="G36">
        <f>sales!G39</f>
        <v>1</v>
      </c>
      <c r="H36">
        <f>sales!H39</f>
        <v>6000</v>
      </c>
    </row>
    <row r="37" spans="1:8" x14ac:dyDescent="0.25">
      <c r="A37" s="12">
        <f>sales!A40</f>
        <v>46077.867604166669</v>
      </c>
      <c r="B37">
        <f>sales!B40</f>
        <v>28</v>
      </c>
      <c r="C37" t="str">
        <f>sales!C40</f>
        <v>Chorizo</v>
      </c>
      <c r="D37">
        <f>sales!D40</f>
        <v>8000</v>
      </c>
      <c r="E37" t="str">
        <f>sales!E40</f>
        <v>EFECTIVO</v>
      </c>
      <c r="F37">
        <f>sales!F40</f>
        <v>1</v>
      </c>
      <c r="G37">
        <f>sales!G40</f>
        <v>1</v>
      </c>
      <c r="H37">
        <f>sales!H40</f>
        <v>8000</v>
      </c>
    </row>
    <row r="38" spans="1:8" x14ac:dyDescent="0.25">
      <c r="A38" s="12">
        <f>sales!A41</f>
        <v>46078.578043981484</v>
      </c>
      <c r="B38">
        <f>sales!B41</f>
        <v>29</v>
      </c>
      <c r="C38" t="str">
        <f>sales!C41</f>
        <v>Chorizo</v>
      </c>
      <c r="D38">
        <f>sales!D41</f>
        <v>8000</v>
      </c>
      <c r="E38" t="str">
        <f>sales!E41</f>
        <v>EFECTIVO</v>
      </c>
      <c r="F38">
        <f>sales!F41</f>
        <v>1</v>
      </c>
      <c r="G38">
        <f>sales!G41</f>
        <v>1</v>
      </c>
      <c r="H38">
        <f>sales!H41</f>
        <v>8000</v>
      </c>
    </row>
    <row r="39" spans="1:8" x14ac:dyDescent="0.25">
      <c r="A39" s="12">
        <f>sales!A42</f>
        <v>46078.579907407409</v>
      </c>
      <c r="B39">
        <f>sales!B42</f>
        <v>30</v>
      </c>
      <c r="C39" t="str">
        <f>sales!C42</f>
        <v>Chorizo</v>
      </c>
      <c r="D39">
        <f>sales!D42</f>
        <v>8000</v>
      </c>
      <c r="E39" t="str">
        <f>sales!E42</f>
        <v>EFECTIVO</v>
      </c>
      <c r="F39">
        <f>sales!F42</f>
        <v>1</v>
      </c>
      <c r="G39">
        <f>sales!G42</f>
        <v>1</v>
      </c>
      <c r="H39">
        <f>sales!H42</f>
        <v>8000</v>
      </c>
    </row>
    <row r="40" spans="1:8" x14ac:dyDescent="0.25">
      <c r="A40" s="12">
        <f>sales!A43</f>
        <v>46078.58693287037</v>
      </c>
      <c r="B40">
        <f>sales!B43</f>
        <v>31</v>
      </c>
      <c r="C40" t="str">
        <f>sales!C43</f>
        <v>Chorizo</v>
      </c>
      <c r="D40">
        <f>sales!D43</f>
        <v>8000</v>
      </c>
      <c r="E40" t="str">
        <f>sales!E43</f>
        <v>EFECTIVO</v>
      </c>
      <c r="F40">
        <f>sales!F43</f>
        <v>1</v>
      </c>
      <c r="G40">
        <f>sales!G43</f>
        <v>1</v>
      </c>
      <c r="H40">
        <f>sales!H43</f>
        <v>8000</v>
      </c>
    </row>
    <row r="41" spans="1:8" x14ac:dyDescent="0.25">
      <c r="A41" s="12">
        <f>sales!A44</f>
        <v>46078.59138888889</v>
      </c>
      <c r="B41">
        <f>sales!B44</f>
        <v>32</v>
      </c>
      <c r="C41" t="str">
        <f>sales!C44</f>
        <v>parri tres carnes</v>
      </c>
      <c r="D41">
        <f>sales!D44</f>
        <v>35000</v>
      </c>
      <c r="E41" t="str">
        <f>sales!E44</f>
        <v>EFECTIVO</v>
      </c>
      <c r="F41">
        <f>sales!F44</f>
        <v>1</v>
      </c>
      <c r="G41">
        <f>sales!G44</f>
        <v>1</v>
      </c>
      <c r="H41">
        <f>sales!H44</f>
        <v>35000</v>
      </c>
    </row>
    <row r="42" spans="1:8" x14ac:dyDescent="0.25">
      <c r="A42" s="12">
        <f>sales!A45</f>
        <v>46078.600636574076</v>
      </c>
      <c r="B42">
        <f>sales!B45</f>
        <v>34</v>
      </c>
      <c r="C42" t="str">
        <f>sales!C45</f>
        <v>parri tres carnes</v>
      </c>
      <c r="D42">
        <f>sales!D45</f>
        <v>35000</v>
      </c>
      <c r="E42" t="str">
        <f>sales!E45</f>
        <v>EFECTIVO</v>
      </c>
      <c r="F42">
        <f>sales!F45</f>
        <v>1</v>
      </c>
      <c r="G42">
        <f>sales!G45</f>
        <v>1</v>
      </c>
      <c r="H42">
        <f>sales!H45</f>
        <v>35000</v>
      </c>
    </row>
    <row r="43" spans="1:8" x14ac:dyDescent="0.25">
      <c r="A43" s="12">
        <f>sales!A46</f>
        <v>46078.601261574076</v>
      </c>
      <c r="B43">
        <f>sales!B46</f>
        <v>35</v>
      </c>
      <c r="C43" t="str">
        <f>sales!C46</f>
        <v>Chorizo</v>
      </c>
      <c r="D43">
        <f>sales!D46</f>
        <v>8000</v>
      </c>
      <c r="E43" t="str">
        <f>sales!E46</f>
        <v>EFECTIVO</v>
      </c>
      <c r="F43">
        <f>sales!F46</f>
        <v>2</v>
      </c>
      <c r="G43">
        <f>sales!G46</f>
        <v>1</v>
      </c>
      <c r="H43">
        <f>sales!H46</f>
        <v>16000</v>
      </c>
    </row>
    <row r="44" spans="1:8" x14ac:dyDescent="0.25">
      <c r="A44" s="12">
        <f>sales!A47</f>
        <v>46078.694513888891</v>
      </c>
      <c r="B44">
        <f>sales!B47</f>
        <v>36</v>
      </c>
      <c r="C44" t="str">
        <f>sales!C47</f>
        <v>Chorizo</v>
      </c>
      <c r="D44">
        <f>sales!D47</f>
        <v>8000</v>
      </c>
      <c r="E44" t="str">
        <f>sales!E47</f>
        <v>EFECTIVO</v>
      </c>
      <c r="F44">
        <f>sales!F47</f>
        <v>1</v>
      </c>
      <c r="G44">
        <f>sales!G47</f>
        <v>1</v>
      </c>
      <c r="H44">
        <f>sales!H47</f>
        <v>8000</v>
      </c>
    </row>
    <row r="45" spans="1:8" x14ac:dyDescent="0.25">
      <c r="A45" s="12">
        <f>sales!A48</f>
        <v>46078.695300925923</v>
      </c>
      <c r="B45">
        <f>sales!B48</f>
        <v>37</v>
      </c>
      <c r="C45" t="str">
        <f>sales!C48</f>
        <v>Chorizo</v>
      </c>
      <c r="D45">
        <f>sales!D48</f>
        <v>8000</v>
      </c>
      <c r="E45" t="str">
        <f>sales!E48</f>
        <v>NEQUI</v>
      </c>
      <c r="F45">
        <f>sales!F48</f>
        <v>1</v>
      </c>
      <c r="G45">
        <f>sales!G48</f>
        <v>1</v>
      </c>
      <c r="H45">
        <f>sales!H48</f>
        <v>8000</v>
      </c>
    </row>
    <row r="46" spans="1:8" x14ac:dyDescent="0.25">
      <c r="A46" s="12">
        <f>sales!A49</f>
        <v>46078.762141203704</v>
      </c>
      <c r="B46">
        <f>sales!B49</f>
        <v>38</v>
      </c>
      <c r="C46" t="str">
        <f>sales!C49</f>
        <v>Chorizo</v>
      </c>
      <c r="D46">
        <f>sales!D49</f>
        <v>8000</v>
      </c>
      <c r="E46" t="str">
        <f>sales!E49</f>
        <v>EFECTIVO</v>
      </c>
      <c r="F46">
        <f>sales!F49</f>
        <v>1</v>
      </c>
      <c r="G46">
        <f>sales!G49</f>
        <v>1</v>
      </c>
      <c r="H46">
        <f>sales!H49</f>
        <v>8000</v>
      </c>
    </row>
    <row r="47" spans="1:8" x14ac:dyDescent="0.25">
      <c r="A47" s="12">
        <f>sales!A50</f>
        <v>46078.764027777775</v>
      </c>
      <c r="B47">
        <f>sales!B50</f>
        <v>39</v>
      </c>
      <c r="C47" t="str">
        <f>sales!C50</f>
        <v>Chorizo</v>
      </c>
      <c r="D47">
        <f>sales!D50</f>
        <v>8000</v>
      </c>
      <c r="E47" t="str">
        <f>sales!E50</f>
        <v>EFECTIVO</v>
      </c>
      <c r="F47">
        <f>sales!F50</f>
        <v>1</v>
      </c>
      <c r="G47">
        <f>sales!G50</f>
        <v>1</v>
      </c>
      <c r="H47">
        <f>sales!H50</f>
        <v>8000</v>
      </c>
    </row>
    <row r="48" spans="1:8" x14ac:dyDescent="0.25">
      <c r="A48" s="12">
        <f>sales!A51</f>
        <v>46078.768379629626</v>
      </c>
      <c r="B48">
        <f>sales!B51</f>
        <v>41</v>
      </c>
      <c r="C48" t="str">
        <f>sales!C51</f>
        <v>Chorizo</v>
      </c>
      <c r="D48">
        <f>sales!D51</f>
        <v>8000</v>
      </c>
      <c r="E48" t="str">
        <f>sales!E51</f>
        <v>EFECTIVO</v>
      </c>
      <c r="F48">
        <f>sales!F51</f>
        <v>1</v>
      </c>
      <c r="G48">
        <f>sales!G51</f>
        <v>1</v>
      </c>
      <c r="H48">
        <f>sales!H51</f>
        <v>8000</v>
      </c>
    </row>
    <row r="49" spans="1:8" x14ac:dyDescent="0.25">
      <c r="A49" s="12">
        <f>sales!A52</f>
        <v>46078.77375</v>
      </c>
      <c r="B49">
        <f>sales!B52</f>
        <v>42</v>
      </c>
      <c r="C49" t="str">
        <f>sales!C52</f>
        <v>Chorizo</v>
      </c>
      <c r="D49">
        <f>sales!D52</f>
        <v>8000</v>
      </c>
      <c r="E49" t="str">
        <f>sales!E52</f>
        <v>EFECTIVO</v>
      </c>
      <c r="F49">
        <f>sales!F52</f>
        <v>5</v>
      </c>
      <c r="G49">
        <f>sales!G52</f>
        <v>1</v>
      </c>
      <c r="H49">
        <f>sales!H52</f>
        <v>40000</v>
      </c>
    </row>
    <row r="50" spans="1:8" x14ac:dyDescent="0.25">
      <c r="A50" s="12">
        <f>sales!A53</f>
        <v>46078.774247685185</v>
      </c>
      <c r="B50">
        <f>sales!B53</f>
        <v>43</v>
      </c>
      <c r="C50" t="str">
        <f>sales!C53</f>
        <v>Coca cola</v>
      </c>
      <c r="D50">
        <f>sales!D53</f>
        <v>3000</v>
      </c>
      <c r="E50" t="str">
        <f>sales!E53</f>
        <v>EFECTIVO</v>
      </c>
      <c r="F50">
        <f>sales!F53</f>
        <v>2</v>
      </c>
      <c r="G50">
        <f>sales!G53</f>
        <v>1</v>
      </c>
      <c r="H50">
        <f>sales!H53</f>
        <v>6000</v>
      </c>
    </row>
    <row r="51" spans="1:8" x14ac:dyDescent="0.25">
      <c r="A51" s="12">
        <f>sales!A54</f>
        <v>46078.774247685185</v>
      </c>
      <c r="B51">
        <f>sales!B54</f>
        <v>43</v>
      </c>
      <c r="C51" t="str">
        <f>sales!C54</f>
        <v>Postobon</v>
      </c>
      <c r="D51">
        <f>sales!D54</f>
        <v>3000</v>
      </c>
      <c r="E51" t="str">
        <f>sales!E54</f>
        <v>EFECTIVO</v>
      </c>
      <c r="F51">
        <f>sales!F54</f>
        <v>1</v>
      </c>
      <c r="G51">
        <f>sales!G54</f>
        <v>1</v>
      </c>
      <c r="H51">
        <f>sales!H54</f>
        <v>3000</v>
      </c>
    </row>
    <row r="52" spans="1:8" x14ac:dyDescent="0.25">
      <c r="A52" s="12">
        <f>sales!A55</f>
        <v>46078.777766203704</v>
      </c>
      <c r="B52">
        <f>sales!B55</f>
        <v>44</v>
      </c>
      <c r="C52" t="str">
        <f>sales!C55</f>
        <v>Chorizo</v>
      </c>
      <c r="D52">
        <f>sales!D55</f>
        <v>8000</v>
      </c>
      <c r="E52" t="str">
        <f>sales!E55</f>
        <v>EFECTIVO</v>
      </c>
      <c r="F52">
        <f>sales!F55</f>
        <v>3</v>
      </c>
      <c r="G52">
        <f>sales!G55</f>
        <v>1</v>
      </c>
      <c r="H52">
        <f>sales!H55</f>
        <v>24000</v>
      </c>
    </row>
    <row r="53" spans="1:8" x14ac:dyDescent="0.25">
      <c r="A53" s="12">
        <f>sales!A56</f>
        <v>46078.799016203702</v>
      </c>
      <c r="B53">
        <f>sales!B56</f>
        <v>45</v>
      </c>
      <c r="C53" t="str">
        <f>sales!C56</f>
        <v>Chorizo</v>
      </c>
      <c r="D53">
        <f>sales!D56</f>
        <v>8000</v>
      </c>
      <c r="E53" t="str">
        <f>sales!E56</f>
        <v>NEQUI</v>
      </c>
      <c r="F53">
        <f>sales!F56</f>
        <v>1</v>
      </c>
      <c r="G53">
        <f>sales!G56</f>
        <v>1</v>
      </c>
      <c r="H53">
        <f>sales!H56</f>
        <v>8000</v>
      </c>
    </row>
    <row r="54" spans="1:8" x14ac:dyDescent="0.25">
      <c r="A54" s="12">
        <f>sales!A57</f>
        <v>46078.800497685188</v>
      </c>
      <c r="B54">
        <f>sales!B57</f>
        <v>46</v>
      </c>
      <c r="C54" t="str">
        <f>sales!C57</f>
        <v>Chorizo</v>
      </c>
      <c r="D54">
        <f>sales!D57</f>
        <v>8000</v>
      </c>
      <c r="E54" t="str">
        <f>sales!E57</f>
        <v>EFECTIVO</v>
      </c>
      <c r="F54">
        <f>sales!F57</f>
        <v>1</v>
      </c>
      <c r="G54">
        <f>sales!G57</f>
        <v>1</v>
      </c>
      <c r="H54">
        <f>sales!H57</f>
        <v>8000</v>
      </c>
    </row>
    <row r="55" spans="1:8" x14ac:dyDescent="0.25">
      <c r="A55" s="12">
        <f>sales!A58</f>
        <v>46078.800497685188</v>
      </c>
      <c r="B55">
        <f>sales!B58</f>
        <v>46</v>
      </c>
      <c r="C55" t="str">
        <f>sales!C58</f>
        <v>Coca cola</v>
      </c>
      <c r="D55">
        <f>sales!D58</f>
        <v>3000</v>
      </c>
      <c r="E55" t="str">
        <f>sales!E58</f>
        <v>EFECTIVO</v>
      </c>
      <c r="F55">
        <f>sales!F58</f>
        <v>1</v>
      </c>
      <c r="G55">
        <f>sales!G58</f>
        <v>1</v>
      </c>
      <c r="H55">
        <f>sales!H58</f>
        <v>3000</v>
      </c>
    </row>
    <row r="56" spans="1:8" x14ac:dyDescent="0.25">
      <c r="A56" s="12">
        <f>sales!A59</f>
        <v>46078.806875000002</v>
      </c>
      <c r="B56">
        <f>sales!B59</f>
        <v>47</v>
      </c>
      <c r="C56" t="str">
        <f>sales!C59</f>
        <v>Chori- CRUDO</v>
      </c>
      <c r="D56">
        <f>sales!D59</f>
        <v>4500</v>
      </c>
      <c r="E56" t="str">
        <f>sales!E59</f>
        <v>NEQUI</v>
      </c>
      <c r="F56">
        <f>sales!F59</f>
        <v>5</v>
      </c>
      <c r="G56">
        <f>sales!G59</f>
        <v>1</v>
      </c>
      <c r="H56">
        <f>sales!H59</f>
        <v>22500</v>
      </c>
    </row>
    <row r="57" spans="1:8" x14ac:dyDescent="0.25">
      <c r="A57" s="12">
        <f>sales!A60</f>
        <v>46078.81894675926</v>
      </c>
      <c r="B57">
        <f>sales!B60</f>
        <v>48</v>
      </c>
      <c r="C57" t="str">
        <f>sales!C60</f>
        <v>parri tres carnes</v>
      </c>
      <c r="D57">
        <f>sales!D60</f>
        <v>35000</v>
      </c>
      <c r="E57" t="str">
        <f>sales!E60</f>
        <v>EFECTIVO</v>
      </c>
      <c r="F57">
        <f>sales!F60</f>
        <v>1</v>
      </c>
      <c r="G57">
        <f>sales!G60</f>
        <v>1</v>
      </c>
      <c r="H57">
        <f>sales!H60</f>
        <v>35000</v>
      </c>
    </row>
    <row r="58" spans="1:8" x14ac:dyDescent="0.25">
      <c r="A58" s="12">
        <f>sales!A61</f>
        <v>46078.81894675926</v>
      </c>
      <c r="B58">
        <f>sales!B61</f>
        <v>48</v>
      </c>
      <c r="C58" t="str">
        <f>sales!C61</f>
        <v>Postobon</v>
      </c>
      <c r="D58">
        <f>sales!D61</f>
        <v>3000</v>
      </c>
      <c r="E58" t="str">
        <f>sales!E61</f>
        <v>EFECTIVO</v>
      </c>
      <c r="F58">
        <f>sales!F61</f>
        <v>1</v>
      </c>
      <c r="G58">
        <f>sales!G61</f>
        <v>1</v>
      </c>
      <c r="H58">
        <f>sales!H61</f>
        <v>3000</v>
      </c>
    </row>
    <row r="59" spans="1:8" x14ac:dyDescent="0.25">
      <c r="A59" s="12">
        <f>sales!A62</f>
        <v>46078.819791666669</v>
      </c>
      <c r="B59">
        <f>sales!B62</f>
        <v>49</v>
      </c>
      <c r="C59" t="str">
        <f>sales!C62</f>
        <v>Chorizo</v>
      </c>
      <c r="D59">
        <f>sales!D62</f>
        <v>8000</v>
      </c>
      <c r="E59" t="str">
        <f>sales!E62</f>
        <v>EFECTIVO</v>
      </c>
      <c r="F59">
        <f>sales!F62</f>
        <v>2</v>
      </c>
      <c r="G59">
        <f>sales!G62</f>
        <v>1</v>
      </c>
      <c r="H59">
        <f>sales!H62</f>
        <v>16000</v>
      </c>
    </row>
    <row r="60" spans="1:8" x14ac:dyDescent="0.25">
      <c r="A60" s="12">
        <f>sales!A63</f>
        <v>46078.83253472222</v>
      </c>
      <c r="B60">
        <f>sales!B63</f>
        <v>50</v>
      </c>
      <c r="C60" t="str">
        <f>sales!C63</f>
        <v>Chorizo</v>
      </c>
      <c r="D60">
        <f>sales!D63</f>
        <v>8000</v>
      </c>
      <c r="E60" t="str">
        <f>sales!E63</f>
        <v>EFECTIVO</v>
      </c>
      <c r="F60">
        <f>sales!F63</f>
        <v>2</v>
      </c>
      <c r="G60">
        <f>sales!G63</f>
        <v>1</v>
      </c>
      <c r="H60">
        <f>sales!H63</f>
        <v>16000</v>
      </c>
    </row>
    <row r="61" spans="1:8" x14ac:dyDescent="0.25">
      <c r="A61" s="12">
        <f>sales!A64</f>
        <v>46078.838090277779</v>
      </c>
      <c r="B61">
        <f>sales!B64</f>
        <v>51</v>
      </c>
      <c r="C61" t="str">
        <f>sales!C64</f>
        <v>Chorizo</v>
      </c>
      <c r="D61">
        <f>sales!D64</f>
        <v>8000</v>
      </c>
      <c r="E61" t="str">
        <f>sales!E64</f>
        <v>EFECTIVO</v>
      </c>
      <c r="F61">
        <f>sales!F64</f>
        <v>4</v>
      </c>
      <c r="G61">
        <f>sales!G64</f>
        <v>1</v>
      </c>
      <c r="H61">
        <f>sales!H64</f>
        <v>32000</v>
      </c>
    </row>
    <row r="62" spans="1:8" x14ac:dyDescent="0.25">
      <c r="A62" s="12">
        <f>sales!A65</f>
        <v>46078.841678240744</v>
      </c>
      <c r="B62">
        <f>sales!B65</f>
        <v>52</v>
      </c>
      <c r="C62" t="str">
        <f>sales!C65</f>
        <v>Chorizo</v>
      </c>
      <c r="D62">
        <f>sales!D65</f>
        <v>8000</v>
      </c>
      <c r="E62" t="str">
        <f>sales!E65</f>
        <v>NEQUI</v>
      </c>
      <c r="F62">
        <f>sales!F65</f>
        <v>1</v>
      </c>
      <c r="G62">
        <f>sales!G65</f>
        <v>1</v>
      </c>
      <c r="H62">
        <f>sales!H65</f>
        <v>8000</v>
      </c>
    </row>
    <row r="63" spans="1:8" x14ac:dyDescent="0.25">
      <c r="A63" s="12">
        <f>sales!A66</f>
        <v>46078.848043981481</v>
      </c>
      <c r="B63">
        <f>sales!B66</f>
        <v>53</v>
      </c>
      <c r="C63" t="str">
        <f>sales!C66</f>
        <v>Chorizo</v>
      </c>
      <c r="D63">
        <f>sales!D66</f>
        <v>8000</v>
      </c>
      <c r="E63" t="str">
        <f>sales!E66</f>
        <v>EFECTIVO</v>
      </c>
      <c r="F63">
        <f>sales!F66</f>
        <v>2</v>
      </c>
      <c r="G63">
        <f>sales!G66</f>
        <v>1</v>
      </c>
      <c r="H63">
        <f>sales!H66</f>
        <v>16000</v>
      </c>
    </row>
    <row r="64" spans="1:8" x14ac:dyDescent="0.25">
      <c r="A64" s="12">
        <f>sales!A67</f>
        <v>46079.557025462964</v>
      </c>
      <c r="B64">
        <f>sales!B67</f>
        <v>54</v>
      </c>
      <c r="C64" t="str">
        <f>sales!C67</f>
        <v>Chori- CRUDO</v>
      </c>
      <c r="D64">
        <f>sales!D67</f>
        <v>4500</v>
      </c>
      <c r="E64" t="str">
        <f>sales!E67</f>
        <v>EFECTIVO</v>
      </c>
      <c r="F64">
        <f>sales!F67</f>
        <v>2</v>
      </c>
      <c r="G64">
        <f>sales!G67</f>
        <v>1</v>
      </c>
      <c r="H64">
        <f>sales!H67</f>
        <v>9000</v>
      </c>
    </row>
    <row r="65" spans="1:8" x14ac:dyDescent="0.25">
      <c r="A65" s="12">
        <f>sales!A68</f>
        <v>46079.560671296298</v>
      </c>
      <c r="B65">
        <f>sales!B68</f>
        <v>55</v>
      </c>
      <c r="C65" t="str">
        <f>sales!C68</f>
        <v>Chorizo</v>
      </c>
      <c r="D65">
        <f>sales!D68</f>
        <v>8000</v>
      </c>
      <c r="E65" t="str">
        <f>sales!E68</f>
        <v>EFECTIVO</v>
      </c>
      <c r="F65">
        <f>sales!F68</f>
        <v>2</v>
      </c>
      <c r="G65">
        <f>sales!G68</f>
        <v>1</v>
      </c>
      <c r="H65">
        <f>sales!H68</f>
        <v>16000</v>
      </c>
    </row>
    <row r="66" spans="1:8" x14ac:dyDescent="0.25">
      <c r="A66" s="12">
        <f>sales!A69</f>
        <v>46079.634108796294</v>
      </c>
      <c r="B66">
        <f>sales!B69</f>
        <v>56</v>
      </c>
      <c r="C66" t="str">
        <f>sales!C69</f>
        <v>carne + chorizo</v>
      </c>
      <c r="D66">
        <f>sales!D69</f>
        <v>25000</v>
      </c>
      <c r="E66" t="str">
        <f>sales!E69</f>
        <v>NEQUI</v>
      </c>
      <c r="F66">
        <f>sales!F69</f>
        <v>1</v>
      </c>
      <c r="G66">
        <f>sales!G69</f>
        <v>1</v>
      </c>
      <c r="H66">
        <f>sales!H69</f>
        <v>25000</v>
      </c>
    </row>
    <row r="67" spans="1:8" x14ac:dyDescent="0.25">
      <c r="A67" s="12">
        <f>sales!A70</f>
        <v>46079.72755787037</v>
      </c>
      <c r="B67">
        <f>sales!B70</f>
        <v>57</v>
      </c>
      <c r="C67" t="str">
        <f>sales!C70</f>
        <v>Chorizo</v>
      </c>
      <c r="D67">
        <f>sales!D70</f>
        <v>8000</v>
      </c>
      <c r="E67" t="str">
        <f>sales!E70</f>
        <v>NEQUI</v>
      </c>
      <c r="F67">
        <f>sales!F70</f>
        <v>5</v>
      </c>
      <c r="G67">
        <f>sales!G70</f>
        <v>1</v>
      </c>
      <c r="H67">
        <f>sales!H70</f>
        <v>40000</v>
      </c>
    </row>
    <row r="68" spans="1:8" x14ac:dyDescent="0.25">
      <c r="A68" s="12">
        <f>sales!A71</f>
        <v>46079.72755787037</v>
      </c>
      <c r="B68">
        <f>sales!B71</f>
        <v>57</v>
      </c>
      <c r="C68" t="str">
        <f>sales!C71</f>
        <v>Postobon</v>
      </c>
      <c r="D68">
        <f>sales!D71</f>
        <v>3000</v>
      </c>
      <c r="E68" t="str">
        <f>sales!E71</f>
        <v>NEQUI</v>
      </c>
      <c r="F68">
        <f>sales!F71</f>
        <v>3</v>
      </c>
      <c r="G68">
        <f>sales!G71</f>
        <v>1</v>
      </c>
      <c r="H68">
        <f>sales!H71</f>
        <v>9000</v>
      </c>
    </row>
    <row r="69" spans="1:8" x14ac:dyDescent="0.25">
      <c r="A69" s="12">
        <f>sales!A72</f>
        <v>46079.752893518518</v>
      </c>
      <c r="B69">
        <f>sales!B72</f>
        <v>58</v>
      </c>
      <c r="C69" t="str">
        <f>sales!C72</f>
        <v>Chorizo</v>
      </c>
      <c r="D69">
        <f>sales!D72</f>
        <v>8000</v>
      </c>
      <c r="E69" t="str">
        <f>sales!E72</f>
        <v>EFECTIVO</v>
      </c>
      <c r="F69">
        <f>sales!F72</f>
        <v>1</v>
      </c>
      <c r="G69">
        <f>sales!G72</f>
        <v>1</v>
      </c>
      <c r="H69">
        <f>sales!H72</f>
        <v>8000</v>
      </c>
    </row>
    <row r="70" spans="1:8" x14ac:dyDescent="0.25">
      <c r="A70" s="12">
        <f>sales!A73</f>
        <v>46079.763055555559</v>
      </c>
      <c r="B70">
        <f>sales!B73</f>
        <v>59</v>
      </c>
      <c r="C70" t="str">
        <f>sales!C73</f>
        <v>Chorizo</v>
      </c>
      <c r="D70">
        <f>sales!D73</f>
        <v>8000</v>
      </c>
      <c r="E70" t="str">
        <f>sales!E73</f>
        <v>NEQUI</v>
      </c>
      <c r="F70">
        <f>sales!F73</f>
        <v>1</v>
      </c>
      <c r="G70">
        <f>sales!G73</f>
        <v>1</v>
      </c>
      <c r="H70">
        <f>sales!H73</f>
        <v>8000</v>
      </c>
    </row>
    <row r="71" spans="1:8" x14ac:dyDescent="0.25">
      <c r="A71" s="12">
        <f>sales!A74</f>
        <v>46079.764050925929</v>
      </c>
      <c r="B71">
        <f>sales!B74</f>
        <v>60</v>
      </c>
      <c r="C71" t="str">
        <f>sales!C74</f>
        <v>Chorizo</v>
      </c>
      <c r="D71">
        <f>sales!D74</f>
        <v>8000</v>
      </c>
      <c r="E71" t="str">
        <f>sales!E74</f>
        <v>EFECTIVO</v>
      </c>
      <c r="F71">
        <f>sales!F74</f>
        <v>1</v>
      </c>
      <c r="G71">
        <f>sales!G74</f>
        <v>1</v>
      </c>
      <c r="H71">
        <f>sales!H74</f>
        <v>8000</v>
      </c>
    </row>
    <row r="72" spans="1:8" x14ac:dyDescent="0.25">
      <c r="A72" s="12">
        <f>sales!A75</f>
        <v>46079.773599537039</v>
      </c>
      <c r="B72">
        <f>sales!B75</f>
        <v>61</v>
      </c>
      <c r="C72" t="str">
        <f>sales!C75</f>
        <v>Chorizo</v>
      </c>
      <c r="D72">
        <f>sales!D75</f>
        <v>8000</v>
      </c>
      <c r="E72" t="str">
        <f>sales!E75</f>
        <v>NEQUI</v>
      </c>
      <c r="F72">
        <f>sales!F75</f>
        <v>1</v>
      </c>
      <c r="G72">
        <f>sales!G75</f>
        <v>1</v>
      </c>
      <c r="H72">
        <f>sales!H75</f>
        <v>8000</v>
      </c>
    </row>
    <row r="73" spans="1:8" x14ac:dyDescent="0.25">
      <c r="A73" s="12">
        <f>sales!A76</f>
        <v>46079.794652777775</v>
      </c>
      <c r="B73">
        <f>sales!B76</f>
        <v>62</v>
      </c>
      <c r="C73" t="str">
        <f>sales!C76</f>
        <v>Chorizo</v>
      </c>
      <c r="D73">
        <f>sales!D76</f>
        <v>8000</v>
      </c>
      <c r="E73" t="str">
        <f>sales!E76</f>
        <v>EFECTIVO</v>
      </c>
      <c r="F73">
        <f>sales!F76</f>
        <v>2</v>
      </c>
      <c r="G73">
        <f>sales!G76</f>
        <v>1</v>
      </c>
      <c r="H73">
        <f>sales!H76</f>
        <v>16000</v>
      </c>
    </row>
    <row r="74" spans="1:8" x14ac:dyDescent="0.25">
      <c r="A74" s="12">
        <f>sales!A77</f>
        <v>46079.812418981484</v>
      </c>
      <c r="B74">
        <f>sales!B77</f>
        <v>63</v>
      </c>
      <c r="C74" t="str">
        <f>sales!C77</f>
        <v>Chorizo</v>
      </c>
      <c r="D74">
        <f>sales!D77</f>
        <v>8000</v>
      </c>
      <c r="E74" t="str">
        <f>sales!E77</f>
        <v>NEQUI</v>
      </c>
      <c r="F74">
        <f>sales!F77</f>
        <v>2</v>
      </c>
      <c r="G74">
        <f>sales!G77</f>
        <v>1</v>
      </c>
      <c r="H74">
        <f>sales!H77</f>
        <v>16000</v>
      </c>
    </row>
    <row r="75" spans="1:8" x14ac:dyDescent="0.25">
      <c r="A75" s="12">
        <f>sales!A78</f>
        <v>46079.812418981484</v>
      </c>
      <c r="B75">
        <f>sales!B78</f>
        <v>63</v>
      </c>
      <c r="C75" t="str">
        <f>sales!C78</f>
        <v>Coca cola</v>
      </c>
      <c r="D75">
        <f>sales!D78</f>
        <v>3000</v>
      </c>
      <c r="E75" t="str">
        <f>sales!E78</f>
        <v>NEQUI</v>
      </c>
      <c r="F75">
        <f>sales!F78</f>
        <v>1</v>
      </c>
      <c r="G75">
        <f>sales!G78</f>
        <v>1</v>
      </c>
      <c r="H75">
        <f>sales!H78</f>
        <v>3000</v>
      </c>
    </row>
    <row r="76" spans="1:8" x14ac:dyDescent="0.25">
      <c r="A76" s="12">
        <f>sales!A79</f>
        <v>46079.81355324074</v>
      </c>
      <c r="B76">
        <f>sales!B79</f>
        <v>64</v>
      </c>
      <c r="C76" t="str">
        <f>sales!C79</f>
        <v>Chorizo</v>
      </c>
      <c r="D76">
        <f>sales!D79</f>
        <v>8000</v>
      </c>
      <c r="E76" t="str">
        <f>sales!E79</f>
        <v>EFECTIVO</v>
      </c>
      <c r="F76">
        <f>sales!F79</f>
        <v>1</v>
      </c>
      <c r="G76">
        <f>sales!G79</f>
        <v>1</v>
      </c>
      <c r="H76">
        <f>sales!H79</f>
        <v>8000</v>
      </c>
    </row>
    <row r="77" spans="1:8" x14ac:dyDescent="0.25">
      <c r="A77" s="12">
        <f>sales!A80</f>
        <v>46079.814722222225</v>
      </c>
      <c r="B77">
        <f>sales!B80</f>
        <v>65</v>
      </c>
      <c r="C77" t="str">
        <f>sales!C80</f>
        <v>Chorizo</v>
      </c>
      <c r="D77">
        <f>sales!D80</f>
        <v>8000</v>
      </c>
      <c r="E77" t="str">
        <f>sales!E80</f>
        <v>EFECTIVO</v>
      </c>
      <c r="F77">
        <f>sales!F80</f>
        <v>1</v>
      </c>
      <c r="G77">
        <f>sales!G80</f>
        <v>1</v>
      </c>
      <c r="H77">
        <f>sales!H80</f>
        <v>8000</v>
      </c>
    </row>
    <row r="78" spans="1:8" x14ac:dyDescent="0.25">
      <c r="A78" s="12">
        <f>sales!A81</f>
        <v>46079.84375</v>
      </c>
      <c r="B78">
        <f>sales!B81</f>
        <v>66</v>
      </c>
      <c r="C78" t="str">
        <f>sales!C81</f>
        <v>Chorizo</v>
      </c>
      <c r="D78">
        <f>sales!D81</f>
        <v>8000</v>
      </c>
      <c r="E78" t="str">
        <f>sales!E81</f>
        <v>EFECTIVO</v>
      </c>
      <c r="F78">
        <f>sales!F81</f>
        <v>1</v>
      </c>
      <c r="G78">
        <f>sales!G81</f>
        <v>1</v>
      </c>
      <c r="H78">
        <f>sales!H81</f>
        <v>8000</v>
      </c>
    </row>
    <row r="79" spans="1:8" x14ac:dyDescent="0.25">
      <c r="A79" s="12">
        <f>sales!A82</f>
        <v>46079.84375</v>
      </c>
      <c r="B79">
        <f>sales!B82</f>
        <v>66</v>
      </c>
      <c r="C79" t="str">
        <f>sales!C82</f>
        <v>Postobon</v>
      </c>
      <c r="D79">
        <f>sales!D82</f>
        <v>3000</v>
      </c>
      <c r="E79" t="str">
        <f>sales!E82</f>
        <v>EFECTIVO</v>
      </c>
      <c r="F79">
        <f>sales!F82</f>
        <v>1</v>
      </c>
      <c r="G79">
        <f>sales!G82</f>
        <v>1</v>
      </c>
      <c r="H79">
        <f>sales!H82</f>
        <v>3000</v>
      </c>
    </row>
    <row r="80" spans="1:8" x14ac:dyDescent="0.25">
      <c r="A80" s="12">
        <f>sales!A83</f>
        <v>46079.843946759262</v>
      </c>
      <c r="B80">
        <f>sales!B83</f>
        <v>67</v>
      </c>
      <c r="C80" t="str">
        <f>sales!C83</f>
        <v>Chorizo</v>
      </c>
      <c r="D80">
        <f>sales!D83</f>
        <v>8000</v>
      </c>
      <c r="E80" t="str">
        <f>sales!E83</f>
        <v>NEQUI</v>
      </c>
      <c r="F80">
        <f>sales!F83</f>
        <v>1</v>
      </c>
      <c r="G80">
        <f>sales!G83</f>
        <v>1</v>
      </c>
      <c r="H80">
        <f>sales!H83</f>
        <v>8000</v>
      </c>
    </row>
    <row r="81" spans="1:8" x14ac:dyDescent="0.25">
      <c r="A81" s="12">
        <f>sales!A84</f>
        <v>46079.844108796293</v>
      </c>
      <c r="B81">
        <f>sales!B84</f>
        <v>68</v>
      </c>
      <c r="C81" t="str">
        <f>sales!C84</f>
        <v>Chorizo</v>
      </c>
      <c r="D81">
        <f>sales!D84</f>
        <v>8000</v>
      </c>
      <c r="E81" t="str">
        <f>sales!E84</f>
        <v>NEQUI</v>
      </c>
      <c r="F81">
        <f>sales!F84</f>
        <v>1</v>
      </c>
      <c r="G81">
        <f>sales!G84</f>
        <v>1</v>
      </c>
      <c r="H81">
        <f>sales!H84</f>
        <v>8000</v>
      </c>
    </row>
    <row r="82" spans="1:8" x14ac:dyDescent="0.25">
      <c r="A82" s="12">
        <f>sales!A85</f>
        <v>46080.630173611113</v>
      </c>
      <c r="B82">
        <f>sales!B85</f>
        <v>69</v>
      </c>
      <c r="C82" t="str">
        <f>sales!C85</f>
        <v>Chorizo</v>
      </c>
      <c r="D82">
        <f>sales!D85</f>
        <v>8000</v>
      </c>
      <c r="E82" t="str">
        <f>sales!E85</f>
        <v>NEQUI</v>
      </c>
      <c r="F82">
        <f>sales!F85</f>
        <v>1</v>
      </c>
      <c r="G82">
        <f>sales!G85</f>
        <v>1</v>
      </c>
      <c r="H82">
        <f>sales!H85</f>
        <v>8000</v>
      </c>
    </row>
    <row r="83" spans="1:8" x14ac:dyDescent="0.25">
      <c r="A83" s="12">
        <f>sales!A86</f>
        <v>46080.630173611113</v>
      </c>
      <c r="B83">
        <f>sales!B86</f>
        <v>69</v>
      </c>
      <c r="C83" t="str">
        <f>sales!C86</f>
        <v>Postobon</v>
      </c>
      <c r="D83">
        <f>sales!D86</f>
        <v>3000</v>
      </c>
      <c r="E83" t="str">
        <f>sales!E86</f>
        <v>NEQUI</v>
      </c>
      <c r="F83">
        <f>sales!F86</f>
        <v>1</v>
      </c>
      <c r="G83">
        <f>sales!G86</f>
        <v>1</v>
      </c>
      <c r="H83">
        <f>sales!H86</f>
        <v>3000</v>
      </c>
    </row>
    <row r="84" spans="1:8" x14ac:dyDescent="0.25">
      <c r="A84" s="12">
        <f>sales!A87</f>
        <v>46080.631249999999</v>
      </c>
      <c r="B84">
        <f>sales!B87</f>
        <v>70</v>
      </c>
      <c r="C84" t="str">
        <f>sales!C87</f>
        <v>Chorizo</v>
      </c>
      <c r="D84">
        <f>sales!D87</f>
        <v>8000</v>
      </c>
      <c r="E84" t="str">
        <f>sales!E87</f>
        <v>EFECTIVO</v>
      </c>
      <c r="F84">
        <f>sales!F87</f>
        <v>1</v>
      </c>
      <c r="G84">
        <f>sales!G87</f>
        <v>1</v>
      </c>
      <c r="H84">
        <f>sales!H87</f>
        <v>8000</v>
      </c>
    </row>
    <row r="85" spans="1:8" x14ac:dyDescent="0.25">
      <c r="A85" s="12">
        <f>sales!A88</f>
        <v>46080.715798611112</v>
      </c>
      <c r="B85">
        <f>sales!B88</f>
        <v>71</v>
      </c>
      <c r="C85" t="str">
        <f>sales!C88</f>
        <v>Chorizo</v>
      </c>
      <c r="D85">
        <f>sales!D88</f>
        <v>8000</v>
      </c>
      <c r="E85" t="str">
        <f>sales!E88</f>
        <v>EFECTIVO</v>
      </c>
      <c r="F85">
        <f>sales!F88</f>
        <v>1</v>
      </c>
      <c r="G85">
        <f>sales!G88</f>
        <v>1</v>
      </c>
      <c r="H85">
        <f>sales!H88</f>
        <v>8000</v>
      </c>
    </row>
    <row r="86" spans="1:8" x14ac:dyDescent="0.25">
      <c r="A86" s="12">
        <f>sales!A89</f>
        <v>46080.715798611112</v>
      </c>
      <c r="B86">
        <f>sales!B89</f>
        <v>71</v>
      </c>
      <c r="C86" t="str">
        <f>sales!C89</f>
        <v>parri tres carnes</v>
      </c>
      <c r="D86">
        <f>sales!D89</f>
        <v>35000</v>
      </c>
      <c r="E86" t="str">
        <f>sales!E89</f>
        <v>EFECTIVO</v>
      </c>
      <c r="F86">
        <f>sales!F89</f>
        <v>1</v>
      </c>
      <c r="G86">
        <f>sales!G89</f>
        <v>1</v>
      </c>
      <c r="H86">
        <f>sales!H89</f>
        <v>35000</v>
      </c>
    </row>
    <row r="87" spans="1:8" x14ac:dyDescent="0.25">
      <c r="A87" s="12">
        <f>sales!A90</f>
        <v>46080.715798611112</v>
      </c>
      <c r="B87">
        <f>sales!B90</f>
        <v>71</v>
      </c>
      <c r="C87" t="str">
        <f>sales!C90</f>
        <v>tinto</v>
      </c>
      <c r="D87">
        <f>sales!D90</f>
        <v>2000</v>
      </c>
      <c r="E87" t="str">
        <f>sales!E90</f>
        <v>EFECTIVO</v>
      </c>
      <c r="F87">
        <f>sales!F90</f>
        <v>1</v>
      </c>
      <c r="G87">
        <f>sales!G90</f>
        <v>1</v>
      </c>
      <c r="H87">
        <f>sales!H90</f>
        <v>2000</v>
      </c>
    </row>
    <row r="88" spans="1:8" x14ac:dyDescent="0.25">
      <c r="A88" s="12">
        <f>sales!A91</f>
        <v>46080.725428240738</v>
      </c>
      <c r="B88">
        <f>sales!B91</f>
        <v>72</v>
      </c>
      <c r="C88" t="str">
        <f>sales!C91</f>
        <v>Chorizo</v>
      </c>
      <c r="D88">
        <f>sales!D91</f>
        <v>8000</v>
      </c>
      <c r="E88" t="str">
        <f>sales!E91</f>
        <v>EFECTIVO</v>
      </c>
      <c r="F88">
        <f>sales!F91</f>
        <v>3</v>
      </c>
      <c r="G88">
        <f>sales!G91</f>
        <v>1</v>
      </c>
      <c r="H88">
        <f>sales!H91</f>
        <v>24000</v>
      </c>
    </row>
    <row r="89" spans="1:8" x14ac:dyDescent="0.25">
      <c r="A89" s="12">
        <f>sales!A92</f>
        <v>46080.725428240738</v>
      </c>
      <c r="B89">
        <f>sales!B92</f>
        <v>72</v>
      </c>
      <c r="C89" t="str">
        <f>sales!C92</f>
        <v>Coca cola</v>
      </c>
      <c r="D89">
        <f>sales!D92</f>
        <v>3000</v>
      </c>
      <c r="E89" t="str">
        <f>sales!E92</f>
        <v>EFECTIVO</v>
      </c>
      <c r="F89">
        <f>sales!F92</f>
        <v>2</v>
      </c>
      <c r="G89">
        <f>sales!G92</f>
        <v>1</v>
      </c>
      <c r="H89">
        <f>sales!H92</f>
        <v>6000</v>
      </c>
    </row>
    <row r="90" spans="1:8" x14ac:dyDescent="0.25">
      <c r="A90" s="12">
        <f>sales!A93</f>
        <v>46080.725428240738</v>
      </c>
      <c r="B90">
        <f>sales!B93</f>
        <v>72</v>
      </c>
      <c r="C90" t="str">
        <f>sales!C93</f>
        <v>parri tres carnes</v>
      </c>
      <c r="D90">
        <f>sales!D93</f>
        <v>35000</v>
      </c>
      <c r="E90" t="str">
        <f>sales!E93</f>
        <v>EFECTIVO</v>
      </c>
      <c r="F90">
        <f>sales!F93</f>
        <v>1</v>
      </c>
      <c r="G90">
        <f>sales!G93</f>
        <v>1</v>
      </c>
      <c r="H90">
        <f>sales!H93</f>
        <v>35000</v>
      </c>
    </row>
    <row r="91" spans="1:8" x14ac:dyDescent="0.25">
      <c r="A91" s="12">
        <f>sales!A94</f>
        <v>46080.742268518516</v>
      </c>
      <c r="B91">
        <f>sales!B94</f>
        <v>73</v>
      </c>
      <c r="C91" t="str">
        <f>sales!C94</f>
        <v>Chorizo</v>
      </c>
      <c r="D91">
        <f>sales!D94</f>
        <v>8000</v>
      </c>
      <c r="E91" t="str">
        <f>sales!E94</f>
        <v>EFECTIVO</v>
      </c>
      <c r="F91">
        <f>sales!F94</f>
        <v>2</v>
      </c>
      <c r="G91">
        <f>sales!G94</f>
        <v>1</v>
      </c>
      <c r="H91">
        <f>sales!H94</f>
        <v>16000</v>
      </c>
    </row>
    <row r="92" spans="1:8" x14ac:dyDescent="0.25">
      <c r="A92" s="12">
        <f>sales!A95</f>
        <v>46080.742268518516</v>
      </c>
      <c r="B92">
        <f>sales!B95</f>
        <v>73</v>
      </c>
      <c r="C92" t="str">
        <f>sales!C95</f>
        <v>Coca cola</v>
      </c>
      <c r="D92">
        <f>sales!D95</f>
        <v>3000</v>
      </c>
      <c r="E92" t="str">
        <f>sales!E95</f>
        <v>EFECTIVO</v>
      </c>
      <c r="F92">
        <f>sales!F95</f>
        <v>1</v>
      </c>
      <c r="G92">
        <f>sales!G95</f>
        <v>1</v>
      </c>
      <c r="H92">
        <f>sales!H95</f>
        <v>3000</v>
      </c>
    </row>
    <row r="93" spans="1:8" x14ac:dyDescent="0.25">
      <c r="A93" s="12">
        <f>sales!A96</f>
        <v>46080.761412037034</v>
      </c>
      <c r="B93">
        <f>sales!B96</f>
        <v>74</v>
      </c>
      <c r="C93" t="str">
        <f>sales!C96</f>
        <v>Chorizo</v>
      </c>
      <c r="D93">
        <f>sales!D96</f>
        <v>8000</v>
      </c>
      <c r="E93" t="str">
        <f>sales!E96</f>
        <v>NEQUI</v>
      </c>
      <c r="F93">
        <f>sales!F96</f>
        <v>3</v>
      </c>
      <c r="G93">
        <f>sales!G96</f>
        <v>1</v>
      </c>
      <c r="H93">
        <f>sales!H96</f>
        <v>24000</v>
      </c>
    </row>
    <row r="94" spans="1:8" x14ac:dyDescent="0.25">
      <c r="A94" s="12">
        <f>sales!A97</f>
        <v>46080.824016203704</v>
      </c>
      <c r="B94">
        <f>sales!B97</f>
        <v>75</v>
      </c>
      <c r="C94" t="str">
        <f>sales!C97</f>
        <v>Agua</v>
      </c>
      <c r="D94">
        <f>sales!D97</f>
        <v>3000</v>
      </c>
      <c r="E94" t="str">
        <f>sales!E97</f>
        <v>DaviPlata</v>
      </c>
      <c r="F94">
        <f>sales!F97</f>
        <v>1</v>
      </c>
      <c r="G94">
        <f>sales!G97</f>
        <v>1</v>
      </c>
      <c r="H94">
        <f>sales!H97</f>
        <v>3000</v>
      </c>
    </row>
    <row r="95" spans="1:8" x14ac:dyDescent="0.25">
      <c r="A95" s="12">
        <f>sales!A98</f>
        <v>46080.824016203704</v>
      </c>
      <c r="B95">
        <f>sales!B98</f>
        <v>75</v>
      </c>
      <c r="C95" t="str">
        <f>sales!C98</f>
        <v>Chorizo</v>
      </c>
      <c r="D95">
        <f>sales!D98</f>
        <v>8000</v>
      </c>
      <c r="E95" t="str">
        <f>sales!E98</f>
        <v>DaviPlata</v>
      </c>
      <c r="F95">
        <f>sales!F98</f>
        <v>1</v>
      </c>
      <c r="G95">
        <f>sales!G98</f>
        <v>1</v>
      </c>
      <c r="H95">
        <f>sales!H98</f>
        <v>8000</v>
      </c>
    </row>
    <row r="96" spans="1:8" x14ac:dyDescent="0.25">
      <c r="A96" s="12">
        <f>sales!A99</f>
        <v>46080.836365740739</v>
      </c>
      <c r="B96">
        <f>sales!B99</f>
        <v>76</v>
      </c>
      <c r="C96" t="str">
        <f>sales!C99</f>
        <v>Chorizo</v>
      </c>
      <c r="D96">
        <f>sales!D99</f>
        <v>8000</v>
      </c>
      <c r="E96" t="str">
        <f>sales!E99</f>
        <v>NEQUI</v>
      </c>
      <c r="F96">
        <f>sales!F99</f>
        <v>2</v>
      </c>
      <c r="G96">
        <f>sales!G99</f>
        <v>1</v>
      </c>
      <c r="H96">
        <f>sales!H99</f>
        <v>16000</v>
      </c>
    </row>
    <row r="97" spans="1:8" x14ac:dyDescent="0.25">
      <c r="A97" s="12">
        <f>sales!A100</f>
        <v>46080.837210648147</v>
      </c>
      <c r="B97">
        <f>sales!B100</f>
        <v>77</v>
      </c>
      <c r="C97" t="str">
        <f>sales!C100</f>
        <v>Chorizo</v>
      </c>
      <c r="D97">
        <f>sales!D100</f>
        <v>8000</v>
      </c>
      <c r="E97" t="str">
        <f>sales!E100</f>
        <v>EFECTIVO</v>
      </c>
      <c r="F97">
        <f>sales!F100</f>
        <v>4</v>
      </c>
      <c r="G97">
        <f>sales!G100</f>
        <v>1</v>
      </c>
      <c r="H97">
        <f>sales!H100</f>
        <v>32000</v>
      </c>
    </row>
    <row r="98" spans="1:8" x14ac:dyDescent="0.25">
      <c r="A98" s="12">
        <f>sales!A101</f>
        <v>46080.837210648147</v>
      </c>
      <c r="B98">
        <f>sales!B101</f>
        <v>77</v>
      </c>
      <c r="C98" t="str">
        <f>sales!C101</f>
        <v>Coca cola</v>
      </c>
      <c r="D98">
        <f>sales!D101</f>
        <v>3000</v>
      </c>
      <c r="E98" t="str">
        <f>sales!E101</f>
        <v>EFECTIVO</v>
      </c>
      <c r="F98">
        <f>sales!F101</f>
        <v>3</v>
      </c>
      <c r="G98">
        <f>sales!G101</f>
        <v>1</v>
      </c>
      <c r="H98">
        <f>sales!H101</f>
        <v>9000</v>
      </c>
    </row>
    <row r="99" spans="1:8" x14ac:dyDescent="0.25">
      <c r="A99" s="12">
        <f>sales!A102</f>
        <v>46080.83902777778</v>
      </c>
      <c r="B99">
        <f>sales!B102</f>
        <v>78</v>
      </c>
      <c r="C99" t="str">
        <f>sales!C102</f>
        <v>Chorizo</v>
      </c>
      <c r="D99">
        <f>sales!D102</f>
        <v>8000</v>
      </c>
      <c r="E99" t="str">
        <f>sales!E102</f>
        <v>EFECTIVO</v>
      </c>
      <c r="F99">
        <f>sales!F102</f>
        <v>1</v>
      </c>
      <c r="G99">
        <f>sales!G102</f>
        <v>1</v>
      </c>
      <c r="H99">
        <f>sales!H102</f>
        <v>8000</v>
      </c>
    </row>
    <row r="100" spans="1:8" x14ac:dyDescent="0.25">
      <c r="A100" s="12">
        <f>sales!A103</f>
        <v>46081.78979166667</v>
      </c>
      <c r="B100">
        <f>sales!B103</f>
        <v>79</v>
      </c>
      <c r="C100" t="str">
        <f>sales!C103</f>
        <v>Chori- CRUDO</v>
      </c>
      <c r="D100">
        <f>sales!D103</f>
        <v>4500</v>
      </c>
      <c r="E100" t="str">
        <f>sales!E103</f>
        <v>EFECTIVO</v>
      </c>
      <c r="F100">
        <f>sales!F103</f>
        <v>6</v>
      </c>
      <c r="G100">
        <f>sales!G103</f>
        <v>1</v>
      </c>
      <c r="H100">
        <f>sales!H103</f>
        <v>27000</v>
      </c>
    </row>
    <row r="101" spans="1:8" x14ac:dyDescent="0.25">
      <c r="A101" s="12">
        <f>sales!A104</f>
        <v>46081.790231481478</v>
      </c>
      <c r="B101">
        <f>sales!B104</f>
        <v>80</v>
      </c>
      <c r="C101" t="str">
        <f>sales!C104</f>
        <v>Chorizo</v>
      </c>
      <c r="D101">
        <f>sales!D104</f>
        <v>8000</v>
      </c>
      <c r="E101" t="str">
        <f>sales!E104</f>
        <v>NEQUI</v>
      </c>
      <c r="F101">
        <f>sales!F104</f>
        <v>2</v>
      </c>
      <c r="G101">
        <f>sales!G104</f>
        <v>1</v>
      </c>
      <c r="H101">
        <f>sales!H104</f>
        <v>16000</v>
      </c>
    </row>
    <row r="102" spans="1:8" x14ac:dyDescent="0.25">
      <c r="A102" s="12">
        <f>sales!A105</f>
        <v>46081.790960648148</v>
      </c>
      <c r="B102">
        <f>sales!B105</f>
        <v>81</v>
      </c>
      <c r="C102" t="str">
        <f>sales!C105</f>
        <v>Agua</v>
      </c>
      <c r="D102">
        <f>sales!D105</f>
        <v>3000</v>
      </c>
      <c r="E102" t="str">
        <f>sales!E105</f>
        <v>NEQUI</v>
      </c>
      <c r="F102">
        <f>sales!F105</f>
        <v>1</v>
      </c>
      <c r="G102">
        <f>sales!G105</f>
        <v>1</v>
      </c>
      <c r="H102">
        <f>sales!H105</f>
        <v>3000</v>
      </c>
    </row>
    <row r="103" spans="1:8" x14ac:dyDescent="0.25">
      <c r="A103" s="12">
        <f>sales!A106</f>
        <v>46081.790960648148</v>
      </c>
      <c r="B103">
        <f>sales!B106</f>
        <v>81</v>
      </c>
      <c r="C103" t="str">
        <f>sales!C106</f>
        <v>Chorizo</v>
      </c>
      <c r="D103">
        <f>sales!D106</f>
        <v>8000</v>
      </c>
      <c r="E103" t="str">
        <f>sales!E106</f>
        <v>NEQUI</v>
      </c>
      <c r="F103">
        <f>sales!F106</f>
        <v>1</v>
      </c>
      <c r="G103">
        <f>sales!G106</f>
        <v>1</v>
      </c>
      <c r="H103">
        <f>sales!H106</f>
        <v>8000</v>
      </c>
    </row>
    <row r="104" spans="1:8" x14ac:dyDescent="0.25">
      <c r="A104" s="12">
        <f>sales!A107</f>
        <v>46081.790960648148</v>
      </c>
      <c r="B104">
        <f>sales!B107</f>
        <v>81</v>
      </c>
      <c r="C104" t="str">
        <f>sales!C107</f>
        <v>tinto</v>
      </c>
      <c r="D104">
        <f>sales!D107</f>
        <v>2000</v>
      </c>
      <c r="E104" t="str">
        <f>sales!E107</f>
        <v>NEQUI</v>
      </c>
      <c r="F104">
        <f>sales!F107</f>
        <v>1</v>
      </c>
      <c r="G104">
        <f>sales!G107</f>
        <v>1</v>
      </c>
      <c r="H104">
        <f>sales!H107</f>
        <v>2000</v>
      </c>
    </row>
    <row r="105" spans="1:8" x14ac:dyDescent="0.25">
      <c r="A105" s="12">
        <f>sales!A108</f>
        <v>46081.792407407411</v>
      </c>
      <c r="B105">
        <f>sales!B108</f>
        <v>82</v>
      </c>
      <c r="C105" t="str">
        <f>sales!C108</f>
        <v>Chorizo</v>
      </c>
      <c r="D105">
        <f>sales!D108</f>
        <v>8000</v>
      </c>
      <c r="E105" t="str">
        <f>sales!E108</f>
        <v>EFECTIVO</v>
      </c>
      <c r="F105">
        <f>sales!F108</f>
        <v>2</v>
      </c>
      <c r="G105">
        <f>sales!G108</f>
        <v>1</v>
      </c>
      <c r="H105">
        <f>sales!H108</f>
        <v>16000</v>
      </c>
    </row>
    <row r="106" spans="1:8" x14ac:dyDescent="0.25">
      <c r="A106" s="12">
        <f>sales!A109</f>
        <v>46081.792407407411</v>
      </c>
      <c r="B106">
        <f>sales!B109</f>
        <v>82</v>
      </c>
      <c r="C106" t="str">
        <f>sales!C109</f>
        <v>Coca cola</v>
      </c>
      <c r="D106">
        <f>sales!D109</f>
        <v>3000</v>
      </c>
      <c r="E106" t="str">
        <f>sales!E109</f>
        <v>EFECTIVO</v>
      </c>
      <c r="F106">
        <f>sales!F109</f>
        <v>1</v>
      </c>
      <c r="G106">
        <f>sales!G109</f>
        <v>1</v>
      </c>
      <c r="H106">
        <f>sales!H109</f>
        <v>3000</v>
      </c>
    </row>
    <row r="107" spans="1:8" x14ac:dyDescent="0.25">
      <c r="A107" s="12">
        <f>sales!A110</f>
        <v>46081.793206018519</v>
      </c>
      <c r="B107">
        <f>sales!B110</f>
        <v>83</v>
      </c>
      <c r="C107" t="str">
        <f>sales!C110</f>
        <v>Chorizo</v>
      </c>
      <c r="D107">
        <f>sales!D110</f>
        <v>8000</v>
      </c>
      <c r="E107" t="str">
        <f>sales!E110</f>
        <v>EFECTIVO</v>
      </c>
      <c r="F107">
        <f>sales!F110</f>
        <v>2</v>
      </c>
      <c r="G107">
        <f>sales!G110</f>
        <v>1</v>
      </c>
      <c r="H107">
        <f>sales!H110</f>
        <v>16000</v>
      </c>
    </row>
    <row r="108" spans="1:8" x14ac:dyDescent="0.25">
      <c r="A108" s="12">
        <f>sales!A111</f>
        <v>46081.793206018519</v>
      </c>
      <c r="B108">
        <f>sales!B111</f>
        <v>83</v>
      </c>
      <c r="C108" t="str">
        <f>sales!C111</f>
        <v>Coca cola</v>
      </c>
      <c r="D108">
        <f>sales!D111</f>
        <v>3000</v>
      </c>
      <c r="E108" t="str">
        <f>sales!E111</f>
        <v>EFECTIVO</v>
      </c>
      <c r="F108">
        <f>sales!F111</f>
        <v>1</v>
      </c>
      <c r="G108">
        <f>sales!G111</f>
        <v>1</v>
      </c>
      <c r="H108">
        <f>sales!H111</f>
        <v>3000</v>
      </c>
    </row>
    <row r="109" spans="1:8" x14ac:dyDescent="0.25">
      <c r="A109" s="12">
        <f>sales!A112</f>
        <v>46081.793865740743</v>
      </c>
      <c r="B109">
        <f>sales!B112</f>
        <v>84</v>
      </c>
      <c r="C109" t="str">
        <f>sales!C112</f>
        <v>Chorizo</v>
      </c>
      <c r="D109">
        <f>sales!D112</f>
        <v>8000</v>
      </c>
      <c r="E109" t="str">
        <f>sales!E112</f>
        <v>EFECTIVO</v>
      </c>
      <c r="F109">
        <f>sales!F112</f>
        <v>1</v>
      </c>
      <c r="G109">
        <f>sales!G112</f>
        <v>1</v>
      </c>
      <c r="H109">
        <f>sales!H112</f>
        <v>8000</v>
      </c>
    </row>
    <row r="110" spans="1:8" x14ac:dyDescent="0.25">
      <c r="A110" s="12">
        <f>sales!A113</f>
        <v>46081.793865740743</v>
      </c>
      <c r="B110">
        <f>sales!B113</f>
        <v>84</v>
      </c>
      <c r="C110" t="str">
        <f>sales!C113</f>
        <v>Coca cola</v>
      </c>
      <c r="D110">
        <f>sales!D113</f>
        <v>3000</v>
      </c>
      <c r="E110" t="str">
        <f>sales!E113</f>
        <v>EFECTIVO</v>
      </c>
      <c r="F110">
        <f>sales!F113</f>
        <v>1</v>
      </c>
      <c r="G110">
        <f>sales!G113</f>
        <v>1</v>
      </c>
      <c r="H110">
        <f>sales!H113</f>
        <v>3000</v>
      </c>
    </row>
    <row r="111" spans="1:8" x14ac:dyDescent="0.25">
      <c r="A111" s="12">
        <f>sales!A114</f>
        <v>46081.794421296298</v>
      </c>
      <c r="B111">
        <f>sales!B114</f>
        <v>85</v>
      </c>
      <c r="C111" t="str">
        <f>sales!C114</f>
        <v>Chorizo</v>
      </c>
      <c r="D111">
        <f>sales!D114</f>
        <v>8000</v>
      </c>
      <c r="E111" t="str">
        <f>sales!E114</f>
        <v>EFECTIVO</v>
      </c>
      <c r="F111">
        <f>sales!F114</f>
        <v>4</v>
      </c>
      <c r="G111">
        <f>sales!G114</f>
        <v>1</v>
      </c>
      <c r="H111">
        <f>sales!H114</f>
        <v>32000</v>
      </c>
    </row>
    <row r="112" spans="1:8" x14ac:dyDescent="0.25">
      <c r="A112" s="12">
        <f>sales!A115</f>
        <v>46081.794421296298</v>
      </c>
      <c r="B112">
        <f>sales!B115</f>
        <v>85</v>
      </c>
      <c r="C112" t="str">
        <f>sales!C115</f>
        <v>Coca cola</v>
      </c>
      <c r="D112">
        <f>sales!D115</f>
        <v>3000</v>
      </c>
      <c r="E112" t="str">
        <f>sales!E115</f>
        <v>EFECTIVO</v>
      </c>
      <c r="F112">
        <f>sales!F115</f>
        <v>2</v>
      </c>
      <c r="G112">
        <f>sales!G115</f>
        <v>1</v>
      </c>
      <c r="H112">
        <f>sales!H115</f>
        <v>6000</v>
      </c>
    </row>
    <row r="113" spans="1:8" x14ac:dyDescent="0.25">
      <c r="A113" s="12">
        <f>sales!A116</f>
        <v>46081.794652777775</v>
      </c>
      <c r="B113">
        <f>sales!B116</f>
        <v>86</v>
      </c>
      <c r="C113" t="str">
        <f>sales!C116</f>
        <v>Chorizo</v>
      </c>
      <c r="D113">
        <f>sales!D116</f>
        <v>8000</v>
      </c>
      <c r="E113" t="str">
        <f>sales!E116</f>
        <v>EFECTIVO</v>
      </c>
      <c r="F113">
        <f>sales!F116</f>
        <v>2</v>
      </c>
      <c r="G113">
        <f>sales!G116</f>
        <v>1</v>
      </c>
      <c r="H113">
        <f>sales!H116</f>
        <v>16000</v>
      </c>
    </row>
    <row r="114" spans="1:8" x14ac:dyDescent="0.25">
      <c r="A114" s="12">
        <f>sales!A117</f>
        <v>46081.795092592591</v>
      </c>
      <c r="B114">
        <f>sales!B117</f>
        <v>87</v>
      </c>
      <c r="C114" t="str">
        <f>sales!C117</f>
        <v>Chorizo</v>
      </c>
      <c r="D114">
        <f>sales!D117</f>
        <v>8000</v>
      </c>
      <c r="E114" t="str">
        <f>sales!E117</f>
        <v>EFECTIVO</v>
      </c>
      <c r="F114">
        <f>sales!F117</f>
        <v>3</v>
      </c>
      <c r="G114">
        <f>sales!G117</f>
        <v>1</v>
      </c>
      <c r="H114">
        <f>sales!H117</f>
        <v>24000</v>
      </c>
    </row>
    <row r="115" spans="1:8" x14ac:dyDescent="0.25">
      <c r="A115" s="12">
        <f>sales!A118</f>
        <v>46081.795092592591</v>
      </c>
      <c r="B115">
        <f>sales!B118</f>
        <v>87</v>
      </c>
      <c r="C115" t="str">
        <f>sales!C118</f>
        <v>Hit</v>
      </c>
      <c r="D115">
        <f>sales!D118</f>
        <v>4500</v>
      </c>
      <c r="E115" t="str">
        <f>sales!E118</f>
        <v>EFECTIVO</v>
      </c>
      <c r="F115">
        <f>sales!F118</f>
        <v>1</v>
      </c>
      <c r="G115">
        <f>sales!G118</f>
        <v>1</v>
      </c>
      <c r="H115">
        <f>sales!H118</f>
        <v>4500</v>
      </c>
    </row>
    <row r="116" spans="1:8" x14ac:dyDescent="0.25">
      <c r="A116" s="12">
        <f>sales!A119</f>
        <v>46081.795497685183</v>
      </c>
      <c r="B116">
        <f>sales!B119</f>
        <v>88</v>
      </c>
      <c r="C116" t="str">
        <f>sales!C119</f>
        <v>parri tres carnes</v>
      </c>
      <c r="D116">
        <f>sales!D119</f>
        <v>35000</v>
      </c>
      <c r="E116" t="str">
        <f>sales!E119</f>
        <v>EFECTIVO</v>
      </c>
      <c r="F116">
        <f>sales!F119</f>
        <v>1</v>
      </c>
      <c r="G116">
        <f>sales!G119</f>
        <v>1</v>
      </c>
      <c r="H116">
        <f>sales!H119</f>
        <v>35000</v>
      </c>
    </row>
    <row r="117" spans="1:8" x14ac:dyDescent="0.25">
      <c r="A117" s="12">
        <f>sales!A120</f>
        <v>46081.795729166668</v>
      </c>
      <c r="B117">
        <f>sales!B120</f>
        <v>89</v>
      </c>
      <c r="C117" t="str">
        <f>sales!C120</f>
        <v>parri tres carnes</v>
      </c>
      <c r="D117">
        <f>sales!D120</f>
        <v>35000</v>
      </c>
      <c r="E117" t="str">
        <f>sales!E120</f>
        <v>EFECTIVO</v>
      </c>
      <c r="F117">
        <f>sales!F120</f>
        <v>1</v>
      </c>
      <c r="G117">
        <f>sales!G120</f>
        <v>1</v>
      </c>
      <c r="H117">
        <f>sales!H120</f>
        <v>35000</v>
      </c>
    </row>
    <row r="118" spans="1:8" x14ac:dyDescent="0.25">
      <c r="A118" s="12">
        <f>sales!A121</f>
        <v>46081.7971875</v>
      </c>
      <c r="B118">
        <f>sales!B121</f>
        <v>90</v>
      </c>
      <c r="C118" t="str">
        <f>sales!C121</f>
        <v>parri 48</v>
      </c>
      <c r="D118">
        <f>sales!D121</f>
        <v>48000</v>
      </c>
      <c r="E118" t="str">
        <f>sales!E121</f>
        <v>EFECTIVO</v>
      </c>
      <c r="F118">
        <f>sales!F121</f>
        <v>1</v>
      </c>
      <c r="G118">
        <f>sales!G121</f>
        <v>1</v>
      </c>
      <c r="H118">
        <f>sales!H121</f>
        <v>48000</v>
      </c>
    </row>
    <row r="119" spans="1:8" x14ac:dyDescent="0.25">
      <c r="A119" s="12">
        <f>sales!A122</f>
        <v>46081.797511574077</v>
      </c>
      <c r="B119">
        <f>sales!B122</f>
        <v>91</v>
      </c>
      <c r="C119" t="str">
        <f>sales!C122</f>
        <v>parri 70</v>
      </c>
      <c r="D119">
        <f>sales!D122</f>
        <v>70000</v>
      </c>
      <c r="E119" t="str">
        <f>sales!E122</f>
        <v>EFECTIVO</v>
      </c>
      <c r="F119">
        <f>sales!F122</f>
        <v>2</v>
      </c>
      <c r="G119">
        <f>sales!G122</f>
        <v>1</v>
      </c>
      <c r="H119">
        <f>sales!H122</f>
        <v>140000</v>
      </c>
    </row>
    <row r="120" spans="1:8" x14ac:dyDescent="0.25">
      <c r="A120" s="12">
        <f>sales!A123</f>
        <v>46081.797662037039</v>
      </c>
      <c r="B120">
        <f>sales!B123</f>
        <v>92</v>
      </c>
      <c r="C120" t="str">
        <f>sales!C123</f>
        <v>parri 40</v>
      </c>
      <c r="D120">
        <f>sales!D123</f>
        <v>40000</v>
      </c>
      <c r="E120" t="str">
        <f>sales!E123</f>
        <v>EFECTIVO</v>
      </c>
      <c r="F120">
        <f>sales!F123</f>
        <v>1</v>
      </c>
      <c r="G120">
        <f>sales!G123</f>
        <v>1</v>
      </c>
      <c r="H120">
        <f>sales!H123</f>
        <v>40000</v>
      </c>
    </row>
    <row r="121" spans="1:8" x14ac:dyDescent="0.25">
      <c r="A121" s="12">
        <f>sales!A124</f>
        <v>46081.799027777779</v>
      </c>
      <c r="B121">
        <f>sales!B124</f>
        <v>93</v>
      </c>
      <c r="C121" t="str">
        <f>sales!C124</f>
        <v>Chori- CRUDO</v>
      </c>
      <c r="D121">
        <f>sales!D124</f>
        <v>4500</v>
      </c>
      <c r="E121" t="str">
        <f>sales!E124</f>
        <v>NEQUI</v>
      </c>
      <c r="F121">
        <f>sales!F124</f>
        <v>4</v>
      </c>
      <c r="G121">
        <f>sales!G124</f>
        <v>1</v>
      </c>
      <c r="H121">
        <f>sales!H124</f>
        <v>18000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20376-D8B4-44F4-A46E-31D2CD1BE782}">
  <dimension ref="A2:Q11"/>
  <sheetViews>
    <sheetView workbookViewId="0">
      <selection activeCell="F19" sqref="F19"/>
    </sheetView>
  </sheetViews>
  <sheetFormatPr baseColWidth="10" defaultRowHeight="15" x14ac:dyDescent="0.25"/>
  <cols>
    <col min="1" max="1" width="17.5703125" bestFit="1" customWidth="1"/>
    <col min="2" max="2" width="10.42578125" bestFit="1" customWidth="1"/>
    <col min="3" max="3" width="12" bestFit="1" customWidth="1"/>
    <col min="4" max="4" width="9.42578125" bestFit="1" customWidth="1"/>
    <col min="5" max="5" width="10.42578125" bestFit="1" customWidth="1"/>
    <col min="6" max="6" width="12.5703125" bestFit="1" customWidth="1"/>
    <col min="7" max="7" width="10.42578125" customWidth="1"/>
    <col min="8" max="8" width="17.5703125" bestFit="1" customWidth="1"/>
    <col min="9" max="9" width="22.42578125" bestFit="1" customWidth="1"/>
    <col min="10" max="11" width="10.42578125" bestFit="1" customWidth="1"/>
    <col min="12" max="12" width="7" bestFit="1" customWidth="1"/>
    <col min="13" max="13" width="8.7109375" bestFit="1" customWidth="1"/>
    <col min="14" max="14" width="12.5703125" bestFit="1" customWidth="1"/>
    <col min="15" max="15" width="3" customWidth="1"/>
  </cols>
  <sheetData>
    <row r="2" spans="1:17" x14ac:dyDescent="0.25">
      <c r="A2" s="1" t="s">
        <v>7</v>
      </c>
      <c r="B2" s="1" t="s">
        <v>42</v>
      </c>
      <c r="H2" s="1" t="s">
        <v>14</v>
      </c>
      <c r="I2" s="1" t="s">
        <v>10</v>
      </c>
    </row>
    <row r="3" spans="1:17" x14ac:dyDescent="0.25">
      <c r="B3" t="s">
        <v>11</v>
      </c>
      <c r="C3" t="s">
        <v>0</v>
      </c>
      <c r="F3" t="s">
        <v>2</v>
      </c>
      <c r="I3" t="s">
        <v>8</v>
      </c>
      <c r="M3" t="s">
        <v>9</v>
      </c>
      <c r="N3" t="s">
        <v>2</v>
      </c>
    </row>
    <row r="4" spans="1:17" x14ac:dyDescent="0.25">
      <c r="A4" s="1" t="s">
        <v>1</v>
      </c>
      <c r="B4" t="s">
        <v>8</v>
      </c>
      <c r="C4" t="s">
        <v>8</v>
      </c>
      <c r="D4" t="s">
        <v>38</v>
      </c>
      <c r="E4" t="s">
        <v>9</v>
      </c>
      <c r="H4" s="1" t="s">
        <v>1</v>
      </c>
      <c r="I4" t="s">
        <v>11</v>
      </c>
      <c r="J4" t="s">
        <v>12</v>
      </c>
      <c r="K4" t="s">
        <v>13</v>
      </c>
      <c r="L4" t="s">
        <v>0</v>
      </c>
      <c r="M4" t="s">
        <v>0</v>
      </c>
      <c r="P4" s="7" t="s">
        <v>8</v>
      </c>
    </row>
    <row r="5" spans="1:17" x14ac:dyDescent="0.25">
      <c r="A5" s="2" t="s">
        <v>3</v>
      </c>
      <c r="B5" s="4">
        <v>73700</v>
      </c>
      <c r="C5" s="4">
        <v>192000</v>
      </c>
      <c r="D5" s="4"/>
      <c r="E5" s="4">
        <v>32000</v>
      </c>
      <c r="F5" s="4">
        <v>297700</v>
      </c>
      <c r="H5" s="2" t="s">
        <v>3</v>
      </c>
      <c r="I5" s="4">
        <v>0</v>
      </c>
      <c r="J5" s="4">
        <v>60000</v>
      </c>
      <c r="K5" s="4">
        <v>100</v>
      </c>
      <c r="L5" s="4">
        <v>0</v>
      </c>
      <c r="M5" s="4">
        <v>0</v>
      </c>
      <c r="N5" s="4">
        <v>60100</v>
      </c>
      <c r="P5" s="5">
        <f>+SUM(B5:C5)-N5</f>
        <v>205600</v>
      </c>
    </row>
    <row r="6" spans="1:17" x14ac:dyDescent="0.25">
      <c r="A6" s="2" t="s">
        <v>4</v>
      </c>
      <c r="B6" s="4">
        <v>205600</v>
      </c>
      <c r="C6" s="4">
        <v>213000</v>
      </c>
      <c r="D6" s="4"/>
      <c r="E6" s="4">
        <v>8000</v>
      </c>
      <c r="F6" s="4">
        <v>426600</v>
      </c>
      <c r="H6" s="2" t="s">
        <v>4</v>
      </c>
      <c r="I6" s="4">
        <v>0</v>
      </c>
      <c r="J6" s="4">
        <v>103000</v>
      </c>
      <c r="K6" s="4"/>
      <c r="L6" s="4">
        <v>0</v>
      </c>
      <c r="M6" s="4">
        <v>0</v>
      </c>
      <c r="N6" s="4">
        <v>103000</v>
      </c>
      <c r="P6" s="5">
        <f t="shared" ref="P6:P10" si="0">+SUM(B6:C6)-N6</f>
        <v>315600</v>
      </c>
      <c r="Q6" s="4"/>
    </row>
    <row r="7" spans="1:17" x14ac:dyDescent="0.25">
      <c r="A7" s="2" t="s">
        <v>5</v>
      </c>
      <c r="B7" s="4"/>
      <c r="C7" s="4">
        <v>344000</v>
      </c>
      <c r="D7" s="4"/>
      <c r="E7" s="4">
        <v>46500</v>
      </c>
      <c r="F7" s="4">
        <v>390500</v>
      </c>
      <c r="H7" s="2" t="s">
        <v>5</v>
      </c>
      <c r="I7" s="4"/>
      <c r="J7" s="4">
        <v>226700</v>
      </c>
      <c r="K7" s="4"/>
      <c r="L7" s="4">
        <v>0</v>
      </c>
      <c r="M7" s="4">
        <v>0</v>
      </c>
      <c r="N7" s="4">
        <v>226700</v>
      </c>
      <c r="P7" s="5">
        <f>+SUM(B7:C7)-N7</f>
        <v>117300</v>
      </c>
      <c r="Q7" s="4">
        <f>+SUM(P6:P7)</f>
        <v>432900</v>
      </c>
    </row>
    <row r="8" spans="1:17" x14ac:dyDescent="0.25">
      <c r="A8" s="2" t="s">
        <v>6</v>
      </c>
      <c r="B8" s="4"/>
      <c r="C8" s="4">
        <v>84000</v>
      </c>
      <c r="D8" s="4"/>
      <c r="E8" s="4">
        <v>125000</v>
      </c>
      <c r="F8" s="4">
        <v>209000</v>
      </c>
      <c r="H8" s="2" t="s">
        <v>6</v>
      </c>
      <c r="I8" s="4"/>
      <c r="J8" s="4">
        <v>84000</v>
      </c>
      <c r="K8" s="4"/>
      <c r="L8" s="4">
        <v>0</v>
      </c>
      <c r="M8" s="4">
        <v>0</v>
      </c>
      <c r="N8" s="4">
        <v>84000</v>
      </c>
      <c r="P8" s="5">
        <f t="shared" si="0"/>
        <v>0</v>
      </c>
      <c r="Q8" s="4">
        <f>$Q$7-20000-7900</f>
        <v>405000</v>
      </c>
    </row>
    <row r="9" spans="1:17" x14ac:dyDescent="0.25">
      <c r="A9" s="2" t="s">
        <v>35</v>
      </c>
      <c r="B9" s="4">
        <v>405000</v>
      </c>
      <c r="C9" s="4">
        <v>186000</v>
      </c>
      <c r="D9" s="4">
        <v>11000</v>
      </c>
      <c r="E9" s="4">
        <v>51000</v>
      </c>
      <c r="F9" s="4">
        <v>653000</v>
      </c>
      <c r="H9" s="2" t="s">
        <v>35</v>
      </c>
      <c r="I9" s="4">
        <v>0</v>
      </c>
      <c r="J9" s="4">
        <v>240000</v>
      </c>
      <c r="K9" s="4">
        <v>307900</v>
      </c>
      <c r="L9" s="4">
        <v>0</v>
      </c>
      <c r="M9" s="4">
        <v>0</v>
      </c>
      <c r="N9" s="4">
        <v>547900</v>
      </c>
      <c r="P9" s="5">
        <f t="shared" si="0"/>
        <v>43100</v>
      </c>
      <c r="Q9" s="4">
        <f>+P9-20000-10000</f>
        <v>13100</v>
      </c>
    </row>
    <row r="10" spans="1:17" x14ac:dyDescent="0.25">
      <c r="A10" s="2" t="s">
        <v>43</v>
      </c>
      <c r="B10" s="4">
        <v>125000</v>
      </c>
      <c r="C10" s="4">
        <v>456500</v>
      </c>
      <c r="D10" s="4"/>
      <c r="E10" s="4">
        <v>47000</v>
      </c>
      <c r="F10" s="4">
        <v>628500</v>
      </c>
      <c r="H10" s="2" t="s">
        <v>43</v>
      </c>
      <c r="I10" s="4">
        <v>0</v>
      </c>
      <c r="J10" s="4">
        <v>96400</v>
      </c>
      <c r="K10" s="4">
        <v>350000</v>
      </c>
      <c r="L10" s="4">
        <v>0</v>
      </c>
      <c r="M10" s="4">
        <v>0</v>
      </c>
      <c r="N10" s="4">
        <v>446400</v>
      </c>
      <c r="P10" s="5">
        <f t="shared" si="0"/>
        <v>135100</v>
      </c>
    </row>
    <row r="11" spans="1:17" x14ac:dyDescent="0.25">
      <c r="A11" s="2" t="s">
        <v>2</v>
      </c>
      <c r="B11" s="4">
        <v>809300</v>
      </c>
      <c r="C11" s="4">
        <v>1475500</v>
      </c>
      <c r="D11" s="4">
        <v>11000</v>
      </c>
      <c r="E11" s="4">
        <v>309500</v>
      </c>
      <c r="F11" s="4">
        <v>2605300</v>
      </c>
      <c r="H11" s="2" t="s">
        <v>2</v>
      </c>
      <c r="I11" s="4">
        <v>0</v>
      </c>
      <c r="J11" s="4">
        <v>810100</v>
      </c>
      <c r="K11" s="4">
        <v>658000</v>
      </c>
      <c r="L11" s="4">
        <v>0</v>
      </c>
      <c r="M11" s="4">
        <v>0</v>
      </c>
      <c r="N11" s="4">
        <v>1468100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E618A-51CA-4953-BF15-A4AA407BDA3E}">
  <dimension ref="A2:R125"/>
  <sheetViews>
    <sheetView zoomScale="85" zoomScaleNormal="85" workbookViewId="0"/>
  </sheetViews>
  <sheetFormatPr baseColWidth="10" defaultRowHeight="15" x14ac:dyDescent="0.25"/>
  <cols>
    <col min="1" max="1" width="20" bestFit="1" customWidth="1"/>
    <col min="2" max="2" width="17.7109375" bestFit="1" customWidth="1"/>
    <col min="3" max="3" width="12.28515625" bestFit="1" customWidth="1"/>
    <col min="4" max="6" width="10.85546875" bestFit="1" customWidth="1"/>
    <col min="7" max="7" width="10.85546875" style="6" bestFit="1" customWidth="1"/>
    <col min="8" max="8" width="19.5703125" bestFit="1" customWidth="1"/>
    <col min="9" max="9" width="12.140625" bestFit="1" customWidth="1"/>
    <col min="11" max="11" width="20" bestFit="1" customWidth="1"/>
    <col min="12" max="14" width="13.85546875" bestFit="1" customWidth="1"/>
    <col min="15" max="15" width="12.5703125" bestFit="1" customWidth="1"/>
    <col min="16" max="16" width="18.7109375" bestFit="1" customWidth="1"/>
    <col min="17" max="17" width="19.5703125" style="6" bestFit="1" customWidth="1"/>
    <col min="18" max="18" width="19.5703125" bestFit="1" customWidth="1"/>
  </cols>
  <sheetData>
    <row r="2" spans="1:18" x14ac:dyDescent="0.25">
      <c r="A2" s="1" t="s">
        <v>28</v>
      </c>
      <c r="B2" t="s" vm="1">
        <v>0</v>
      </c>
      <c r="H2" s="4"/>
      <c r="K2" s="1" t="s">
        <v>28</v>
      </c>
      <c r="L2" t="s" vm="1">
        <v>0</v>
      </c>
      <c r="R2" s="4"/>
    </row>
    <row r="4" spans="1:18" x14ac:dyDescent="0.25">
      <c r="A4" s="1" t="s">
        <v>15</v>
      </c>
      <c r="B4" s="1" t="s">
        <v>17</v>
      </c>
      <c r="C4" s="1" t="s">
        <v>39</v>
      </c>
      <c r="D4" s="1" t="s">
        <v>19</v>
      </c>
      <c r="E4" s="1" t="s">
        <v>27</v>
      </c>
      <c r="F4" s="1" t="s">
        <v>16</v>
      </c>
      <c r="G4" s="1" t="s">
        <v>26</v>
      </c>
      <c r="H4" t="s">
        <v>18</v>
      </c>
      <c r="I4" s="9" t="s">
        <v>41</v>
      </c>
      <c r="K4" s="1" t="s">
        <v>40</v>
      </c>
      <c r="L4" s="1" t="s">
        <v>16</v>
      </c>
      <c r="Q4"/>
    </row>
    <row r="5" spans="1:18" x14ac:dyDescent="0.25">
      <c r="A5" t="s">
        <v>3</v>
      </c>
      <c r="B5" s="3">
        <v>46076.692083333335</v>
      </c>
      <c r="C5">
        <v>2</v>
      </c>
      <c r="D5" t="s">
        <v>22</v>
      </c>
      <c r="E5">
        <v>8000</v>
      </c>
      <c r="F5" t="s">
        <v>8</v>
      </c>
      <c r="G5">
        <v>2</v>
      </c>
      <c r="H5" s="4">
        <v>1</v>
      </c>
      <c r="I5" s="10">
        <f>+E5*G5</f>
        <v>16000</v>
      </c>
      <c r="K5" s="1" t="s">
        <v>15</v>
      </c>
      <c r="L5" t="s">
        <v>38</v>
      </c>
      <c r="M5" t="s">
        <v>8</v>
      </c>
      <c r="N5" t="s">
        <v>9</v>
      </c>
      <c r="O5" t="s">
        <v>2</v>
      </c>
      <c r="Q5"/>
    </row>
    <row r="6" spans="1:18" x14ac:dyDescent="0.25">
      <c r="A6" t="s">
        <v>3</v>
      </c>
      <c r="B6" s="3">
        <v>46076.709675925929</v>
      </c>
      <c r="C6">
        <v>3</v>
      </c>
      <c r="D6" t="s">
        <v>22</v>
      </c>
      <c r="E6">
        <v>8000</v>
      </c>
      <c r="F6" t="s">
        <v>9</v>
      </c>
      <c r="G6">
        <v>1</v>
      </c>
      <c r="H6" s="4">
        <v>1</v>
      </c>
      <c r="I6" s="10">
        <f t="shared" ref="I6:I69" si="0">+E6*G6</f>
        <v>8000</v>
      </c>
      <c r="K6" t="s">
        <v>3</v>
      </c>
      <c r="L6" s="4"/>
      <c r="M6" s="4">
        <v>192000</v>
      </c>
      <c r="N6" s="4">
        <v>32000</v>
      </c>
      <c r="O6" s="4">
        <v>224000</v>
      </c>
      <c r="Q6"/>
    </row>
    <row r="7" spans="1:18" x14ac:dyDescent="0.25">
      <c r="A7" t="s">
        <v>3</v>
      </c>
      <c r="B7" s="3">
        <v>46076.717372685183</v>
      </c>
      <c r="C7">
        <v>4</v>
      </c>
      <c r="D7" t="s">
        <v>22</v>
      </c>
      <c r="E7">
        <v>8000</v>
      </c>
      <c r="F7" t="s">
        <v>8</v>
      </c>
      <c r="G7">
        <v>2</v>
      </c>
      <c r="H7" s="4">
        <v>1</v>
      </c>
      <c r="I7" s="10">
        <f t="shared" si="0"/>
        <v>16000</v>
      </c>
      <c r="K7" t="s">
        <v>4</v>
      </c>
      <c r="L7" s="4"/>
      <c r="M7" s="4">
        <v>213000</v>
      </c>
      <c r="N7" s="4">
        <v>8000</v>
      </c>
      <c r="O7" s="4">
        <v>221000</v>
      </c>
      <c r="Q7"/>
    </row>
    <row r="8" spans="1:18" x14ac:dyDescent="0.25">
      <c r="A8" t="s">
        <v>3</v>
      </c>
      <c r="D8" t="s">
        <v>23</v>
      </c>
      <c r="E8">
        <v>3000</v>
      </c>
      <c r="F8" t="s">
        <v>8</v>
      </c>
      <c r="G8">
        <v>2</v>
      </c>
      <c r="H8" s="4">
        <v>1</v>
      </c>
      <c r="I8" s="10">
        <f t="shared" si="0"/>
        <v>6000</v>
      </c>
      <c r="K8" t="s">
        <v>5</v>
      </c>
      <c r="L8" s="4"/>
      <c r="M8" s="4">
        <v>344000</v>
      </c>
      <c r="N8" s="4">
        <v>46500</v>
      </c>
      <c r="O8" s="4">
        <v>390500</v>
      </c>
      <c r="Q8"/>
    </row>
    <row r="9" spans="1:18" x14ac:dyDescent="0.25">
      <c r="A9" t="s">
        <v>3</v>
      </c>
      <c r="B9" s="3">
        <v>46076.72047453704</v>
      </c>
      <c r="C9">
        <v>5</v>
      </c>
      <c r="D9" t="s">
        <v>22</v>
      </c>
      <c r="E9">
        <v>8000</v>
      </c>
      <c r="F9" t="s">
        <v>9</v>
      </c>
      <c r="G9">
        <v>3</v>
      </c>
      <c r="H9" s="4">
        <v>1</v>
      </c>
      <c r="I9" s="10">
        <f t="shared" si="0"/>
        <v>24000</v>
      </c>
      <c r="K9" t="s">
        <v>6</v>
      </c>
      <c r="L9" s="4"/>
      <c r="M9" s="4">
        <v>84000</v>
      </c>
      <c r="N9" s="4">
        <v>125000</v>
      </c>
      <c r="O9" s="4">
        <v>209000</v>
      </c>
      <c r="Q9"/>
    </row>
    <row r="10" spans="1:18" x14ac:dyDescent="0.25">
      <c r="A10" t="s">
        <v>3</v>
      </c>
      <c r="B10" s="3">
        <v>46076.750289351854</v>
      </c>
      <c r="C10">
        <v>6</v>
      </c>
      <c r="D10" t="s">
        <v>20</v>
      </c>
      <c r="E10">
        <v>3000</v>
      </c>
      <c r="F10" t="s">
        <v>8</v>
      </c>
      <c r="G10">
        <v>2</v>
      </c>
      <c r="H10" s="4">
        <v>1</v>
      </c>
      <c r="I10" s="10">
        <f t="shared" si="0"/>
        <v>6000</v>
      </c>
      <c r="K10" t="s">
        <v>35</v>
      </c>
      <c r="L10" s="4">
        <v>11000</v>
      </c>
      <c r="M10" s="4">
        <v>186000</v>
      </c>
      <c r="N10" s="4">
        <v>51000</v>
      </c>
      <c r="O10" s="4">
        <v>248000</v>
      </c>
      <c r="Q10"/>
    </row>
    <row r="11" spans="1:18" x14ac:dyDescent="0.25">
      <c r="A11" t="s">
        <v>3</v>
      </c>
      <c r="D11" t="s">
        <v>22</v>
      </c>
      <c r="E11">
        <v>8000</v>
      </c>
      <c r="F11" t="s">
        <v>8</v>
      </c>
      <c r="G11">
        <v>2</v>
      </c>
      <c r="H11" s="4">
        <v>1</v>
      </c>
      <c r="I11" s="10">
        <f t="shared" si="0"/>
        <v>16000</v>
      </c>
      <c r="K11" t="s">
        <v>43</v>
      </c>
      <c r="L11" s="4"/>
      <c r="M11" s="4">
        <v>456500</v>
      </c>
      <c r="N11" s="4">
        <v>47000</v>
      </c>
      <c r="O11" s="4">
        <v>503500</v>
      </c>
      <c r="Q11"/>
    </row>
    <row r="12" spans="1:18" x14ac:dyDescent="0.25">
      <c r="A12" t="s">
        <v>3</v>
      </c>
      <c r="B12" s="3">
        <v>46076.751967592594</v>
      </c>
      <c r="C12">
        <v>7</v>
      </c>
      <c r="D12" t="s">
        <v>22</v>
      </c>
      <c r="E12">
        <v>8000</v>
      </c>
      <c r="F12" t="s">
        <v>8</v>
      </c>
      <c r="G12">
        <v>2</v>
      </c>
      <c r="H12" s="4">
        <v>1</v>
      </c>
      <c r="I12" s="10">
        <f t="shared" si="0"/>
        <v>16000</v>
      </c>
      <c r="K12" t="s">
        <v>2</v>
      </c>
      <c r="L12" s="4">
        <v>11000</v>
      </c>
      <c r="M12" s="4">
        <v>1475500</v>
      </c>
      <c r="N12" s="4">
        <v>309500</v>
      </c>
      <c r="O12" s="4">
        <v>1796000</v>
      </c>
      <c r="Q12"/>
    </row>
    <row r="13" spans="1:18" x14ac:dyDescent="0.25">
      <c r="A13" t="s">
        <v>3</v>
      </c>
      <c r="D13" t="s">
        <v>25</v>
      </c>
      <c r="E13">
        <v>3000</v>
      </c>
      <c r="F13" t="s">
        <v>8</v>
      </c>
      <c r="G13">
        <v>1</v>
      </c>
      <c r="H13" s="4">
        <v>1</v>
      </c>
      <c r="I13" s="10">
        <f t="shared" si="0"/>
        <v>3000</v>
      </c>
      <c r="Q13"/>
    </row>
    <row r="14" spans="1:18" x14ac:dyDescent="0.25">
      <c r="A14" t="s">
        <v>3</v>
      </c>
      <c r="B14" s="3">
        <v>46076.787222222221</v>
      </c>
      <c r="C14">
        <v>8</v>
      </c>
      <c r="D14" t="s">
        <v>22</v>
      </c>
      <c r="E14">
        <v>8000</v>
      </c>
      <c r="F14" t="s">
        <v>8</v>
      </c>
      <c r="G14">
        <v>1</v>
      </c>
      <c r="H14" s="4">
        <v>1</v>
      </c>
      <c r="I14" s="10">
        <f t="shared" si="0"/>
        <v>8000</v>
      </c>
      <c r="Q14"/>
    </row>
    <row r="15" spans="1:18" x14ac:dyDescent="0.25">
      <c r="A15" t="s">
        <v>3</v>
      </c>
      <c r="B15" s="3">
        <v>46076.795474537037</v>
      </c>
      <c r="C15">
        <v>9</v>
      </c>
      <c r="D15" t="s">
        <v>22</v>
      </c>
      <c r="E15">
        <v>8000</v>
      </c>
      <c r="F15" t="s">
        <v>8</v>
      </c>
      <c r="G15">
        <v>2</v>
      </c>
      <c r="H15" s="4">
        <v>1</v>
      </c>
      <c r="I15" s="10">
        <f t="shared" si="0"/>
        <v>16000</v>
      </c>
      <c r="Q15"/>
    </row>
    <row r="16" spans="1:18" x14ac:dyDescent="0.25">
      <c r="A16" t="s">
        <v>3</v>
      </c>
      <c r="D16" t="s">
        <v>23</v>
      </c>
      <c r="E16">
        <v>3000</v>
      </c>
      <c r="F16" t="s">
        <v>8</v>
      </c>
      <c r="G16">
        <v>2</v>
      </c>
      <c r="H16" s="4">
        <v>1</v>
      </c>
      <c r="I16" s="10">
        <f t="shared" si="0"/>
        <v>6000</v>
      </c>
      <c r="Q16"/>
    </row>
    <row r="17" spans="1:17" x14ac:dyDescent="0.25">
      <c r="A17" t="s">
        <v>3</v>
      </c>
      <c r="B17" s="3">
        <v>46076.818287037036</v>
      </c>
      <c r="C17">
        <v>10</v>
      </c>
      <c r="D17" t="s">
        <v>22</v>
      </c>
      <c r="E17">
        <v>8000</v>
      </c>
      <c r="F17" t="s">
        <v>8</v>
      </c>
      <c r="G17">
        <v>3</v>
      </c>
      <c r="H17" s="4">
        <v>1</v>
      </c>
      <c r="I17" s="10">
        <f t="shared" si="0"/>
        <v>24000</v>
      </c>
      <c r="Q17"/>
    </row>
    <row r="18" spans="1:17" x14ac:dyDescent="0.25">
      <c r="A18" t="s">
        <v>3</v>
      </c>
      <c r="B18" s="3">
        <v>46076.841643518521</v>
      </c>
      <c r="C18">
        <v>11</v>
      </c>
      <c r="D18" t="s">
        <v>22</v>
      </c>
      <c r="E18">
        <v>8000</v>
      </c>
      <c r="F18" t="s">
        <v>8</v>
      </c>
      <c r="G18">
        <v>1</v>
      </c>
      <c r="H18" s="4">
        <v>1</v>
      </c>
      <c r="I18" s="10">
        <f t="shared" si="0"/>
        <v>8000</v>
      </c>
      <c r="Q18"/>
    </row>
    <row r="19" spans="1:17" x14ac:dyDescent="0.25">
      <c r="A19" t="s">
        <v>3</v>
      </c>
      <c r="B19" s="3">
        <v>46076.843854166669</v>
      </c>
      <c r="C19">
        <v>12</v>
      </c>
      <c r="D19" t="s">
        <v>22</v>
      </c>
      <c r="E19">
        <v>8000</v>
      </c>
      <c r="F19" t="s">
        <v>8</v>
      </c>
      <c r="G19">
        <v>1</v>
      </c>
      <c r="H19" s="4">
        <v>1</v>
      </c>
      <c r="I19" s="10">
        <f t="shared" si="0"/>
        <v>8000</v>
      </c>
      <c r="Q19"/>
    </row>
    <row r="20" spans="1:17" x14ac:dyDescent="0.25">
      <c r="A20" t="s">
        <v>3</v>
      </c>
      <c r="B20" s="3">
        <v>46076.845659722225</v>
      </c>
      <c r="C20">
        <v>13</v>
      </c>
      <c r="D20" t="s">
        <v>22</v>
      </c>
      <c r="E20">
        <v>8000</v>
      </c>
      <c r="F20" t="s">
        <v>8</v>
      </c>
      <c r="G20">
        <v>1</v>
      </c>
      <c r="H20" s="4">
        <v>1</v>
      </c>
      <c r="I20" s="10">
        <f t="shared" si="0"/>
        <v>8000</v>
      </c>
      <c r="Q20"/>
    </row>
    <row r="21" spans="1:17" x14ac:dyDescent="0.25">
      <c r="A21" t="s">
        <v>3</v>
      </c>
      <c r="D21" t="s">
        <v>25</v>
      </c>
      <c r="E21">
        <v>3000</v>
      </c>
      <c r="F21" t="s">
        <v>8</v>
      </c>
      <c r="G21">
        <v>1</v>
      </c>
      <c r="H21" s="4">
        <v>1</v>
      </c>
      <c r="I21" s="10">
        <f t="shared" si="0"/>
        <v>3000</v>
      </c>
      <c r="Q21"/>
    </row>
    <row r="22" spans="1:17" x14ac:dyDescent="0.25">
      <c r="A22" t="s">
        <v>3</v>
      </c>
      <c r="B22" s="3">
        <v>46076.850243055553</v>
      </c>
      <c r="C22">
        <v>14</v>
      </c>
      <c r="D22" t="s">
        <v>22</v>
      </c>
      <c r="E22">
        <v>8000</v>
      </c>
      <c r="F22" t="s">
        <v>8</v>
      </c>
      <c r="G22">
        <v>3</v>
      </c>
      <c r="H22" s="4">
        <v>1</v>
      </c>
      <c r="I22" s="10">
        <f t="shared" si="0"/>
        <v>24000</v>
      </c>
      <c r="Q22"/>
    </row>
    <row r="23" spans="1:17" x14ac:dyDescent="0.25">
      <c r="A23" t="s">
        <v>3</v>
      </c>
      <c r="B23" s="3">
        <v>46076.852650462963</v>
      </c>
      <c r="C23">
        <v>15</v>
      </c>
      <c r="D23" t="s">
        <v>22</v>
      </c>
      <c r="E23">
        <v>8000</v>
      </c>
      <c r="F23" t="s">
        <v>8</v>
      </c>
      <c r="G23">
        <v>1</v>
      </c>
      <c r="H23" s="4">
        <v>1</v>
      </c>
      <c r="I23" s="10">
        <f t="shared" si="0"/>
        <v>8000</v>
      </c>
      <c r="Q23"/>
    </row>
    <row r="24" spans="1:17" x14ac:dyDescent="0.25">
      <c r="A24" t="s">
        <v>4</v>
      </c>
      <c r="B24" s="3">
        <v>46077.648680555554</v>
      </c>
      <c r="C24">
        <v>16</v>
      </c>
      <c r="D24" t="s">
        <v>22</v>
      </c>
      <c r="E24">
        <v>8000</v>
      </c>
      <c r="F24" t="s">
        <v>8</v>
      </c>
      <c r="G24">
        <v>5</v>
      </c>
      <c r="H24" s="4">
        <v>1</v>
      </c>
      <c r="I24" s="10">
        <f t="shared" si="0"/>
        <v>40000</v>
      </c>
      <c r="Q24"/>
    </row>
    <row r="25" spans="1:17" x14ac:dyDescent="0.25">
      <c r="A25" t="s">
        <v>4</v>
      </c>
      <c r="B25" s="3">
        <v>46077.649351851855</v>
      </c>
      <c r="C25">
        <v>17</v>
      </c>
      <c r="D25" t="s">
        <v>22</v>
      </c>
      <c r="E25">
        <v>8000</v>
      </c>
      <c r="F25" t="s">
        <v>8</v>
      </c>
      <c r="G25">
        <v>3</v>
      </c>
      <c r="H25" s="4">
        <v>1</v>
      </c>
      <c r="I25" s="10">
        <f t="shared" si="0"/>
        <v>24000</v>
      </c>
      <c r="Q25"/>
    </row>
    <row r="26" spans="1:17" x14ac:dyDescent="0.25">
      <c r="A26" t="s">
        <v>4</v>
      </c>
      <c r="B26" s="3">
        <v>46077.740034722221</v>
      </c>
      <c r="C26">
        <v>18</v>
      </c>
      <c r="D26" t="s">
        <v>22</v>
      </c>
      <c r="E26">
        <v>8000</v>
      </c>
      <c r="F26" t="s">
        <v>8</v>
      </c>
      <c r="G26">
        <v>1</v>
      </c>
      <c r="H26" s="4">
        <v>1</v>
      </c>
      <c r="I26" s="10">
        <f t="shared" si="0"/>
        <v>8000</v>
      </c>
      <c r="Q26"/>
    </row>
    <row r="27" spans="1:17" x14ac:dyDescent="0.25">
      <c r="A27" t="s">
        <v>4</v>
      </c>
      <c r="B27" s="3">
        <v>46077.759606481479</v>
      </c>
      <c r="C27">
        <v>19</v>
      </c>
      <c r="D27" t="s">
        <v>22</v>
      </c>
      <c r="E27">
        <v>8000</v>
      </c>
      <c r="F27" t="s">
        <v>8</v>
      </c>
      <c r="G27">
        <v>1</v>
      </c>
      <c r="H27" s="4">
        <v>1</v>
      </c>
      <c r="I27" s="10">
        <f t="shared" si="0"/>
        <v>8000</v>
      </c>
      <c r="Q27"/>
    </row>
    <row r="28" spans="1:17" x14ac:dyDescent="0.25">
      <c r="A28" t="s">
        <v>4</v>
      </c>
      <c r="B28" s="3">
        <v>46077.774178240739</v>
      </c>
      <c r="C28">
        <v>20</v>
      </c>
      <c r="D28" t="s">
        <v>22</v>
      </c>
      <c r="E28">
        <v>8000</v>
      </c>
      <c r="F28" t="s">
        <v>8</v>
      </c>
      <c r="G28">
        <v>2</v>
      </c>
      <c r="H28" s="4">
        <v>1</v>
      </c>
      <c r="I28" s="10">
        <f t="shared" si="0"/>
        <v>16000</v>
      </c>
      <c r="Q28"/>
    </row>
    <row r="29" spans="1:17" x14ac:dyDescent="0.25">
      <c r="A29" t="s">
        <v>4</v>
      </c>
      <c r="B29" s="3">
        <v>46077.775185185186</v>
      </c>
      <c r="C29">
        <v>21</v>
      </c>
      <c r="D29" t="s">
        <v>22</v>
      </c>
      <c r="E29">
        <v>8000</v>
      </c>
      <c r="F29" t="s">
        <v>8</v>
      </c>
      <c r="G29">
        <v>1</v>
      </c>
      <c r="H29" s="4">
        <v>1</v>
      </c>
      <c r="I29" s="10">
        <f t="shared" si="0"/>
        <v>8000</v>
      </c>
      <c r="Q29"/>
    </row>
    <row r="30" spans="1:17" x14ac:dyDescent="0.25">
      <c r="A30" t="s">
        <v>4</v>
      </c>
      <c r="B30" s="3">
        <v>46077.77952546296</v>
      </c>
      <c r="C30">
        <v>22</v>
      </c>
      <c r="D30" t="s">
        <v>21</v>
      </c>
      <c r="E30">
        <v>4500</v>
      </c>
      <c r="F30" t="s">
        <v>8</v>
      </c>
      <c r="G30">
        <v>2</v>
      </c>
      <c r="H30" s="4">
        <v>1</v>
      </c>
      <c r="I30" s="10">
        <f t="shared" si="0"/>
        <v>9000</v>
      </c>
      <c r="Q30"/>
    </row>
    <row r="31" spans="1:17" x14ac:dyDescent="0.25">
      <c r="A31" t="s">
        <v>4</v>
      </c>
      <c r="D31" t="s">
        <v>22</v>
      </c>
      <c r="E31">
        <v>8000</v>
      </c>
      <c r="F31" t="s">
        <v>8</v>
      </c>
      <c r="G31">
        <v>1</v>
      </c>
      <c r="H31" s="4">
        <v>1</v>
      </c>
      <c r="I31" s="10">
        <f t="shared" si="0"/>
        <v>8000</v>
      </c>
      <c r="Q31"/>
    </row>
    <row r="32" spans="1:17" x14ac:dyDescent="0.25">
      <c r="A32" t="s">
        <v>4</v>
      </c>
      <c r="B32" s="3">
        <v>46077.797152777777</v>
      </c>
      <c r="C32">
        <v>23</v>
      </c>
      <c r="D32" t="s">
        <v>22</v>
      </c>
      <c r="E32">
        <v>8000</v>
      </c>
      <c r="F32" t="s">
        <v>8</v>
      </c>
      <c r="G32">
        <v>1</v>
      </c>
      <c r="H32" s="4">
        <v>1</v>
      </c>
      <c r="I32" s="10">
        <f t="shared" si="0"/>
        <v>8000</v>
      </c>
      <c r="Q32"/>
    </row>
    <row r="33" spans="1:17" x14ac:dyDescent="0.25">
      <c r="A33" t="s">
        <v>4</v>
      </c>
      <c r="B33" s="3">
        <v>46077.834386574075</v>
      </c>
      <c r="C33">
        <v>24</v>
      </c>
      <c r="D33" t="s">
        <v>22</v>
      </c>
      <c r="E33">
        <v>8000</v>
      </c>
      <c r="F33" t="s">
        <v>9</v>
      </c>
      <c r="G33">
        <v>1</v>
      </c>
      <c r="H33" s="4">
        <v>1</v>
      </c>
      <c r="I33" s="10">
        <f t="shared" si="0"/>
        <v>8000</v>
      </c>
      <c r="Q33"/>
    </row>
    <row r="34" spans="1:17" x14ac:dyDescent="0.25">
      <c r="A34" t="s">
        <v>4</v>
      </c>
      <c r="B34" s="3">
        <v>46077.836875000001</v>
      </c>
      <c r="C34">
        <v>25</v>
      </c>
      <c r="D34" t="s">
        <v>22</v>
      </c>
      <c r="E34">
        <v>8000</v>
      </c>
      <c r="F34" t="s">
        <v>8</v>
      </c>
      <c r="G34">
        <v>1</v>
      </c>
      <c r="H34" s="4">
        <v>1</v>
      </c>
      <c r="I34" s="10">
        <f t="shared" si="0"/>
        <v>8000</v>
      </c>
      <c r="Q34"/>
    </row>
    <row r="35" spans="1:17" x14ac:dyDescent="0.25">
      <c r="A35" t="s">
        <v>4</v>
      </c>
      <c r="B35" s="3">
        <v>46077.847013888888</v>
      </c>
      <c r="C35">
        <v>26</v>
      </c>
      <c r="D35" t="s">
        <v>20</v>
      </c>
      <c r="E35">
        <v>3000</v>
      </c>
      <c r="F35" t="s">
        <v>8</v>
      </c>
      <c r="G35">
        <v>1</v>
      </c>
      <c r="H35" s="4">
        <v>1</v>
      </c>
      <c r="I35" s="10">
        <f t="shared" si="0"/>
        <v>3000</v>
      </c>
      <c r="Q35"/>
    </row>
    <row r="36" spans="1:17" x14ac:dyDescent="0.25">
      <c r="A36" t="s">
        <v>4</v>
      </c>
      <c r="D36" t="s">
        <v>22</v>
      </c>
      <c r="E36">
        <v>8000</v>
      </c>
      <c r="F36" t="s">
        <v>8</v>
      </c>
      <c r="G36">
        <v>3</v>
      </c>
      <c r="H36" s="4">
        <v>1</v>
      </c>
      <c r="I36" s="10">
        <f t="shared" si="0"/>
        <v>24000</v>
      </c>
      <c r="Q36"/>
    </row>
    <row r="37" spans="1:17" x14ac:dyDescent="0.25">
      <c r="A37" t="s">
        <v>4</v>
      </c>
      <c r="D37" t="s">
        <v>25</v>
      </c>
      <c r="E37">
        <v>3000</v>
      </c>
      <c r="F37" t="s">
        <v>8</v>
      </c>
      <c r="G37">
        <v>1</v>
      </c>
      <c r="H37" s="4">
        <v>1</v>
      </c>
      <c r="I37" s="10">
        <f t="shared" si="0"/>
        <v>3000</v>
      </c>
      <c r="Q37"/>
    </row>
    <row r="38" spans="1:17" x14ac:dyDescent="0.25">
      <c r="A38" t="s">
        <v>4</v>
      </c>
      <c r="B38" s="3">
        <v>46077.849872685183</v>
      </c>
      <c r="C38">
        <v>27</v>
      </c>
      <c r="D38" t="s">
        <v>22</v>
      </c>
      <c r="E38">
        <v>8000</v>
      </c>
      <c r="F38" t="s">
        <v>8</v>
      </c>
      <c r="G38">
        <v>4</v>
      </c>
      <c r="H38" s="4">
        <v>1</v>
      </c>
      <c r="I38" s="10">
        <f t="shared" si="0"/>
        <v>32000</v>
      </c>
      <c r="Q38"/>
    </row>
    <row r="39" spans="1:17" x14ac:dyDescent="0.25">
      <c r="A39" t="s">
        <v>4</v>
      </c>
      <c r="D39" t="s">
        <v>23</v>
      </c>
      <c r="E39">
        <v>3000</v>
      </c>
      <c r="F39" t="s">
        <v>8</v>
      </c>
      <c r="G39">
        <v>2</v>
      </c>
      <c r="H39" s="4">
        <v>1</v>
      </c>
      <c r="I39" s="10">
        <f t="shared" si="0"/>
        <v>6000</v>
      </c>
      <c r="Q39"/>
    </row>
    <row r="40" spans="1:17" x14ac:dyDescent="0.25">
      <c r="A40" t="s">
        <v>4</v>
      </c>
      <c r="B40" s="3">
        <v>46077.867604166669</v>
      </c>
      <c r="C40">
        <v>28</v>
      </c>
      <c r="D40" t="s">
        <v>22</v>
      </c>
      <c r="E40">
        <v>8000</v>
      </c>
      <c r="F40" t="s">
        <v>8</v>
      </c>
      <c r="G40">
        <v>1</v>
      </c>
      <c r="H40" s="4">
        <v>1</v>
      </c>
      <c r="I40" s="10">
        <f t="shared" si="0"/>
        <v>8000</v>
      </c>
      <c r="Q40"/>
    </row>
    <row r="41" spans="1:17" x14ac:dyDescent="0.25">
      <c r="A41" t="s">
        <v>5</v>
      </c>
      <c r="B41" s="3">
        <v>46078.578043981484</v>
      </c>
      <c r="C41">
        <v>29</v>
      </c>
      <c r="D41" t="s">
        <v>22</v>
      </c>
      <c r="E41">
        <v>8000</v>
      </c>
      <c r="F41" t="s">
        <v>8</v>
      </c>
      <c r="G41">
        <v>1</v>
      </c>
      <c r="H41" s="4">
        <v>1</v>
      </c>
      <c r="I41" s="10">
        <f t="shared" si="0"/>
        <v>8000</v>
      </c>
      <c r="Q41"/>
    </row>
    <row r="42" spans="1:17" x14ac:dyDescent="0.25">
      <c r="A42" t="s">
        <v>5</v>
      </c>
      <c r="B42" s="3">
        <v>46078.579907407409</v>
      </c>
      <c r="C42">
        <v>30</v>
      </c>
      <c r="D42" t="s">
        <v>22</v>
      </c>
      <c r="E42">
        <v>8000</v>
      </c>
      <c r="F42" t="s">
        <v>8</v>
      </c>
      <c r="G42">
        <v>1</v>
      </c>
      <c r="H42" s="4">
        <v>1</v>
      </c>
      <c r="I42" s="10">
        <f t="shared" si="0"/>
        <v>8000</v>
      </c>
      <c r="Q42"/>
    </row>
    <row r="43" spans="1:17" x14ac:dyDescent="0.25">
      <c r="A43" t="s">
        <v>5</v>
      </c>
      <c r="B43" s="3">
        <v>46078.58693287037</v>
      </c>
      <c r="C43">
        <v>31</v>
      </c>
      <c r="D43" t="s">
        <v>22</v>
      </c>
      <c r="E43">
        <v>8000</v>
      </c>
      <c r="F43" t="s">
        <v>8</v>
      </c>
      <c r="G43">
        <v>1</v>
      </c>
      <c r="H43" s="4">
        <v>1</v>
      </c>
      <c r="I43" s="10">
        <f t="shared" si="0"/>
        <v>8000</v>
      </c>
      <c r="Q43"/>
    </row>
    <row r="44" spans="1:17" x14ac:dyDescent="0.25">
      <c r="A44" t="s">
        <v>5</v>
      </c>
      <c r="B44" s="3">
        <v>46078.59138888889</v>
      </c>
      <c r="C44">
        <v>32</v>
      </c>
      <c r="D44" t="s">
        <v>24</v>
      </c>
      <c r="E44">
        <v>35000</v>
      </c>
      <c r="F44" t="s">
        <v>8</v>
      </c>
      <c r="G44">
        <v>1</v>
      </c>
      <c r="H44" s="4">
        <v>1</v>
      </c>
      <c r="I44" s="10">
        <f t="shared" si="0"/>
        <v>35000</v>
      </c>
      <c r="Q44"/>
    </row>
    <row r="45" spans="1:17" x14ac:dyDescent="0.25">
      <c r="A45" t="s">
        <v>5</v>
      </c>
      <c r="B45" s="3">
        <v>46078.600636574076</v>
      </c>
      <c r="C45">
        <v>34</v>
      </c>
      <c r="D45" t="s">
        <v>24</v>
      </c>
      <c r="E45">
        <v>35000</v>
      </c>
      <c r="F45" t="s">
        <v>8</v>
      </c>
      <c r="G45">
        <v>1</v>
      </c>
      <c r="H45" s="4">
        <v>1</v>
      </c>
      <c r="I45" s="10">
        <f t="shared" si="0"/>
        <v>35000</v>
      </c>
      <c r="Q45"/>
    </row>
    <row r="46" spans="1:17" x14ac:dyDescent="0.25">
      <c r="A46" t="s">
        <v>5</v>
      </c>
      <c r="B46" s="3">
        <v>46078.601261574076</v>
      </c>
      <c r="C46">
        <v>35</v>
      </c>
      <c r="D46" t="s">
        <v>22</v>
      </c>
      <c r="E46">
        <v>8000</v>
      </c>
      <c r="F46" t="s">
        <v>8</v>
      </c>
      <c r="G46">
        <v>2</v>
      </c>
      <c r="H46" s="4">
        <v>1</v>
      </c>
      <c r="I46" s="10">
        <f t="shared" si="0"/>
        <v>16000</v>
      </c>
      <c r="Q46"/>
    </row>
    <row r="47" spans="1:17" x14ac:dyDescent="0.25">
      <c r="A47" t="s">
        <v>5</v>
      </c>
      <c r="B47" s="3">
        <v>46078.694513888891</v>
      </c>
      <c r="C47">
        <v>36</v>
      </c>
      <c r="D47" t="s">
        <v>22</v>
      </c>
      <c r="E47">
        <v>8000</v>
      </c>
      <c r="F47" t="s">
        <v>8</v>
      </c>
      <c r="G47">
        <v>1</v>
      </c>
      <c r="H47" s="4">
        <v>1</v>
      </c>
      <c r="I47" s="10">
        <f t="shared" si="0"/>
        <v>8000</v>
      </c>
      <c r="Q47"/>
    </row>
    <row r="48" spans="1:17" x14ac:dyDescent="0.25">
      <c r="A48" t="s">
        <v>5</v>
      </c>
      <c r="B48" s="3">
        <v>46078.695300925923</v>
      </c>
      <c r="C48">
        <v>37</v>
      </c>
      <c r="D48" t="s">
        <v>22</v>
      </c>
      <c r="E48">
        <v>8000</v>
      </c>
      <c r="F48" t="s">
        <v>9</v>
      </c>
      <c r="G48">
        <v>1</v>
      </c>
      <c r="H48" s="4">
        <v>1</v>
      </c>
      <c r="I48" s="10">
        <f t="shared" si="0"/>
        <v>8000</v>
      </c>
      <c r="Q48"/>
    </row>
    <row r="49" spans="1:17" x14ac:dyDescent="0.25">
      <c r="A49" t="s">
        <v>5</v>
      </c>
      <c r="B49" s="3">
        <v>46078.762141203704</v>
      </c>
      <c r="C49">
        <v>38</v>
      </c>
      <c r="D49" t="s">
        <v>22</v>
      </c>
      <c r="E49">
        <v>8000</v>
      </c>
      <c r="F49" t="s">
        <v>8</v>
      </c>
      <c r="G49">
        <v>1</v>
      </c>
      <c r="H49" s="4">
        <v>1</v>
      </c>
      <c r="I49" s="10">
        <f t="shared" si="0"/>
        <v>8000</v>
      </c>
      <c r="Q49"/>
    </row>
    <row r="50" spans="1:17" x14ac:dyDescent="0.25">
      <c r="A50" t="s">
        <v>5</v>
      </c>
      <c r="B50" s="3">
        <v>46078.764027777775</v>
      </c>
      <c r="C50">
        <v>39</v>
      </c>
      <c r="D50" t="s">
        <v>22</v>
      </c>
      <c r="E50">
        <v>8000</v>
      </c>
      <c r="F50" t="s">
        <v>8</v>
      </c>
      <c r="G50">
        <v>1</v>
      </c>
      <c r="H50" s="4">
        <v>1</v>
      </c>
      <c r="I50" s="10">
        <f t="shared" si="0"/>
        <v>8000</v>
      </c>
      <c r="Q50"/>
    </row>
    <row r="51" spans="1:17" x14ac:dyDescent="0.25">
      <c r="A51" t="s">
        <v>5</v>
      </c>
      <c r="B51" s="3">
        <v>46078.768379629626</v>
      </c>
      <c r="C51">
        <v>41</v>
      </c>
      <c r="D51" t="s">
        <v>22</v>
      </c>
      <c r="E51">
        <v>8000</v>
      </c>
      <c r="F51" t="s">
        <v>8</v>
      </c>
      <c r="G51">
        <v>1</v>
      </c>
      <c r="H51" s="4">
        <v>1</v>
      </c>
      <c r="I51" s="10">
        <f t="shared" si="0"/>
        <v>8000</v>
      </c>
      <c r="Q51"/>
    </row>
    <row r="52" spans="1:17" x14ac:dyDescent="0.25">
      <c r="A52" t="s">
        <v>5</v>
      </c>
      <c r="B52" s="3">
        <v>46078.77375</v>
      </c>
      <c r="C52">
        <v>42</v>
      </c>
      <c r="D52" t="s">
        <v>22</v>
      </c>
      <c r="E52">
        <v>8000</v>
      </c>
      <c r="F52" t="s">
        <v>8</v>
      </c>
      <c r="G52">
        <v>5</v>
      </c>
      <c r="H52" s="4">
        <v>1</v>
      </c>
      <c r="I52" s="10">
        <f t="shared" si="0"/>
        <v>40000</v>
      </c>
      <c r="Q52"/>
    </row>
    <row r="53" spans="1:17" x14ac:dyDescent="0.25">
      <c r="A53" t="s">
        <v>5</v>
      </c>
      <c r="B53" s="3">
        <v>46078.774247685185</v>
      </c>
      <c r="C53">
        <v>43</v>
      </c>
      <c r="D53" t="s">
        <v>23</v>
      </c>
      <c r="E53">
        <v>3000</v>
      </c>
      <c r="F53" t="s">
        <v>8</v>
      </c>
      <c r="G53">
        <v>2</v>
      </c>
      <c r="H53" s="4">
        <v>1</v>
      </c>
      <c r="I53" s="10">
        <f t="shared" si="0"/>
        <v>6000</v>
      </c>
      <c r="Q53"/>
    </row>
    <row r="54" spans="1:17" x14ac:dyDescent="0.25">
      <c r="A54" t="s">
        <v>5</v>
      </c>
      <c r="D54" t="s">
        <v>25</v>
      </c>
      <c r="E54">
        <v>3000</v>
      </c>
      <c r="F54" t="s">
        <v>8</v>
      </c>
      <c r="G54">
        <v>1</v>
      </c>
      <c r="H54" s="4">
        <v>1</v>
      </c>
      <c r="I54" s="10">
        <f t="shared" si="0"/>
        <v>3000</v>
      </c>
      <c r="Q54"/>
    </row>
    <row r="55" spans="1:17" x14ac:dyDescent="0.25">
      <c r="A55" t="s">
        <v>5</v>
      </c>
      <c r="B55" s="3">
        <v>46078.777766203704</v>
      </c>
      <c r="C55">
        <v>44</v>
      </c>
      <c r="D55" t="s">
        <v>22</v>
      </c>
      <c r="E55">
        <v>8000</v>
      </c>
      <c r="F55" t="s">
        <v>8</v>
      </c>
      <c r="G55">
        <v>3</v>
      </c>
      <c r="H55" s="4">
        <v>1</v>
      </c>
      <c r="I55" s="10">
        <f t="shared" si="0"/>
        <v>24000</v>
      </c>
      <c r="Q55"/>
    </row>
    <row r="56" spans="1:17" x14ac:dyDescent="0.25">
      <c r="A56" t="s">
        <v>5</v>
      </c>
      <c r="B56" s="3">
        <v>46078.799016203702</v>
      </c>
      <c r="C56">
        <v>45</v>
      </c>
      <c r="D56" t="s">
        <v>22</v>
      </c>
      <c r="E56">
        <v>8000</v>
      </c>
      <c r="F56" t="s">
        <v>9</v>
      </c>
      <c r="G56">
        <v>1</v>
      </c>
      <c r="H56" s="4">
        <v>1</v>
      </c>
      <c r="I56" s="10">
        <f t="shared" si="0"/>
        <v>8000</v>
      </c>
      <c r="Q56"/>
    </row>
    <row r="57" spans="1:17" x14ac:dyDescent="0.25">
      <c r="A57" t="s">
        <v>5</v>
      </c>
      <c r="B57" s="3">
        <v>46078.800497685188</v>
      </c>
      <c r="C57">
        <v>46</v>
      </c>
      <c r="D57" t="s">
        <v>22</v>
      </c>
      <c r="E57">
        <v>8000</v>
      </c>
      <c r="F57" t="s">
        <v>8</v>
      </c>
      <c r="G57">
        <v>1</v>
      </c>
      <c r="H57" s="4">
        <v>1</v>
      </c>
      <c r="I57" s="10">
        <f t="shared" si="0"/>
        <v>8000</v>
      </c>
      <c r="Q57"/>
    </row>
    <row r="58" spans="1:17" x14ac:dyDescent="0.25">
      <c r="A58" t="s">
        <v>5</v>
      </c>
      <c r="D58" t="s">
        <v>23</v>
      </c>
      <c r="E58">
        <v>3000</v>
      </c>
      <c r="F58" t="s">
        <v>8</v>
      </c>
      <c r="G58">
        <v>1</v>
      </c>
      <c r="H58" s="4">
        <v>1</v>
      </c>
      <c r="I58" s="10">
        <f t="shared" si="0"/>
        <v>3000</v>
      </c>
      <c r="Q58"/>
    </row>
    <row r="59" spans="1:17" x14ac:dyDescent="0.25">
      <c r="A59" t="s">
        <v>5</v>
      </c>
      <c r="B59" s="3">
        <v>46078.806875000002</v>
      </c>
      <c r="C59">
        <v>47</v>
      </c>
      <c r="D59" t="s">
        <v>21</v>
      </c>
      <c r="E59">
        <v>4500</v>
      </c>
      <c r="F59" t="s">
        <v>9</v>
      </c>
      <c r="G59">
        <v>5</v>
      </c>
      <c r="H59" s="4">
        <v>1</v>
      </c>
      <c r="I59" s="10">
        <f t="shared" si="0"/>
        <v>22500</v>
      </c>
      <c r="Q59"/>
    </row>
    <row r="60" spans="1:17" x14ac:dyDescent="0.25">
      <c r="A60" t="s">
        <v>5</v>
      </c>
      <c r="B60" s="3">
        <v>46078.81894675926</v>
      </c>
      <c r="C60">
        <v>48</v>
      </c>
      <c r="D60" t="s">
        <v>24</v>
      </c>
      <c r="E60">
        <v>35000</v>
      </c>
      <c r="F60" t="s">
        <v>8</v>
      </c>
      <c r="G60">
        <v>1</v>
      </c>
      <c r="H60" s="4">
        <v>1</v>
      </c>
      <c r="I60" s="10">
        <f t="shared" si="0"/>
        <v>35000</v>
      </c>
      <c r="Q60"/>
    </row>
    <row r="61" spans="1:17" x14ac:dyDescent="0.25">
      <c r="A61" t="s">
        <v>5</v>
      </c>
      <c r="D61" t="s">
        <v>25</v>
      </c>
      <c r="E61">
        <v>3000</v>
      </c>
      <c r="F61" t="s">
        <v>8</v>
      </c>
      <c r="G61">
        <v>1</v>
      </c>
      <c r="H61" s="4">
        <v>1</v>
      </c>
      <c r="I61" s="10">
        <f t="shared" si="0"/>
        <v>3000</v>
      </c>
      <c r="Q61"/>
    </row>
    <row r="62" spans="1:17" x14ac:dyDescent="0.25">
      <c r="A62" t="s">
        <v>5</v>
      </c>
      <c r="B62" s="3">
        <v>46078.819791666669</v>
      </c>
      <c r="C62">
        <v>49</v>
      </c>
      <c r="D62" t="s">
        <v>22</v>
      </c>
      <c r="E62">
        <v>8000</v>
      </c>
      <c r="F62" t="s">
        <v>8</v>
      </c>
      <c r="G62">
        <v>2</v>
      </c>
      <c r="H62" s="4">
        <v>1</v>
      </c>
      <c r="I62" s="10">
        <f t="shared" si="0"/>
        <v>16000</v>
      </c>
      <c r="Q62"/>
    </row>
    <row r="63" spans="1:17" x14ac:dyDescent="0.25">
      <c r="A63" t="s">
        <v>5</v>
      </c>
      <c r="B63" s="3">
        <v>46078.83253472222</v>
      </c>
      <c r="C63">
        <v>50</v>
      </c>
      <c r="D63" t="s">
        <v>22</v>
      </c>
      <c r="E63">
        <v>8000</v>
      </c>
      <c r="F63" t="s">
        <v>8</v>
      </c>
      <c r="G63">
        <v>2</v>
      </c>
      <c r="H63" s="4">
        <v>1</v>
      </c>
      <c r="I63" s="10">
        <f t="shared" si="0"/>
        <v>16000</v>
      </c>
      <c r="Q63"/>
    </row>
    <row r="64" spans="1:17" x14ac:dyDescent="0.25">
      <c r="A64" t="s">
        <v>5</v>
      </c>
      <c r="B64" s="3">
        <v>46078.838090277779</v>
      </c>
      <c r="C64">
        <v>51</v>
      </c>
      <c r="D64" t="s">
        <v>22</v>
      </c>
      <c r="E64">
        <v>8000</v>
      </c>
      <c r="F64" t="s">
        <v>8</v>
      </c>
      <c r="G64">
        <v>4</v>
      </c>
      <c r="H64" s="4">
        <v>1</v>
      </c>
      <c r="I64" s="10">
        <f t="shared" si="0"/>
        <v>32000</v>
      </c>
      <c r="Q64"/>
    </row>
    <row r="65" spans="1:17" x14ac:dyDescent="0.25">
      <c r="A65" t="s">
        <v>5</v>
      </c>
      <c r="B65" s="3">
        <v>46078.841678240744</v>
      </c>
      <c r="C65">
        <v>52</v>
      </c>
      <c r="D65" t="s">
        <v>22</v>
      </c>
      <c r="E65">
        <v>8000</v>
      </c>
      <c r="F65" t="s">
        <v>9</v>
      </c>
      <c r="G65">
        <v>1</v>
      </c>
      <c r="H65" s="4">
        <v>1</v>
      </c>
      <c r="I65" s="10">
        <f t="shared" si="0"/>
        <v>8000</v>
      </c>
      <c r="Q65"/>
    </row>
    <row r="66" spans="1:17" x14ac:dyDescent="0.25">
      <c r="A66" t="s">
        <v>5</v>
      </c>
      <c r="B66" s="3">
        <v>46078.848043981481</v>
      </c>
      <c r="C66">
        <v>53</v>
      </c>
      <c r="D66" t="s">
        <v>22</v>
      </c>
      <c r="E66">
        <v>8000</v>
      </c>
      <c r="F66" t="s">
        <v>8</v>
      </c>
      <c r="G66">
        <v>2</v>
      </c>
      <c r="H66" s="4">
        <v>1</v>
      </c>
      <c r="I66" s="10">
        <f t="shared" si="0"/>
        <v>16000</v>
      </c>
      <c r="Q66"/>
    </row>
    <row r="67" spans="1:17" x14ac:dyDescent="0.25">
      <c r="A67" t="s">
        <v>6</v>
      </c>
      <c r="B67" s="3">
        <v>46079.557025462964</v>
      </c>
      <c r="C67">
        <v>54</v>
      </c>
      <c r="D67" t="s">
        <v>21</v>
      </c>
      <c r="E67">
        <v>4500</v>
      </c>
      <c r="F67" t="s">
        <v>8</v>
      </c>
      <c r="G67">
        <v>2</v>
      </c>
      <c r="H67" s="4">
        <v>1</v>
      </c>
      <c r="I67" s="10">
        <f t="shared" si="0"/>
        <v>9000</v>
      </c>
      <c r="Q67"/>
    </row>
    <row r="68" spans="1:17" x14ac:dyDescent="0.25">
      <c r="A68" t="s">
        <v>6</v>
      </c>
      <c r="B68" s="3">
        <v>46079.560671296298</v>
      </c>
      <c r="C68">
        <v>55</v>
      </c>
      <c r="D68" t="s">
        <v>22</v>
      </c>
      <c r="E68">
        <v>8000</v>
      </c>
      <c r="F68" t="s">
        <v>8</v>
      </c>
      <c r="G68">
        <v>2</v>
      </c>
      <c r="H68" s="4">
        <v>1</v>
      </c>
      <c r="I68" s="10">
        <f t="shared" si="0"/>
        <v>16000</v>
      </c>
      <c r="Q68"/>
    </row>
    <row r="69" spans="1:17" x14ac:dyDescent="0.25">
      <c r="A69" t="s">
        <v>6</v>
      </c>
      <c r="B69" s="3">
        <v>46079.634108796294</v>
      </c>
      <c r="C69">
        <v>56</v>
      </c>
      <c r="D69" t="s">
        <v>37</v>
      </c>
      <c r="E69">
        <v>25000</v>
      </c>
      <c r="F69" t="s">
        <v>9</v>
      </c>
      <c r="G69">
        <v>1</v>
      </c>
      <c r="H69" s="4">
        <v>1</v>
      </c>
      <c r="I69" s="10">
        <f t="shared" si="0"/>
        <v>25000</v>
      </c>
      <c r="Q69"/>
    </row>
    <row r="70" spans="1:17" x14ac:dyDescent="0.25">
      <c r="A70" t="s">
        <v>6</v>
      </c>
      <c r="B70" s="3">
        <v>46079.72755787037</v>
      </c>
      <c r="C70">
        <v>57</v>
      </c>
      <c r="D70" t="s">
        <v>22</v>
      </c>
      <c r="E70">
        <v>8000</v>
      </c>
      <c r="F70" t="s">
        <v>9</v>
      </c>
      <c r="G70">
        <v>5</v>
      </c>
      <c r="H70" s="4">
        <v>1</v>
      </c>
      <c r="I70" s="10">
        <f t="shared" ref="I70:I125" si="1">+E70*G70</f>
        <v>40000</v>
      </c>
      <c r="Q70"/>
    </row>
    <row r="71" spans="1:17" x14ac:dyDescent="0.25">
      <c r="A71" t="s">
        <v>6</v>
      </c>
      <c r="D71" t="s">
        <v>25</v>
      </c>
      <c r="E71">
        <v>3000</v>
      </c>
      <c r="F71" t="s">
        <v>9</v>
      </c>
      <c r="G71">
        <v>3</v>
      </c>
      <c r="H71" s="4">
        <v>1</v>
      </c>
      <c r="I71" s="10">
        <f t="shared" si="1"/>
        <v>9000</v>
      </c>
      <c r="Q71"/>
    </row>
    <row r="72" spans="1:17" x14ac:dyDescent="0.25">
      <c r="A72" t="s">
        <v>6</v>
      </c>
      <c r="B72" s="3">
        <v>46079.752893518518</v>
      </c>
      <c r="C72">
        <v>58</v>
      </c>
      <c r="D72" t="s">
        <v>22</v>
      </c>
      <c r="E72">
        <v>8000</v>
      </c>
      <c r="F72" t="s">
        <v>8</v>
      </c>
      <c r="G72">
        <v>1</v>
      </c>
      <c r="H72" s="4">
        <v>1</v>
      </c>
      <c r="I72" s="10">
        <f t="shared" si="1"/>
        <v>8000</v>
      </c>
      <c r="Q72"/>
    </row>
    <row r="73" spans="1:17" x14ac:dyDescent="0.25">
      <c r="A73" t="s">
        <v>6</v>
      </c>
      <c r="B73" s="3">
        <v>46079.763055555559</v>
      </c>
      <c r="C73">
        <v>59</v>
      </c>
      <c r="D73" t="s">
        <v>22</v>
      </c>
      <c r="E73">
        <v>8000</v>
      </c>
      <c r="F73" t="s">
        <v>9</v>
      </c>
      <c r="G73">
        <v>1</v>
      </c>
      <c r="H73" s="4">
        <v>1</v>
      </c>
      <c r="I73" s="10">
        <f t="shared" si="1"/>
        <v>8000</v>
      </c>
      <c r="Q73"/>
    </row>
    <row r="74" spans="1:17" x14ac:dyDescent="0.25">
      <c r="A74" t="s">
        <v>6</v>
      </c>
      <c r="B74" s="3">
        <v>46079.764050925929</v>
      </c>
      <c r="C74">
        <v>60</v>
      </c>
      <c r="D74" t="s">
        <v>22</v>
      </c>
      <c r="E74">
        <v>8000</v>
      </c>
      <c r="F74" t="s">
        <v>8</v>
      </c>
      <c r="G74">
        <v>1</v>
      </c>
      <c r="H74" s="4">
        <v>1</v>
      </c>
      <c r="I74" s="10">
        <f t="shared" si="1"/>
        <v>8000</v>
      </c>
      <c r="Q74"/>
    </row>
    <row r="75" spans="1:17" x14ac:dyDescent="0.25">
      <c r="A75" t="s">
        <v>6</v>
      </c>
      <c r="B75" s="3">
        <v>46079.773599537039</v>
      </c>
      <c r="C75">
        <v>61</v>
      </c>
      <c r="D75" t="s">
        <v>22</v>
      </c>
      <c r="E75">
        <v>8000</v>
      </c>
      <c r="F75" t="s">
        <v>9</v>
      </c>
      <c r="G75">
        <v>1</v>
      </c>
      <c r="H75" s="4">
        <v>1</v>
      </c>
      <c r="I75" s="10">
        <f t="shared" si="1"/>
        <v>8000</v>
      </c>
      <c r="Q75"/>
    </row>
    <row r="76" spans="1:17" x14ac:dyDescent="0.25">
      <c r="A76" t="s">
        <v>6</v>
      </c>
      <c r="B76" s="3">
        <v>46079.794652777775</v>
      </c>
      <c r="C76">
        <v>62</v>
      </c>
      <c r="D76" t="s">
        <v>22</v>
      </c>
      <c r="E76">
        <v>8000</v>
      </c>
      <c r="F76" t="s">
        <v>8</v>
      </c>
      <c r="G76">
        <v>2</v>
      </c>
      <c r="H76" s="4">
        <v>1</v>
      </c>
      <c r="I76" s="10">
        <f t="shared" si="1"/>
        <v>16000</v>
      </c>
      <c r="Q76"/>
    </row>
    <row r="77" spans="1:17" x14ac:dyDescent="0.25">
      <c r="A77" t="s">
        <v>6</v>
      </c>
      <c r="B77" s="3">
        <v>46079.812418981484</v>
      </c>
      <c r="C77">
        <v>63</v>
      </c>
      <c r="D77" t="s">
        <v>22</v>
      </c>
      <c r="E77">
        <v>8000</v>
      </c>
      <c r="F77" t="s">
        <v>9</v>
      </c>
      <c r="G77">
        <v>2</v>
      </c>
      <c r="H77" s="4">
        <v>1</v>
      </c>
      <c r="I77" s="10">
        <f t="shared" si="1"/>
        <v>16000</v>
      </c>
      <c r="Q77"/>
    </row>
    <row r="78" spans="1:17" x14ac:dyDescent="0.25">
      <c r="A78" t="s">
        <v>6</v>
      </c>
      <c r="D78" t="s">
        <v>23</v>
      </c>
      <c r="E78">
        <v>3000</v>
      </c>
      <c r="F78" t="s">
        <v>9</v>
      </c>
      <c r="G78">
        <v>1</v>
      </c>
      <c r="H78" s="4">
        <v>1</v>
      </c>
      <c r="I78" s="10">
        <f t="shared" si="1"/>
        <v>3000</v>
      </c>
      <c r="Q78"/>
    </row>
    <row r="79" spans="1:17" x14ac:dyDescent="0.25">
      <c r="A79" t="s">
        <v>6</v>
      </c>
      <c r="B79" s="3">
        <v>46079.81355324074</v>
      </c>
      <c r="C79">
        <v>64</v>
      </c>
      <c r="D79" t="s">
        <v>22</v>
      </c>
      <c r="E79">
        <v>8000</v>
      </c>
      <c r="F79" t="s">
        <v>8</v>
      </c>
      <c r="G79">
        <v>1</v>
      </c>
      <c r="H79" s="4">
        <v>1</v>
      </c>
      <c r="I79" s="10">
        <f t="shared" si="1"/>
        <v>8000</v>
      </c>
      <c r="Q79"/>
    </row>
    <row r="80" spans="1:17" x14ac:dyDescent="0.25">
      <c r="A80" t="s">
        <v>6</v>
      </c>
      <c r="B80" s="3">
        <v>46079.814722222225</v>
      </c>
      <c r="C80">
        <v>65</v>
      </c>
      <c r="D80" t="s">
        <v>22</v>
      </c>
      <c r="E80">
        <v>8000</v>
      </c>
      <c r="F80" t="s">
        <v>8</v>
      </c>
      <c r="G80">
        <v>1</v>
      </c>
      <c r="H80" s="4">
        <v>1</v>
      </c>
      <c r="I80" s="10">
        <f t="shared" si="1"/>
        <v>8000</v>
      </c>
      <c r="Q80"/>
    </row>
    <row r="81" spans="1:17" x14ac:dyDescent="0.25">
      <c r="A81" t="s">
        <v>6</v>
      </c>
      <c r="B81" s="3">
        <v>46079.84375</v>
      </c>
      <c r="C81">
        <v>66</v>
      </c>
      <c r="D81" t="s">
        <v>22</v>
      </c>
      <c r="E81">
        <v>8000</v>
      </c>
      <c r="F81" t="s">
        <v>8</v>
      </c>
      <c r="G81">
        <v>1</v>
      </c>
      <c r="H81" s="4">
        <v>1</v>
      </c>
      <c r="I81" s="10">
        <f t="shared" si="1"/>
        <v>8000</v>
      </c>
      <c r="Q81"/>
    </row>
    <row r="82" spans="1:17" x14ac:dyDescent="0.25">
      <c r="A82" t="s">
        <v>6</v>
      </c>
      <c r="D82" t="s">
        <v>25</v>
      </c>
      <c r="E82">
        <v>3000</v>
      </c>
      <c r="F82" t="s">
        <v>8</v>
      </c>
      <c r="G82">
        <v>1</v>
      </c>
      <c r="H82" s="4">
        <v>1</v>
      </c>
      <c r="I82" s="10">
        <f t="shared" si="1"/>
        <v>3000</v>
      </c>
      <c r="Q82"/>
    </row>
    <row r="83" spans="1:17" x14ac:dyDescent="0.25">
      <c r="A83" t="s">
        <v>6</v>
      </c>
      <c r="B83" s="3">
        <v>46079.843946759262</v>
      </c>
      <c r="C83">
        <v>67</v>
      </c>
      <c r="D83" t="s">
        <v>22</v>
      </c>
      <c r="E83">
        <v>8000</v>
      </c>
      <c r="F83" t="s">
        <v>9</v>
      </c>
      <c r="G83">
        <v>1</v>
      </c>
      <c r="H83" s="4">
        <v>1</v>
      </c>
      <c r="I83" s="10">
        <f t="shared" si="1"/>
        <v>8000</v>
      </c>
      <c r="Q83"/>
    </row>
    <row r="84" spans="1:17" x14ac:dyDescent="0.25">
      <c r="A84" t="s">
        <v>6</v>
      </c>
      <c r="B84" s="3">
        <v>46079.844108796293</v>
      </c>
      <c r="C84">
        <v>68</v>
      </c>
      <c r="D84" t="s">
        <v>22</v>
      </c>
      <c r="E84">
        <v>8000</v>
      </c>
      <c r="F84" t="s">
        <v>9</v>
      </c>
      <c r="G84">
        <v>1</v>
      </c>
      <c r="H84" s="4">
        <v>1</v>
      </c>
      <c r="I84" s="10">
        <f t="shared" si="1"/>
        <v>8000</v>
      </c>
      <c r="Q84"/>
    </row>
    <row r="85" spans="1:17" x14ac:dyDescent="0.25">
      <c r="A85" t="s">
        <v>35</v>
      </c>
      <c r="B85" s="3">
        <v>46080.630173611113</v>
      </c>
      <c r="C85">
        <v>69</v>
      </c>
      <c r="D85" t="s">
        <v>22</v>
      </c>
      <c r="E85">
        <v>8000</v>
      </c>
      <c r="F85" t="s">
        <v>9</v>
      </c>
      <c r="G85">
        <v>1</v>
      </c>
      <c r="H85" s="4">
        <v>1</v>
      </c>
      <c r="I85" s="10">
        <f t="shared" si="1"/>
        <v>8000</v>
      </c>
      <c r="Q85"/>
    </row>
    <row r="86" spans="1:17" x14ac:dyDescent="0.25">
      <c r="A86" t="s">
        <v>35</v>
      </c>
      <c r="D86" t="s">
        <v>25</v>
      </c>
      <c r="E86">
        <v>3000</v>
      </c>
      <c r="F86" t="s">
        <v>9</v>
      </c>
      <c r="G86">
        <v>1</v>
      </c>
      <c r="H86" s="4">
        <v>1</v>
      </c>
      <c r="I86" s="10">
        <f t="shared" si="1"/>
        <v>3000</v>
      </c>
      <c r="Q86"/>
    </row>
    <row r="87" spans="1:17" x14ac:dyDescent="0.25">
      <c r="A87" t="s">
        <v>35</v>
      </c>
      <c r="B87" s="3">
        <v>46080.631249999999</v>
      </c>
      <c r="C87">
        <v>70</v>
      </c>
      <c r="D87" t="s">
        <v>22</v>
      </c>
      <c r="E87">
        <v>8000</v>
      </c>
      <c r="F87" t="s">
        <v>8</v>
      </c>
      <c r="G87">
        <v>1</v>
      </c>
      <c r="H87" s="4">
        <v>1</v>
      </c>
      <c r="I87" s="10">
        <f t="shared" si="1"/>
        <v>8000</v>
      </c>
      <c r="Q87"/>
    </row>
    <row r="88" spans="1:17" x14ac:dyDescent="0.25">
      <c r="A88" t="s">
        <v>35</v>
      </c>
      <c r="B88" s="3">
        <v>46080.715798611112</v>
      </c>
      <c r="C88">
        <v>71</v>
      </c>
      <c r="D88" t="s">
        <v>22</v>
      </c>
      <c r="E88">
        <v>8000</v>
      </c>
      <c r="F88" t="s">
        <v>8</v>
      </c>
      <c r="G88">
        <v>1</v>
      </c>
      <c r="H88" s="4">
        <v>1</v>
      </c>
      <c r="I88" s="10">
        <f t="shared" si="1"/>
        <v>8000</v>
      </c>
      <c r="Q88"/>
    </row>
    <row r="89" spans="1:17" x14ac:dyDescent="0.25">
      <c r="A89" t="s">
        <v>35</v>
      </c>
      <c r="D89" t="s">
        <v>24</v>
      </c>
      <c r="E89">
        <v>35000</v>
      </c>
      <c r="F89" t="s">
        <v>8</v>
      </c>
      <c r="G89">
        <v>1</v>
      </c>
      <c r="H89" s="4">
        <v>1</v>
      </c>
      <c r="I89" s="10">
        <f t="shared" si="1"/>
        <v>35000</v>
      </c>
      <c r="Q89"/>
    </row>
    <row r="90" spans="1:17" x14ac:dyDescent="0.25">
      <c r="A90" t="s">
        <v>35</v>
      </c>
      <c r="D90" t="s">
        <v>36</v>
      </c>
      <c r="E90">
        <v>2000</v>
      </c>
      <c r="F90" t="s">
        <v>8</v>
      </c>
      <c r="G90">
        <v>1</v>
      </c>
      <c r="H90" s="4">
        <v>1</v>
      </c>
      <c r="I90" s="10">
        <f t="shared" si="1"/>
        <v>2000</v>
      </c>
      <c r="Q90"/>
    </row>
    <row r="91" spans="1:17" x14ac:dyDescent="0.25">
      <c r="A91" t="s">
        <v>35</v>
      </c>
      <c r="B91" s="3">
        <v>46080.725428240738</v>
      </c>
      <c r="C91">
        <v>72</v>
      </c>
      <c r="D91" t="s">
        <v>22</v>
      </c>
      <c r="E91">
        <v>8000</v>
      </c>
      <c r="F91" t="s">
        <v>8</v>
      </c>
      <c r="G91">
        <v>3</v>
      </c>
      <c r="H91" s="4">
        <v>1</v>
      </c>
      <c r="I91" s="10">
        <f t="shared" si="1"/>
        <v>24000</v>
      </c>
      <c r="Q91"/>
    </row>
    <row r="92" spans="1:17" x14ac:dyDescent="0.25">
      <c r="A92" t="s">
        <v>35</v>
      </c>
      <c r="D92" t="s">
        <v>23</v>
      </c>
      <c r="E92">
        <v>3000</v>
      </c>
      <c r="F92" t="s">
        <v>8</v>
      </c>
      <c r="G92">
        <v>2</v>
      </c>
      <c r="H92" s="4">
        <v>1</v>
      </c>
      <c r="I92" s="10">
        <f t="shared" si="1"/>
        <v>6000</v>
      </c>
      <c r="Q92"/>
    </row>
    <row r="93" spans="1:17" x14ac:dyDescent="0.25">
      <c r="A93" t="s">
        <v>35</v>
      </c>
      <c r="D93" t="s">
        <v>24</v>
      </c>
      <c r="E93">
        <v>35000</v>
      </c>
      <c r="F93" t="s">
        <v>8</v>
      </c>
      <c r="G93">
        <v>1</v>
      </c>
      <c r="H93" s="4">
        <v>1</v>
      </c>
      <c r="I93" s="10">
        <f t="shared" si="1"/>
        <v>35000</v>
      </c>
      <c r="Q93"/>
    </row>
    <row r="94" spans="1:17" x14ac:dyDescent="0.25">
      <c r="A94" t="s">
        <v>35</v>
      </c>
      <c r="B94" s="3">
        <v>46080.742268518516</v>
      </c>
      <c r="C94">
        <v>73</v>
      </c>
      <c r="D94" t="s">
        <v>22</v>
      </c>
      <c r="E94">
        <v>8000</v>
      </c>
      <c r="F94" t="s">
        <v>8</v>
      </c>
      <c r="G94">
        <v>2</v>
      </c>
      <c r="H94" s="4">
        <v>1</v>
      </c>
      <c r="I94" s="10">
        <f t="shared" si="1"/>
        <v>16000</v>
      </c>
      <c r="Q94"/>
    </row>
    <row r="95" spans="1:17" x14ac:dyDescent="0.25">
      <c r="A95" t="s">
        <v>35</v>
      </c>
      <c r="D95" t="s">
        <v>23</v>
      </c>
      <c r="E95">
        <v>3000</v>
      </c>
      <c r="F95" t="s">
        <v>8</v>
      </c>
      <c r="G95">
        <v>1</v>
      </c>
      <c r="H95" s="4">
        <v>1</v>
      </c>
      <c r="I95" s="10">
        <f t="shared" si="1"/>
        <v>3000</v>
      </c>
      <c r="Q95"/>
    </row>
    <row r="96" spans="1:17" x14ac:dyDescent="0.25">
      <c r="A96" t="s">
        <v>35</v>
      </c>
      <c r="B96" s="3">
        <v>46080.761412037034</v>
      </c>
      <c r="C96">
        <v>74</v>
      </c>
      <c r="D96" t="s">
        <v>22</v>
      </c>
      <c r="E96">
        <v>8000</v>
      </c>
      <c r="F96" t="s">
        <v>9</v>
      </c>
      <c r="G96">
        <v>3</v>
      </c>
      <c r="H96" s="4">
        <v>1</v>
      </c>
      <c r="I96" s="10">
        <f t="shared" si="1"/>
        <v>24000</v>
      </c>
      <c r="Q96"/>
    </row>
    <row r="97" spans="1:17" x14ac:dyDescent="0.25">
      <c r="A97" t="s">
        <v>35</v>
      </c>
      <c r="B97" s="3">
        <v>46080.824016203704</v>
      </c>
      <c r="C97">
        <v>75</v>
      </c>
      <c r="D97" t="s">
        <v>20</v>
      </c>
      <c r="E97">
        <v>3000</v>
      </c>
      <c r="F97" t="s">
        <v>38</v>
      </c>
      <c r="G97">
        <v>1</v>
      </c>
      <c r="H97" s="4">
        <v>1</v>
      </c>
      <c r="I97" s="10">
        <f t="shared" si="1"/>
        <v>3000</v>
      </c>
      <c r="Q97"/>
    </row>
    <row r="98" spans="1:17" x14ac:dyDescent="0.25">
      <c r="A98" t="s">
        <v>35</v>
      </c>
      <c r="D98" t="s">
        <v>22</v>
      </c>
      <c r="E98">
        <v>8000</v>
      </c>
      <c r="F98" t="s">
        <v>38</v>
      </c>
      <c r="G98">
        <v>1</v>
      </c>
      <c r="H98" s="4">
        <v>1</v>
      </c>
      <c r="I98" s="10">
        <f t="shared" si="1"/>
        <v>8000</v>
      </c>
      <c r="Q98"/>
    </row>
    <row r="99" spans="1:17" x14ac:dyDescent="0.25">
      <c r="A99" t="s">
        <v>35</v>
      </c>
      <c r="B99" s="3">
        <v>46080.836365740739</v>
      </c>
      <c r="C99">
        <v>76</v>
      </c>
      <c r="D99" t="s">
        <v>22</v>
      </c>
      <c r="E99">
        <v>8000</v>
      </c>
      <c r="F99" t="s">
        <v>9</v>
      </c>
      <c r="G99">
        <v>2</v>
      </c>
      <c r="H99" s="4">
        <v>1</v>
      </c>
      <c r="I99" s="10">
        <f t="shared" si="1"/>
        <v>16000</v>
      </c>
      <c r="Q99"/>
    </row>
    <row r="100" spans="1:17" x14ac:dyDescent="0.25">
      <c r="A100" t="s">
        <v>35</v>
      </c>
      <c r="B100" s="3">
        <v>46080.837210648147</v>
      </c>
      <c r="C100">
        <v>77</v>
      </c>
      <c r="D100" t="s">
        <v>22</v>
      </c>
      <c r="E100">
        <v>8000</v>
      </c>
      <c r="F100" t="s">
        <v>8</v>
      </c>
      <c r="G100">
        <v>4</v>
      </c>
      <c r="H100" s="4">
        <v>1</v>
      </c>
      <c r="I100" s="10">
        <f t="shared" si="1"/>
        <v>32000</v>
      </c>
      <c r="Q100"/>
    </row>
    <row r="101" spans="1:17" x14ac:dyDescent="0.25">
      <c r="A101" t="s">
        <v>35</v>
      </c>
      <c r="D101" t="s">
        <v>23</v>
      </c>
      <c r="E101">
        <v>3000</v>
      </c>
      <c r="F101" t="s">
        <v>8</v>
      </c>
      <c r="G101">
        <v>3</v>
      </c>
      <c r="H101" s="4">
        <v>1</v>
      </c>
      <c r="I101" s="10">
        <f t="shared" si="1"/>
        <v>9000</v>
      </c>
      <c r="Q101"/>
    </row>
    <row r="102" spans="1:17" x14ac:dyDescent="0.25">
      <c r="A102" t="s">
        <v>35</v>
      </c>
      <c r="B102" s="3">
        <v>46080.83902777778</v>
      </c>
      <c r="C102">
        <v>78</v>
      </c>
      <c r="D102" t="s">
        <v>22</v>
      </c>
      <c r="E102">
        <v>8000</v>
      </c>
      <c r="F102" t="s">
        <v>8</v>
      </c>
      <c r="G102">
        <v>1</v>
      </c>
      <c r="H102" s="4">
        <v>1</v>
      </c>
      <c r="I102" s="10">
        <f t="shared" si="1"/>
        <v>8000</v>
      </c>
      <c r="Q102"/>
    </row>
    <row r="103" spans="1:17" x14ac:dyDescent="0.25">
      <c r="A103" t="s">
        <v>43</v>
      </c>
      <c r="B103" s="3">
        <v>46081.78979166667</v>
      </c>
      <c r="C103">
        <v>79</v>
      </c>
      <c r="D103" t="s">
        <v>21</v>
      </c>
      <c r="E103">
        <v>4500</v>
      </c>
      <c r="F103" t="s">
        <v>8</v>
      </c>
      <c r="G103">
        <v>6</v>
      </c>
      <c r="H103" s="4">
        <v>1</v>
      </c>
      <c r="I103" s="10">
        <f t="shared" si="1"/>
        <v>27000</v>
      </c>
      <c r="Q103"/>
    </row>
    <row r="104" spans="1:17" x14ac:dyDescent="0.25">
      <c r="A104" t="s">
        <v>43</v>
      </c>
      <c r="B104" s="3">
        <v>46081.790231481478</v>
      </c>
      <c r="C104">
        <v>80</v>
      </c>
      <c r="D104" t="s">
        <v>22</v>
      </c>
      <c r="E104">
        <v>8000</v>
      </c>
      <c r="F104" t="s">
        <v>9</v>
      </c>
      <c r="G104">
        <v>2</v>
      </c>
      <c r="H104" s="4">
        <v>1</v>
      </c>
      <c r="I104" s="10">
        <f t="shared" si="1"/>
        <v>16000</v>
      </c>
    </row>
    <row r="105" spans="1:17" x14ac:dyDescent="0.25">
      <c r="A105" t="s">
        <v>43</v>
      </c>
      <c r="B105" s="3">
        <v>46081.790960648148</v>
      </c>
      <c r="C105">
        <v>81</v>
      </c>
      <c r="D105" t="s">
        <v>20</v>
      </c>
      <c r="E105">
        <v>3000</v>
      </c>
      <c r="F105" t="s">
        <v>9</v>
      </c>
      <c r="G105">
        <v>1</v>
      </c>
      <c r="H105" s="4">
        <v>1</v>
      </c>
      <c r="I105" s="10">
        <f t="shared" si="1"/>
        <v>3000</v>
      </c>
    </row>
    <row r="106" spans="1:17" x14ac:dyDescent="0.25">
      <c r="A106" t="s">
        <v>43</v>
      </c>
      <c r="D106" t="s">
        <v>22</v>
      </c>
      <c r="E106">
        <v>8000</v>
      </c>
      <c r="F106" t="s">
        <v>9</v>
      </c>
      <c r="G106">
        <v>1</v>
      </c>
      <c r="H106" s="4">
        <v>1</v>
      </c>
      <c r="I106" s="10">
        <f t="shared" si="1"/>
        <v>8000</v>
      </c>
    </row>
    <row r="107" spans="1:17" x14ac:dyDescent="0.25">
      <c r="A107" t="s">
        <v>43</v>
      </c>
      <c r="D107" t="s">
        <v>36</v>
      </c>
      <c r="E107">
        <v>2000</v>
      </c>
      <c r="F107" t="s">
        <v>9</v>
      </c>
      <c r="G107">
        <v>1</v>
      </c>
      <c r="H107" s="4">
        <v>1</v>
      </c>
      <c r="I107" s="10">
        <f t="shared" si="1"/>
        <v>2000</v>
      </c>
    </row>
    <row r="108" spans="1:17" x14ac:dyDescent="0.25">
      <c r="A108" t="s">
        <v>43</v>
      </c>
      <c r="B108" s="3">
        <v>46081.792407407411</v>
      </c>
      <c r="C108">
        <v>82</v>
      </c>
      <c r="D108" t="s">
        <v>22</v>
      </c>
      <c r="E108">
        <v>8000</v>
      </c>
      <c r="F108" t="s">
        <v>8</v>
      </c>
      <c r="G108">
        <v>2</v>
      </c>
      <c r="H108" s="4">
        <v>1</v>
      </c>
      <c r="I108" s="10">
        <f t="shared" si="1"/>
        <v>16000</v>
      </c>
    </row>
    <row r="109" spans="1:17" x14ac:dyDescent="0.25">
      <c r="A109" t="s">
        <v>43</v>
      </c>
      <c r="D109" t="s">
        <v>23</v>
      </c>
      <c r="E109">
        <v>3000</v>
      </c>
      <c r="F109" t="s">
        <v>8</v>
      </c>
      <c r="G109">
        <v>1</v>
      </c>
      <c r="H109" s="4">
        <v>1</v>
      </c>
      <c r="I109" s="10">
        <f t="shared" si="1"/>
        <v>3000</v>
      </c>
    </row>
    <row r="110" spans="1:17" x14ac:dyDescent="0.25">
      <c r="A110" t="s">
        <v>43</v>
      </c>
      <c r="B110" s="3">
        <v>46081.793206018519</v>
      </c>
      <c r="C110">
        <v>83</v>
      </c>
      <c r="D110" t="s">
        <v>22</v>
      </c>
      <c r="E110">
        <v>8000</v>
      </c>
      <c r="F110" t="s">
        <v>8</v>
      </c>
      <c r="G110">
        <v>2</v>
      </c>
      <c r="H110" s="4">
        <v>1</v>
      </c>
      <c r="I110" s="10">
        <f t="shared" si="1"/>
        <v>16000</v>
      </c>
    </row>
    <row r="111" spans="1:17" x14ac:dyDescent="0.25">
      <c r="A111" t="s">
        <v>43</v>
      </c>
      <c r="D111" t="s">
        <v>23</v>
      </c>
      <c r="E111">
        <v>3000</v>
      </c>
      <c r="F111" t="s">
        <v>8</v>
      </c>
      <c r="G111">
        <v>1</v>
      </c>
      <c r="H111" s="4">
        <v>1</v>
      </c>
      <c r="I111" s="10">
        <f t="shared" si="1"/>
        <v>3000</v>
      </c>
    </row>
    <row r="112" spans="1:17" x14ac:dyDescent="0.25">
      <c r="A112" t="s">
        <v>43</v>
      </c>
      <c r="B112" s="3">
        <v>46081.793865740743</v>
      </c>
      <c r="C112">
        <v>84</v>
      </c>
      <c r="D112" t="s">
        <v>22</v>
      </c>
      <c r="E112">
        <v>8000</v>
      </c>
      <c r="F112" t="s">
        <v>8</v>
      </c>
      <c r="G112">
        <v>1</v>
      </c>
      <c r="H112" s="4">
        <v>1</v>
      </c>
      <c r="I112" s="10">
        <f t="shared" si="1"/>
        <v>8000</v>
      </c>
    </row>
    <row r="113" spans="1:9" x14ac:dyDescent="0.25">
      <c r="A113" t="s">
        <v>43</v>
      </c>
      <c r="D113" t="s">
        <v>23</v>
      </c>
      <c r="E113">
        <v>3000</v>
      </c>
      <c r="F113" t="s">
        <v>8</v>
      </c>
      <c r="G113">
        <v>1</v>
      </c>
      <c r="H113" s="4">
        <v>1</v>
      </c>
      <c r="I113" s="10">
        <f t="shared" si="1"/>
        <v>3000</v>
      </c>
    </row>
    <row r="114" spans="1:9" x14ac:dyDescent="0.25">
      <c r="A114" t="s">
        <v>43</v>
      </c>
      <c r="B114" s="3">
        <v>46081.794421296298</v>
      </c>
      <c r="C114">
        <v>85</v>
      </c>
      <c r="D114" t="s">
        <v>22</v>
      </c>
      <c r="E114">
        <v>8000</v>
      </c>
      <c r="F114" t="s">
        <v>8</v>
      </c>
      <c r="G114">
        <v>4</v>
      </c>
      <c r="H114" s="4">
        <v>1</v>
      </c>
      <c r="I114" s="10">
        <f t="shared" si="1"/>
        <v>32000</v>
      </c>
    </row>
    <row r="115" spans="1:9" x14ac:dyDescent="0.25">
      <c r="A115" t="s">
        <v>43</v>
      </c>
      <c r="D115" t="s">
        <v>23</v>
      </c>
      <c r="E115">
        <v>3000</v>
      </c>
      <c r="F115" t="s">
        <v>8</v>
      </c>
      <c r="G115">
        <v>2</v>
      </c>
      <c r="H115" s="4">
        <v>1</v>
      </c>
      <c r="I115" s="10">
        <f t="shared" si="1"/>
        <v>6000</v>
      </c>
    </row>
    <row r="116" spans="1:9" x14ac:dyDescent="0.25">
      <c r="A116" t="s">
        <v>43</v>
      </c>
      <c r="B116" s="3">
        <v>46081.794652777775</v>
      </c>
      <c r="C116">
        <v>86</v>
      </c>
      <c r="D116" t="s">
        <v>22</v>
      </c>
      <c r="E116">
        <v>8000</v>
      </c>
      <c r="F116" t="s">
        <v>8</v>
      </c>
      <c r="G116">
        <v>2</v>
      </c>
      <c r="H116" s="4">
        <v>1</v>
      </c>
      <c r="I116" s="10">
        <f t="shared" si="1"/>
        <v>16000</v>
      </c>
    </row>
    <row r="117" spans="1:9" x14ac:dyDescent="0.25">
      <c r="A117" t="s">
        <v>43</v>
      </c>
      <c r="B117" s="3">
        <v>46081.795092592591</v>
      </c>
      <c r="C117">
        <v>87</v>
      </c>
      <c r="D117" t="s">
        <v>22</v>
      </c>
      <c r="E117">
        <v>8000</v>
      </c>
      <c r="F117" t="s">
        <v>8</v>
      </c>
      <c r="G117">
        <v>3</v>
      </c>
      <c r="H117" s="4">
        <v>1</v>
      </c>
      <c r="I117" s="10">
        <f t="shared" si="1"/>
        <v>24000</v>
      </c>
    </row>
    <row r="118" spans="1:9" x14ac:dyDescent="0.25">
      <c r="A118" t="s">
        <v>43</v>
      </c>
      <c r="D118" t="s">
        <v>44</v>
      </c>
      <c r="E118">
        <v>4500</v>
      </c>
      <c r="F118" t="s">
        <v>8</v>
      </c>
      <c r="G118">
        <v>1</v>
      </c>
      <c r="H118" s="4">
        <v>1</v>
      </c>
      <c r="I118" s="10">
        <f t="shared" si="1"/>
        <v>4500</v>
      </c>
    </row>
    <row r="119" spans="1:9" x14ac:dyDescent="0.25">
      <c r="A119" t="s">
        <v>43</v>
      </c>
      <c r="B119" s="3">
        <v>46081.795497685183</v>
      </c>
      <c r="C119">
        <v>88</v>
      </c>
      <c r="D119" t="s">
        <v>24</v>
      </c>
      <c r="E119">
        <v>35000</v>
      </c>
      <c r="F119" t="s">
        <v>8</v>
      </c>
      <c r="G119">
        <v>1</v>
      </c>
      <c r="H119" s="4">
        <v>1</v>
      </c>
      <c r="I119" s="10">
        <f t="shared" si="1"/>
        <v>35000</v>
      </c>
    </row>
    <row r="120" spans="1:9" x14ac:dyDescent="0.25">
      <c r="A120" t="s">
        <v>43</v>
      </c>
      <c r="B120" s="3">
        <v>46081.795729166668</v>
      </c>
      <c r="C120">
        <v>89</v>
      </c>
      <c r="D120" t="s">
        <v>24</v>
      </c>
      <c r="E120">
        <v>35000</v>
      </c>
      <c r="F120" t="s">
        <v>8</v>
      </c>
      <c r="G120">
        <v>1</v>
      </c>
      <c r="H120" s="4">
        <v>1</v>
      </c>
      <c r="I120" s="10">
        <f t="shared" si="1"/>
        <v>35000</v>
      </c>
    </row>
    <row r="121" spans="1:9" x14ac:dyDescent="0.25">
      <c r="A121" t="s">
        <v>43</v>
      </c>
      <c r="B121" s="3">
        <v>46081.7971875</v>
      </c>
      <c r="C121">
        <v>90</v>
      </c>
      <c r="D121" t="s">
        <v>45</v>
      </c>
      <c r="E121">
        <v>48000</v>
      </c>
      <c r="F121" t="s">
        <v>8</v>
      </c>
      <c r="G121">
        <v>1</v>
      </c>
      <c r="H121" s="4">
        <v>1</v>
      </c>
      <c r="I121" s="10">
        <f t="shared" si="1"/>
        <v>48000</v>
      </c>
    </row>
    <row r="122" spans="1:9" x14ac:dyDescent="0.25">
      <c r="A122" t="s">
        <v>43</v>
      </c>
      <c r="B122" s="3">
        <v>46081.797511574077</v>
      </c>
      <c r="C122">
        <v>91</v>
      </c>
      <c r="D122" t="s">
        <v>46</v>
      </c>
      <c r="E122">
        <v>70000</v>
      </c>
      <c r="F122" t="s">
        <v>8</v>
      </c>
      <c r="G122">
        <v>2</v>
      </c>
      <c r="H122" s="4">
        <v>1</v>
      </c>
      <c r="I122" s="10">
        <f t="shared" si="1"/>
        <v>140000</v>
      </c>
    </row>
    <row r="123" spans="1:9" x14ac:dyDescent="0.25">
      <c r="A123" t="s">
        <v>43</v>
      </c>
      <c r="B123" s="3">
        <v>46081.797662037039</v>
      </c>
      <c r="C123">
        <v>92</v>
      </c>
      <c r="D123" t="s">
        <v>47</v>
      </c>
      <c r="E123">
        <v>40000</v>
      </c>
      <c r="F123" t="s">
        <v>8</v>
      </c>
      <c r="G123">
        <v>1</v>
      </c>
      <c r="H123" s="4">
        <v>1</v>
      </c>
      <c r="I123" s="10">
        <f t="shared" si="1"/>
        <v>40000</v>
      </c>
    </row>
    <row r="124" spans="1:9" x14ac:dyDescent="0.25">
      <c r="A124" t="s">
        <v>43</v>
      </c>
      <c r="B124" s="3">
        <v>46081.799027777779</v>
      </c>
      <c r="C124">
        <v>93</v>
      </c>
      <c r="D124" t="s">
        <v>21</v>
      </c>
      <c r="E124">
        <v>4500</v>
      </c>
      <c r="F124" t="s">
        <v>9</v>
      </c>
      <c r="G124">
        <v>4</v>
      </c>
      <c r="H124" s="4">
        <v>1</v>
      </c>
      <c r="I124" s="10">
        <f t="shared" si="1"/>
        <v>18000</v>
      </c>
    </row>
    <row r="125" spans="1:9" x14ac:dyDescent="0.25">
      <c r="A125" t="s">
        <v>2</v>
      </c>
      <c r="G125"/>
      <c r="H125" s="4">
        <v>120</v>
      </c>
      <c r="I125" s="10">
        <f t="shared" si="1"/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E6583-658F-4EBE-AB28-B78B4C4D6BD1}">
  <sheetPr>
    <tabColor rgb="FF92D050"/>
  </sheetPr>
  <dimension ref="A1:B3"/>
  <sheetViews>
    <sheetView workbookViewId="0">
      <selection activeCell="B3" sqref="B3"/>
    </sheetView>
  </sheetViews>
  <sheetFormatPr baseColWidth="10" defaultRowHeight="15" x14ac:dyDescent="0.25"/>
  <cols>
    <col min="1" max="1" width="13.140625" bestFit="1" customWidth="1"/>
    <col min="2" max="2" width="51.42578125" bestFit="1" customWidth="1"/>
  </cols>
  <sheetData>
    <row r="1" spans="1:2" x14ac:dyDescent="0.25">
      <c r="A1" t="s">
        <v>32</v>
      </c>
      <c r="B1" s="8" t="s">
        <v>29</v>
      </c>
    </row>
    <row r="2" spans="1:2" x14ac:dyDescent="0.25">
      <c r="A2" t="s">
        <v>33</v>
      </c>
      <c r="B2" s="8" t="s">
        <v>30</v>
      </c>
    </row>
    <row r="3" spans="1:2" x14ac:dyDescent="0.25">
      <c r="A3" t="s">
        <v>34</v>
      </c>
      <c r="B3" s="8" t="s">
        <v>31</v>
      </c>
    </row>
  </sheetData>
  <hyperlinks>
    <hyperlink ref="B1" r:id="rId1" xr:uid="{DB5E9642-D3FB-49DF-A87C-8783F5932198}"/>
    <hyperlink ref="B2" r:id="rId2" xr:uid="{E7C82C56-78E7-4AD5-8F24-424C4D444B24}"/>
    <hyperlink ref="B3" r:id="rId3" xr:uid="{76244BCC-3398-4769-BEB1-4343A9DCB09B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Props1.xml><?xml version="1.0" encoding="utf-8"?>
<ds:datastoreItem xmlns:ds="http://schemas.openxmlformats.org/officeDocument/2006/customXml" ds:itemID="{45FC6974-0190-4FD5-8A3E-E2BFFBF9BA06}">
  <ds:schemaRefs/>
</ds:datastoreItem>
</file>

<file path=customXml/itemProps2.xml><?xml version="1.0" encoding="utf-8"?>
<ds:datastoreItem xmlns:ds="http://schemas.openxmlformats.org/officeDocument/2006/customXml" ds:itemID="{D7FE6DC1-B767-470D-8489-3CAA60CF0C5D}">
  <ds:schemaRefs/>
</ds:datastoreItem>
</file>

<file path=customXml/itemProps3.xml><?xml version="1.0" encoding="utf-8"?>
<ds:datastoreItem xmlns:ds="http://schemas.openxmlformats.org/officeDocument/2006/customXml" ds:itemID="{3EC34395-E632-4875-8B6F-C2A8A996A5BE}">
  <ds:schemaRefs/>
</ds:datastoreItem>
</file>

<file path=customXml/itemProps4.xml><?xml version="1.0" encoding="utf-8"?>
<ds:datastoreItem xmlns:ds="http://schemas.openxmlformats.org/officeDocument/2006/customXml" ds:itemID="{63E4A110-B808-42CF-9972-1B026ADBAB7E}">
  <ds:schemaRefs>
    <ds:schemaRef ds:uri="http://schemas.microsoft.com/DataMashup"/>
  </ds:schemaRefs>
</ds:datastoreItem>
</file>

<file path=customXml/itemProps5.xml><?xml version="1.0" encoding="utf-8"?>
<ds:datastoreItem xmlns:ds="http://schemas.openxmlformats.org/officeDocument/2006/customXml" ds:itemID="{FB1D0CD9-7ED3-48D8-A3AB-0AA528A1780A}">
  <ds:schemaRefs/>
</ds:datastoreItem>
</file>

<file path=customXml/itemProps6.xml><?xml version="1.0" encoding="utf-8"?>
<ds:datastoreItem xmlns:ds="http://schemas.openxmlformats.org/officeDocument/2006/customXml" ds:itemID="{FC409827-E32F-4F48-9FF4-3818E929E424}">
  <ds:schemaRefs/>
</ds:datastoreItem>
</file>

<file path=customXml/itemProps7.xml><?xml version="1.0" encoding="utf-8"?>
<ds:datastoreItem xmlns:ds="http://schemas.openxmlformats.org/officeDocument/2006/customXml" ds:itemID="{0923900A-484E-4754-B4CA-7CD7455B29F8}">
  <ds:schemaRefs/>
</ds:datastoreItem>
</file>

<file path=customXml/itemProps8.xml><?xml version="1.0" encoding="utf-8"?>
<ds:datastoreItem xmlns:ds="http://schemas.openxmlformats.org/officeDocument/2006/customXml" ds:itemID="{AFCE4F4F-8B07-4A23-9CE3-B3362828CA16}">
  <ds:schemaRefs/>
</ds:datastoreItem>
</file>

<file path=customXml/itemProps9.xml><?xml version="1.0" encoding="utf-8"?>
<ds:datastoreItem xmlns:ds="http://schemas.openxmlformats.org/officeDocument/2006/customXml" ds:itemID="{63D48641-18DD-40CE-9EE1-4A67630B95CD}">
  <ds:schemaRefs/>
</ds:datastoreItem>
</file>

<file path=customXml/itemProps10.xml><?xml version="1.0" encoding="utf-8"?>
<ds:datastoreItem xmlns:ds="http://schemas.openxmlformats.org/officeDocument/2006/customXml" ds:itemID="{B63E7085-228C-46D5-BA95-D5BD8D46D3BC}">
  <ds:schemaRefs/>
</ds:datastoreItem>
</file>

<file path=customXml/itemProps11.xml><?xml version="1.0" encoding="utf-8"?>
<ds:datastoreItem xmlns:ds="http://schemas.openxmlformats.org/officeDocument/2006/customXml" ds:itemID="{098E4327-974B-4B0D-91F5-162E9D75323A}">
  <ds:schemaRefs/>
</ds:datastoreItem>
</file>

<file path=customXml/itemProps12.xml><?xml version="1.0" encoding="utf-8"?>
<ds:datastoreItem xmlns:ds="http://schemas.openxmlformats.org/officeDocument/2006/customXml" ds:itemID="{537CA801-B62F-4F55-B4C0-348E472E09E8}">
  <ds:schemaRefs/>
</ds:datastoreItem>
</file>

<file path=customXml/itemProps13.xml><?xml version="1.0" encoding="utf-8"?>
<ds:datastoreItem xmlns:ds="http://schemas.openxmlformats.org/officeDocument/2006/customXml" ds:itemID="{A91E5C76-40E7-4996-8584-0118F04FBEF4}">
  <ds:schemaRefs/>
</ds:datastoreItem>
</file>

<file path=customXml/itemProps14.xml><?xml version="1.0" encoding="utf-8"?>
<ds:datastoreItem xmlns:ds="http://schemas.openxmlformats.org/officeDocument/2006/customXml" ds:itemID="{BACC00BD-3502-47AC-941E-7A1E8D4D2542}">
  <ds:schemaRefs/>
</ds:datastoreItem>
</file>

<file path=customXml/itemProps15.xml><?xml version="1.0" encoding="utf-8"?>
<ds:datastoreItem xmlns:ds="http://schemas.openxmlformats.org/officeDocument/2006/customXml" ds:itemID="{39D61B41-5A67-43EE-9419-C185D49D9134}">
  <ds:schemaRefs/>
</ds:datastoreItem>
</file>

<file path=customXml/itemProps16.xml><?xml version="1.0" encoding="utf-8"?>
<ds:datastoreItem xmlns:ds="http://schemas.openxmlformats.org/officeDocument/2006/customXml" ds:itemID="{29466B21-50A0-4711-8C3B-BA3D21363A53}">
  <ds:schemaRefs/>
</ds:datastoreItem>
</file>

<file path=customXml/itemProps17.xml><?xml version="1.0" encoding="utf-8"?>
<ds:datastoreItem xmlns:ds="http://schemas.openxmlformats.org/officeDocument/2006/customXml" ds:itemID="{BB25C675-0142-46C0-B119-B964A69C36F7}">
  <ds:schemaRefs/>
</ds:datastoreItem>
</file>

<file path=customXml/itemProps18.xml><?xml version="1.0" encoding="utf-8"?>
<ds:datastoreItem xmlns:ds="http://schemas.openxmlformats.org/officeDocument/2006/customXml" ds:itemID="{A8C41FBF-174E-45B2-B0BA-73A832AA7326}">
  <ds:schemaRefs/>
</ds:datastoreItem>
</file>

<file path=customXml/itemProps19.xml><?xml version="1.0" encoding="utf-8"?>
<ds:datastoreItem xmlns:ds="http://schemas.openxmlformats.org/officeDocument/2006/customXml" ds:itemID="{F948004D-76CA-46D7-9E0F-4E5D474F9C46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sales</vt:lpstr>
      <vt:lpstr>sales_BI</vt:lpstr>
      <vt:lpstr>Informe</vt:lpstr>
      <vt:lpstr>historial de venta</vt:lpstr>
      <vt:lpstr>urls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Edwin Torres</cp:lastModifiedBy>
  <dcterms:created xsi:type="dcterms:W3CDTF">2015-06-05T18:19:34Z</dcterms:created>
  <dcterms:modified xsi:type="dcterms:W3CDTF">2026-03-02T04:33:20Z</dcterms:modified>
</cp:coreProperties>
</file>