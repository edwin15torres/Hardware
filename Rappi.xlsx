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-120" yWindow="-120" windowWidth="20730" windowHeight="11160" activeTab="2"/>
  </bookViews>
  <sheets>
    <sheet name="Rappi" sheetId="1" r:id="rId1"/>
    <sheet name="Menú" sheetId="2" r:id="rId2"/>
    <sheet name="lista_de_precios" sheetId="4" r:id="rId3"/>
    <sheet name="materia_prima" sheetId="3" r:id="rId4"/>
  </sheets>
  <definedNames>
    <definedName name="_xlnm._FilterDatabase" localSheetId="2" hidden="1">lista_de_precios!$A$1:$E$22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4" l="1"/>
  <c r="G21" i="4"/>
  <c r="H7" i="4"/>
  <c r="H17" i="4"/>
  <c r="D18" i="4"/>
  <c r="D4" i="4"/>
  <c r="D17" i="4"/>
  <c r="D5" i="4"/>
  <c r="D3" i="4"/>
  <c r="B3" i="2"/>
  <c r="E3" i="2" s="1"/>
  <c r="F3" i="2"/>
  <c r="G3" i="2" l="1"/>
  <c r="D3" i="2"/>
  <c r="H3" i="2"/>
  <c r="J3" i="2" s="1"/>
  <c r="F4" i="2"/>
  <c r="B4" i="2"/>
  <c r="E4" i="2" s="1"/>
  <c r="F2" i="2"/>
  <c r="B2" i="2"/>
  <c r="D2" i="2" s="1"/>
  <c r="D9" i="1"/>
  <c r="G11" i="1"/>
  <c r="I3" i="2" l="1"/>
  <c r="G4" i="2"/>
  <c r="D4" i="2"/>
  <c r="H4" i="2"/>
  <c r="J4" i="2" s="1"/>
  <c r="G2" i="2"/>
  <c r="I2" i="2" s="1"/>
  <c r="H2" i="2"/>
  <c r="E2" i="2"/>
  <c r="I4" i="2" l="1"/>
  <c r="J2" i="2"/>
</calcChain>
</file>

<file path=xl/sharedStrings.xml><?xml version="1.0" encoding="utf-8"?>
<sst xmlns="http://schemas.openxmlformats.org/spreadsheetml/2006/main" count="49" uniqueCount="42">
  <si>
    <t>23% comisiòn</t>
  </si>
  <si>
    <t>16 al 22</t>
  </si>
  <si>
    <t>primer mes</t>
  </si>
  <si>
    <t>pm</t>
  </si>
  <si>
    <t>hay un descuento</t>
  </si>
  <si>
    <t>Laura Manzera</t>
  </si>
  <si>
    <t>sin membresia</t>
  </si>
  <si>
    <t>dar de baja con 90 dias</t>
  </si>
  <si>
    <t>7 kilometros</t>
  </si>
  <si>
    <t>chorizo con papa</t>
  </si>
  <si>
    <t>papa</t>
  </si>
  <si>
    <t>producto</t>
  </si>
  <si>
    <t>chorizo</t>
  </si>
  <si>
    <t>costo</t>
  </si>
  <si>
    <t>precio_venta</t>
  </si>
  <si>
    <t>Domicilio</t>
  </si>
  <si>
    <t>MC</t>
  </si>
  <si>
    <t>%MC</t>
  </si>
  <si>
    <t>MC - Rappi</t>
  </si>
  <si>
    <t>%MC - Rappi</t>
  </si>
  <si>
    <t>gaseosa</t>
  </si>
  <si>
    <t>id_producto</t>
  </si>
  <si>
    <t>nombre_producto</t>
  </si>
  <si>
    <t>precio</t>
  </si>
  <si>
    <t>CARNES - Churrasco Gaucho - 30</t>
  </si>
  <si>
    <t>CARNES - Lomo de Cerdo -25</t>
  </si>
  <si>
    <t>CARNES - Pechuga - 25</t>
  </si>
  <si>
    <t>CARNES - Costillas BBQ - 25</t>
  </si>
  <si>
    <t>CARNES - Sobrebarriga - 25</t>
  </si>
  <si>
    <t>Bandeja Choriboni - 25</t>
  </si>
  <si>
    <t>ChoriPan</t>
  </si>
  <si>
    <t>Parrillada de 30</t>
  </si>
  <si>
    <t>BEBIDA - Coca Cola ZERO</t>
  </si>
  <si>
    <t>BEBIDA - Coca Cola 237ML</t>
  </si>
  <si>
    <t>BEBIDA - Postobon 350ML</t>
  </si>
  <si>
    <t>ChoriQueso</t>
  </si>
  <si>
    <t>CARNES - Carne asada 30</t>
  </si>
  <si>
    <t>BEBIDA - Jugo Hi 500mlt</t>
  </si>
  <si>
    <t>BEBIDA - Botella de Agua - 600ml</t>
  </si>
  <si>
    <t>HAMBURGUESA SENCILLLA</t>
  </si>
  <si>
    <t>HAMBURGUESA EN COMBO</t>
  </si>
  <si>
    <t>Chorizo con papa/arepa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</si>
</sst>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9" fontId="0" fillId="0" borderId="0" xfId="0" applyNumberFormat="1"/>
    <xf numFmtId="164" fontId="0" fillId="0" borderId="0" xfId="2" applyNumberFormat="1" applyFont="1"/>
    <xf numFmtId="9" fontId="0" fillId="0" borderId="0" xfId="3" applyFont="1"/>
    <xf numFmtId="165" fontId="0" fillId="0" borderId="0" xfId="1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0" fillId="6" borderId="0" xfId="1" applyNumberFormat="1" applyFont="1" applyFill="1"/>
    <xf numFmtId="164" fontId="0" fillId="6" borderId="0" xfId="2" applyNumberFormat="1" applyFont="1" applyFill="1"/>
    <xf numFmtId="0" fontId="4" fillId="7" borderId="0" xfId="0" applyFont="1" applyFill="1"/>
    <xf numFmtId="164" fontId="4" fillId="7" borderId="0" xfId="2" applyNumberFormat="1" applyFont="1" applyFill="1"/>
    <xf numFmtId="9" fontId="4" fillId="7" borderId="0" xfId="3" applyFont="1" applyFill="1"/>
    <xf numFmtId="164" fontId="5" fillId="8" borderId="0" xfId="2" applyNumberFormat="1" applyFont="1" applyFill="1"/>
    <xf numFmtId="164" fontId="0" fillId="8" borderId="0" xfId="2" applyNumberFormat="1" applyFont="1" applyFill="1"/>
    <xf numFmtId="164" fontId="1" fillId="8" borderId="0" xfId="2" applyNumberFormat="1" applyFont="1" applyFill="1"/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0"/>
  <tableStyles count="0" defaultTableStyle="TableStyleMedium2" defaultPivotStyle="PivotStyleLight16"/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8</v>
      </c>
      <c r="E2" t="s">
        <v>7</v>
      </c>
    </row>
    <row r="3" spans="2:7" x14ac:dyDescent="0.25">
      <c r="B3" t="s">
        <v>6</v>
      </c>
    </row>
    <row r="4" spans="2:7" x14ac:dyDescent="0.25">
      <c r="B4" t="s">
        <v>5</v>
      </c>
    </row>
    <row r="5" spans="2:7" x14ac:dyDescent="0.25">
      <c r="B5" t="s">
        <v>4</v>
      </c>
      <c r="D5">
        <v>7</v>
      </c>
      <c r="E5" t="s">
        <v>3</v>
      </c>
    </row>
    <row r="6" spans="2:7" x14ac:dyDescent="0.25">
      <c r="B6" s="1">
        <v>0</v>
      </c>
      <c r="C6" t="s">
        <v>2</v>
      </c>
      <c r="G6" t="s">
        <v>1</v>
      </c>
    </row>
    <row r="7" spans="2:7" x14ac:dyDescent="0.25">
      <c r="G7">
        <v>26</v>
      </c>
    </row>
    <row r="8" spans="2:7" x14ac:dyDescent="0.25">
      <c r="B8" t="s">
        <v>0</v>
      </c>
      <c r="D8" s="2">
        <v>10000</v>
      </c>
    </row>
    <row r="9" spans="2:7" x14ac:dyDescent="0.25">
      <c r="D9" s="2">
        <f>+E9*D8</f>
        <v>2300</v>
      </c>
      <c r="E9" s="1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topLeftCell="D1" workbookViewId="0">
      <selection activeCell="F4" sqref="F4"/>
    </sheetView>
  </sheetViews>
  <sheetFormatPr baseColWidth="10" defaultRowHeight="15" x14ac:dyDescent="0.25"/>
  <cols>
    <col min="1" max="1" width="15.7109375" bestFit="1" customWidth="1"/>
    <col min="2" max="2" width="12.7109375" customWidth="1"/>
    <col min="3" max="3" width="16.140625" bestFit="1" customWidth="1"/>
    <col min="4" max="4" width="9.5703125" bestFit="1" customWidth="1"/>
    <col min="5" max="5" width="11" customWidth="1"/>
    <col min="6" max="6" width="12" bestFit="1" customWidth="1"/>
    <col min="7" max="7" width="15.7109375" bestFit="1" customWidth="1"/>
    <col min="9" max="9" width="13.5703125" bestFit="1" customWidth="1"/>
    <col min="10" max="10" width="15.5703125" bestFit="1" customWidth="1"/>
  </cols>
  <sheetData>
    <row r="1" spans="1:10" ht="18.75" x14ac:dyDescent="0.3">
      <c r="A1" s="5" t="s">
        <v>11</v>
      </c>
      <c r="B1" s="5" t="s">
        <v>13</v>
      </c>
      <c r="C1" s="5" t="s">
        <v>14</v>
      </c>
      <c r="D1" s="6" t="s">
        <v>16</v>
      </c>
      <c r="E1" s="6" t="s">
        <v>17</v>
      </c>
      <c r="F1" s="8" t="s">
        <v>15</v>
      </c>
      <c r="G1" s="8" t="s">
        <v>16</v>
      </c>
      <c r="H1" s="8" t="s">
        <v>17</v>
      </c>
      <c r="I1" s="7" t="s">
        <v>18</v>
      </c>
      <c r="J1" s="7" t="s">
        <v>19</v>
      </c>
    </row>
    <row r="2" spans="1:10" x14ac:dyDescent="0.25">
      <c r="A2" t="s">
        <v>9</v>
      </c>
      <c r="B2" s="2">
        <f>+SUMIF(materia_prima!A:A,Menú!A2,materia_prima!C:C)</f>
        <v>4200</v>
      </c>
      <c r="C2" s="2">
        <v>8000</v>
      </c>
      <c r="D2" s="9">
        <f>+C2-B2</f>
        <v>3800</v>
      </c>
      <c r="E2" s="3">
        <f>(C2-B2)/C2</f>
        <v>0.47499999999999998</v>
      </c>
      <c r="F2">
        <f>+C2*23%</f>
        <v>1840</v>
      </c>
      <c r="G2" s="2">
        <f>+C2-(B2+F2)</f>
        <v>1960</v>
      </c>
      <c r="H2" s="3">
        <f>(C2-(B2+F2))/C2</f>
        <v>0.245</v>
      </c>
      <c r="I2" s="2">
        <f>+D2-G2</f>
        <v>1840</v>
      </c>
      <c r="J2" s="3">
        <f>+E2-H2</f>
        <v>0.22999999999999998</v>
      </c>
    </row>
    <row r="3" spans="1:10" x14ac:dyDescent="0.25">
      <c r="A3" t="s">
        <v>20</v>
      </c>
      <c r="B3" s="2">
        <f>+SUMIF(materia_prima!A:A,Menú!A3,materia_prima!C:C)</f>
        <v>1200</v>
      </c>
      <c r="C3" s="2">
        <v>3000</v>
      </c>
      <c r="D3" s="9">
        <f>+C3-B3</f>
        <v>1800</v>
      </c>
      <c r="E3" s="3">
        <f>(C3-B3)/C3</f>
        <v>0.6</v>
      </c>
      <c r="F3">
        <f>+C3*23%</f>
        <v>690</v>
      </c>
      <c r="G3" s="2">
        <f>+C3-(B3+F3)</f>
        <v>1110</v>
      </c>
      <c r="H3" s="3">
        <f>(C3-(B3+F3))/C3</f>
        <v>0.37</v>
      </c>
      <c r="I3" s="2">
        <f>+D3-G3</f>
        <v>690</v>
      </c>
      <c r="J3" s="3">
        <f>+E3-H3</f>
        <v>0.22999999999999998</v>
      </c>
    </row>
    <row r="4" spans="1:10" x14ac:dyDescent="0.25">
      <c r="A4" t="s">
        <v>9</v>
      </c>
      <c r="B4" s="2">
        <f>+SUMIF(materia_prima!A:A,Menú!A4,materia_prima!C:C)</f>
        <v>4200</v>
      </c>
      <c r="C4" s="2">
        <v>10000</v>
      </c>
      <c r="D4" s="4">
        <f>+C4-B4</f>
        <v>5800</v>
      </c>
      <c r="E4" s="3">
        <f>(C4-B4)/C4</f>
        <v>0.57999999999999996</v>
      </c>
      <c r="F4">
        <f>+C4*23%</f>
        <v>2300</v>
      </c>
      <c r="G4" s="10">
        <f>+C4-(B4+F4)</f>
        <v>3500</v>
      </c>
      <c r="H4" s="3">
        <f>(C4-(B4+F4))/C4</f>
        <v>0.35</v>
      </c>
      <c r="I4" s="2">
        <f>+D4-G4</f>
        <v>2300</v>
      </c>
      <c r="J4" s="3">
        <f>+E4-H4</f>
        <v>0.22999999999999998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tabSelected="1" topLeftCell="A2" zoomScale="85" zoomScaleNormal="85" workbookViewId="0">
      <selection activeCell="H22" sqref="H22"/>
    </sheetView>
  </sheetViews>
  <sheetFormatPr baseColWidth="10" defaultRowHeight="15" x14ac:dyDescent="0.25"/>
  <cols>
    <col min="2" max="2" width="32.85546875" bestFit="1" customWidth="1"/>
    <col min="3" max="3" width="12" style="2" hidden="1" customWidth="1"/>
    <col min="4" max="4" width="12" style="2" bestFit="1" customWidth="1"/>
  </cols>
  <sheetData>
    <row r="1" spans="1:8" x14ac:dyDescent="0.25">
      <c r="A1" s="11" t="s">
        <v>21</v>
      </c>
      <c r="B1" s="11" t="s">
        <v>22</v>
      </c>
      <c r="C1" s="12" t="s">
        <v>23</v>
      </c>
      <c r="D1" s="13">
        <v>0.25</v>
      </c>
    </row>
    <row r="2" spans="1:8" x14ac:dyDescent="0.25">
      <c r="A2">
        <v>1</v>
      </c>
      <c r="B2" t="s">
        <v>41</v>
      </c>
      <c r="C2" s="2">
        <v>8000</v>
      </c>
      <c r="D2" s="2">
        <v>10000</v>
      </c>
    </row>
    <row r="3" spans="1:8" x14ac:dyDescent="0.25">
      <c r="A3">
        <v>52</v>
      </c>
      <c r="B3" t="s">
        <v>35</v>
      </c>
      <c r="C3" s="2">
        <v>10000</v>
      </c>
      <c r="D3" s="2">
        <f>C3*(1+$D$1)</f>
        <v>12500</v>
      </c>
    </row>
    <row r="4" spans="1:8" x14ac:dyDescent="0.25">
      <c r="A4">
        <v>26</v>
      </c>
      <c r="B4" t="s">
        <v>30</v>
      </c>
      <c r="C4" s="2">
        <v>10000</v>
      </c>
      <c r="D4" s="2">
        <f>C4*(1+$D$1)</f>
        <v>12500</v>
      </c>
    </row>
    <row r="5" spans="1:8" x14ac:dyDescent="0.25">
      <c r="A5">
        <v>48</v>
      </c>
      <c r="B5" t="s">
        <v>32</v>
      </c>
      <c r="C5" s="2">
        <v>3200</v>
      </c>
      <c r="D5" s="2">
        <f>C5*(1+$D$1)</f>
        <v>4000</v>
      </c>
    </row>
    <row r="6" spans="1:8" x14ac:dyDescent="0.25">
      <c r="A6">
        <v>2</v>
      </c>
      <c r="B6" t="s">
        <v>33</v>
      </c>
      <c r="C6" s="2">
        <v>3000</v>
      </c>
      <c r="D6" s="14">
        <v>3500</v>
      </c>
      <c r="E6">
        <v>3500</v>
      </c>
    </row>
    <row r="7" spans="1:8" x14ac:dyDescent="0.25">
      <c r="A7">
        <v>50</v>
      </c>
      <c r="B7" t="s">
        <v>34</v>
      </c>
      <c r="C7" s="2">
        <v>3000</v>
      </c>
      <c r="D7" s="14">
        <v>3500</v>
      </c>
      <c r="H7">
        <f>70000-8500</f>
        <v>61500</v>
      </c>
    </row>
    <row r="8" spans="1:8" x14ac:dyDescent="0.25">
      <c r="A8">
        <v>7</v>
      </c>
      <c r="B8" t="s">
        <v>37</v>
      </c>
      <c r="C8" s="2">
        <v>4500</v>
      </c>
      <c r="D8" s="15">
        <v>5500</v>
      </c>
      <c r="E8">
        <v>5500</v>
      </c>
    </row>
    <row r="9" spans="1:8" x14ac:dyDescent="0.25">
      <c r="A9">
        <v>4</v>
      </c>
      <c r="B9" t="s">
        <v>38</v>
      </c>
      <c r="C9" s="2">
        <v>3500</v>
      </c>
      <c r="D9" s="16">
        <v>4000</v>
      </c>
      <c r="E9">
        <v>4000</v>
      </c>
    </row>
    <row r="10" spans="1:8" x14ac:dyDescent="0.25">
      <c r="A10">
        <v>19</v>
      </c>
      <c r="B10" t="s">
        <v>29</v>
      </c>
      <c r="C10" s="2">
        <v>25000</v>
      </c>
      <c r="D10" s="15">
        <v>30000</v>
      </c>
    </row>
    <row r="11" spans="1:8" x14ac:dyDescent="0.25">
      <c r="A11">
        <v>58</v>
      </c>
      <c r="B11" t="s">
        <v>36</v>
      </c>
      <c r="C11" s="2">
        <v>30000</v>
      </c>
      <c r="D11" s="15">
        <v>35000</v>
      </c>
    </row>
    <row r="12" spans="1:8" x14ac:dyDescent="0.25">
      <c r="A12">
        <v>11</v>
      </c>
      <c r="B12" t="s">
        <v>24</v>
      </c>
      <c r="C12" s="2">
        <v>30000</v>
      </c>
      <c r="D12" s="2">
        <v>35000</v>
      </c>
    </row>
    <row r="13" spans="1:8" x14ac:dyDescent="0.25">
      <c r="A13">
        <v>14</v>
      </c>
      <c r="B13" t="s">
        <v>27</v>
      </c>
      <c r="C13" s="2">
        <v>25000</v>
      </c>
      <c r="D13" s="2">
        <v>27000</v>
      </c>
    </row>
    <row r="14" spans="1:8" x14ac:dyDescent="0.25">
      <c r="A14">
        <v>12</v>
      </c>
      <c r="B14" t="s">
        <v>25</v>
      </c>
      <c r="C14" s="2">
        <v>25000</v>
      </c>
      <c r="D14" s="2">
        <v>27000</v>
      </c>
    </row>
    <row r="15" spans="1:8" x14ac:dyDescent="0.25">
      <c r="A15">
        <v>13</v>
      </c>
      <c r="B15" t="s">
        <v>26</v>
      </c>
      <c r="C15" s="2">
        <v>25000</v>
      </c>
      <c r="D15" s="2">
        <v>27000</v>
      </c>
    </row>
    <row r="16" spans="1:8" x14ac:dyDescent="0.25">
      <c r="A16">
        <v>15</v>
      </c>
      <c r="B16" t="s">
        <v>28</v>
      </c>
      <c r="C16" s="2">
        <v>25000</v>
      </c>
      <c r="D16" s="2">
        <v>29000</v>
      </c>
      <c r="H16">
        <v>34500</v>
      </c>
    </row>
    <row r="17" spans="1:8" x14ac:dyDescent="0.25">
      <c r="A17">
        <v>35</v>
      </c>
      <c r="B17" t="s">
        <v>31</v>
      </c>
      <c r="C17" s="2">
        <v>30000</v>
      </c>
      <c r="D17" s="2">
        <f>C17*(1+$D$1)</f>
        <v>37500</v>
      </c>
      <c r="H17">
        <f>50000-H16</f>
        <v>15500</v>
      </c>
    </row>
    <row r="18" spans="1:8" x14ac:dyDescent="0.25">
      <c r="A18">
        <v>6</v>
      </c>
      <c r="B18" t="s">
        <v>40</v>
      </c>
      <c r="C18" s="2">
        <v>22000</v>
      </c>
      <c r="D18" s="2">
        <f>C18*(1+$D$1)</f>
        <v>27500</v>
      </c>
      <c r="E18">
        <v>27000</v>
      </c>
    </row>
    <row r="19" spans="1:8" x14ac:dyDescent="0.25">
      <c r="A19">
        <v>5</v>
      </c>
      <c r="B19" t="s">
        <v>39</v>
      </c>
      <c r="C19" s="2">
        <v>17000</v>
      </c>
      <c r="D19" s="2">
        <v>21500</v>
      </c>
      <c r="E19">
        <v>21000</v>
      </c>
    </row>
    <row r="21" spans="1:8" x14ac:dyDescent="0.25">
      <c r="G21">
        <f>6000*4</f>
        <v>24000</v>
      </c>
    </row>
    <row r="22" spans="1:8" x14ac:dyDescent="0.25">
      <c r="G22">
        <v>32000</v>
      </c>
      <c r="H22">
        <f>+G22-G21</f>
        <v>8000</v>
      </c>
    </row>
  </sheetData>
  <autoFilter ref="A1:E22">
    <sortState ref="A2:E56">
      <sortCondition ref="B1:B5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selection activeCell="C4" sqref="C4"/>
    </sheetView>
  </sheetViews>
  <sheetFormatPr baseColWidth="10" defaultRowHeight="15" x14ac:dyDescent="0.25"/>
  <cols>
    <col min="1" max="2" width="15.7109375" bestFit="1" customWidth="1"/>
    <col min="3" max="3" width="5" bestFit="1" customWidth="1"/>
  </cols>
  <sheetData>
    <row r="1" spans="1:3" x14ac:dyDescent="0.25">
      <c r="A1" t="s">
        <v>9</v>
      </c>
      <c r="B1" t="s">
        <v>12</v>
      </c>
      <c r="C1">
        <v>3500</v>
      </c>
    </row>
    <row r="2" spans="1:3" x14ac:dyDescent="0.25">
      <c r="A2" t="s">
        <v>9</v>
      </c>
      <c r="B2" t="s">
        <v>10</v>
      </c>
      <c r="C2">
        <v>700</v>
      </c>
    </row>
    <row r="3" spans="1:3" x14ac:dyDescent="0.25">
      <c r="A3" t="s">
        <v>20</v>
      </c>
      <c r="B3" t="s">
        <v>20</v>
      </c>
      <c r="C3">
        <v>1200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Rappi</vt:lpstr>
      <vt:lpstr>Menú</vt:lpstr>
      <vt:lpstr>lista_de_precios</vt:lpstr>
      <vt:lpstr>materia_prima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Torres</dc:creator>
  <cp:lastModifiedBy>PC</cp:lastModifiedBy>
  <dcterms:created xsi:type="dcterms:W3CDTF">2026-04-11T12:08:46Z</dcterms:created>
  <dcterms:modified xsi:type="dcterms:W3CDTF">2026-04-16T00:02:56Z</dcterms:modified>
</cp:coreProperties>
</file>