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2025_DigiLivo\Aliados\Rappi\"/>
    </mc:Choice>
  </mc:AlternateContent>
  <xr:revisionPtr revIDLastSave="0" documentId="13_ncr:1_{E66C27A9-B498-4C6C-AF98-57CAD39F43D0}" xr6:coauthVersionLast="47" xr6:coauthVersionMax="47" xr10:uidLastSave="{00000000-0000-0000-0000-000000000000}"/>
  <bookViews>
    <workbookView xWindow="-120" yWindow="-120" windowWidth="20730" windowHeight="11160" activeTab="1" xr2:uid="{90432604-9DEF-4D1B-BE9D-22FCCC081052}"/>
  </bookViews>
  <sheets>
    <sheet name="Rappi" sheetId="1" r:id="rId1"/>
    <sheet name="Menú" sheetId="2" r:id="rId2"/>
    <sheet name="materia_pri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B4" i="2"/>
  <c r="E4" i="2" s="1"/>
  <c r="F2" i="2"/>
  <c r="B2" i="2"/>
  <c r="D2" i="2" s="1"/>
  <c r="D9" i="1"/>
  <c r="G11" i="1"/>
  <c r="G4" i="2" l="1"/>
  <c r="D4" i="2"/>
  <c r="H4" i="2"/>
  <c r="J4" i="2" s="1"/>
  <c r="G2" i="2"/>
  <c r="I2" i="2" s="1"/>
  <c r="H2" i="2"/>
  <c r="E2" i="2"/>
  <c r="I4" i="2" l="1"/>
  <c r="J2" i="2"/>
</calcChain>
</file>

<file path=xl/sharedStrings.xml><?xml version="1.0" encoding="utf-8"?>
<sst xmlns="http://schemas.openxmlformats.org/spreadsheetml/2006/main" count="25" uniqueCount="20">
  <si>
    <t>23% comisiòn</t>
  </si>
  <si>
    <t>16 al 22</t>
  </si>
  <si>
    <t>primer mes</t>
  </si>
  <si>
    <t>pm</t>
  </si>
  <si>
    <t>hay un descuento</t>
  </si>
  <si>
    <t>Laura Manzera</t>
  </si>
  <si>
    <t>sin membresia</t>
  </si>
  <si>
    <t>dar de baja con 90 dias</t>
  </si>
  <si>
    <t>7 kilometros</t>
  </si>
  <si>
    <t>chorizo con papa</t>
  </si>
  <si>
    <t>papa</t>
  </si>
  <si>
    <t>producto</t>
  </si>
  <si>
    <t>chorizo</t>
  </si>
  <si>
    <t>costo</t>
  </si>
  <si>
    <t>precio_venta</t>
  </si>
  <si>
    <t>Domicilio</t>
  </si>
  <si>
    <t>MC</t>
  </si>
  <si>
    <t>%MC</t>
  </si>
  <si>
    <t>MC - Rappi</t>
  </si>
  <si>
    <t>%MC - Rappi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</si>
</sst>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164" fontId="0" fillId="0" borderId="0" xfId="2" applyNumberFormat="1" applyFont="1"/>
    <xf numFmtId="9" fontId="0" fillId="0" borderId="0" xfId="3" applyFont="1"/>
    <xf numFmtId="166" fontId="0" fillId="0" borderId="0" xfId="1" applyNumberFormat="1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6" fontId="0" fillId="6" borderId="0" xfId="1" applyNumberFormat="1" applyFont="1" applyFill="1"/>
    <xf numFmtId="164" fontId="0" fillId="6" borderId="0" xfId="2" applyNumberFormat="1" applyFont="1" applyFill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02D3-8418-4F4F-8834-154F042E7B0A}">
  <sheetPr>
    <tabColor rgb="FFFF9933"/>
  </sheetPr>
  <dimension ref="B2:G11"/>
  <sheetViews>
    <sheetView workbookViewId="0">
      <selection activeCell="F11" sqref="F11"/>
    </sheetView>
  </sheetViews>
  <sheetFormatPr baseColWidth="10" defaultRowHeight="15" x14ac:dyDescent="0.25"/>
  <cols>
    <col min="1" max="1" width="5.140625" customWidth="1"/>
    <col min="2" max="2" width="16.7109375" bestFit="1" customWidth="1"/>
    <col min="4" max="4" width="12" bestFit="1" customWidth="1"/>
  </cols>
  <sheetData>
    <row r="2" spans="2:7" x14ac:dyDescent="0.25">
      <c r="B2" t="s">
        <v>8</v>
      </c>
      <c r="E2" t="s">
        <v>7</v>
      </c>
    </row>
    <row r="3" spans="2:7" x14ac:dyDescent="0.25">
      <c r="B3" t="s">
        <v>6</v>
      </c>
    </row>
    <row r="4" spans="2:7" x14ac:dyDescent="0.25">
      <c r="B4" t="s">
        <v>5</v>
      </c>
    </row>
    <row r="5" spans="2:7" x14ac:dyDescent="0.25">
      <c r="B5" t="s">
        <v>4</v>
      </c>
      <c r="D5">
        <v>7</v>
      </c>
      <c r="E5" t="s">
        <v>3</v>
      </c>
    </row>
    <row r="6" spans="2:7" x14ac:dyDescent="0.25">
      <c r="B6" s="1">
        <v>0</v>
      </c>
      <c r="C6" t="s">
        <v>2</v>
      </c>
      <c r="G6" t="s">
        <v>1</v>
      </c>
    </row>
    <row r="7" spans="2:7" x14ac:dyDescent="0.25">
      <c r="G7">
        <v>26</v>
      </c>
    </row>
    <row r="8" spans="2:7" x14ac:dyDescent="0.25">
      <c r="B8" t="s">
        <v>0</v>
      </c>
      <c r="D8" s="2">
        <v>10000</v>
      </c>
    </row>
    <row r="9" spans="2:7" x14ac:dyDescent="0.25">
      <c r="D9" s="2">
        <f>+E9*D8</f>
        <v>2300</v>
      </c>
      <c r="E9" s="1">
        <v>0.23</v>
      </c>
    </row>
    <row r="11" spans="2:7" x14ac:dyDescent="0.25">
      <c r="G11">
        <f>4.5*4</f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C6F5-425B-41B0-9225-276621119978}">
  <dimension ref="A1:J4"/>
  <sheetViews>
    <sheetView tabSelected="1" workbookViewId="0">
      <selection activeCell="G4" sqref="G4"/>
    </sheetView>
  </sheetViews>
  <sheetFormatPr baseColWidth="10" defaultRowHeight="15" x14ac:dyDescent="0.25"/>
  <cols>
    <col min="1" max="1" width="15.7109375" bestFit="1" customWidth="1"/>
    <col min="2" max="2" width="12.7109375" customWidth="1"/>
    <col min="3" max="3" width="16.140625" bestFit="1" customWidth="1"/>
    <col min="4" max="4" width="9.5703125" bestFit="1" customWidth="1"/>
    <col min="5" max="5" width="11" customWidth="1"/>
    <col min="6" max="6" width="12" bestFit="1" customWidth="1"/>
    <col min="7" max="7" width="15.7109375" bestFit="1" customWidth="1"/>
    <col min="9" max="9" width="13.5703125" bestFit="1" customWidth="1"/>
    <col min="10" max="10" width="15.5703125" bestFit="1" customWidth="1"/>
  </cols>
  <sheetData>
    <row r="1" spans="1:10" ht="18.75" x14ac:dyDescent="0.3">
      <c r="A1" s="5" t="s">
        <v>11</v>
      </c>
      <c r="B1" s="5" t="s">
        <v>13</v>
      </c>
      <c r="C1" s="5" t="s">
        <v>14</v>
      </c>
      <c r="D1" s="6" t="s">
        <v>16</v>
      </c>
      <c r="E1" s="6" t="s">
        <v>17</v>
      </c>
      <c r="F1" s="8" t="s">
        <v>15</v>
      </c>
      <c r="G1" s="8" t="s">
        <v>16</v>
      </c>
      <c r="H1" s="8" t="s">
        <v>17</v>
      </c>
      <c r="I1" s="7" t="s">
        <v>18</v>
      </c>
      <c r="J1" s="7" t="s">
        <v>19</v>
      </c>
    </row>
    <row r="2" spans="1:10" x14ac:dyDescent="0.25">
      <c r="A2" t="s">
        <v>9</v>
      </c>
      <c r="B2" s="2">
        <f>+SUMIF(materia_prima!A:A,Menú!A2,materia_prima!C:C)</f>
        <v>4200</v>
      </c>
      <c r="C2" s="2">
        <v>8000</v>
      </c>
      <c r="D2" s="9">
        <f>+C2-B2</f>
        <v>3800</v>
      </c>
      <c r="E2" s="3">
        <f>(C2-B2)/C2</f>
        <v>0.47499999999999998</v>
      </c>
      <c r="F2">
        <f>+C2*23%</f>
        <v>1840</v>
      </c>
      <c r="G2" s="2">
        <f>+C2-(B2+F2)</f>
        <v>1960</v>
      </c>
      <c r="H2" s="3">
        <f>(C2-(B2+F2))/C2</f>
        <v>0.245</v>
      </c>
      <c r="I2" s="2">
        <f>+D2-G2</f>
        <v>1840</v>
      </c>
      <c r="J2" s="3">
        <f>+E2-H2</f>
        <v>0.22999999999999998</v>
      </c>
    </row>
    <row r="4" spans="1:10" x14ac:dyDescent="0.25">
      <c r="A4" t="s">
        <v>9</v>
      </c>
      <c r="B4" s="2">
        <f>+SUMIF(materia_prima!A:A,Menú!A4,materia_prima!C:C)</f>
        <v>4200</v>
      </c>
      <c r="C4" s="2">
        <v>10000</v>
      </c>
      <c r="D4" s="4">
        <f>+C4-B4</f>
        <v>5800</v>
      </c>
      <c r="E4" s="3">
        <f>(C4-B4)/C4</f>
        <v>0.57999999999999996</v>
      </c>
      <c r="F4">
        <f>+C4*23%</f>
        <v>2300</v>
      </c>
      <c r="G4" s="10">
        <f>+C4-(B4+F4)</f>
        <v>3500</v>
      </c>
      <c r="H4" s="3">
        <f>(C4-(B4+F4))/C4</f>
        <v>0.35</v>
      </c>
      <c r="I4" s="2">
        <f>+D4-G4</f>
        <v>2300</v>
      </c>
      <c r="J4" s="3">
        <f>+E4-H4</f>
        <v>0.22999999999999998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684C-46F7-42EC-BBBD-6999BE565A1A}">
  <dimension ref="A1:C2"/>
  <sheetViews>
    <sheetView workbookViewId="0"/>
  </sheetViews>
  <sheetFormatPr baseColWidth="10" defaultRowHeight="15" x14ac:dyDescent="0.25"/>
  <cols>
    <col min="2" max="2" width="15.7109375" bestFit="1" customWidth="1"/>
    <col min="3" max="3" width="5" bestFit="1" customWidth="1"/>
  </cols>
  <sheetData>
    <row r="1" spans="1:3" x14ac:dyDescent="0.25">
      <c r="A1" t="s">
        <v>9</v>
      </c>
      <c r="B1" t="s">
        <v>12</v>
      </c>
      <c r="C1">
        <v>3500</v>
      </c>
    </row>
    <row r="2" spans="1:3" x14ac:dyDescent="0.25">
      <c r="A2" t="s">
        <v>9</v>
      </c>
      <c r="B2" t="s">
        <v>10</v>
      </c>
      <c r="C2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Rappi</vt:lpstr>
      <vt:lpstr>Menú</vt:lpstr>
      <vt:lpstr>materia_prima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Torres</dc:creator>
  <cp:lastModifiedBy>Edwin Torres</cp:lastModifiedBy>
  <dcterms:created xsi:type="dcterms:W3CDTF">2026-04-11T12:08:46Z</dcterms:created>
  <dcterms:modified xsi:type="dcterms:W3CDTF">2026-04-11T12:38:38Z</dcterms:modified>
</cp:coreProperties>
</file>