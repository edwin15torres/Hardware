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D261F463-1C49-41D8-A14A-E4E8EDF08D10}" xr6:coauthVersionLast="47" xr6:coauthVersionMax="47" xr10:uidLastSave="{00000000-0000-0000-0000-000000000000}"/>
  <bookViews>
    <workbookView xWindow="-120" yWindow="-120" windowWidth="20730" windowHeight="11160" tabRatio="810" activeTab="1" xr2:uid="{00000000-000D-0000-FFFF-FFFF00000000}"/>
  </bookViews>
  <sheets>
    <sheet name="sales" sheetId="25" r:id="rId1"/>
    <sheet name="sales_BI" sheetId="26" r:id="rId2"/>
    <sheet name="entradas" sheetId="27" r:id="rId3"/>
    <sheet name="Informe" sheetId="14" r:id="rId4"/>
    <sheet name="historial de venta" sheetId="20" r:id="rId5"/>
    <sheet name="urls" sheetId="24" state="hidden" r:id="rId6"/>
  </sheets>
  <definedNames>
    <definedName name="_xlnm._FilterDatabase" localSheetId="1" hidden="1">sales_BI!$A$1:$M$121</definedName>
  </definedNames>
  <calcPr calcId="191029"/>
  <pivotCaches>
    <pivotCache cacheId="5" r:id="rId7"/>
    <pivotCache cacheId="6" r:id="rId8"/>
    <pivotCache cacheId="7" r:id="rId9"/>
    <pivotCache cacheId="26" r:id="rId10"/>
    <pivotCache cacheId="50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4" l="1"/>
  <c r="O15" i="14"/>
  <c r="O14" i="14"/>
  <c r="O13" i="14"/>
  <c r="O12" i="14"/>
  <c r="O11" i="14"/>
  <c r="O10" i="14"/>
  <c r="O9" i="14"/>
  <c r="O8" i="14"/>
  <c r="O7" i="14"/>
  <c r="O6" i="14"/>
  <c r="O5" i="14"/>
  <c r="G227" i="26"/>
  <c r="F227" i="26"/>
  <c r="E227" i="26"/>
  <c r="M227" i="26" s="1"/>
  <c r="D227" i="26"/>
  <c r="C227" i="26"/>
  <c r="B227" i="26"/>
  <c r="A227" i="26"/>
  <c r="J227" i="26" s="1"/>
  <c r="G226" i="26"/>
  <c r="F226" i="26"/>
  <c r="E226" i="26"/>
  <c r="M226" i="26" s="1"/>
  <c r="D226" i="26"/>
  <c r="C226" i="26"/>
  <c r="B226" i="26"/>
  <c r="A226" i="26"/>
  <c r="G225" i="26"/>
  <c r="F225" i="26"/>
  <c r="E225" i="26"/>
  <c r="D225" i="26"/>
  <c r="C225" i="26"/>
  <c r="B225" i="26"/>
  <c r="A225" i="26"/>
  <c r="K225" i="26" s="1"/>
  <c r="G224" i="26"/>
  <c r="F224" i="26"/>
  <c r="E224" i="26"/>
  <c r="D224" i="26"/>
  <c r="C224" i="26"/>
  <c r="B224" i="26"/>
  <c r="A224" i="26"/>
  <c r="K224" i="26" s="1"/>
  <c r="G223" i="26"/>
  <c r="F223" i="26"/>
  <c r="E223" i="26"/>
  <c r="D223" i="26"/>
  <c r="C223" i="26"/>
  <c r="B223" i="26"/>
  <c r="A223" i="26"/>
  <c r="K223" i="26" s="1"/>
  <c r="G222" i="26"/>
  <c r="F222" i="26"/>
  <c r="E222" i="26"/>
  <c r="D222" i="26"/>
  <c r="C222" i="26"/>
  <c r="B222" i="26"/>
  <c r="A222" i="26"/>
  <c r="K222" i="26" s="1"/>
  <c r="G221" i="26"/>
  <c r="F221" i="26"/>
  <c r="E221" i="26"/>
  <c r="D221" i="26"/>
  <c r="C221" i="26"/>
  <c r="B221" i="26"/>
  <c r="A221" i="26"/>
  <c r="K221" i="26" s="1"/>
  <c r="G220" i="26"/>
  <c r="F220" i="26"/>
  <c r="E220" i="26"/>
  <c r="D220" i="26"/>
  <c r="C220" i="26"/>
  <c r="B220" i="26"/>
  <c r="A220" i="26"/>
  <c r="K220" i="26" s="1"/>
  <c r="G219" i="26"/>
  <c r="F219" i="26"/>
  <c r="E219" i="26"/>
  <c r="D219" i="26"/>
  <c r="C219" i="26"/>
  <c r="B219" i="26"/>
  <c r="A219" i="26"/>
  <c r="K219" i="26" s="1"/>
  <c r="G218" i="26"/>
  <c r="F218" i="26"/>
  <c r="E218" i="26"/>
  <c r="D218" i="26"/>
  <c r="C218" i="26"/>
  <c r="B218" i="26"/>
  <c r="A218" i="26"/>
  <c r="K218" i="26" s="1"/>
  <c r="G217" i="26"/>
  <c r="F217" i="26"/>
  <c r="E217" i="26"/>
  <c r="D217" i="26"/>
  <c r="C217" i="26"/>
  <c r="B217" i="26"/>
  <c r="A217" i="26"/>
  <c r="K217" i="26" s="1"/>
  <c r="G216" i="26"/>
  <c r="F216" i="26"/>
  <c r="E216" i="26"/>
  <c r="D216" i="26"/>
  <c r="C216" i="26"/>
  <c r="B216" i="26"/>
  <c r="A216" i="26"/>
  <c r="K216" i="26" s="1"/>
  <c r="G215" i="26"/>
  <c r="F215" i="26"/>
  <c r="E215" i="26"/>
  <c r="D215" i="26"/>
  <c r="C215" i="26"/>
  <c r="B215" i="26"/>
  <c r="A215" i="26"/>
  <c r="K215" i="26" s="1"/>
  <c r="G214" i="26"/>
  <c r="F214" i="26"/>
  <c r="E214" i="26"/>
  <c r="D214" i="26"/>
  <c r="C214" i="26"/>
  <c r="B214" i="26"/>
  <c r="A214" i="26"/>
  <c r="K214" i="26" s="1"/>
  <c r="G213" i="26"/>
  <c r="F213" i="26"/>
  <c r="E213" i="26"/>
  <c r="D213" i="26"/>
  <c r="C213" i="26"/>
  <c r="B213" i="26"/>
  <c r="A213" i="26"/>
  <c r="K213" i="26" s="1"/>
  <c r="G212" i="26"/>
  <c r="F212" i="26"/>
  <c r="E212" i="26"/>
  <c r="D212" i="26"/>
  <c r="C212" i="26"/>
  <c r="B212" i="26"/>
  <c r="A212" i="26"/>
  <c r="K212" i="26" s="1"/>
  <c r="G211" i="26"/>
  <c r="F211" i="26"/>
  <c r="E211" i="26"/>
  <c r="D211" i="26"/>
  <c r="C211" i="26"/>
  <c r="B211" i="26"/>
  <c r="A211" i="26"/>
  <c r="K211" i="26" s="1"/>
  <c r="G210" i="26"/>
  <c r="F210" i="26"/>
  <c r="E210" i="26"/>
  <c r="D210" i="26"/>
  <c r="C210" i="26"/>
  <c r="B210" i="26"/>
  <c r="A210" i="26"/>
  <c r="K210" i="26" s="1"/>
  <c r="H230" i="25"/>
  <c r="H227" i="26" s="1"/>
  <c r="H229" i="25"/>
  <c r="H226" i="26" s="1"/>
  <c r="H228" i="25"/>
  <c r="H225" i="26" s="1"/>
  <c r="H227" i="25"/>
  <c r="H224" i="26" s="1"/>
  <c r="H226" i="25"/>
  <c r="H223" i="26" s="1"/>
  <c r="H225" i="25"/>
  <c r="H222" i="26" s="1"/>
  <c r="H224" i="25"/>
  <c r="H221" i="26" s="1"/>
  <c r="H223" i="25"/>
  <c r="H220" i="26" s="1"/>
  <c r="H222" i="25"/>
  <c r="H219" i="26" s="1"/>
  <c r="H221" i="25"/>
  <c r="H218" i="26" s="1"/>
  <c r="H220" i="25"/>
  <c r="H217" i="26" s="1"/>
  <c r="H219" i="25"/>
  <c r="H216" i="26" s="1"/>
  <c r="H218" i="25"/>
  <c r="H215" i="26" s="1"/>
  <c r="H217" i="25"/>
  <c r="H214" i="26" s="1"/>
  <c r="H216" i="25"/>
  <c r="H213" i="26" s="1"/>
  <c r="H215" i="25"/>
  <c r="H212" i="26" s="1"/>
  <c r="H214" i="25"/>
  <c r="H211" i="26" s="1"/>
  <c r="H213" i="25"/>
  <c r="H210" i="26" s="1"/>
  <c r="M210" i="26" l="1"/>
  <c r="L210" i="26"/>
  <c r="J210" i="26"/>
  <c r="J218" i="26"/>
  <c r="J222" i="26"/>
  <c r="M211" i="26"/>
  <c r="L211" i="26"/>
  <c r="J211" i="26"/>
  <c r="M215" i="26"/>
  <c r="L215" i="26"/>
  <c r="J215" i="26"/>
  <c r="M219" i="26"/>
  <c r="L219" i="26"/>
  <c r="J219" i="26"/>
  <c r="M223" i="26"/>
  <c r="L223" i="26"/>
  <c r="J223" i="26"/>
  <c r="M214" i="26"/>
  <c r="L214" i="26"/>
  <c r="J214" i="26"/>
  <c r="M218" i="26"/>
  <c r="L218" i="26"/>
  <c r="M222" i="26"/>
  <c r="L222" i="26"/>
  <c r="M212" i="26"/>
  <c r="L212" i="26"/>
  <c r="J212" i="26"/>
  <c r="M216" i="26"/>
  <c r="L216" i="26"/>
  <c r="J216" i="26"/>
  <c r="M220" i="26"/>
  <c r="L220" i="26"/>
  <c r="J220" i="26"/>
  <c r="M224" i="26"/>
  <c r="L224" i="26"/>
  <c r="J224" i="26"/>
  <c r="J226" i="26"/>
  <c r="K226" i="26"/>
  <c r="M213" i="26"/>
  <c r="L213" i="26"/>
  <c r="J213" i="26"/>
  <c r="M217" i="26"/>
  <c r="L217" i="26"/>
  <c r="J217" i="26"/>
  <c r="M221" i="26"/>
  <c r="L221" i="26"/>
  <c r="J221" i="26"/>
  <c r="M225" i="26"/>
  <c r="L225" i="26"/>
  <c r="J225" i="26"/>
  <c r="K227" i="26"/>
  <c r="L226" i="26"/>
  <c r="L227" i="26"/>
  <c r="H212" i="25" l="1"/>
  <c r="H211" i="25"/>
  <c r="H208" i="26" s="1"/>
  <c r="H210" i="25"/>
  <c r="H207" i="26" s="1"/>
  <c r="L207" i="26" s="1"/>
  <c r="H209" i="25"/>
  <c r="H206" i="26" s="1"/>
  <c r="H208" i="25"/>
  <c r="H207" i="25"/>
  <c r="H206" i="25"/>
  <c r="H203" i="26" s="1"/>
  <c r="H205" i="25"/>
  <c r="H202" i="26" s="1"/>
  <c r="H204" i="25"/>
  <c r="H203" i="25"/>
  <c r="H200" i="26" s="1"/>
  <c r="H202" i="25"/>
  <c r="H199" i="26" s="1"/>
  <c r="L199" i="26" s="1"/>
  <c r="H201" i="25"/>
  <c r="H198" i="26" s="1"/>
  <c r="H200" i="25"/>
  <c r="H199" i="25"/>
  <c r="H198" i="25"/>
  <c r="H195" i="26" s="1"/>
  <c r="H197" i="25"/>
  <c r="H194" i="26" s="1"/>
  <c r="H196" i="25"/>
  <c r="H195" i="25"/>
  <c r="H194" i="25"/>
  <c r="H191" i="26" s="1"/>
  <c r="H193" i="25"/>
  <c r="H190" i="26" s="1"/>
  <c r="H192" i="25"/>
  <c r="H191" i="25"/>
  <c r="H190" i="25"/>
  <c r="H187" i="26" s="1"/>
  <c r="H189" i="25"/>
  <c r="H186" i="26" s="1"/>
  <c r="H188" i="25"/>
  <c r="H187" i="25"/>
  <c r="H186" i="25"/>
  <c r="H183" i="26" s="1"/>
  <c r="H185" i="25"/>
  <c r="H182" i="26" s="1"/>
  <c r="H184" i="25"/>
  <c r="H183" i="25"/>
  <c r="H182" i="25"/>
  <c r="H179" i="26" s="1"/>
  <c r="H181" i="25"/>
  <c r="H178" i="26" s="1"/>
  <c r="H180" i="25"/>
  <c r="H179" i="25"/>
  <c r="H178" i="25"/>
  <c r="H175" i="26" s="1"/>
  <c r="H177" i="25"/>
  <c r="H174" i="26" s="1"/>
  <c r="H176" i="25"/>
  <c r="H175" i="25"/>
  <c r="H174" i="25"/>
  <c r="H171" i="26" s="1"/>
  <c r="H173" i="25"/>
  <c r="H170" i="26" s="1"/>
  <c r="H172" i="25"/>
  <c r="H171" i="25"/>
  <c r="H170" i="25"/>
  <c r="H167" i="26" s="1"/>
  <c r="H169" i="25"/>
  <c r="H166" i="26" s="1"/>
  <c r="H168" i="25"/>
  <c r="H167" i="25"/>
  <c r="H166" i="25"/>
  <c r="H163" i="26" s="1"/>
  <c r="H165" i="25"/>
  <c r="H162" i="26" s="1"/>
  <c r="H164" i="25"/>
  <c r="H163" i="25"/>
  <c r="H162" i="25"/>
  <c r="H159" i="26" s="1"/>
  <c r="H161" i="25"/>
  <c r="H158" i="26" s="1"/>
  <c r="H160" i="25"/>
  <c r="H159" i="25"/>
  <c r="H158" i="25"/>
  <c r="H155" i="26" s="1"/>
  <c r="H157" i="25"/>
  <c r="H154" i="26" s="1"/>
  <c r="H156" i="25"/>
  <c r="H155" i="25"/>
  <c r="H154" i="25"/>
  <c r="H151" i="26" s="1"/>
  <c r="H153" i="25"/>
  <c r="H150" i="26" s="1"/>
  <c r="H152" i="25"/>
  <c r="H151" i="25"/>
  <c r="H148" i="26"/>
  <c r="H209" i="26"/>
  <c r="G209" i="26"/>
  <c r="F209" i="26"/>
  <c r="E209" i="26"/>
  <c r="L209" i="26" s="1"/>
  <c r="D209" i="26"/>
  <c r="C209" i="26"/>
  <c r="B209" i="26"/>
  <c r="A209" i="26"/>
  <c r="K209" i="26" s="1"/>
  <c r="G208" i="26"/>
  <c r="F208" i="26"/>
  <c r="E208" i="26"/>
  <c r="M208" i="26" s="1"/>
  <c r="D208" i="26"/>
  <c r="C208" i="26"/>
  <c r="B208" i="26"/>
  <c r="A208" i="26"/>
  <c r="J208" i="26" s="1"/>
  <c r="G207" i="26"/>
  <c r="F207" i="26"/>
  <c r="E207" i="26"/>
  <c r="M207" i="26" s="1"/>
  <c r="D207" i="26"/>
  <c r="C207" i="26"/>
  <c r="B207" i="26"/>
  <c r="A207" i="26"/>
  <c r="J207" i="26" s="1"/>
  <c r="G206" i="26"/>
  <c r="F206" i="26"/>
  <c r="E206" i="26"/>
  <c r="L206" i="26" s="1"/>
  <c r="D206" i="26"/>
  <c r="C206" i="26"/>
  <c r="B206" i="26"/>
  <c r="A206" i="26"/>
  <c r="J206" i="26" s="1"/>
  <c r="H205" i="26"/>
  <c r="G205" i="26"/>
  <c r="F205" i="26"/>
  <c r="E205" i="26"/>
  <c r="L205" i="26" s="1"/>
  <c r="D205" i="26"/>
  <c r="C205" i="26"/>
  <c r="B205" i="26"/>
  <c r="A205" i="26"/>
  <c r="J205" i="26" s="1"/>
  <c r="H204" i="26"/>
  <c r="G204" i="26"/>
  <c r="F204" i="26"/>
  <c r="E204" i="26"/>
  <c r="M204" i="26" s="1"/>
  <c r="D204" i="26"/>
  <c r="C204" i="26"/>
  <c r="B204" i="26"/>
  <c r="A204" i="26"/>
  <c r="J204" i="26" s="1"/>
  <c r="G203" i="26"/>
  <c r="F203" i="26"/>
  <c r="E203" i="26"/>
  <c r="M203" i="26" s="1"/>
  <c r="D203" i="26"/>
  <c r="C203" i="26"/>
  <c r="B203" i="26"/>
  <c r="A203" i="26"/>
  <c r="J203" i="26" s="1"/>
  <c r="G202" i="26"/>
  <c r="F202" i="26"/>
  <c r="E202" i="26"/>
  <c r="M202" i="26" s="1"/>
  <c r="D202" i="26"/>
  <c r="C202" i="26"/>
  <c r="B202" i="26"/>
  <c r="A202" i="26"/>
  <c r="J202" i="26" s="1"/>
  <c r="H201" i="26"/>
  <c r="G201" i="26"/>
  <c r="F201" i="26"/>
  <c r="E201" i="26"/>
  <c r="D201" i="26"/>
  <c r="C201" i="26"/>
  <c r="B201" i="26"/>
  <c r="A201" i="26"/>
  <c r="J201" i="26" s="1"/>
  <c r="G200" i="26"/>
  <c r="F200" i="26"/>
  <c r="E200" i="26"/>
  <c r="D200" i="26"/>
  <c r="C200" i="26"/>
  <c r="B200" i="26"/>
  <c r="A200" i="26"/>
  <c r="J200" i="26" s="1"/>
  <c r="G199" i="26"/>
  <c r="F199" i="26"/>
  <c r="E199" i="26"/>
  <c r="D199" i="26"/>
  <c r="C199" i="26"/>
  <c r="B199" i="26"/>
  <c r="A199" i="26"/>
  <c r="J199" i="26" s="1"/>
  <c r="G198" i="26"/>
  <c r="F198" i="26"/>
  <c r="E198" i="26"/>
  <c r="M198" i="26" s="1"/>
  <c r="D198" i="26"/>
  <c r="C198" i="26"/>
  <c r="B198" i="26"/>
  <c r="A198" i="26"/>
  <c r="J198" i="26" s="1"/>
  <c r="H197" i="26"/>
  <c r="G197" i="26"/>
  <c r="F197" i="26"/>
  <c r="E197" i="26"/>
  <c r="M197" i="26" s="1"/>
  <c r="D197" i="26"/>
  <c r="C197" i="26"/>
  <c r="B197" i="26"/>
  <c r="A197" i="26"/>
  <c r="J197" i="26" s="1"/>
  <c r="H196" i="26"/>
  <c r="G196" i="26"/>
  <c r="F196" i="26"/>
  <c r="E196" i="26"/>
  <c r="M196" i="26" s="1"/>
  <c r="D196" i="26"/>
  <c r="C196" i="26"/>
  <c r="B196" i="26"/>
  <c r="A196" i="26"/>
  <c r="J196" i="26" s="1"/>
  <c r="G195" i="26"/>
  <c r="F195" i="26"/>
  <c r="E195" i="26"/>
  <c r="D195" i="26"/>
  <c r="C195" i="26"/>
  <c r="B195" i="26"/>
  <c r="A195" i="26"/>
  <c r="K195" i="26" s="1"/>
  <c r="G194" i="26"/>
  <c r="F194" i="26"/>
  <c r="E194" i="26"/>
  <c r="L194" i="26" s="1"/>
  <c r="D194" i="26"/>
  <c r="C194" i="26"/>
  <c r="B194" i="26"/>
  <c r="A194" i="26"/>
  <c r="K194" i="26" s="1"/>
  <c r="H193" i="26"/>
  <c r="G193" i="26"/>
  <c r="F193" i="26"/>
  <c r="E193" i="26"/>
  <c r="L193" i="26" s="1"/>
  <c r="D193" i="26"/>
  <c r="C193" i="26"/>
  <c r="B193" i="26"/>
  <c r="A193" i="26"/>
  <c r="K193" i="26" s="1"/>
  <c r="H192" i="26"/>
  <c r="G192" i="26"/>
  <c r="F192" i="26"/>
  <c r="E192" i="26"/>
  <c r="D192" i="26"/>
  <c r="C192" i="26"/>
  <c r="B192" i="26"/>
  <c r="A192" i="26"/>
  <c r="K192" i="26" s="1"/>
  <c r="G191" i="26"/>
  <c r="F191" i="26"/>
  <c r="E191" i="26"/>
  <c r="D191" i="26"/>
  <c r="C191" i="26"/>
  <c r="B191" i="26"/>
  <c r="A191" i="26"/>
  <c r="K191" i="26" s="1"/>
  <c r="G190" i="26"/>
  <c r="F190" i="26"/>
  <c r="E190" i="26"/>
  <c r="L190" i="26" s="1"/>
  <c r="D190" i="26"/>
  <c r="C190" i="26"/>
  <c r="B190" i="26"/>
  <c r="A190" i="26"/>
  <c r="K190" i="26" s="1"/>
  <c r="H189" i="26"/>
  <c r="G189" i="26"/>
  <c r="F189" i="26"/>
  <c r="E189" i="26"/>
  <c r="D189" i="26"/>
  <c r="C189" i="26"/>
  <c r="B189" i="26"/>
  <c r="A189" i="26"/>
  <c r="J189" i="26" s="1"/>
  <c r="H188" i="26"/>
  <c r="G188" i="26"/>
  <c r="F188" i="26"/>
  <c r="E188" i="26"/>
  <c r="D188" i="26"/>
  <c r="C188" i="26"/>
  <c r="B188" i="26"/>
  <c r="A188" i="26"/>
  <c r="K188" i="26" s="1"/>
  <c r="G187" i="26"/>
  <c r="F187" i="26"/>
  <c r="E187" i="26"/>
  <c r="L187" i="26" s="1"/>
  <c r="D187" i="26"/>
  <c r="C187" i="26"/>
  <c r="B187" i="26"/>
  <c r="A187" i="26"/>
  <c r="K187" i="26" s="1"/>
  <c r="G186" i="26"/>
  <c r="F186" i="26"/>
  <c r="E186" i="26"/>
  <c r="L186" i="26" s="1"/>
  <c r="D186" i="26"/>
  <c r="C186" i="26"/>
  <c r="B186" i="26"/>
  <c r="A186" i="26"/>
  <c r="J186" i="26" s="1"/>
  <c r="H185" i="26"/>
  <c r="G185" i="26"/>
  <c r="F185" i="26"/>
  <c r="E185" i="26"/>
  <c r="L185" i="26" s="1"/>
  <c r="D185" i="26"/>
  <c r="C185" i="26"/>
  <c r="B185" i="26"/>
  <c r="A185" i="26"/>
  <c r="K185" i="26" s="1"/>
  <c r="H184" i="26"/>
  <c r="G184" i="26"/>
  <c r="F184" i="26"/>
  <c r="E184" i="26"/>
  <c r="L184" i="26" s="1"/>
  <c r="D184" i="26"/>
  <c r="C184" i="26"/>
  <c r="B184" i="26"/>
  <c r="A184" i="26"/>
  <c r="J184" i="26" s="1"/>
  <c r="G183" i="26"/>
  <c r="F183" i="26"/>
  <c r="E183" i="26"/>
  <c r="D183" i="26"/>
  <c r="C183" i="26"/>
  <c r="B183" i="26"/>
  <c r="A183" i="26"/>
  <c r="K183" i="26" s="1"/>
  <c r="G182" i="26"/>
  <c r="F182" i="26"/>
  <c r="E182" i="26"/>
  <c r="D182" i="26"/>
  <c r="C182" i="26"/>
  <c r="B182" i="26"/>
  <c r="A182" i="26"/>
  <c r="J182" i="26" s="1"/>
  <c r="H181" i="26"/>
  <c r="G181" i="26"/>
  <c r="F181" i="26"/>
  <c r="E181" i="26"/>
  <c r="D181" i="26"/>
  <c r="C181" i="26"/>
  <c r="B181" i="26"/>
  <c r="A181" i="26"/>
  <c r="K181" i="26" s="1"/>
  <c r="H180" i="26"/>
  <c r="G180" i="26"/>
  <c r="F180" i="26"/>
  <c r="E180" i="26"/>
  <c r="D180" i="26"/>
  <c r="C180" i="26"/>
  <c r="B180" i="26"/>
  <c r="A180" i="26"/>
  <c r="J180" i="26" s="1"/>
  <c r="G179" i="26"/>
  <c r="F179" i="26"/>
  <c r="E179" i="26"/>
  <c r="D179" i="26"/>
  <c r="C179" i="26"/>
  <c r="B179" i="26"/>
  <c r="A179" i="26"/>
  <c r="K179" i="26" s="1"/>
  <c r="G178" i="26"/>
  <c r="F178" i="26"/>
  <c r="E178" i="26"/>
  <c r="D178" i="26"/>
  <c r="C178" i="26"/>
  <c r="B178" i="26"/>
  <c r="A178" i="26"/>
  <c r="J178" i="26" s="1"/>
  <c r="H177" i="26"/>
  <c r="G177" i="26"/>
  <c r="F177" i="26"/>
  <c r="E177" i="26"/>
  <c r="L177" i="26" s="1"/>
  <c r="D177" i="26"/>
  <c r="C177" i="26"/>
  <c r="B177" i="26"/>
  <c r="A177" i="26"/>
  <c r="K177" i="26" s="1"/>
  <c r="H176" i="26"/>
  <c r="G176" i="26"/>
  <c r="F176" i="26"/>
  <c r="E176" i="26"/>
  <c r="L176" i="26" s="1"/>
  <c r="D176" i="26"/>
  <c r="C176" i="26"/>
  <c r="B176" i="26"/>
  <c r="A176" i="26"/>
  <c r="J176" i="26" s="1"/>
  <c r="G175" i="26"/>
  <c r="F175" i="26"/>
  <c r="E175" i="26"/>
  <c r="D175" i="26"/>
  <c r="C175" i="26"/>
  <c r="B175" i="26"/>
  <c r="A175" i="26"/>
  <c r="K175" i="26" s="1"/>
  <c r="G174" i="26"/>
  <c r="F174" i="26"/>
  <c r="E174" i="26"/>
  <c r="D174" i="26"/>
  <c r="C174" i="26"/>
  <c r="B174" i="26"/>
  <c r="A174" i="26"/>
  <c r="J174" i="26" s="1"/>
  <c r="H173" i="26"/>
  <c r="G173" i="26"/>
  <c r="F173" i="26"/>
  <c r="E173" i="26"/>
  <c r="D173" i="26"/>
  <c r="C173" i="26"/>
  <c r="B173" i="26"/>
  <c r="A173" i="26"/>
  <c r="K173" i="26" s="1"/>
  <c r="H172" i="26"/>
  <c r="G172" i="26"/>
  <c r="F172" i="26"/>
  <c r="E172" i="26"/>
  <c r="D172" i="26"/>
  <c r="C172" i="26"/>
  <c r="B172" i="26"/>
  <c r="A172" i="26"/>
  <c r="K172" i="26" s="1"/>
  <c r="G171" i="26"/>
  <c r="F171" i="26"/>
  <c r="E171" i="26"/>
  <c r="L171" i="26" s="1"/>
  <c r="D171" i="26"/>
  <c r="C171" i="26"/>
  <c r="B171" i="26"/>
  <c r="A171" i="26"/>
  <c r="K171" i="26" s="1"/>
  <c r="G170" i="26"/>
  <c r="F170" i="26"/>
  <c r="E170" i="26"/>
  <c r="L170" i="26" s="1"/>
  <c r="D170" i="26"/>
  <c r="C170" i="26"/>
  <c r="B170" i="26"/>
  <c r="A170" i="26"/>
  <c r="K170" i="26" s="1"/>
  <c r="H169" i="26"/>
  <c r="G169" i="26"/>
  <c r="F169" i="26"/>
  <c r="E169" i="26"/>
  <c r="D169" i="26"/>
  <c r="C169" i="26"/>
  <c r="B169" i="26"/>
  <c r="A169" i="26"/>
  <c r="K169" i="26" s="1"/>
  <c r="H168" i="26"/>
  <c r="G168" i="26"/>
  <c r="F168" i="26"/>
  <c r="E168" i="26"/>
  <c r="D168" i="26"/>
  <c r="C168" i="26"/>
  <c r="B168" i="26"/>
  <c r="A168" i="26"/>
  <c r="K168" i="26" s="1"/>
  <c r="G167" i="26"/>
  <c r="F167" i="26"/>
  <c r="E167" i="26"/>
  <c r="D167" i="26"/>
  <c r="C167" i="26"/>
  <c r="B167" i="26"/>
  <c r="A167" i="26"/>
  <c r="K167" i="26" s="1"/>
  <c r="G166" i="26"/>
  <c r="F166" i="26"/>
  <c r="E166" i="26"/>
  <c r="D166" i="26"/>
  <c r="C166" i="26"/>
  <c r="B166" i="26"/>
  <c r="A166" i="26"/>
  <c r="J166" i="26" s="1"/>
  <c r="H165" i="26"/>
  <c r="G165" i="26"/>
  <c r="F165" i="26"/>
  <c r="E165" i="26"/>
  <c r="L165" i="26" s="1"/>
  <c r="D165" i="26"/>
  <c r="C165" i="26"/>
  <c r="B165" i="26"/>
  <c r="A165" i="26"/>
  <c r="K165" i="26" s="1"/>
  <c r="H164" i="26"/>
  <c r="G164" i="26"/>
  <c r="F164" i="26"/>
  <c r="E164" i="26"/>
  <c r="L164" i="26" s="1"/>
  <c r="D164" i="26"/>
  <c r="C164" i="26"/>
  <c r="B164" i="26"/>
  <c r="A164" i="26"/>
  <c r="J164" i="26" s="1"/>
  <c r="G163" i="26"/>
  <c r="F163" i="26"/>
  <c r="E163" i="26"/>
  <c r="D163" i="26"/>
  <c r="C163" i="26"/>
  <c r="B163" i="26"/>
  <c r="A163" i="26"/>
  <c r="K163" i="26" s="1"/>
  <c r="G162" i="26"/>
  <c r="F162" i="26"/>
  <c r="E162" i="26"/>
  <c r="D162" i="26"/>
  <c r="C162" i="26"/>
  <c r="B162" i="26"/>
  <c r="A162" i="26"/>
  <c r="K162" i="26" s="1"/>
  <c r="H161" i="26"/>
  <c r="G161" i="26"/>
  <c r="F161" i="26"/>
  <c r="E161" i="26"/>
  <c r="L161" i="26" s="1"/>
  <c r="D161" i="26"/>
  <c r="C161" i="26"/>
  <c r="B161" i="26"/>
  <c r="A161" i="26"/>
  <c r="K161" i="26" s="1"/>
  <c r="H160" i="26"/>
  <c r="G160" i="26"/>
  <c r="F160" i="26"/>
  <c r="E160" i="26"/>
  <c r="L160" i="26" s="1"/>
  <c r="D160" i="26"/>
  <c r="C160" i="26"/>
  <c r="B160" i="26"/>
  <c r="A160" i="26"/>
  <c r="K160" i="26" s="1"/>
  <c r="G159" i="26"/>
  <c r="F159" i="26"/>
  <c r="E159" i="26"/>
  <c r="L159" i="26" s="1"/>
  <c r="D159" i="26"/>
  <c r="C159" i="26"/>
  <c r="B159" i="26"/>
  <c r="A159" i="26"/>
  <c r="K159" i="26" s="1"/>
  <c r="G158" i="26"/>
  <c r="F158" i="26"/>
  <c r="E158" i="26"/>
  <c r="L158" i="26" s="1"/>
  <c r="D158" i="26"/>
  <c r="C158" i="26"/>
  <c r="B158" i="26"/>
  <c r="A158" i="26"/>
  <c r="J158" i="26" s="1"/>
  <c r="H157" i="26"/>
  <c r="G157" i="26"/>
  <c r="F157" i="26"/>
  <c r="E157" i="26"/>
  <c r="D157" i="26"/>
  <c r="C157" i="26"/>
  <c r="B157" i="26"/>
  <c r="A157" i="26"/>
  <c r="K157" i="26" s="1"/>
  <c r="H156" i="26"/>
  <c r="G156" i="26"/>
  <c r="F156" i="26"/>
  <c r="E156" i="26"/>
  <c r="D156" i="26"/>
  <c r="C156" i="26"/>
  <c r="B156" i="26"/>
  <c r="A156" i="26"/>
  <c r="K156" i="26" s="1"/>
  <c r="G155" i="26"/>
  <c r="F155" i="26"/>
  <c r="E155" i="26"/>
  <c r="D155" i="26"/>
  <c r="C155" i="26"/>
  <c r="B155" i="26"/>
  <c r="A155" i="26"/>
  <c r="K155" i="26" s="1"/>
  <c r="G154" i="26"/>
  <c r="F154" i="26"/>
  <c r="E154" i="26"/>
  <c r="D154" i="26"/>
  <c r="C154" i="26"/>
  <c r="B154" i="26"/>
  <c r="A154" i="26"/>
  <c r="K154" i="26" s="1"/>
  <c r="H153" i="26"/>
  <c r="G153" i="26"/>
  <c r="F153" i="26"/>
  <c r="E153" i="26"/>
  <c r="D153" i="26"/>
  <c r="C153" i="26"/>
  <c r="B153" i="26"/>
  <c r="A153" i="26"/>
  <c r="K153" i="26" s="1"/>
  <c r="H152" i="26"/>
  <c r="G152" i="26"/>
  <c r="F152" i="26"/>
  <c r="E152" i="26"/>
  <c r="D152" i="26"/>
  <c r="C152" i="26"/>
  <c r="B152" i="26"/>
  <c r="A152" i="26"/>
  <c r="J152" i="26" s="1"/>
  <c r="G151" i="26"/>
  <c r="F151" i="26"/>
  <c r="E151" i="26"/>
  <c r="D151" i="26"/>
  <c r="C151" i="26"/>
  <c r="B151" i="26"/>
  <c r="A151" i="26"/>
  <c r="K151" i="26" s="1"/>
  <c r="G150" i="26"/>
  <c r="F150" i="26"/>
  <c r="E150" i="26"/>
  <c r="D150" i="26"/>
  <c r="C150" i="26"/>
  <c r="B150" i="26"/>
  <c r="A150" i="26"/>
  <c r="K150" i="26" s="1"/>
  <c r="H149" i="26"/>
  <c r="G149" i="26"/>
  <c r="F149" i="26"/>
  <c r="E149" i="26"/>
  <c r="D149" i="26"/>
  <c r="C149" i="26"/>
  <c r="B149" i="26"/>
  <c r="A149" i="26"/>
  <c r="K149" i="26" s="1"/>
  <c r="G148" i="26"/>
  <c r="F148" i="26"/>
  <c r="E148" i="26"/>
  <c r="D148" i="26"/>
  <c r="C148" i="26"/>
  <c r="B148" i="26"/>
  <c r="A148" i="26"/>
  <c r="K148" i="26" s="1"/>
  <c r="F10" i="27"/>
  <c r="H150" i="25"/>
  <c r="H149" i="25"/>
  <c r="H148" i="25"/>
  <c r="H147" i="25"/>
  <c r="H146" i="25"/>
  <c r="H145" i="25"/>
  <c r="H144" i="25"/>
  <c r="H143" i="25"/>
  <c r="H142" i="25"/>
  <c r="H141" i="25"/>
  <c r="H140" i="25"/>
  <c r="H139" i="25"/>
  <c r="H138" i="25"/>
  <c r="H137" i="25"/>
  <c r="H136" i="25"/>
  <c r="H135" i="25"/>
  <c r="H134" i="25"/>
  <c r="H133" i="25"/>
  <c r="H132" i="25"/>
  <c r="H131" i="25"/>
  <c r="H130" i="25"/>
  <c r="H129" i="25"/>
  <c r="H128" i="25"/>
  <c r="H127" i="25"/>
  <c r="H126" i="25"/>
  <c r="H125" i="25"/>
  <c r="H122" i="26" s="1"/>
  <c r="H124" i="25"/>
  <c r="H121" i="26" s="1"/>
  <c r="L148" i="26" l="1"/>
  <c r="L157" i="26"/>
  <c r="L173" i="26"/>
  <c r="L188" i="26"/>
  <c r="L189" i="26"/>
  <c r="L191" i="26"/>
  <c r="L195" i="26"/>
  <c r="M199" i="26"/>
  <c r="M200" i="26"/>
  <c r="L201" i="26"/>
  <c r="J209" i="26"/>
  <c r="L204" i="26"/>
  <c r="L169" i="26"/>
  <c r="M201" i="26"/>
  <c r="L153" i="26"/>
  <c r="L149" i="26"/>
  <c r="L181" i="26"/>
  <c r="L197" i="26"/>
  <c r="L198" i="26"/>
  <c r="M206" i="26"/>
  <c r="L150" i="26"/>
  <c r="M205" i="26"/>
  <c r="M209" i="26"/>
  <c r="L154" i="26"/>
  <c r="L162" i="26"/>
  <c r="L166" i="26"/>
  <c r="L174" i="26"/>
  <c r="L178" i="26"/>
  <c r="L182" i="26"/>
  <c r="M154" i="26"/>
  <c r="M158" i="26"/>
  <c r="K202" i="26"/>
  <c r="L151" i="26"/>
  <c r="L155" i="26"/>
  <c r="M155" i="26"/>
  <c r="M159" i="26"/>
  <c r="L163" i="26"/>
  <c r="M163" i="26"/>
  <c r="L167" i="26"/>
  <c r="M167" i="26"/>
  <c r="M171" i="26"/>
  <c r="L175" i="26"/>
  <c r="M175" i="26"/>
  <c r="L179" i="26"/>
  <c r="M179" i="26"/>
  <c r="L183" i="26"/>
  <c r="M183" i="26"/>
  <c r="M187" i="26"/>
  <c r="L192" i="26"/>
  <c r="M192" i="26"/>
  <c r="K199" i="26"/>
  <c r="K201" i="26"/>
  <c r="L202" i="26"/>
  <c r="K204" i="26"/>
  <c r="K207" i="26"/>
  <c r="M174" i="26"/>
  <c r="M191" i="26"/>
  <c r="M151" i="26"/>
  <c r="M148" i="26"/>
  <c r="L152" i="26"/>
  <c r="M152" i="26"/>
  <c r="L156" i="26"/>
  <c r="M156" i="26"/>
  <c r="M160" i="26"/>
  <c r="M164" i="26"/>
  <c r="L168" i="26"/>
  <c r="M168" i="26"/>
  <c r="L172" i="26"/>
  <c r="M172" i="26"/>
  <c r="M176" i="26"/>
  <c r="L180" i="26"/>
  <c r="M180" i="26"/>
  <c r="M184" i="26"/>
  <c r="M188" i="26"/>
  <c r="M193" i="26"/>
  <c r="M194" i="26"/>
  <c r="M195" i="26"/>
  <c r="K198" i="26"/>
  <c r="L200" i="26"/>
  <c r="L203" i="26"/>
  <c r="K206" i="26"/>
  <c r="L208" i="26"/>
  <c r="M150" i="26"/>
  <c r="M162" i="26"/>
  <c r="M166" i="26"/>
  <c r="M170" i="26"/>
  <c r="M178" i="26"/>
  <c r="M182" i="26"/>
  <c r="M186" i="26"/>
  <c r="M149" i="26"/>
  <c r="M153" i="26"/>
  <c r="M157" i="26"/>
  <c r="M161" i="26"/>
  <c r="M165" i="26"/>
  <c r="M169" i="26"/>
  <c r="M173" i="26"/>
  <c r="M177" i="26"/>
  <c r="M181" i="26"/>
  <c r="M185" i="26"/>
  <c r="M189" i="26"/>
  <c r="M190" i="26"/>
  <c r="K197" i="26"/>
  <c r="K200" i="26"/>
  <c r="K203" i="26"/>
  <c r="K205" i="26"/>
  <c r="K208" i="26"/>
  <c r="J148" i="26"/>
  <c r="J150" i="26"/>
  <c r="J151" i="26"/>
  <c r="J153" i="26"/>
  <c r="J154" i="26"/>
  <c r="J155" i="26"/>
  <c r="J156" i="26"/>
  <c r="J157" i="26"/>
  <c r="J159" i="26"/>
  <c r="J160" i="26"/>
  <c r="J162" i="26"/>
  <c r="J167" i="26"/>
  <c r="J168" i="26"/>
  <c r="J169" i="26"/>
  <c r="J170" i="26"/>
  <c r="J171" i="26"/>
  <c r="J172" i="26"/>
  <c r="K152" i="26"/>
  <c r="K158" i="26"/>
  <c r="K164" i="26"/>
  <c r="K166" i="26"/>
  <c r="K174" i="26"/>
  <c r="K176" i="26"/>
  <c r="K178" i="26"/>
  <c r="K180" i="26"/>
  <c r="K182" i="26"/>
  <c r="K184" i="26"/>
  <c r="K186" i="26"/>
  <c r="K189" i="26"/>
  <c r="J149" i="26"/>
  <c r="J161" i="26"/>
  <c r="J163" i="26"/>
  <c r="J165" i="26"/>
  <c r="J173" i="26"/>
  <c r="J175" i="26"/>
  <c r="J177" i="26"/>
  <c r="J179" i="26"/>
  <c r="J181" i="26"/>
  <c r="J183" i="26"/>
  <c r="J185" i="26"/>
  <c r="J187" i="26"/>
  <c r="J188" i="26"/>
  <c r="J190" i="26"/>
  <c r="J191" i="26"/>
  <c r="J192" i="26"/>
  <c r="J193" i="26"/>
  <c r="J194" i="26"/>
  <c r="J195" i="26"/>
  <c r="K196" i="26"/>
  <c r="L196" i="26"/>
  <c r="H147" i="26"/>
  <c r="G147" i="26"/>
  <c r="F147" i="26"/>
  <c r="E147" i="26"/>
  <c r="M147" i="26" s="1"/>
  <c r="D147" i="26"/>
  <c r="C147" i="26"/>
  <c r="B147" i="26"/>
  <c r="A147" i="26"/>
  <c r="J147" i="26" s="1"/>
  <c r="H146" i="26"/>
  <c r="G146" i="26"/>
  <c r="F146" i="26"/>
  <c r="E146" i="26"/>
  <c r="M146" i="26" s="1"/>
  <c r="D146" i="26"/>
  <c r="C146" i="26"/>
  <c r="B146" i="26"/>
  <c r="A146" i="26"/>
  <c r="J146" i="26" s="1"/>
  <c r="H145" i="26"/>
  <c r="G145" i="26"/>
  <c r="F145" i="26"/>
  <c r="E145" i="26"/>
  <c r="D145" i="26"/>
  <c r="C145" i="26"/>
  <c r="B145" i="26"/>
  <c r="A145" i="26"/>
  <c r="J145" i="26" s="1"/>
  <c r="H144" i="26"/>
  <c r="G144" i="26"/>
  <c r="F144" i="26"/>
  <c r="E144" i="26"/>
  <c r="D144" i="26"/>
  <c r="C144" i="26"/>
  <c r="B144" i="26"/>
  <c r="A144" i="26"/>
  <c r="J144" i="26" s="1"/>
  <c r="H143" i="26"/>
  <c r="G143" i="26"/>
  <c r="F143" i="26"/>
  <c r="E143" i="26"/>
  <c r="D143" i="26"/>
  <c r="C143" i="26"/>
  <c r="B143" i="26"/>
  <c r="A143" i="26"/>
  <c r="J143" i="26" s="1"/>
  <c r="H142" i="26"/>
  <c r="G142" i="26"/>
  <c r="F142" i="26"/>
  <c r="E142" i="26"/>
  <c r="M142" i="26" s="1"/>
  <c r="D142" i="26"/>
  <c r="C142" i="26"/>
  <c r="B142" i="26"/>
  <c r="A142" i="26"/>
  <c r="J142" i="26" s="1"/>
  <c r="H141" i="26"/>
  <c r="G141" i="26"/>
  <c r="F141" i="26"/>
  <c r="E141" i="26"/>
  <c r="M141" i="26" s="1"/>
  <c r="D141" i="26"/>
  <c r="C141" i="26"/>
  <c r="B141" i="26"/>
  <c r="A141" i="26"/>
  <c r="J141" i="26" s="1"/>
  <c r="H140" i="26"/>
  <c r="G140" i="26"/>
  <c r="F140" i="26"/>
  <c r="E140" i="26"/>
  <c r="M140" i="26" s="1"/>
  <c r="D140" i="26"/>
  <c r="C140" i="26"/>
  <c r="B140" i="26"/>
  <c r="A140" i="26"/>
  <c r="J140" i="26" s="1"/>
  <c r="H139" i="26"/>
  <c r="G139" i="26"/>
  <c r="F139" i="26"/>
  <c r="E139" i="26"/>
  <c r="M139" i="26" s="1"/>
  <c r="D139" i="26"/>
  <c r="C139" i="26"/>
  <c r="B139" i="26"/>
  <c r="A139" i="26"/>
  <c r="J139" i="26" s="1"/>
  <c r="H138" i="26"/>
  <c r="G138" i="26"/>
  <c r="F138" i="26"/>
  <c r="E138" i="26"/>
  <c r="M138" i="26" s="1"/>
  <c r="D138" i="26"/>
  <c r="C138" i="26"/>
  <c r="B138" i="26"/>
  <c r="A138" i="26"/>
  <c r="J138" i="26" s="1"/>
  <c r="H137" i="26"/>
  <c r="G137" i="26"/>
  <c r="F137" i="26"/>
  <c r="E137" i="26"/>
  <c r="M137" i="26" s="1"/>
  <c r="D137" i="26"/>
  <c r="C137" i="26"/>
  <c r="B137" i="26"/>
  <c r="A137" i="26"/>
  <c r="J137" i="26" s="1"/>
  <c r="H136" i="26"/>
  <c r="G136" i="26"/>
  <c r="F136" i="26"/>
  <c r="E136" i="26"/>
  <c r="D136" i="26"/>
  <c r="C136" i="26"/>
  <c r="B136" i="26"/>
  <c r="A136" i="26"/>
  <c r="J136" i="26" s="1"/>
  <c r="H135" i="26"/>
  <c r="G135" i="26"/>
  <c r="F135" i="26"/>
  <c r="E135" i="26"/>
  <c r="D135" i="26"/>
  <c r="C135" i="26"/>
  <c r="B135" i="26"/>
  <c r="A135" i="26"/>
  <c r="J135" i="26" s="1"/>
  <c r="H134" i="26"/>
  <c r="G134" i="26"/>
  <c r="F134" i="26"/>
  <c r="E134" i="26"/>
  <c r="M134" i="26" s="1"/>
  <c r="D134" i="26"/>
  <c r="C134" i="26"/>
  <c r="B134" i="26"/>
  <c r="A134" i="26"/>
  <c r="J134" i="26" s="1"/>
  <c r="H133" i="26"/>
  <c r="G133" i="26"/>
  <c r="F133" i="26"/>
  <c r="E133" i="26"/>
  <c r="M133" i="26" s="1"/>
  <c r="D133" i="26"/>
  <c r="C133" i="26"/>
  <c r="B133" i="26"/>
  <c r="A133" i="26"/>
  <c r="J133" i="26" s="1"/>
  <c r="H132" i="26"/>
  <c r="G132" i="26"/>
  <c r="F132" i="26"/>
  <c r="E132" i="26"/>
  <c r="M132" i="26" s="1"/>
  <c r="D132" i="26"/>
  <c r="C132" i="26"/>
  <c r="B132" i="26"/>
  <c r="A132" i="26"/>
  <c r="J132" i="26" s="1"/>
  <c r="H131" i="26"/>
  <c r="G131" i="26"/>
  <c r="F131" i="26"/>
  <c r="E131" i="26"/>
  <c r="M131" i="26" s="1"/>
  <c r="D131" i="26"/>
  <c r="C131" i="26"/>
  <c r="B131" i="26"/>
  <c r="A131" i="26"/>
  <c r="J131" i="26" s="1"/>
  <c r="H130" i="26"/>
  <c r="G130" i="26"/>
  <c r="F130" i="26"/>
  <c r="E130" i="26"/>
  <c r="M130" i="26" s="1"/>
  <c r="D130" i="26"/>
  <c r="C130" i="26"/>
  <c r="B130" i="26"/>
  <c r="A130" i="26"/>
  <c r="J130" i="26" s="1"/>
  <c r="H129" i="26"/>
  <c r="G129" i="26"/>
  <c r="F129" i="26"/>
  <c r="E129" i="26"/>
  <c r="M129" i="26" s="1"/>
  <c r="D129" i="26"/>
  <c r="C129" i="26"/>
  <c r="B129" i="26"/>
  <c r="A129" i="26"/>
  <c r="J129" i="26" s="1"/>
  <c r="H128" i="26"/>
  <c r="G128" i="26"/>
  <c r="F128" i="26"/>
  <c r="E128" i="26"/>
  <c r="M128" i="26" s="1"/>
  <c r="D128" i="26"/>
  <c r="C128" i="26"/>
  <c r="B128" i="26"/>
  <c r="A128" i="26"/>
  <c r="J128" i="26" s="1"/>
  <c r="H127" i="26"/>
  <c r="G127" i="26"/>
  <c r="F127" i="26"/>
  <c r="E127" i="26"/>
  <c r="M127" i="26" s="1"/>
  <c r="D127" i="26"/>
  <c r="C127" i="26"/>
  <c r="B127" i="26"/>
  <c r="A127" i="26"/>
  <c r="J127" i="26" s="1"/>
  <c r="H126" i="26"/>
  <c r="G126" i="26"/>
  <c r="F126" i="26"/>
  <c r="E126" i="26"/>
  <c r="M126" i="26" s="1"/>
  <c r="D126" i="26"/>
  <c r="C126" i="26"/>
  <c r="B126" i="26"/>
  <c r="A126" i="26"/>
  <c r="J126" i="26" s="1"/>
  <c r="H125" i="26"/>
  <c r="G125" i="26"/>
  <c r="F125" i="26"/>
  <c r="E125" i="26"/>
  <c r="M125" i="26" s="1"/>
  <c r="D125" i="26"/>
  <c r="C125" i="26"/>
  <c r="B125" i="26"/>
  <c r="A125" i="26"/>
  <c r="J125" i="26" s="1"/>
  <c r="H124" i="26"/>
  <c r="G124" i="26"/>
  <c r="F124" i="26"/>
  <c r="E124" i="26"/>
  <c r="M124" i="26" s="1"/>
  <c r="D124" i="26"/>
  <c r="C124" i="26"/>
  <c r="B124" i="26"/>
  <c r="A124" i="26"/>
  <c r="J124" i="26" s="1"/>
  <c r="H123" i="26"/>
  <c r="G123" i="26"/>
  <c r="F123" i="26"/>
  <c r="E123" i="26"/>
  <c r="M123" i="26" s="1"/>
  <c r="D123" i="26"/>
  <c r="C123" i="26"/>
  <c r="B123" i="26"/>
  <c r="A123" i="26"/>
  <c r="J123" i="26" s="1"/>
  <c r="G122" i="26"/>
  <c r="F122" i="26"/>
  <c r="E122" i="26"/>
  <c r="M122" i="26" s="1"/>
  <c r="D122" i="26"/>
  <c r="C122" i="26"/>
  <c r="B122" i="26"/>
  <c r="A122" i="26"/>
  <c r="J122" i="26" s="1"/>
  <c r="L147" i="26" l="1"/>
  <c r="M136" i="26"/>
  <c r="M143" i="26"/>
  <c r="M144" i="26"/>
  <c r="M135" i="26"/>
  <c r="K128" i="26"/>
  <c r="K125" i="26"/>
  <c r="K129" i="26"/>
  <c r="K133" i="26"/>
  <c r="K137" i="26"/>
  <c r="K141" i="26"/>
  <c r="M145" i="26"/>
  <c r="K145" i="26"/>
  <c r="K132" i="26"/>
  <c r="K136" i="26"/>
  <c r="K122" i="26"/>
  <c r="K126" i="26"/>
  <c r="K130" i="26"/>
  <c r="K134" i="26"/>
  <c r="K138" i="26"/>
  <c r="K142" i="26"/>
  <c r="K146" i="26"/>
  <c r="K124" i="26"/>
  <c r="K140" i="26"/>
  <c r="K144" i="26"/>
  <c r="K123" i="26"/>
  <c r="K127" i="26"/>
  <c r="K131" i="26"/>
  <c r="K135" i="26"/>
  <c r="K139" i="26"/>
  <c r="K143" i="26"/>
  <c r="K147" i="26"/>
  <c r="L122" i="26"/>
  <c r="L123" i="26"/>
  <c r="L124" i="26"/>
  <c r="L125" i="26"/>
  <c r="L126" i="26"/>
  <c r="L127" i="26"/>
  <c r="L128" i="26"/>
  <c r="L129" i="26"/>
  <c r="L130" i="26"/>
  <c r="L131" i="26"/>
  <c r="L132" i="26"/>
  <c r="L133" i="26"/>
  <c r="L134" i="26"/>
  <c r="L135" i="26"/>
  <c r="L136" i="26"/>
  <c r="L137" i="26"/>
  <c r="L138" i="26"/>
  <c r="L139" i="26"/>
  <c r="L140" i="26"/>
  <c r="L141" i="26"/>
  <c r="L142" i="26"/>
  <c r="L143" i="26"/>
  <c r="L144" i="26"/>
  <c r="L145" i="26"/>
  <c r="L146" i="26"/>
  <c r="Q12" i="14"/>
  <c r="A1" i="26" l="1"/>
  <c r="B1" i="26"/>
  <c r="C1" i="26"/>
  <c r="D1" i="26"/>
  <c r="E1" i="26"/>
  <c r="F1" i="26"/>
  <c r="G1" i="26"/>
  <c r="H1" i="26"/>
  <c r="A2" i="26"/>
  <c r="B2" i="26"/>
  <c r="C2" i="26"/>
  <c r="D2" i="26"/>
  <c r="E2" i="26"/>
  <c r="F2" i="26"/>
  <c r="G2" i="26"/>
  <c r="A3" i="26"/>
  <c r="B3" i="26"/>
  <c r="C3" i="26"/>
  <c r="D3" i="26"/>
  <c r="E3" i="26"/>
  <c r="F3" i="26"/>
  <c r="G3" i="26"/>
  <c r="A4" i="26"/>
  <c r="B4" i="26"/>
  <c r="C4" i="26"/>
  <c r="D4" i="26"/>
  <c r="E4" i="26"/>
  <c r="F4" i="26"/>
  <c r="G4" i="26"/>
  <c r="A5" i="26"/>
  <c r="B5" i="26"/>
  <c r="C5" i="26"/>
  <c r="D5" i="26"/>
  <c r="E5" i="26"/>
  <c r="F5" i="26"/>
  <c r="G5" i="26"/>
  <c r="A6" i="26"/>
  <c r="B6" i="26"/>
  <c r="C6" i="26"/>
  <c r="D6" i="26"/>
  <c r="E6" i="26"/>
  <c r="F6" i="26"/>
  <c r="G6" i="26"/>
  <c r="A7" i="26"/>
  <c r="B7" i="26"/>
  <c r="C7" i="26"/>
  <c r="D7" i="26"/>
  <c r="E7" i="26"/>
  <c r="F7" i="26"/>
  <c r="G7" i="26"/>
  <c r="A8" i="26"/>
  <c r="B8" i="26"/>
  <c r="C8" i="26"/>
  <c r="D8" i="26"/>
  <c r="E8" i="26"/>
  <c r="F8" i="26"/>
  <c r="G8" i="26"/>
  <c r="A9" i="26"/>
  <c r="B9" i="26"/>
  <c r="C9" i="26"/>
  <c r="D9" i="26"/>
  <c r="E9" i="26"/>
  <c r="F9" i="26"/>
  <c r="G9" i="26"/>
  <c r="A10" i="26"/>
  <c r="B10" i="26"/>
  <c r="C10" i="26"/>
  <c r="D10" i="26"/>
  <c r="E10" i="26"/>
  <c r="F10" i="26"/>
  <c r="G10" i="26"/>
  <c r="A11" i="26"/>
  <c r="B11" i="26"/>
  <c r="C11" i="26"/>
  <c r="D11" i="26"/>
  <c r="E11" i="26"/>
  <c r="F11" i="26"/>
  <c r="G11" i="26"/>
  <c r="A12" i="26"/>
  <c r="B12" i="26"/>
  <c r="C12" i="26"/>
  <c r="D12" i="26"/>
  <c r="E12" i="26"/>
  <c r="F12" i="26"/>
  <c r="G12" i="26"/>
  <c r="A13" i="26"/>
  <c r="B13" i="26"/>
  <c r="C13" i="26"/>
  <c r="D13" i="26"/>
  <c r="E13" i="26"/>
  <c r="F13" i="26"/>
  <c r="G13" i="26"/>
  <c r="A14" i="26"/>
  <c r="B14" i="26"/>
  <c r="C14" i="26"/>
  <c r="D14" i="26"/>
  <c r="E14" i="26"/>
  <c r="F14" i="26"/>
  <c r="G14" i="26"/>
  <c r="A15" i="26"/>
  <c r="B15" i="26"/>
  <c r="C15" i="26"/>
  <c r="D15" i="26"/>
  <c r="E15" i="26"/>
  <c r="F15" i="26"/>
  <c r="G15" i="26"/>
  <c r="A16" i="26"/>
  <c r="B16" i="26"/>
  <c r="C16" i="26"/>
  <c r="D16" i="26"/>
  <c r="E16" i="26"/>
  <c r="F16" i="26"/>
  <c r="G16" i="26"/>
  <c r="A17" i="26"/>
  <c r="B17" i="26"/>
  <c r="C17" i="26"/>
  <c r="D17" i="26"/>
  <c r="E17" i="26"/>
  <c r="F17" i="26"/>
  <c r="G17" i="26"/>
  <c r="A18" i="26"/>
  <c r="B18" i="26"/>
  <c r="C18" i="26"/>
  <c r="D18" i="26"/>
  <c r="E18" i="26"/>
  <c r="F18" i="26"/>
  <c r="G18" i="26"/>
  <c r="A19" i="26"/>
  <c r="B19" i="26"/>
  <c r="C19" i="26"/>
  <c r="D19" i="26"/>
  <c r="E19" i="26"/>
  <c r="F19" i="26"/>
  <c r="G19" i="26"/>
  <c r="A20" i="26"/>
  <c r="B20" i="26"/>
  <c r="C20" i="26"/>
  <c r="D20" i="26"/>
  <c r="E20" i="26"/>
  <c r="F20" i="26"/>
  <c r="G20" i="26"/>
  <c r="A21" i="26"/>
  <c r="B21" i="26"/>
  <c r="C21" i="26"/>
  <c r="D21" i="26"/>
  <c r="E21" i="26"/>
  <c r="F21" i="26"/>
  <c r="G21" i="26"/>
  <c r="A22" i="26"/>
  <c r="B22" i="26"/>
  <c r="C22" i="26"/>
  <c r="D22" i="26"/>
  <c r="E22" i="26"/>
  <c r="F22" i="26"/>
  <c r="G22" i="26"/>
  <c r="A23" i="26"/>
  <c r="B23" i="26"/>
  <c r="C23" i="26"/>
  <c r="D23" i="26"/>
  <c r="E23" i="26"/>
  <c r="F23" i="26"/>
  <c r="G23" i="26"/>
  <c r="A24" i="26"/>
  <c r="B24" i="26"/>
  <c r="C24" i="26"/>
  <c r="D24" i="26"/>
  <c r="E24" i="26"/>
  <c r="F24" i="26"/>
  <c r="G24" i="26"/>
  <c r="A25" i="26"/>
  <c r="B25" i="26"/>
  <c r="C25" i="26"/>
  <c r="D25" i="26"/>
  <c r="E25" i="26"/>
  <c r="F25" i="26"/>
  <c r="G25" i="26"/>
  <c r="A26" i="26"/>
  <c r="B26" i="26"/>
  <c r="C26" i="26"/>
  <c r="D26" i="26"/>
  <c r="E26" i="26"/>
  <c r="F26" i="26"/>
  <c r="G26" i="26"/>
  <c r="A27" i="26"/>
  <c r="B27" i="26"/>
  <c r="C27" i="26"/>
  <c r="D27" i="26"/>
  <c r="E27" i="26"/>
  <c r="F27" i="26"/>
  <c r="G27" i="26"/>
  <c r="A28" i="26"/>
  <c r="B28" i="26"/>
  <c r="C28" i="26"/>
  <c r="D28" i="26"/>
  <c r="E28" i="26"/>
  <c r="F28" i="26"/>
  <c r="G28" i="26"/>
  <c r="A29" i="26"/>
  <c r="B29" i="26"/>
  <c r="C29" i="26"/>
  <c r="D29" i="26"/>
  <c r="E29" i="26"/>
  <c r="F29" i="26"/>
  <c r="G29" i="26"/>
  <c r="A30" i="26"/>
  <c r="B30" i="26"/>
  <c r="C30" i="26"/>
  <c r="D30" i="26"/>
  <c r="E30" i="26"/>
  <c r="F30" i="26"/>
  <c r="G30" i="26"/>
  <c r="A31" i="26"/>
  <c r="B31" i="26"/>
  <c r="C31" i="26"/>
  <c r="D31" i="26"/>
  <c r="E31" i="26"/>
  <c r="F31" i="26"/>
  <c r="G31" i="26"/>
  <c r="A32" i="26"/>
  <c r="B32" i="26"/>
  <c r="C32" i="26"/>
  <c r="D32" i="26"/>
  <c r="E32" i="26"/>
  <c r="F32" i="26"/>
  <c r="G32" i="26"/>
  <c r="A33" i="26"/>
  <c r="B33" i="26"/>
  <c r="C33" i="26"/>
  <c r="D33" i="26"/>
  <c r="E33" i="26"/>
  <c r="F33" i="26"/>
  <c r="G33" i="26"/>
  <c r="A34" i="26"/>
  <c r="B34" i="26"/>
  <c r="C34" i="26"/>
  <c r="D34" i="26"/>
  <c r="E34" i="26"/>
  <c r="F34" i="26"/>
  <c r="G34" i="26"/>
  <c r="A35" i="26"/>
  <c r="B35" i="26"/>
  <c r="C35" i="26"/>
  <c r="D35" i="26"/>
  <c r="E35" i="26"/>
  <c r="F35" i="26"/>
  <c r="G35" i="26"/>
  <c r="A36" i="26"/>
  <c r="B36" i="26"/>
  <c r="C36" i="26"/>
  <c r="D36" i="26"/>
  <c r="E36" i="26"/>
  <c r="F36" i="26"/>
  <c r="G36" i="26"/>
  <c r="A37" i="26"/>
  <c r="B37" i="26"/>
  <c r="C37" i="26"/>
  <c r="D37" i="26"/>
  <c r="E37" i="26"/>
  <c r="F37" i="26"/>
  <c r="G37" i="26"/>
  <c r="A38" i="26"/>
  <c r="B38" i="26"/>
  <c r="C38" i="26"/>
  <c r="D38" i="26"/>
  <c r="E38" i="26"/>
  <c r="F38" i="26"/>
  <c r="G38" i="26"/>
  <c r="A39" i="26"/>
  <c r="B39" i="26"/>
  <c r="C39" i="26"/>
  <c r="D39" i="26"/>
  <c r="E39" i="26"/>
  <c r="F39" i="26"/>
  <c r="G39" i="26"/>
  <c r="A40" i="26"/>
  <c r="B40" i="26"/>
  <c r="C40" i="26"/>
  <c r="D40" i="26"/>
  <c r="E40" i="26"/>
  <c r="F40" i="26"/>
  <c r="G40" i="26"/>
  <c r="A41" i="26"/>
  <c r="B41" i="26"/>
  <c r="C41" i="26"/>
  <c r="D41" i="26"/>
  <c r="E41" i="26"/>
  <c r="F41" i="26"/>
  <c r="G41" i="26"/>
  <c r="A42" i="26"/>
  <c r="B42" i="26"/>
  <c r="C42" i="26"/>
  <c r="D42" i="26"/>
  <c r="E42" i="26"/>
  <c r="F42" i="26"/>
  <c r="G42" i="26"/>
  <c r="A43" i="26"/>
  <c r="B43" i="26"/>
  <c r="C43" i="26"/>
  <c r="D43" i="26"/>
  <c r="E43" i="26"/>
  <c r="F43" i="26"/>
  <c r="G43" i="26"/>
  <c r="A44" i="26"/>
  <c r="B44" i="26"/>
  <c r="C44" i="26"/>
  <c r="D44" i="26"/>
  <c r="E44" i="26"/>
  <c r="F44" i="26"/>
  <c r="G44" i="26"/>
  <c r="A45" i="26"/>
  <c r="B45" i="26"/>
  <c r="C45" i="26"/>
  <c r="D45" i="26"/>
  <c r="E45" i="26"/>
  <c r="F45" i="26"/>
  <c r="G45" i="26"/>
  <c r="A46" i="26"/>
  <c r="B46" i="26"/>
  <c r="C46" i="26"/>
  <c r="D46" i="26"/>
  <c r="E46" i="26"/>
  <c r="F46" i="26"/>
  <c r="G46" i="26"/>
  <c r="A47" i="26"/>
  <c r="B47" i="26"/>
  <c r="C47" i="26"/>
  <c r="D47" i="26"/>
  <c r="E47" i="26"/>
  <c r="F47" i="26"/>
  <c r="G47" i="26"/>
  <c r="A48" i="26"/>
  <c r="B48" i="26"/>
  <c r="C48" i="26"/>
  <c r="D48" i="26"/>
  <c r="E48" i="26"/>
  <c r="F48" i="26"/>
  <c r="G48" i="26"/>
  <c r="A49" i="26"/>
  <c r="B49" i="26"/>
  <c r="C49" i="26"/>
  <c r="D49" i="26"/>
  <c r="E49" i="26"/>
  <c r="F49" i="26"/>
  <c r="G49" i="26"/>
  <c r="A50" i="26"/>
  <c r="B50" i="26"/>
  <c r="C50" i="26"/>
  <c r="D50" i="26"/>
  <c r="E50" i="26"/>
  <c r="F50" i="26"/>
  <c r="G50" i="26"/>
  <c r="A51" i="26"/>
  <c r="B51" i="26"/>
  <c r="C51" i="26"/>
  <c r="D51" i="26"/>
  <c r="E51" i="26"/>
  <c r="F51" i="26"/>
  <c r="G51" i="26"/>
  <c r="A52" i="26"/>
  <c r="B52" i="26"/>
  <c r="C52" i="26"/>
  <c r="D52" i="26"/>
  <c r="E52" i="26"/>
  <c r="F52" i="26"/>
  <c r="G52" i="26"/>
  <c r="A53" i="26"/>
  <c r="B53" i="26"/>
  <c r="C53" i="26"/>
  <c r="D53" i="26"/>
  <c r="E53" i="26"/>
  <c r="F53" i="26"/>
  <c r="G53" i="26"/>
  <c r="A54" i="26"/>
  <c r="B54" i="26"/>
  <c r="C54" i="26"/>
  <c r="D54" i="26"/>
  <c r="E54" i="26"/>
  <c r="F54" i="26"/>
  <c r="G54" i="26"/>
  <c r="A55" i="26"/>
  <c r="B55" i="26"/>
  <c r="C55" i="26"/>
  <c r="D55" i="26"/>
  <c r="E55" i="26"/>
  <c r="F55" i="26"/>
  <c r="G55" i="26"/>
  <c r="A56" i="26"/>
  <c r="B56" i="26"/>
  <c r="C56" i="26"/>
  <c r="D56" i="26"/>
  <c r="E56" i="26"/>
  <c r="F56" i="26"/>
  <c r="G56" i="26"/>
  <c r="A57" i="26"/>
  <c r="B57" i="26"/>
  <c r="C57" i="26"/>
  <c r="D57" i="26"/>
  <c r="E57" i="26"/>
  <c r="F57" i="26"/>
  <c r="G57" i="26"/>
  <c r="A58" i="26"/>
  <c r="B58" i="26"/>
  <c r="C58" i="26"/>
  <c r="D58" i="26"/>
  <c r="E58" i="26"/>
  <c r="F58" i="26"/>
  <c r="G58" i="26"/>
  <c r="A59" i="26"/>
  <c r="B59" i="26"/>
  <c r="C59" i="26"/>
  <c r="D59" i="26"/>
  <c r="E59" i="26"/>
  <c r="F59" i="26"/>
  <c r="G59" i="26"/>
  <c r="A60" i="26"/>
  <c r="B60" i="26"/>
  <c r="C60" i="26"/>
  <c r="D60" i="26"/>
  <c r="E60" i="26"/>
  <c r="F60" i="26"/>
  <c r="G60" i="26"/>
  <c r="A61" i="26"/>
  <c r="B61" i="26"/>
  <c r="C61" i="26"/>
  <c r="D61" i="26"/>
  <c r="E61" i="26"/>
  <c r="F61" i="26"/>
  <c r="G61" i="26"/>
  <c r="A62" i="26"/>
  <c r="B62" i="26"/>
  <c r="C62" i="26"/>
  <c r="D62" i="26"/>
  <c r="E62" i="26"/>
  <c r="F62" i="26"/>
  <c r="G62" i="26"/>
  <c r="A63" i="26"/>
  <c r="B63" i="26"/>
  <c r="C63" i="26"/>
  <c r="D63" i="26"/>
  <c r="E63" i="26"/>
  <c r="F63" i="26"/>
  <c r="G63" i="26"/>
  <c r="A64" i="26"/>
  <c r="B64" i="26"/>
  <c r="C64" i="26"/>
  <c r="D64" i="26"/>
  <c r="E64" i="26"/>
  <c r="F64" i="26"/>
  <c r="G64" i="26"/>
  <c r="A65" i="26"/>
  <c r="B65" i="26"/>
  <c r="C65" i="26"/>
  <c r="D65" i="26"/>
  <c r="E65" i="26"/>
  <c r="F65" i="26"/>
  <c r="G65" i="26"/>
  <c r="A66" i="26"/>
  <c r="B66" i="26"/>
  <c r="C66" i="26"/>
  <c r="D66" i="26"/>
  <c r="E66" i="26"/>
  <c r="F66" i="26"/>
  <c r="G66" i="26"/>
  <c r="A67" i="26"/>
  <c r="B67" i="26"/>
  <c r="C67" i="26"/>
  <c r="D67" i="26"/>
  <c r="E67" i="26"/>
  <c r="F67" i="26"/>
  <c r="G67" i="26"/>
  <c r="A68" i="26"/>
  <c r="B68" i="26"/>
  <c r="C68" i="26"/>
  <c r="D68" i="26"/>
  <c r="E68" i="26"/>
  <c r="F68" i="26"/>
  <c r="G68" i="26"/>
  <c r="A69" i="26"/>
  <c r="B69" i="26"/>
  <c r="C69" i="26"/>
  <c r="D69" i="26"/>
  <c r="E69" i="26"/>
  <c r="F69" i="26"/>
  <c r="G69" i="26"/>
  <c r="A70" i="26"/>
  <c r="B70" i="26"/>
  <c r="C70" i="26"/>
  <c r="D70" i="26"/>
  <c r="E70" i="26"/>
  <c r="F70" i="26"/>
  <c r="G70" i="26"/>
  <c r="A71" i="26"/>
  <c r="B71" i="26"/>
  <c r="C71" i="26"/>
  <c r="D71" i="26"/>
  <c r="E71" i="26"/>
  <c r="F71" i="26"/>
  <c r="G71" i="26"/>
  <c r="A72" i="26"/>
  <c r="B72" i="26"/>
  <c r="C72" i="26"/>
  <c r="D72" i="26"/>
  <c r="E72" i="26"/>
  <c r="F72" i="26"/>
  <c r="G72" i="26"/>
  <c r="A73" i="26"/>
  <c r="B73" i="26"/>
  <c r="C73" i="26"/>
  <c r="D73" i="26"/>
  <c r="E73" i="26"/>
  <c r="F73" i="26"/>
  <c r="G73" i="26"/>
  <c r="A74" i="26"/>
  <c r="B74" i="26"/>
  <c r="C74" i="26"/>
  <c r="D74" i="26"/>
  <c r="E74" i="26"/>
  <c r="F74" i="26"/>
  <c r="G74" i="26"/>
  <c r="A75" i="26"/>
  <c r="B75" i="26"/>
  <c r="C75" i="26"/>
  <c r="D75" i="26"/>
  <c r="E75" i="26"/>
  <c r="F75" i="26"/>
  <c r="G75" i="26"/>
  <c r="A76" i="26"/>
  <c r="B76" i="26"/>
  <c r="C76" i="26"/>
  <c r="D76" i="26"/>
  <c r="E76" i="26"/>
  <c r="F76" i="26"/>
  <c r="G76" i="26"/>
  <c r="A77" i="26"/>
  <c r="B77" i="26"/>
  <c r="C77" i="26"/>
  <c r="D77" i="26"/>
  <c r="E77" i="26"/>
  <c r="F77" i="26"/>
  <c r="G77" i="26"/>
  <c r="A78" i="26"/>
  <c r="B78" i="26"/>
  <c r="C78" i="26"/>
  <c r="D78" i="26"/>
  <c r="E78" i="26"/>
  <c r="F78" i="26"/>
  <c r="G78" i="26"/>
  <c r="A79" i="26"/>
  <c r="B79" i="26"/>
  <c r="C79" i="26"/>
  <c r="D79" i="26"/>
  <c r="E79" i="26"/>
  <c r="F79" i="26"/>
  <c r="G79" i="26"/>
  <c r="A80" i="26"/>
  <c r="B80" i="26"/>
  <c r="C80" i="26"/>
  <c r="D80" i="26"/>
  <c r="E80" i="26"/>
  <c r="F80" i="26"/>
  <c r="G80" i="26"/>
  <c r="A81" i="26"/>
  <c r="B81" i="26"/>
  <c r="C81" i="26"/>
  <c r="D81" i="26"/>
  <c r="E81" i="26"/>
  <c r="F81" i="26"/>
  <c r="G81" i="26"/>
  <c r="A82" i="26"/>
  <c r="B82" i="26"/>
  <c r="C82" i="26"/>
  <c r="D82" i="26"/>
  <c r="E82" i="26"/>
  <c r="F82" i="26"/>
  <c r="G82" i="26"/>
  <c r="A83" i="26"/>
  <c r="B83" i="26"/>
  <c r="C83" i="26"/>
  <c r="D83" i="26"/>
  <c r="E83" i="26"/>
  <c r="F83" i="26"/>
  <c r="G83" i="26"/>
  <c r="A84" i="26"/>
  <c r="B84" i="26"/>
  <c r="C84" i="26"/>
  <c r="D84" i="26"/>
  <c r="E84" i="26"/>
  <c r="F84" i="26"/>
  <c r="G84" i="26"/>
  <c r="A85" i="26"/>
  <c r="B85" i="26"/>
  <c r="C85" i="26"/>
  <c r="D85" i="26"/>
  <c r="E85" i="26"/>
  <c r="F85" i="26"/>
  <c r="G85" i="26"/>
  <c r="A86" i="26"/>
  <c r="B86" i="26"/>
  <c r="C86" i="26"/>
  <c r="D86" i="26"/>
  <c r="E86" i="26"/>
  <c r="F86" i="26"/>
  <c r="G86" i="26"/>
  <c r="A87" i="26"/>
  <c r="B87" i="26"/>
  <c r="C87" i="26"/>
  <c r="D87" i="26"/>
  <c r="E87" i="26"/>
  <c r="F87" i="26"/>
  <c r="G87" i="26"/>
  <c r="A88" i="26"/>
  <c r="B88" i="26"/>
  <c r="C88" i="26"/>
  <c r="D88" i="26"/>
  <c r="E88" i="26"/>
  <c r="F88" i="26"/>
  <c r="G88" i="26"/>
  <c r="A89" i="26"/>
  <c r="B89" i="26"/>
  <c r="C89" i="26"/>
  <c r="D89" i="26"/>
  <c r="E89" i="26"/>
  <c r="F89" i="26"/>
  <c r="G89" i="26"/>
  <c r="A90" i="26"/>
  <c r="B90" i="26"/>
  <c r="C90" i="26"/>
  <c r="D90" i="26"/>
  <c r="E90" i="26"/>
  <c r="F90" i="26"/>
  <c r="G90" i="26"/>
  <c r="A91" i="26"/>
  <c r="B91" i="26"/>
  <c r="C91" i="26"/>
  <c r="D91" i="26"/>
  <c r="E91" i="26"/>
  <c r="F91" i="26"/>
  <c r="G91" i="26"/>
  <c r="A92" i="26"/>
  <c r="B92" i="26"/>
  <c r="C92" i="26"/>
  <c r="D92" i="26"/>
  <c r="E92" i="26"/>
  <c r="F92" i="26"/>
  <c r="G92" i="26"/>
  <c r="A93" i="26"/>
  <c r="B93" i="26"/>
  <c r="C93" i="26"/>
  <c r="D93" i="26"/>
  <c r="E93" i="26"/>
  <c r="F93" i="26"/>
  <c r="G93" i="26"/>
  <c r="A94" i="26"/>
  <c r="B94" i="26"/>
  <c r="C94" i="26"/>
  <c r="D94" i="26"/>
  <c r="E94" i="26"/>
  <c r="F94" i="26"/>
  <c r="G94" i="26"/>
  <c r="A95" i="26"/>
  <c r="B95" i="26"/>
  <c r="C95" i="26"/>
  <c r="D95" i="26"/>
  <c r="E95" i="26"/>
  <c r="F95" i="26"/>
  <c r="G95" i="26"/>
  <c r="A96" i="26"/>
  <c r="B96" i="26"/>
  <c r="C96" i="26"/>
  <c r="D96" i="26"/>
  <c r="E96" i="26"/>
  <c r="F96" i="26"/>
  <c r="G96" i="26"/>
  <c r="A97" i="26"/>
  <c r="B97" i="26"/>
  <c r="C97" i="26"/>
  <c r="D97" i="26"/>
  <c r="E97" i="26"/>
  <c r="F97" i="26"/>
  <c r="G97" i="26"/>
  <c r="A98" i="26"/>
  <c r="B98" i="26"/>
  <c r="C98" i="26"/>
  <c r="D98" i="26"/>
  <c r="E98" i="26"/>
  <c r="F98" i="26"/>
  <c r="G98" i="26"/>
  <c r="A99" i="26"/>
  <c r="B99" i="26"/>
  <c r="C99" i="26"/>
  <c r="D99" i="26"/>
  <c r="E99" i="26"/>
  <c r="F99" i="26"/>
  <c r="G99" i="26"/>
  <c r="A100" i="26"/>
  <c r="B100" i="26"/>
  <c r="C100" i="26"/>
  <c r="D100" i="26"/>
  <c r="E100" i="26"/>
  <c r="F100" i="26"/>
  <c r="G100" i="26"/>
  <c r="A101" i="26"/>
  <c r="B101" i="26"/>
  <c r="C101" i="26"/>
  <c r="D101" i="26"/>
  <c r="E101" i="26"/>
  <c r="F101" i="26"/>
  <c r="G101" i="26"/>
  <c r="A102" i="26"/>
  <c r="B102" i="26"/>
  <c r="C102" i="26"/>
  <c r="D102" i="26"/>
  <c r="E102" i="26"/>
  <c r="F102" i="26"/>
  <c r="G102" i="26"/>
  <c r="A103" i="26"/>
  <c r="B103" i="26"/>
  <c r="C103" i="26"/>
  <c r="D103" i="26"/>
  <c r="E103" i="26"/>
  <c r="F103" i="26"/>
  <c r="G103" i="26"/>
  <c r="A104" i="26"/>
  <c r="B104" i="26"/>
  <c r="C104" i="26"/>
  <c r="D104" i="26"/>
  <c r="E104" i="26"/>
  <c r="F104" i="26"/>
  <c r="G104" i="26"/>
  <c r="A105" i="26"/>
  <c r="B105" i="26"/>
  <c r="C105" i="26"/>
  <c r="D105" i="26"/>
  <c r="E105" i="26"/>
  <c r="F105" i="26"/>
  <c r="G105" i="26"/>
  <c r="A106" i="26"/>
  <c r="B106" i="26"/>
  <c r="C106" i="26"/>
  <c r="D106" i="26"/>
  <c r="E106" i="26"/>
  <c r="F106" i="26"/>
  <c r="G106" i="26"/>
  <c r="A107" i="26"/>
  <c r="B107" i="26"/>
  <c r="C107" i="26"/>
  <c r="D107" i="26"/>
  <c r="E107" i="26"/>
  <c r="F107" i="26"/>
  <c r="G107" i="26"/>
  <c r="A108" i="26"/>
  <c r="B108" i="26"/>
  <c r="C108" i="26"/>
  <c r="D108" i="26"/>
  <c r="E108" i="26"/>
  <c r="F108" i="26"/>
  <c r="G108" i="26"/>
  <c r="A109" i="26"/>
  <c r="B109" i="26"/>
  <c r="C109" i="26"/>
  <c r="D109" i="26"/>
  <c r="E109" i="26"/>
  <c r="F109" i="26"/>
  <c r="G109" i="26"/>
  <c r="A110" i="26"/>
  <c r="B110" i="26"/>
  <c r="C110" i="26"/>
  <c r="D110" i="26"/>
  <c r="E110" i="26"/>
  <c r="F110" i="26"/>
  <c r="G110" i="26"/>
  <c r="A111" i="26"/>
  <c r="B111" i="26"/>
  <c r="C111" i="26"/>
  <c r="D111" i="26"/>
  <c r="E111" i="26"/>
  <c r="F111" i="26"/>
  <c r="G111" i="26"/>
  <c r="A112" i="26"/>
  <c r="B112" i="26"/>
  <c r="C112" i="26"/>
  <c r="D112" i="26"/>
  <c r="E112" i="26"/>
  <c r="F112" i="26"/>
  <c r="G112" i="26"/>
  <c r="A113" i="26"/>
  <c r="B113" i="26"/>
  <c r="C113" i="26"/>
  <c r="D113" i="26"/>
  <c r="E113" i="26"/>
  <c r="F113" i="26"/>
  <c r="G113" i="26"/>
  <c r="A114" i="26"/>
  <c r="B114" i="26"/>
  <c r="C114" i="26"/>
  <c r="D114" i="26"/>
  <c r="E114" i="26"/>
  <c r="F114" i="26"/>
  <c r="G114" i="26"/>
  <c r="A115" i="26"/>
  <c r="B115" i="26"/>
  <c r="C115" i="26"/>
  <c r="D115" i="26"/>
  <c r="E115" i="26"/>
  <c r="F115" i="26"/>
  <c r="G115" i="26"/>
  <c r="A116" i="26"/>
  <c r="B116" i="26"/>
  <c r="C116" i="26"/>
  <c r="D116" i="26"/>
  <c r="E116" i="26"/>
  <c r="F116" i="26"/>
  <c r="G116" i="26"/>
  <c r="A117" i="26"/>
  <c r="B117" i="26"/>
  <c r="C117" i="26"/>
  <c r="D117" i="26"/>
  <c r="E117" i="26"/>
  <c r="F117" i="26"/>
  <c r="G117" i="26"/>
  <c r="A118" i="26"/>
  <c r="B118" i="26"/>
  <c r="C118" i="26"/>
  <c r="D118" i="26"/>
  <c r="E118" i="26"/>
  <c r="F118" i="26"/>
  <c r="G118" i="26"/>
  <c r="A119" i="26"/>
  <c r="B119" i="26"/>
  <c r="C119" i="26"/>
  <c r="D119" i="26"/>
  <c r="E119" i="26"/>
  <c r="F119" i="26"/>
  <c r="G119" i="26"/>
  <c r="A120" i="26"/>
  <c r="B120" i="26"/>
  <c r="C120" i="26"/>
  <c r="D120" i="26"/>
  <c r="E120" i="26"/>
  <c r="F120" i="26"/>
  <c r="G120" i="26"/>
  <c r="A121" i="26"/>
  <c r="B121" i="26"/>
  <c r="C121" i="26"/>
  <c r="D121" i="26"/>
  <c r="E121" i="26"/>
  <c r="F121" i="26"/>
  <c r="G121" i="26"/>
  <c r="H123" i="25"/>
  <c r="H120" i="26" s="1"/>
  <c r="H122" i="25"/>
  <c r="H119" i="26" s="1"/>
  <c r="H121" i="25"/>
  <c r="H118" i="26" s="1"/>
  <c r="H120" i="25"/>
  <c r="H117" i="26" s="1"/>
  <c r="H119" i="25"/>
  <c r="H116" i="26" s="1"/>
  <c r="H118" i="25"/>
  <c r="H115" i="26" s="1"/>
  <c r="H117" i="25"/>
  <c r="H114" i="26" s="1"/>
  <c r="H116" i="25"/>
  <c r="H113" i="26" s="1"/>
  <c r="H115" i="25"/>
  <c r="H112" i="26" s="1"/>
  <c r="H114" i="25"/>
  <c r="H111" i="26" s="1"/>
  <c r="H113" i="25"/>
  <c r="H110" i="26" s="1"/>
  <c r="H112" i="25"/>
  <c r="H109" i="26" s="1"/>
  <c r="H111" i="25"/>
  <c r="H108" i="26" s="1"/>
  <c r="H110" i="25"/>
  <c r="H107" i="26" s="1"/>
  <c r="H109" i="25"/>
  <c r="H106" i="26" s="1"/>
  <c r="H108" i="25"/>
  <c r="H105" i="26" s="1"/>
  <c r="H107" i="25"/>
  <c r="H104" i="26" s="1"/>
  <c r="H106" i="25"/>
  <c r="H103" i="26" s="1"/>
  <c r="H105" i="25"/>
  <c r="H102" i="26" s="1"/>
  <c r="H104" i="25"/>
  <c r="H101" i="26" s="1"/>
  <c r="H103" i="25"/>
  <c r="H100" i="26" s="1"/>
  <c r="H102" i="25"/>
  <c r="H99" i="26" s="1"/>
  <c r="H101" i="25"/>
  <c r="H98" i="26" s="1"/>
  <c r="H100" i="25"/>
  <c r="H97" i="26" s="1"/>
  <c r="H99" i="25"/>
  <c r="H96" i="26" s="1"/>
  <c r="H98" i="25"/>
  <c r="H95" i="26" s="1"/>
  <c r="H97" i="25"/>
  <c r="H94" i="26" s="1"/>
  <c r="H96" i="25"/>
  <c r="H93" i="26" s="1"/>
  <c r="H95" i="25"/>
  <c r="H92" i="26" s="1"/>
  <c r="H94" i="25"/>
  <c r="H91" i="26" s="1"/>
  <c r="H93" i="25"/>
  <c r="H90" i="26" s="1"/>
  <c r="H92" i="25"/>
  <c r="H89" i="26" s="1"/>
  <c r="H91" i="25"/>
  <c r="H88" i="26" s="1"/>
  <c r="H90" i="25"/>
  <c r="H87" i="26" s="1"/>
  <c r="H89" i="25"/>
  <c r="H86" i="26" s="1"/>
  <c r="H88" i="25"/>
  <c r="H85" i="26" s="1"/>
  <c r="H87" i="25"/>
  <c r="H84" i="26" s="1"/>
  <c r="H86" i="25"/>
  <c r="H83" i="26" s="1"/>
  <c r="H85" i="25"/>
  <c r="H82" i="26" s="1"/>
  <c r="H84" i="25"/>
  <c r="H81" i="26" s="1"/>
  <c r="H83" i="25"/>
  <c r="H80" i="26" s="1"/>
  <c r="H82" i="25"/>
  <c r="H79" i="26" s="1"/>
  <c r="H81" i="25"/>
  <c r="H78" i="26" s="1"/>
  <c r="H80" i="25"/>
  <c r="H77" i="26" s="1"/>
  <c r="H79" i="25"/>
  <c r="H76" i="26" s="1"/>
  <c r="H78" i="25"/>
  <c r="H75" i="26" s="1"/>
  <c r="H77" i="25"/>
  <c r="H74" i="26" s="1"/>
  <c r="H76" i="25"/>
  <c r="H73" i="26" s="1"/>
  <c r="H75" i="25"/>
  <c r="H72" i="26" s="1"/>
  <c r="H74" i="25"/>
  <c r="H71" i="26" s="1"/>
  <c r="H73" i="25"/>
  <c r="H70" i="26" s="1"/>
  <c r="H72" i="25"/>
  <c r="H69" i="26" s="1"/>
  <c r="H71" i="25"/>
  <c r="H68" i="26" s="1"/>
  <c r="H70" i="25"/>
  <c r="H67" i="26" s="1"/>
  <c r="H69" i="25"/>
  <c r="H66" i="26" s="1"/>
  <c r="H68" i="25"/>
  <c r="H65" i="26" s="1"/>
  <c r="H67" i="25"/>
  <c r="H64" i="26" s="1"/>
  <c r="H66" i="25"/>
  <c r="H63" i="26" s="1"/>
  <c r="H65" i="25"/>
  <c r="H62" i="26" s="1"/>
  <c r="H64" i="25"/>
  <c r="H61" i="26" s="1"/>
  <c r="H63" i="25"/>
  <c r="H60" i="26" s="1"/>
  <c r="H62" i="25"/>
  <c r="H59" i="26" s="1"/>
  <c r="H61" i="25"/>
  <c r="H58" i="26" s="1"/>
  <c r="H60" i="25"/>
  <c r="H57" i="26" s="1"/>
  <c r="H59" i="25"/>
  <c r="H56" i="26" s="1"/>
  <c r="H58" i="25"/>
  <c r="H55" i="26" s="1"/>
  <c r="H57" i="25"/>
  <c r="H54" i="26" s="1"/>
  <c r="H56" i="25"/>
  <c r="H53" i="26" s="1"/>
  <c r="H55" i="25"/>
  <c r="H52" i="26" s="1"/>
  <c r="H54" i="25"/>
  <c r="H51" i="26" s="1"/>
  <c r="H53" i="25"/>
  <c r="H50" i="26" s="1"/>
  <c r="H52" i="25"/>
  <c r="H49" i="26" s="1"/>
  <c r="H51" i="25"/>
  <c r="H48" i="26" s="1"/>
  <c r="H50" i="25"/>
  <c r="H47" i="26" s="1"/>
  <c r="H49" i="25"/>
  <c r="H46" i="26" s="1"/>
  <c r="H48" i="25"/>
  <c r="H45" i="26" s="1"/>
  <c r="H47" i="25"/>
  <c r="H44" i="26" s="1"/>
  <c r="H46" i="25"/>
  <c r="H43" i="26" s="1"/>
  <c r="H45" i="25"/>
  <c r="H42" i="26" s="1"/>
  <c r="H44" i="25"/>
  <c r="H41" i="26" s="1"/>
  <c r="H43" i="25"/>
  <c r="H40" i="26" s="1"/>
  <c r="H42" i="25"/>
  <c r="H39" i="26" s="1"/>
  <c r="H41" i="25"/>
  <c r="H38" i="26" s="1"/>
  <c r="H40" i="25"/>
  <c r="H37" i="26" s="1"/>
  <c r="H39" i="25"/>
  <c r="H36" i="26" s="1"/>
  <c r="H38" i="25"/>
  <c r="H35" i="26" s="1"/>
  <c r="H37" i="25"/>
  <c r="H34" i="26" s="1"/>
  <c r="H36" i="25"/>
  <c r="H33" i="26" s="1"/>
  <c r="H35" i="25"/>
  <c r="H32" i="26" s="1"/>
  <c r="H34" i="25"/>
  <c r="H31" i="26" s="1"/>
  <c r="H33" i="25"/>
  <c r="H30" i="26" s="1"/>
  <c r="H32" i="25"/>
  <c r="H29" i="26" s="1"/>
  <c r="H31" i="25"/>
  <c r="H28" i="26" s="1"/>
  <c r="H30" i="25"/>
  <c r="H27" i="26" s="1"/>
  <c r="H29" i="25"/>
  <c r="H26" i="26" s="1"/>
  <c r="H28" i="25"/>
  <c r="H25" i="26" s="1"/>
  <c r="H27" i="25"/>
  <c r="H24" i="26" s="1"/>
  <c r="H26" i="25"/>
  <c r="H23" i="26" s="1"/>
  <c r="H25" i="25"/>
  <c r="H22" i="26" s="1"/>
  <c r="H24" i="25"/>
  <c r="H21" i="26" s="1"/>
  <c r="H23" i="25"/>
  <c r="H20" i="26" s="1"/>
  <c r="H22" i="25"/>
  <c r="H19" i="26" s="1"/>
  <c r="H21" i="25"/>
  <c r="H18" i="26" s="1"/>
  <c r="H20" i="25"/>
  <c r="H17" i="26" s="1"/>
  <c r="H19" i="25"/>
  <c r="H16" i="26" s="1"/>
  <c r="H18" i="25"/>
  <c r="H15" i="26" s="1"/>
  <c r="H17" i="25"/>
  <c r="H14" i="26" s="1"/>
  <c r="H16" i="25"/>
  <c r="H13" i="26" s="1"/>
  <c r="H15" i="25"/>
  <c r="H12" i="26" s="1"/>
  <c r="H14" i="25"/>
  <c r="H11" i="26" s="1"/>
  <c r="H13" i="25"/>
  <c r="H10" i="26" s="1"/>
  <c r="H12" i="25"/>
  <c r="H9" i="26" s="1"/>
  <c r="H11" i="25"/>
  <c r="H8" i="26" s="1"/>
  <c r="H10" i="25"/>
  <c r="H7" i="26" s="1"/>
  <c r="H9" i="25"/>
  <c r="H6" i="26" s="1"/>
  <c r="H8" i="25"/>
  <c r="H5" i="26" s="1"/>
  <c r="H7" i="25"/>
  <c r="H4" i="26" s="1"/>
  <c r="H6" i="25"/>
  <c r="H3" i="26" s="1"/>
  <c r="H5" i="25"/>
  <c r="H2" i="26" s="1"/>
  <c r="P9" i="14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P7" i="14" l="1"/>
  <c r="P8" i="14" s="1"/>
  <c r="L2" i="26"/>
  <c r="L121" i="26"/>
  <c r="M121" i="26"/>
  <c r="J121" i="26"/>
  <c r="K121" i="26"/>
  <c r="L120" i="26"/>
  <c r="M120" i="26"/>
  <c r="K120" i="26"/>
  <c r="J120" i="26"/>
  <c r="M119" i="26"/>
  <c r="L119" i="26"/>
  <c r="K119" i="26"/>
  <c r="J119" i="26"/>
  <c r="M118" i="26"/>
  <c r="L118" i="26"/>
  <c r="K118" i="26"/>
  <c r="J118" i="26"/>
  <c r="M117" i="26"/>
  <c r="L117" i="26"/>
  <c r="K117" i="26"/>
  <c r="J117" i="26"/>
  <c r="L116" i="26"/>
  <c r="M116" i="26"/>
  <c r="K116" i="26"/>
  <c r="J116" i="26"/>
  <c r="M115" i="26"/>
  <c r="L115" i="26"/>
  <c r="K115" i="26"/>
  <c r="J115" i="26"/>
  <c r="M114" i="26"/>
  <c r="L114" i="26"/>
  <c r="K114" i="26"/>
  <c r="J114" i="26"/>
  <c r="L113" i="26"/>
  <c r="M113" i="26"/>
  <c r="K113" i="26"/>
  <c r="J113" i="26"/>
  <c r="L112" i="26"/>
  <c r="M112" i="26"/>
  <c r="K112" i="26"/>
  <c r="J112" i="26"/>
  <c r="M111" i="26"/>
  <c r="L111" i="26"/>
  <c r="K111" i="26"/>
  <c r="J111" i="26"/>
  <c r="M110" i="26"/>
  <c r="L110" i="26"/>
  <c r="K110" i="26"/>
  <c r="J110" i="26"/>
  <c r="M109" i="26"/>
  <c r="L109" i="26"/>
  <c r="K109" i="26"/>
  <c r="J109" i="26"/>
  <c r="L108" i="26"/>
  <c r="M108" i="26"/>
  <c r="K108" i="26"/>
  <c r="J108" i="26"/>
  <c r="M107" i="26"/>
  <c r="L107" i="26"/>
  <c r="K107" i="26"/>
  <c r="J107" i="26"/>
  <c r="M106" i="26"/>
  <c r="L106" i="26"/>
  <c r="K106" i="26"/>
  <c r="J106" i="26"/>
  <c r="L105" i="26"/>
  <c r="M105" i="26"/>
  <c r="K105" i="26"/>
  <c r="J105" i="26"/>
  <c r="L104" i="26"/>
  <c r="M104" i="26"/>
  <c r="K104" i="26"/>
  <c r="J104" i="26"/>
  <c r="M103" i="26"/>
  <c r="L103" i="26"/>
  <c r="K103" i="26"/>
  <c r="J103" i="26"/>
  <c r="M102" i="26"/>
  <c r="L102" i="26"/>
  <c r="K102" i="26"/>
  <c r="J102" i="26"/>
  <c r="M101" i="26"/>
  <c r="L101" i="26"/>
  <c r="K101" i="26"/>
  <c r="J101" i="26"/>
  <c r="L100" i="26"/>
  <c r="M100" i="26"/>
  <c r="K100" i="26"/>
  <c r="J100" i="26"/>
  <c r="M99" i="26"/>
  <c r="L99" i="26"/>
  <c r="K99" i="26"/>
  <c r="J99" i="26"/>
  <c r="M98" i="26"/>
  <c r="L98" i="26"/>
  <c r="K98" i="26"/>
  <c r="J98" i="26"/>
  <c r="L97" i="26"/>
  <c r="M97" i="26"/>
  <c r="K97" i="26"/>
  <c r="J97" i="26"/>
  <c r="L96" i="26"/>
  <c r="M96" i="26"/>
  <c r="K96" i="26"/>
  <c r="J96" i="26"/>
  <c r="M95" i="26"/>
  <c r="L95" i="26"/>
  <c r="K95" i="26"/>
  <c r="J95" i="26"/>
  <c r="M94" i="26"/>
  <c r="L94" i="26"/>
  <c r="K94" i="26"/>
  <c r="J94" i="26"/>
  <c r="M93" i="26"/>
  <c r="L93" i="26"/>
  <c r="K93" i="26"/>
  <c r="J93" i="26"/>
  <c r="L92" i="26"/>
  <c r="M92" i="26"/>
  <c r="K92" i="26"/>
  <c r="J92" i="26"/>
  <c r="M91" i="26"/>
  <c r="L91" i="26"/>
  <c r="K91" i="26"/>
  <c r="J91" i="26"/>
  <c r="M90" i="26"/>
  <c r="L90" i="26"/>
  <c r="K90" i="26"/>
  <c r="J90" i="26"/>
  <c r="L89" i="26"/>
  <c r="M89" i="26"/>
  <c r="K89" i="26"/>
  <c r="J89" i="26"/>
  <c r="L88" i="26"/>
  <c r="M88" i="26"/>
  <c r="K88" i="26"/>
  <c r="J88" i="26"/>
  <c r="M87" i="26"/>
  <c r="L87" i="26"/>
  <c r="K87" i="26"/>
  <c r="J87" i="26"/>
  <c r="M86" i="26"/>
  <c r="L86" i="26"/>
  <c r="K86" i="26"/>
  <c r="J86" i="26"/>
  <c r="M85" i="26"/>
  <c r="L85" i="26"/>
  <c r="K85" i="26"/>
  <c r="J85" i="26"/>
  <c r="L84" i="26"/>
  <c r="M84" i="26"/>
  <c r="K84" i="26"/>
  <c r="J84" i="26"/>
  <c r="M83" i="26"/>
  <c r="L83" i="26"/>
  <c r="K83" i="26"/>
  <c r="J83" i="26"/>
  <c r="M82" i="26"/>
  <c r="L82" i="26"/>
  <c r="K82" i="26"/>
  <c r="J82" i="26"/>
  <c r="L81" i="26"/>
  <c r="M81" i="26"/>
  <c r="K81" i="26"/>
  <c r="J81" i="26"/>
  <c r="L80" i="26"/>
  <c r="M80" i="26"/>
  <c r="K80" i="26"/>
  <c r="J80" i="26"/>
  <c r="M79" i="26"/>
  <c r="L79" i="26"/>
  <c r="K79" i="26"/>
  <c r="J79" i="26"/>
  <c r="M78" i="26"/>
  <c r="L78" i="26"/>
  <c r="K78" i="26"/>
  <c r="J78" i="26"/>
  <c r="M77" i="26"/>
  <c r="L77" i="26"/>
  <c r="K77" i="26"/>
  <c r="J77" i="26"/>
  <c r="L76" i="26"/>
  <c r="M76" i="26"/>
  <c r="K76" i="26"/>
  <c r="J76" i="26"/>
  <c r="M75" i="26"/>
  <c r="L75" i="26"/>
  <c r="K75" i="26"/>
  <c r="J75" i="26"/>
  <c r="M74" i="26"/>
  <c r="L74" i="26"/>
  <c r="K74" i="26"/>
  <c r="J74" i="26"/>
  <c r="L73" i="26"/>
  <c r="M73" i="26"/>
  <c r="K73" i="26"/>
  <c r="J73" i="26"/>
  <c r="L72" i="26"/>
  <c r="M72" i="26"/>
  <c r="K72" i="26"/>
  <c r="J72" i="26"/>
  <c r="M71" i="26"/>
  <c r="L71" i="26"/>
  <c r="K71" i="26"/>
  <c r="J71" i="26"/>
  <c r="M70" i="26"/>
  <c r="L70" i="26"/>
  <c r="K70" i="26"/>
  <c r="J70" i="26"/>
  <c r="M69" i="26"/>
  <c r="L69" i="26"/>
  <c r="K69" i="26"/>
  <c r="J69" i="26"/>
  <c r="L68" i="26"/>
  <c r="M68" i="26"/>
  <c r="K68" i="26"/>
  <c r="J68" i="26"/>
  <c r="M67" i="26"/>
  <c r="L67" i="26"/>
  <c r="K67" i="26"/>
  <c r="J67" i="26"/>
  <c r="M66" i="26"/>
  <c r="L66" i="26"/>
  <c r="K66" i="26"/>
  <c r="J66" i="26"/>
  <c r="L65" i="26"/>
  <c r="M65" i="26"/>
  <c r="K65" i="26"/>
  <c r="J65" i="26"/>
  <c r="L64" i="26"/>
  <c r="M64" i="26"/>
  <c r="K64" i="26"/>
  <c r="J64" i="26"/>
  <c r="M63" i="26"/>
  <c r="L63" i="26"/>
  <c r="K63" i="26"/>
  <c r="J63" i="26"/>
  <c r="M62" i="26"/>
  <c r="L62" i="26"/>
  <c r="K62" i="26"/>
  <c r="J62" i="26"/>
  <c r="M61" i="26"/>
  <c r="L61" i="26"/>
  <c r="K61" i="26"/>
  <c r="J61" i="26"/>
  <c r="L60" i="26"/>
  <c r="M60" i="26"/>
  <c r="K60" i="26"/>
  <c r="J60" i="26"/>
  <c r="M59" i="26"/>
  <c r="L59" i="26"/>
  <c r="K59" i="26"/>
  <c r="J59" i="26"/>
  <c r="M58" i="26"/>
  <c r="L58" i="26"/>
  <c r="K58" i="26"/>
  <c r="J58" i="26"/>
  <c r="L57" i="26"/>
  <c r="M57" i="26"/>
  <c r="K57" i="26"/>
  <c r="J57" i="26"/>
  <c r="L56" i="26"/>
  <c r="M56" i="26"/>
  <c r="K56" i="26"/>
  <c r="J56" i="26"/>
  <c r="M55" i="26"/>
  <c r="L55" i="26"/>
  <c r="K55" i="26"/>
  <c r="J55" i="26"/>
  <c r="M54" i="26"/>
  <c r="L54" i="26"/>
  <c r="K54" i="26"/>
  <c r="J54" i="26"/>
  <c r="M53" i="26"/>
  <c r="L53" i="26"/>
  <c r="K53" i="26"/>
  <c r="J53" i="26"/>
  <c r="L52" i="26"/>
  <c r="M52" i="26"/>
  <c r="K52" i="26"/>
  <c r="J52" i="26"/>
  <c r="M51" i="26"/>
  <c r="L51" i="26"/>
  <c r="K51" i="26"/>
  <c r="J51" i="26"/>
  <c r="M50" i="26"/>
  <c r="L50" i="26"/>
  <c r="K50" i="26"/>
  <c r="J50" i="26"/>
  <c r="L49" i="26"/>
  <c r="M49" i="26"/>
  <c r="K49" i="26"/>
  <c r="J49" i="26"/>
  <c r="L48" i="26"/>
  <c r="M48" i="26"/>
  <c r="K48" i="26"/>
  <c r="J48" i="26"/>
  <c r="M47" i="26"/>
  <c r="L47" i="26"/>
  <c r="K47" i="26"/>
  <c r="J47" i="26"/>
  <c r="M46" i="26"/>
  <c r="L46" i="26"/>
  <c r="K46" i="26"/>
  <c r="J46" i="26"/>
  <c r="M45" i="26"/>
  <c r="L45" i="26"/>
  <c r="K45" i="26"/>
  <c r="J45" i="26"/>
  <c r="L44" i="26"/>
  <c r="M44" i="26"/>
  <c r="K44" i="26"/>
  <c r="J44" i="26"/>
  <c r="M43" i="26"/>
  <c r="L43" i="26"/>
  <c r="K43" i="26"/>
  <c r="J43" i="26"/>
  <c r="M42" i="26"/>
  <c r="L42" i="26"/>
  <c r="K42" i="26"/>
  <c r="J42" i="26"/>
  <c r="L41" i="26"/>
  <c r="M41" i="26"/>
  <c r="K41" i="26"/>
  <c r="J41" i="26"/>
  <c r="L40" i="26"/>
  <c r="M40" i="26"/>
  <c r="K40" i="26"/>
  <c r="J40" i="26"/>
  <c r="M39" i="26"/>
  <c r="L39" i="26"/>
  <c r="K39" i="26"/>
  <c r="J39" i="26"/>
  <c r="M38" i="26"/>
  <c r="L38" i="26"/>
  <c r="K38" i="26"/>
  <c r="J38" i="26"/>
  <c r="M37" i="26"/>
  <c r="L37" i="26"/>
  <c r="K37" i="26"/>
  <c r="J37" i="26"/>
  <c r="L36" i="26"/>
  <c r="M36" i="26"/>
  <c r="K36" i="26"/>
  <c r="J36" i="26"/>
  <c r="M35" i="26"/>
  <c r="L35" i="26"/>
  <c r="K35" i="26"/>
  <c r="J35" i="26"/>
  <c r="M34" i="26"/>
  <c r="L34" i="26"/>
  <c r="K34" i="26"/>
  <c r="J34" i="26"/>
  <c r="L33" i="26"/>
  <c r="M33" i="26"/>
  <c r="J33" i="26"/>
  <c r="K33" i="26"/>
  <c r="L32" i="26"/>
  <c r="M32" i="26"/>
  <c r="K32" i="26"/>
  <c r="J32" i="26"/>
  <c r="M31" i="26"/>
  <c r="L31" i="26"/>
  <c r="K31" i="26"/>
  <c r="J31" i="26"/>
  <c r="M30" i="26"/>
  <c r="L30" i="26"/>
  <c r="K30" i="26"/>
  <c r="J30" i="26"/>
  <c r="M29" i="26"/>
  <c r="L29" i="26"/>
  <c r="J29" i="26"/>
  <c r="K29" i="26"/>
  <c r="L28" i="26"/>
  <c r="M28" i="26"/>
  <c r="K28" i="26"/>
  <c r="J28" i="26"/>
  <c r="M27" i="26"/>
  <c r="L27" i="26"/>
  <c r="K27" i="26"/>
  <c r="J27" i="26"/>
  <c r="M26" i="26"/>
  <c r="L26" i="26"/>
  <c r="K26" i="26"/>
  <c r="J26" i="26"/>
  <c r="L25" i="26"/>
  <c r="M25" i="26"/>
  <c r="J25" i="26"/>
  <c r="K25" i="26"/>
  <c r="L24" i="26"/>
  <c r="M24" i="26"/>
  <c r="K24" i="26"/>
  <c r="J24" i="26"/>
  <c r="L23" i="26"/>
  <c r="M23" i="26"/>
  <c r="K23" i="26"/>
  <c r="J23" i="26"/>
  <c r="M22" i="26"/>
  <c r="L22" i="26"/>
  <c r="K22" i="26"/>
  <c r="J22" i="26"/>
  <c r="M21" i="26"/>
  <c r="L21" i="26"/>
  <c r="J21" i="26"/>
  <c r="K21" i="26"/>
  <c r="L20" i="26"/>
  <c r="M20" i="26"/>
  <c r="K20" i="26"/>
  <c r="J20" i="26"/>
  <c r="L19" i="26"/>
  <c r="M19" i="26"/>
  <c r="K19" i="26"/>
  <c r="J19" i="26"/>
  <c r="M18" i="26"/>
  <c r="L18" i="26"/>
  <c r="K18" i="26"/>
  <c r="J18" i="26"/>
  <c r="L17" i="26"/>
  <c r="M17" i="26"/>
  <c r="J17" i="26"/>
  <c r="K17" i="26"/>
  <c r="L16" i="26"/>
  <c r="M16" i="26"/>
  <c r="K16" i="26"/>
  <c r="J16" i="26"/>
  <c r="L15" i="26"/>
  <c r="M15" i="26"/>
  <c r="K15" i="26"/>
  <c r="J15" i="26"/>
  <c r="M14" i="26"/>
  <c r="L14" i="26"/>
  <c r="K14" i="26"/>
  <c r="J14" i="26"/>
  <c r="M13" i="26"/>
  <c r="L13" i="26"/>
  <c r="J13" i="26"/>
  <c r="K13" i="26"/>
  <c r="L12" i="26"/>
  <c r="M12" i="26"/>
  <c r="K12" i="26"/>
  <c r="J12" i="26"/>
  <c r="L11" i="26"/>
  <c r="M11" i="26"/>
  <c r="K11" i="26"/>
  <c r="J11" i="26"/>
  <c r="M10" i="26"/>
  <c r="L10" i="26"/>
  <c r="K10" i="26"/>
  <c r="J10" i="26"/>
  <c r="M9" i="26"/>
  <c r="L9" i="26"/>
  <c r="J9" i="26"/>
  <c r="K9" i="26"/>
  <c r="L8" i="26"/>
  <c r="M8" i="26"/>
  <c r="K8" i="26"/>
  <c r="J8" i="26"/>
  <c r="L7" i="26"/>
  <c r="M7" i="26"/>
  <c r="J7" i="26"/>
  <c r="K7" i="26"/>
  <c r="M6" i="26"/>
  <c r="L6" i="26"/>
  <c r="K6" i="26"/>
  <c r="J6" i="26"/>
  <c r="L5" i="26"/>
  <c r="M5" i="26"/>
  <c r="J5" i="26"/>
  <c r="K5" i="26"/>
  <c r="L4" i="26"/>
  <c r="M4" i="26"/>
  <c r="K4" i="26"/>
  <c r="J4" i="26"/>
  <c r="L3" i="26"/>
  <c r="M3" i="26"/>
  <c r="K3" i="26"/>
  <c r="J3" i="26"/>
  <c r="M2" i="26"/>
  <c r="K2" i="26"/>
  <c r="J2" i="26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5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<sst xmlns="http://schemas.openxmlformats.org/spreadsheetml/2006/main" count="1235" uniqueCount="69">
  <si>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</si>
  <si>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</si>
  <si>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</si>
  <si>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</si>
  <si>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</si>
  <si>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</si>
  <si>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</si>
  <si>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</si>
  <si>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</si>
  <si>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</si>
  <si>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</si>
  <si>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</si>
  <si>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</si>
  <si>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</si>
  <si>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</si>
  <si>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</si>
  <si>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</si>
  <si>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Agua</t>
  </si>
  <si>
    <t>Chori- CRUDO</t>
  </si>
  <si>
    <t>Chorizo</t>
  </si>
  <si>
    <t>Coca cola</t>
  </si>
  <si>
    <t>parri tres carnes</t>
  </si>
  <si>
    <t>Postobon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</si>
  <si>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</si>
  <si>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</si>
  <si>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</si>
  <si>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</si>
  <si>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</si>
  <si>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</si>
  <si>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</si>
  <si>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</si>
  <si>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</si>
  <si>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</si>
  <si>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tinto</t>
  </si>
  <si>
    <t>carne + chorizo</t>
  </si>
  <si>
    <t>DaviPlata</t>
  </si>
  <si>
    <t>id_factura</t>
  </si>
  <si>
    <t>Suma de valor_total</t>
  </si>
  <si>
    <t>Valor venta</t>
  </si>
  <si>
    <t>28-feb</t>
  </si>
  <si>
    <t>Hit</t>
  </si>
  <si>
    <t>parri 48</t>
  </si>
  <si>
    <t>parri 70</t>
  </si>
  <si>
    <t>parri 40</t>
  </si>
  <si>
    <t>valor_factura</t>
  </si>
  <si>
    <t>hora</t>
  </si>
  <si>
    <t>Caja</t>
  </si>
  <si>
    <t>Bancos</t>
  </si>
  <si>
    <t>2-mar</t>
  </si>
  <si>
    <t>3-mar</t>
  </si>
  <si>
    <t>Hamb. CRUDA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</si>
  <si>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</si>
  <si>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</si>
  <si>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</si>
  <si>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</si>
  <si>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</si>
  <si>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</si>
  <si>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</si>
  <si>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</si>
  <si>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Carne con chorizo -30</t>
  </si>
  <si>
    <t>VARIOS: Costillas BBQ</t>
  </si>
  <si>
    <t>Propina - Gustavo</t>
  </si>
  <si>
    <t>Carne con chorizo - 35</t>
  </si>
  <si>
    <t>OTROS: pedazo de carne</t>
  </si>
  <si>
    <t>7-mar</t>
  </si>
  <si>
    <t>OTRO: promo vecino de jenesano</t>
  </si>
  <si>
    <t>Parrilla de 60.000</t>
  </si>
  <si>
    <t>Carne Asada de 40</t>
  </si>
  <si>
    <t>Suma de egreso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</si>
</sst>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  <numFmt numFmtId="166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0" fontId="4" fillId="0" borderId="0" xfId="0" applyFont="1"/>
    <xf numFmtId="22" fontId="4" fillId="0" borderId="1" xfId="0" applyNumberFormat="1" applyFont="1" applyBorder="1"/>
    <xf numFmtId="14" fontId="0" fillId="0" borderId="0" xfId="0" applyNumberFormat="1"/>
    <xf numFmtId="0" fontId="5" fillId="6" borderId="0" xfId="0" applyFont="1" applyFill="1"/>
    <xf numFmtId="165" fontId="6" fillId="7" borderId="2" xfId="0" applyNumberFormat="1" applyFont="1" applyFill="1" applyBorder="1" applyAlignment="1">
      <alignment horizontal="center"/>
    </xf>
    <xf numFmtId="166" fontId="0" fillId="0" borderId="0" xfId="4" applyNumberFormat="1" applyFon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22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openxmlformats.org/officeDocument/2006/relationships/pivotCacheDefinition" Target="pivotCache/pivotCacheDefinition4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9.987808680555" backgroundQuery="1" createdVersion="8" refreshedVersion="8" minRefreshableVersion="3" recordCount="0" supportSubquery="1" supportAdvancedDrill="1" xr:uid="{00000000-000A-0000-FFFF-FFFF0C000000}">
  <cacheSource type="external" connectionId="7"/>
  <cacheFields count="8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5" level="32767"/>
    <cacheField name="[transacciones].[fecha].[fecha]" caption="fecha" numFmtId="0" hierarchy="16" level="1">
      <sharedItems containsSemiMixedTypes="0" containsNonDate="0" containsDate="1" containsString="0" minDate="2026-02-23T16:36:36" maxDate="2026-03-08T18:03:06" count="152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  <d v="2026-03-02T12:16:03"/>
        <d v="2026-03-02T17:17:15"/>
        <d v="2026-03-02T17:39:46"/>
        <d v="2026-03-02T19:48:36"/>
        <d v="2026-03-03T11:48:06"/>
        <d v="2026-03-03T13:14:39"/>
        <d v="2026-03-03T14:50:55"/>
        <d v="2026-03-03T15:58:52"/>
        <d v="2026-03-03T16:00:49"/>
        <d v="2026-03-03T16:58:19"/>
        <d v="2026-03-03T17:29:55"/>
        <d v="2026-03-03T17:47:27"/>
        <d v="2026-03-03T18:06:46"/>
        <d v="2026-03-03T18:18:30"/>
        <d v="2026-03-03T18:21:52"/>
        <d v="2026-03-03T18:30:41"/>
        <d v="2026-03-03T20:27:35"/>
        <d v="2026-03-04T15:08:13"/>
        <d v="2026-03-04T15:12:26"/>
        <d v="2026-03-04T15:59:36"/>
        <d v="2026-03-04T16:34:36"/>
        <d v="2026-03-04T16:34:52"/>
        <d v="2026-03-04T16:36:43"/>
        <d v="2026-03-04T16:50:46"/>
        <d v="2026-03-04T18:47:50"/>
        <d v="2026-03-04T19:18:38"/>
        <d v="2026-03-04T19:27:30"/>
        <d v="2026-03-04T19:57:06"/>
        <d v="2026-03-05T14:02:14"/>
        <d v="2026-03-05T15:03:23"/>
        <d v="2026-03-05T15:20:11"/>
        <d v="2026-03-05T15:34:35"/>
        <d v="2026-03-05T15:48:19"/>
        <d v="2026-03-05T17:12:09"/>
        <d v="2026-03-05T17:17:32"/>
        <d v="2026-03-05T17:44:16"/>
        <d v="2026-03-05T18:06:39"/>
        <d v="2026-03-05T18:31:37"/>
        <d v="2026-03-05T18:50:08"/>
        <d v="2026-03-05T19:15:22"/>
        <d v="2026-03-05T20:14:11"/>
        <d v="2026-03-07T22:58:59"/>
        <d v="2026-03-07T22:59:12"/>
        <d v="2026-03-07T22:59:59"/>
        <d v="2026-03-07T23:00:51"/>
        <d v="2026-03-07T23:01:11"/>
        <d v="2026-03-07T23:03:01"/>
        <d v="2026-03-07T23:04:26"/>
        <d v="2026-03-07T23:06:59"/>
        <d v="2026-03-07T23:09:20"/>
        <d v="2026-03-07T23:09:45"/>
        <d v="2026-03-07T23:11:40"/>
        <d v="2026-03-07T23:12:12"/>
        <d v="2026-03-08T14:10:32"/>
        <d v="2026-03-08T14:10:53"/>
        <d v="2026-03-08T14:20:34"/>
        <d v="2026-03-08T14:54:33"/>
        <d v="2026-03-08T15:07:20"/>
        <d v="2026-03-08T15:08:20"/>
        <d v="2026-03-08T17:22:10"/>
        <d v="2026-03-08T17:27:24"/>
        <d v="2026-03-08T18:03:06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  <x15:cachedUniqueName index="90" name="[transacciones].[fecha].&amp;[2026-03-02T12:16:02.88]"/>
            <x15:cachedUniqueName index="91" name="[transacciones].[fecha].&amp;[2026-03-02T17:17:15.143333]"/>
            <x15:cachedUniqueName index="92" name="[transacciones].[fecha].&amp;[2026-03-02T17:39:45.74]"/>
            <x15:cachedUniqueName index="93" name="[transacciones].[fecha].&amp;[2026-03-02T19:48:36.096667]"/>
            <x15:cachedUniqueName index="94" name="[transacciones].[fecha].&amp;[2026-03-03T11:48:05.906667]"/>
            <x15:cachedUniqueName index="95" name="[transacciones].[fecha].&amp;[2026-03-03T13:14:38.643333]"/>
            <x15:cachedUniqueName index="96" name="[transacciones].[fecha].&amp;[2026-03-03T14:50:55.053333]"/>
            <x15:cachedUniqueName index="97" name="[transacciones].[fecha].&amp;[2026-03-03T15:58:51.913333]"/>
            <x15:cachedUniqueName index="98" name="[transacciones].[fecha].&amp;[2026-03-03T16:00:48.563333]"/>
            <x15:cachedUniqueName index="99" name="[transacciones].[fecha].&amp;[2026-03-03T16:58:19.12]"/>
            <x15:cachedUniqueName index="100" name="[transacciones].[fecha].&amp;[2026-03-03T17:29:55.08]"/>
            <x15:cachedUniqueName index="101" name="[transacciones].[fecha].&amp;[2026-03-03T17:47:27.25]"/>
            <x15:cachedUniqueName index="102" name="[transacciones].[fecha].&amp;[2026-03-03T18:06:45.756667]"/>
            <x15:cachedUniqueName index="103" name="[transacciones].[fecha].&amp;[2026-03-03T18:18:29.76]"/>
            <x15:cachedUniqueName index="104" name="[transacciones].[fecha].&amp;[2026-03-03T18:21:52.263333]"/>
            <x15:cachedUniqueName index="105" name="[transacciones].[fecha].&amp;[2026-03-03T18:30:41.093333]"/>
            <x15:cachedUniqueName index="106" name="[transacciones].[fecha].&amp;[2026-03-03T20:27:35.1]"/>
            <x15:cachedUniqueName index="107" name="[transacciones].[fecha].&amp;[2026-03-04T15:08:13.32]"/>
            <x15:cachedUniqueName index="108" name="[transacciones].[fecha].&amp;[2026-03-04T15:12:25.776667]"/>
            <x15:cachedUniqueName index="109" name="[transacciones].[fecha].&amp;[2026-03-04T15:59:35.606667]"/>
            <x15:cachedUniqueName index="110" name="[transacciones].[fecha].&amp;[2026-03-04T16:34:36.42]"/>
            <x15:cachedUniqueName index="111" name="[transacciones].[fecha].&amp;[2026-03-04T16:34:51.71]"/>
            <x15:cachedUniqueName index="112" name="[transacciones].[fecha].&amp;[2026-03-04T16:36:43.016667]"/>
            <x15:cachedUniqueName index="113" name="[transacciones].[fecha].&amp;[2026-03-04T16:50:45.613333]"/>
            <x15:cachedUniqueName index="114" name="[transacciones].[fecha].&amp;[2026-03-04T18:47:49.79]"/>
            <x15:cachedUniqueName index="115" name="[transacciones].[fecha].&amp;[2026-03-04T19:18:38.126667]"/>
            <x15:cachedUniqueName index="116" name="[transacciones].[fecha].&amp;[2026-03-04T19:27:29.676667]"/>
            <x15:cachedUniqueName index="117" name="[transacciones].[fecha].&amp;[2026-03-04T19:57:06.263333]"/>
            <x15:cachedUniqueName index="118" name="[transacciones].[fecha].&amp;[2026-03-05T14:02:14.06]"/>
            <x15:cachedUniqueName index="119" name="[transacciones].[fecha].&amp;[2026-03-05T15:03:23.333333]"/>
            <x15:cachedUniqueName index="120" name="[transacciones].[fecha].&amp;[2026-03-05T15:20:10.733333]"/>
            <x15:cachedUniqueName index="121" name="[transacciones].[fecha].&amp;[2026-03-05T15:34:35.173333]"/>
            <x15:cachedUniqueName index="122" name="[transacciones].[fecha].&amp;[2026-03-05T15:48:19.453333]"/>
            <x15:cachedUniqueName index="123" name="[transacciones].[fecha].&amp;[2026-03-05T17:12:09.196667]"/>
            <x15:cachedUniqueName index="124" name="[transacciones].[fecha].&amp;[2026-03-05T17:17:32.22]"/>
            <x15:cachedUniqueName index="125" name="[transacciones].[fecha].&amp;[2026-03-05T17:44:15.853333]"/>
            <x15:cachedUniqueName index="126" name="[transacciones].[fecha].&amp;[2026-03-05T18:06:38.936667]"/>
            <x15:cachedUniqueName index="127" name="[transacciones].[fecha].&amp;[2026-03-05T18:31:37.056667]"/>
            <x15:cachedUniqueName index="128" name="[transacciones].[fecha].&amp;[2026-03-05T18:50:07.533333]"/>
            <x15:cachedUniqueName index="129" name="[transacciones].[fecha].&amp;[2026-03-05T19:15:22.323333]"/>
            <x15:cachedUniqueName index="130" name="[transacciones].[fecha].&amp;[2026-03-05T20:14:11.01]"/>
            <x15:cachedUniqueName index="131" name="[transacciones].[fecha].&amp;[2026-03-07T22:58:59]"/>
            <x15:cachedUniqueName index="132" name="[transacciones].[fecha].&amp;[2026-03-07T22:59:12]"/>
            <x15:cachedUniqueName index="133" name="[transacciones].[fecha].&amp;[2026-03-07T22:59:59]"/>
            <x15:cachedUniqueName index="134" name="[transacciones].[fecha].&amp;[2026-03-07T23:00:51]"/>
            <x15:cachedUniqueName index="135" name="[transacciones].[fecha].&amp;[2026-03-07T23:01:11]"/>
            <x15:cachedUniqueName index="136" name="[transacciones].[fecha].&amp;[2026-03-07T23:03:01]"/>
            <x15:cachedUniqueName index="137" name="[transacciones].[fecha].&amp;[2026-03-07T23:04:26]"/>
            <x15:cachedUniqueName index="138" name="[transacciones].[fecha].&amp;[2026-03-07T23:06:59]"/>
            <x15:cachedUniqueName index="139" name="[transacciones].[fecha].&amp;[2026-03-07T23:09:20]"/>
            <x15:cachedUniqueName index="140" name="[transacciones].[fecha].&amp;[2026-03-07T23:09:45]"/>
            <x15:cachedUniqueName index="141" name="[transacciones].[fecha].&amp;[2026-03-07T23:11:40]"/>
            <x15:cachedUniqueName index="142" name="[transacciones].[fecha].&amp;[2026-03-07T23:12:12]"/>
            <x15:cachedUniqueName index="143" name="[transacciones].[fecha].&amp;[2026-03-08T14:10:32.09]"/>
            <x15:cachedUniqueName index="144" name="[transacciones].[fecha].&amp;[2026-03-08T14:10:52.593333]"/>
            <x15:cachedUniqueName index="145" name="[transacciones].[fecha].&amp;[2026-03-08T14:20:34.346667]"/>
            <x15:cachedUniqueName index="146" name="[transacciones].[fecha].&amp;[2026-03-08T14:54:32.713333]"/>
            <x15:cachedUniqueName index="147" name="[transacciones].[fecha].&amp;[2026-03-08T15:07:19.646667]"/>
            <x15:cachedUniqueName index="148" name="[transacciones].[fecha].&amp;[2026-03-08T15:08:19.86]"/>
            <x15:cachedUniqueName index="149" name="[transacciones].[fecha].&amp;[2026-03-08T17:22:09.943333]"/>
            <x15:cachedUniqueName index="150" name="[transacciones].[fecha].&amp;[2026-03-08T17:27:23.96]"/>
            <x15:cachedUniqueName index="151" name="[transacciones].[fecha].&amp;[2026-03-08T18:03:05.876667]"/>
          </x15:cachedUniqueNames>
        </ext>
      </extLst>
    </cacheField>
    <cacheField name="[productos].[nombre_producto].[nombre_producto]" caption="nombre_producto" numFmtId="0" hierarchy="8" level="1">
      <sharedItems count="23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 -30"/>
        <s v="Hamb. CRUDA"/>
        <s v="Ham. combo"/>
        <s v="Ham. sencilla"/>
        <s v="VARIOS: Costillas BBQ"/>
        <s v="Propina - Gustavo"/>
        <s v="OTRO: promo vecino de jenesano"/>
        <s v="Parrilla de 60.000"/>
        <s v="Carne Asada de 40"/>
        <s v="Carne con chorizo - 35"/>
        <s v="OTROS: pedazo de carne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6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157" count="15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</x15:cachedUniqueNames>
        </ext>
      </extLst>
    </cacheField>
  </cacheFields>
  <cacheHierarchies count="47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7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9.987810879633" backgroundQuery="1" createdVersion="8" refreshedVersion="8" minRefreshableVersion="3" recordCount="0" supportSubquery="1" supportAdvancedDrill="1" xr:uid="{00000000-000A-0000-FFFF-FFFF0B000000}">
  <cacheSource type="external" connectionId="7"/>
  <cacheFields count="9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5" level="32767"/>
    <cacheField name="[transacciones].[fecha].[fecha]" caption="fecha" numFmtId="0" hierarchy="16" level="1">
      <sharedItems containsSemiMixedTypes="0" containsNonDate="0" containsDate="1" containsString="0" minDate="2026-02-23T16:36:36" maxDate="2026-03-08T18:03:06" count="152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  <d v="2026-03-02T12:16:03"/>
        <d v="2026-03-02T17:17:15"/>
        <d v="2026-03-02T17:39:46"/>
        <d v="2026-03-02T19:48:36"/>
        <d v="2026-03-03T11:48:06"/>
        <d v="2026-03-03T13:14:39"/>
        <d v="2026-03-03T14:50:55"/>
        <d v="2026-03-03T15:58:52"/>
        <d v="2026-03-03T16:00:49"/>
        <d v="2026-03-03T16:58:19"/>
        <d v="2026-03-03T17:29:55"/>
        <d v="2026-03-03T17:47:27"/>
        <d v="2026-03-03T18:06:46"/>
        <d v="2026-03-03T18:18:30"/>
        <d v="2026-03-03T18:21:52"/>
        <d v="2026-03-03T18:30:41"/>
        <d v="2026-03-03T20:27:35"/>
        <d v="2026-03-04T15:08:13"/>
        <d v="2026-03-04T15:12:26"/>
        <d v="2026-03-04T15:59:36"/>
        <d v="2026-03-04T16:34:36"/>
        <d v="2026-03-04T16:34:52"/>
        <d v="2026-03-04T16:36:43"/>
        <d v="2026-03-04T16:50:46"/>
        <d v="2026-03-04T18:47:50"/>
        <d v="2026-03-04T19:18:38"/>
        <d v="2026-03-04T19:27:30"/>
        <d v="2026-03-04T19:57:06"/>
        <d v="2026-03-05T14:02:14"/>
        <d v="2026-03-05T15:03:23"/>
        <d v="2026-03-05T15:20:11"/>
        <d v="2026-03-05T15:34:35"/>
        <d v="2026-03-05T15:48:19"/>
        <d v="2026-03-05T17:12:09"/>
        <d v="2026-03-05T17:17:32"/>
        <d v="2026-03-05T17:44:16"/>
        <d v="2026-03-05T18:06:39"/>
        <d v="2026-03-05T18:31:37"/>
        <d v="2026-03-05T18:50:08"/>
        <d v="2026-03-05T19:15:22"/>
        <d v="2026-03-05T20:14:11"/>
        <d v="2026-03-07T22:58:59"/>
        <d v="2026-03-07T22:59:12"/>
        <d v="2026-03-07T22:59:59"/>
        <d v="2026-03-07T23:00:51"/>
        <d v="2026-03-07T23:01:11"/>
        <d v="2026-03-07T23:03:01"/>
        <d v="2026-03-07T23:04:26"/>
        <d v="2026-03-07T23:06:59"/>
        <d v="2026-03-07T23:09:20"/>
        <d v="2026-03-07T23:09:45"/>
        <d v="2026-03-07T23:11:40"/>
        <d v="2026-03-07T23:12:12"/>
        <d v="2026-03-08T14:10:32"/>
        <d v="2026-03-08T14:10:53"/>
        <d v="2026-03-08T14:20:34"/>
        <d v="2026-03-08T14:54:33"/>
        <d v="2026-03-08T15:07:20"/>
        <d v="2026-03-08T15:08:20"/>
        <d v="2026-03-08T17:22:10"/>
        <d v="2026-03-08T17:27:24"/>
        <d v="2026-03-08T18:03:06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  <x15:cachedUniqueName index="90" name="[transacciones].[fecha].&amp;[2026-03-02T12:16:02.88]"/>
            <x15:cachedUniqueName index="91" name="[transacciones].[fecha].&amp;[2026-03-02T17:17:15.143333]"/>
            <x15:cachedUniqueName index="92" name="[transacciones].[fecha].&amp;[2026-03-02T17:39:45.74]"/>
            <x15:cachedUniqueName index="93" name="[transacciones].[fecha].&amp;[2026-03-02T19:48:36.096667]"/>
            <x15:cachedUniqueName index="94" name="[transacciones].[fecha].&amp;[2026-03-03T11:48:05.906667]"/>
            <x15:cachedUniqueName index="95" name="[transacciones].[fecha].&amp;[2026-03-03T13:14:38.643333]"/>
            <x15:cachedUniqueName index="96" name="[transacciones].[fecha].&amp;[2026-03-03T14:50:55.053333]"/>
            <x15:cachedUniqueName index="97" name="[transacciones].[fecha].&amp;[2026-03-03T15:58:51.913333]"/>
            <x15:cachedUniqueName index="98" name="[transacciones].[fecha].&amp;[2026-03-03T16:00:48.563333]"/>
            <x15:cachedUniqueName index="99" name="[transacciones].[fecha].&amp;[2026-03-03T16:58:19.12]"/>
            <x15:cachedUniqueName index="100" name="[transacciones].[fecha].&amp;[2026-03-03T17:29:55.08]"/>
            <x15:cachedUniqueName index="101" name="[transacciones].[fecha].&amp;[2026-03-03T17:47:27.25]"/>
            <x15:cachedUniqueName index="102" name="[transacciones].[fecha].&amp;[2026-03-03T18:06:45.756667]"/>
            <x15:cachedUniqueName index="103" name="[transacciones].[fecha].&amp;[2026-03-03T18:18:29.76]"/>
            <x15:cachedUniqueName index="104" name="[transacciones].[fecha].&amp;[2026-03-03T18:21:52.263333]"/>
            <x15:cachedUniqueName index="105" name="[transacciones].[fecha].&amp;[2026-03-03T18:30:41.093333]"/>
            <x15:cachedUniqueName index="106" name="[transacciones].[fecha].&amp;[2026-03-03T20:27:35.1]"/>
            <x15:cachedUniqueName index="107" name="[transacciones].[fecha].&amp;[2026-03-04T15:08:13.32]"/>
            <x15:cachedUniqueName index="108" name="[transacciones].[fecha].&amp;[2026-03-04T15:12:25.776667]"/>
            <x15:cachedUniqueName index="109" name="[transacciones].[fecha].&amp;[2026-03-04T15:59:35.606667]"/>
            <x15:cachedUniqueName index="110" name="[transacciones].[fecha].&amp;[2026-03-04T16:34:36.42]"/>
            <x15:cachedUniqueName index="111" name="[transacciones].[fecha].&amp;[2026-03-04T16:34:51.71]"/>
            <x15:cachedUniqueName index="112" name="[transacciones].[fecha].&amp;[2026-03-04T16:36:43.016667]"/>
            <x15:cachedUniqueName index="113" name="[transacciones].[fecha].&amp;[2026-03-04T16:50:45.613333]"/>
            <x15:cachedUniqueName index="114" name="[transacciones].[fecha].&amp;[2026-03-04T18:47:49.79]"/>
            <x15:cachedUniqueName index="115" name="[transacciones].[fecha].&amp;[2026-03-04T19:18:38.126667]"/>
            <x15:cachedUniqueName index="116" name="[transacciones].[fecha].&amp;[2026-03-04T19:27:29.676667]"/>
            <x15:cachedUniqueName index="117" name="[transacciones].[fecha].&amp;[2026-03-04T19:57:06.263333]"/>
            <x15:cachedUniqueName index="118" name="[transacciones].[fecha].&amp;[2026-03-05T14:02:14.06]"/>
            <x15:cachedUniqueName index="119" name="[transacciones].[fecha].&amp;[2026-03-05T15:03:23.333333]"/>
            <x15:cachedUniqueName index="120" name="[transacciones].[fecha].&amp;[2026-03-05T15:20:10.733333]"/>
            <x15:cachedUniqueName index="121" name="[transacciones].[fecha].&amp;[2026-03-05T15:34:35.173333]"/>
            <x15:cachedUniqueName index="122" name="[transacciones].[fecha].&amp;[2026-03-05T15:48:19.453333]"/>
            <x15:cachedUniqueName index="123" name="[transacciones].[fecha].&amp;[2026-03-05T17:12:09.196667]"/>
            <x15:cachedUniqueName index="124" name="[transacciones].[fecha].&amp;[2026-03-05T17:17:32.22]"/>
            <x15:cachedUniqueName index="125" name="[transacciones].[fecha].&amp;[2026-03-05T17:44:15.853333]"/>
            <x15:cachedUniqueName index="126" name="[transacciones].[fecha].&amp;[2026-03-05T18:06:38.936667]"/>
            <x15:cachedUniqueName index="127" name="[transacciones].[fecha].&amp;[2026-03-05T18:31:37.056667]"/>
            <x15:cachedUniqueName index="128" name="[transacciones].[fecha].&amp;[2026-03-05T18:50:07.533333]"/>
            <x15:cachedUniqueName index="129" name="[transacciones].[fecha].&amp;[2026-03-05T19:15:22.323333]"/>
            <x15:cachedUniqueName index="130" name="[transacciones].[fecha].&amp;[2026-03-05T20:14:11.01]"/>
            <x15:cachedUniqueName index="131" name="[transacciones].[fecha].&amp;[2026-03-07T22:58:59]"/>
            <x15:cachedUniqueName index="132" name="[transacciones].[fecha].&amp;[2026-03-07T22:59:12]"/>
            <x15:cachedUniqueName index="133" name="[transacciones].[fecha].&amp;[2026-03-07T22:59:59]"/>
            <x15:cachedUniqueName index="134" name="[transacciones].[fecha].&amp;[2026-03-07T23:00:51]"/>
            <x15:cachedUniqueName index="135" name="[transacciones].[fecha].&amp;[2026-03-07T23:01:11]"/>
            <x15:cachedUniqueName index="136" name="[transacciones].[fecha].&amp;[2026-03-07T23:03:01]"/>
            <x15:cachedUniqueName index="137" name="[transacciones].[fecha].&amp;[2026-03-07T23:04:26]"/>
            <x15:cachedUniqueName index="138" name="[transacciones].[fecha].&amp;[2026-03-07T23:06:59]"/>
            <x15:cachedUniqueName index="139" name="[transacciones].[fecha].&amp;[2026-03-07T23:09:20]"/>
            <x15:cachedUniqueName index="140" name="[transacciones].[fecha].&amp;[2026-03-07T23:09:45]"/>
            <x15:cachedUniqueName index="141" name="[transacciones].[fecha].&amp;[2026-03-07T23:11:40]"/>
            <x15:cachedUniqueName index="142" name="[transacciones].[fecha].&amp;[2026-03-07T23:12:12]"/>
            <x15:cachedUniqueName index="143" name="[transacciones].[fecha].&amp;[2026-03-08T14:10:32.09]"/>
            <x15:cachedUniqueName index="144" name="[transacciones].[fecha].&amp;[2026-03-08T14:10:52.593333]"/>
            <x15:cachedUniqueName index="145" name="[transacciones].[fecha].&amp;[2026-03-08T14:20:34.346667]"/>
            <x15:cachedUniqueName index="146" name="[transacciones].[fecha].&amp;[2026-03-08T14:54:32.713333]"/>
            <x15:cachedUniqueName index="147" name="[transacciones].[fecha].&amp;[2026-03-08T15:07:19.646667]"/>
            <x15:cachedUniqueName index="148" name="[transacciones].[fecha].&amp;[2026-03-08T15:08:19.86]"/>
            <x15:cachedUniqueName index="149" name="[transacciones].[fecha].&amp;[2026-03-08T17:22:09.943333]"/>
            <x15:cachedUniqueName index="150" name="[transacciones].[fecha].&amp;[2026-03-08T17:27:23.96]"/>
            <x15:cachedUniqueName index="151" name="[transacciones].[fecha].&amp;[2026-03-08T18:03:05.876667]"/>
          </x15:cachedUniqueNames>
        </ext>
      </extLst>
    </cacheField>
    <cacheField name="[productos].[nombre_producto].[nombre_producto]" caption="nombre_producto" numFmtId="0" hierarchy="8" level="1">
      <sharedItems count="23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 -30"/>
        <s v="Hamb. CRUDA"/>
        <s v="Ham. combo"/>
        <s v="Ham. sencilla"/>
        <s v="VARIOS: Costillas BBQ"/>
        <s v="Propina - Gustavo"/>
        <s v="OTRO: promo vecino de jenesano"/>
        <s v="Parrilla de 60.000"/>
        <s v="Carne Asada de 40"/>
        <s v="Carne con chorizo - 35"/>
        <s v="OTROS: pedazo de carne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6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</sharedItems>
    </cacheField>
    <cacheField name="[transacciones].[fecha (día)].[fecha (día)]" caption="fecha (día)" numFmtId="0" hierarchy="20" level="1">
      <sharedItems count="1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157" count="15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</x15:cachedUniqueNames>
        </ext>
      </extLst>
    </cacheField>
  </cacheFields>
  <cacheHierarchies count="47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9.98781215278" backgroundQuery="1" createdVersion="8" refreshedVersion="8" minRefreshableVersion="3" recordCount="0" supportSubquery="1" supportAdvancedDrill="1" xr:uid="{00000000-000A-0000-FFFF-FFFF0A000000}">
  <cacheSource type="external" connectionId="7"/>
  <cacheFields count="4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DaviPlata"/>
        <s v="EFECTIVO"/>
        <s v="NEQUI"/>
      </sharedItems>
    </cacheField>
    <cacheField name="[transacciones].[fecha (día)].[fecha (día)]" caption="fecha (día)" numFmtId="0" hierarchy="20" level="1">
      <sharedItems count="1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</sharedItems>
    </cacheField>
    <cacheField name="[Measures].[Suma de valor_total]" caption="Suma de valor_total" numFmtId="0" hierarchy="46" level="32767"/>
  </cacheFields>
  <cacheHierarchies count="47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9.993943287038" backgroundQuery="1" createdVersion="8" refreshedVersion="8" minRefreshableVersion="3" recordCount="0" supportSubquery="1" supportAdvancedDrill="1" xr:uid="{270EB423-0245-4A00-AE85-55873B78BE99}">
  <cacheSource type="external" connectionId="7"/>
  <cacheFields count="4"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3">
        <s v="EFECTIVO"/>
        <s v="DaviPlata"/>
        <s v="NEQUI"/>
      </sharedItems>
    </cacheField>
    <cacheField name="[Measures].[Suma de entrada]" caption="Suma de entrada" numFmtId="0" hierarchy="36" level="32767"/>
    <cacheField name="[transacciones].[fecha (día)].[fecha (día)]" caption="fecha (día)" numFmtId="0" hierarchy="20" level="1">
      <sharedItems count="1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</sharedItems>
    </cacheField>
  </cacheFields>
  <cacheHierarchies count="47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2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9.996588773145" backgroundQuery="1" createdVersion="8" refreshedVersion="8" minRefreshableVersion="3" recordCount="0" supportSubquery="1" supportAdvancedDrill="1" xr:uid="{28759730-82BB-4BCC-BE2F-0344C3634468}">
  <cacheSource type="external" connectionId="7"/>
  <cacheFields count="4"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3">
        <s v="DaviPlata"/>
        <s v="EFECTIVO"/>
        <s v="NEQUI"/>
      </sharedItems>
    </cacheField>
    <cacheField name="[transacciones].[fecha (día)].[fecha (día)]" caption="fecha (día)" numFmtId="0" hierarchy="20" level="1">
      <sharedItems count="1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</sharedItems>
    </cacheField>
    <cacheField name="[Measures].[Suma de egreso]" caption="Suma de egreso" numFmtId="0" hierarchy="38" level="32767"/>
  </cacheFields>
  <cacheHierarchies count="47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2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G230" firstHeaderRow="1" firstDataRow="1" firstDataCol="6" rowPageCount="1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3"/>
    <field x="7"/>
    <field x="4"/>
    <field x="6"/>
    <field x="1"/>
    <field x="5"/>
  </rowFields>
  <rowItems count="226">
    <i>
      <x/>
      <x/>
      <x/>
      <x/>
      <x/>
      <x/>
    </i>
    <i>
      <x v="1"/>
      <x v="1"/>
      <x/>
      <x/>
      <x v="1"/>
      <x v="1"/>
    </i>
    <i>
      <x v="2"/>
      <x v="2"/>
      <x/>
      <x/>
      <x/>
      <x/>
    </i>
    <i r="2">
      <x v="1"/>
      <x v="1"/>
      <x/>
      <x/>
    </i>
    <i>
      <x v="3"/>
      <x v="3"/>
      <x/>
      <x/>
      <x v="1"/>
      <x v="2"/>
    </i>
    <i>
      <x v="4"/>
      <x v="4"/>
      <x v="2"/>
      <x v="1"/>
      <x/>
      <x/>
    </i>
    <i r="2">
      <x/>
      <x/>
      <x/>
      <x/>
    </i>
    <i>
      <x v="5"/>
      <x v="5"/>
      <x/>
      <x/>
      <x/>
      <x/>
    </i>
    <i r="2">
      <x v="3"/>
      <x v="1"/>
      <x/>
      <x v="1"/>
    </i>
    <i>
      <x v="6"/>
      <x v="6"/>
      <x/>
      <x/>
      <x/>
      <x v="1"/>
    </i>
    <i>
      <x v="7"/>
      <x v="7"/>
      <x/>
      <x/>
      <x/>
      <x/>
    </i>
    <i r="2">
      <x v="1"/>
      <x v="1"/>
      <x/>
      <x/>
    </i>
    <i>
      <x v="8"/>
      <x v="8"/>
      <x/>
      <x/>
      <x/>
      <x v="2"/>
    </i>
    <i>
      <x v="9"/>
      <x v="9"/>
      <x/>
      <x/>
      <x/>
      <x v="1"/>
    </i>
    <i>
      <x v="10"/>
      <x v="10"/>
      <x/>
      <x/>
      <x/>
      <x v="1"/>
    </i>
    <i>
      <x v="11"/>
      <x v="11"/>
      <x/>
      <x/>
      <x/>
      <x v="1"/>
    </i>
    <i r="2">
      <x v="3"/>
      <x v="1"/>
      <x/>
      <x v="1"/>
    </i>
    <i>
      <x v="12"/>
      <x v="12"/>
      <x/>
      <x/>
      <x/>
      <x v="2"/>
    </i>
    <i>
      <x v="13"/>
      <x v="13"/>
      <x/>
      <x/>
      <x/>
      <x v="1"/>
    </i>
    <i>
      <x v="14"/>
      <x v="14"/>
      <x/>
      <x/>
      <x/>
      <x v="3"/>
    </i>
    <i>
      <x v="15"/>
      <x v="15"/>
      <x/>
      <x/>
      <x/>
      <x v="2"/>
    </i>
    <i>
      <x v="16"/>
      <x v="16"/>
      <x/>
      <x/>
      <x/>
      <x v="1"/>
    </i>
    <i>
      <x v="17"/>
      <x v="17"/>
      <x/>
      <x/>
      <x/>
      <x v="1"/>
    </i>
    <i>
      <x v="18"/>
      <x v="18"/>
      <x/>
      <x/>
      <x/>
      <x/>
    </i>
    <i>
      <x v="19"/>
      <x v="19"/>
      <x/>
      <x/>
      <x/>
      <x v="1"/>
    </i>
    <i>
      <x v="20"/>
      <x v="20"/>
      <x v="4"/>
      <x v="2"/>
      <x/>
      <x/>
    </i>
    <i r="2">
      <x/>
      <x/>
      <x/>
      <x v="1"/>
    </i>
    <i>
      <x v="21"/>
      <x v="21"/>
      <x/>
      <x/>
      <x/>
      <x v="1"/>
    </i>
    <i>
      <x v="22"/>
      <x v="22"/>
      <x/>
      <x/>
      <x v="1"/>
      <x v="1"/>
    </i>
    <i>
      <x v="23"/>
      <x v="23"/>
      <x/>
      <x/>
      <x/>
      <x v="1"/>
    </i>
    <i>
      <x v="24"/>
      <x v="24"/>
      <x v="2"/>
      <x v="1"/>
      <x/>
      <x v="1"/>
    </i>
    <i r="2">
      <x/>
      <x/>
      <x/>
      <x v="2"/>
    </i>
    <i r="2">
      <x v="3"/>
      <x v="1"/>
      <x/>
      <x v="1"/>
    </i>
    <i>
      <x v="25"/>
      <x v="25"/>
      <x/>
      <x/>
      <x/>
      <x v="4"/>
    </i>
    <i r="2">
      <x v="1"/>
      <x v="1"/>
      <x/>
      <x/>
    </i>
    <i>
      <x v="26"/>
      <x v="26"/>
      <x/>
      <x/>
      <x/>
      <x v="1"/>
    </i>
    <i>
      <x v="27"/>
      <x v="27"/>
      <x/>
      <x/>
      <x/>
      <x v="1"/>
    </i>
    <i>
      <x v="28"/>
      <x v="28"/>
      <x/>
      <x/>
      <x/>
      <x v="1"/>
    </i>
    <i>
      <x v="29"/>
      <x v="29"/>
      <x/>
      <x/>
      <x/>
      <x v="1"/>
    </i>
    <i>
      <x v="30"/>
      <x v="30"/>
      <x v="5"/>
      <x v="3"/>
      <x/>
      <x v="1"/>
    </i>
    <i>
      <x v="31"/>
      <x v="31"/>
      <x v="5"/>
      <x v="3"/>
      <x/>
      <x v="1"/>
    </i>
    <i>
      <x v="32"/>
      <x v="32"/>
      <x/>
      <x/>
      <x/>
      <x/>
    </i>
    <i>
      <x v="33"/>
      <x v="33"/>
      <x/>
      <x/>
      <x/>
      <x v="1"/>
    </i>
    <i>
      <x v="34"/>
      <x v="34"/>
      <x/>
      <x/>
      <x v="1"/>
      <x v="1"/>
    </i>
    <i>
      <x v="35"/>
      <x v="35"/>
      <x/>
      <x/>
      <x/>
      <x v="1"/>
    </i>
    <i>
      <x v="36"/>
      <x v="36"/>
      <x/>
      <x/>
      <x/>
      <x v="1"/>
    </i>
    <i>
      <x v="37"/>
      <x v="37"/>
      <x/>
      <x/>
      <x/>
      <x v="1"/>
    </i>
    <i>
      <x v="38"/>
      <x v="38"/>
      <x/>
      <x/>
      <x/>
      <x v="3"/>
    </i>
    <i>
      <x v="39"/>
      <x v="39"/>
      <x v="1"/>
      <x v="1"/>
      <x/>
      <x/>
    </i>
    <i r="2">
      <x v="3"/>
      <x v="1"/>
      <x/>
      <x v="1"/>
    </i>
    <i>
      <x v="40"/>
      <x v="40"/>
      <x/>
      <x/>
      <x/>
      <x v="2"/>
    </i>
    <i>
      <x v="41"/>
      <x v="41"/>
      <x/>
      <x/>
      <x v="1"/>
      <x v="1"/>
    </i>
    <i>
      <x v="42"/>
      <x v="42"/>
      <x/>
      <x/>
      <x/>
      <x v="1"/>
    </i>
    <i r="2">
      <x v="1"/>
      <x v="1"/>
      <x/>
      <x v="1"/>
    </i>
    <i>
      <x v="43"/>
      <x v="43"/>
      <x v="4"/>
      <x v="2"/>
      <x v="1"/>
      <x v="3"/>
    </i>
    <i>
      <x v="44"/>
      <x v="44"/>
      <x v="5"/>
      <x v="3"/>
      <x/>
      <x v="1"/>
    </i>
    <i r="2">
      <x v="3"/>
      <x v="1"/>
      <x/>
      <x v="1"/>
    </i>
    <i>
      <x v="45"/>
      <x v="45"/>
      <x/>
      <x/>
      <x/>
      <x/>
    </i>
    <i>
      <x v="46"/>
      <x v="46"/>
      <x/>
      <x/>
      <x/>
      <x/>
    </i>
    <i>
      <x v="47"/>
      <x v="47"/>
      <x/>
      <x/>
      <x/>
      <x v="4"/>
    </i>
    <i>
      <x v="48"/>
      <x v="48"/>
      <x/>
      <x/>
      <x v="1"/>
      <x v="1"/>
    </i>
    <i>
      <x v="49"/>
      <x v="49"/>
      <x/>
      <x/>
      <x/>
      <x/>
    </i>
    <i>
      <x v="50"/>
      <x v="50"/>
      <x v="4"/>
      <x v="2"/>
      <x/>
      <x/>
    </i>
    <i>
      <x v="51"/>
      <x v="51"/>
      <x/>
      <x/>
      <x/>
      <x/>
    </i>
    <i>
      <x v="52"/>
      <x v="52"/>
      <x v="6"/>
      <x v="4"/>
      <x v="1"/>
      <x v="1"/>
    </i>
    <i>
      <x v="53"/>
      <x v="53"/>
      <x/>
      <x/>
      <x v="1"/>
      <x v="3"/>
    </i>
    <i r="2">
      <x v="3"/>
      <x v="1"/>
      <x v="1"/>
      <x v="2"/>
    </i>
    <i>
      <x v="54"/>
      <x v="54"/>
      <x/>
      <x/>
      <x/>
      <x v="1"/>
    </i>
    <i>
      <x v="55"/>
      <x v="55"/>
      <x/>
      <x/>
      <x v="1"/>
      <x v="1"/>
    </i>
    <i>
      <x v="56"/>
      <x v="56"/>
      <x/>
      <x/>
      <x/>
      <x v="1"/>
    </i>
    <i>
      <x v="57"/>
      <x v="57"/>
      <x/>
      <x/>
      <x v="1"/>
      <x v="1"/>
    </i>
    <i>
      <x v="58"/>
      <x v="58"/>
      <x/>
      <x/>
      <x/>
      <x/>
    </i>
    <i>
      <x v="59"/>
      <x v="59"/>
      <x/>
      <x/>
      <x v="1"/>
      <x/>
    </i>
    <i r="2">
      <x v="1"/>
      <x v="1"/>
      <x v="1"/>
      <x v="1"/>
    </i>
    <i>
      <x v="60"/>
      <x v="60"/>
      <x/>
      <x/>
      <x/>
      <x v="1"/>
    </i>
    <i>
      <x v="61"/>
      <x v="61"/>
      <x/>
      <x/>
      <x/>
      <x v="1"/>
    </i>
    <i>
      <x v="62"/>
      <x v="62"/>
      <x/>
      <x/>
      <x/>
      <x v="1"/>
    </i>
    <i r="2">
      <x v="3"/>
      <x v="1"/>
      <x/>
      <x v="1"/>
    </i>
    <i>
      <x v="63"/>
      <x v="63"/>
      <x/>
      <x/>
      <x v="1"/>
      <x v="1"/>
    </i>
    <i>
      <x v="64"/>
      <x v="64"/>
      <x/>
      <x/>
      <x v="1"/>
      <x v="1"/>
    </i>
    <i>
      <x v="65"/>
      <x v="65"/>
      <x/>
      <x/>
      <x v="1"/>
      <x v="1"/>
    </i>
    <i r="2">
      <x v="3"/>
      <x v="1"/>
      <x v="1"/>
      <x v="1"/>
    </i>
    <i>
      <x v="66"/>
      <x v="66"/>
      <x/>
      <x/>
      <x/>
      <x v="1"/>
    </i>
    <i>
      <x v="67"/>
      <x v="67"/>
      <x/>
      <x/>
      <x/>
      <x v="1"/>
    </i>
    <i r="2">
      <x v="5"/>
      <x v="3"/>
      <x/>
      <x v="1"/>
    </i>
    <i r="2">
      <x v="7"/>
      <x v="5"/>
      <x/>
      <x v="1"/>
    </i>
    <i>
      <x v="68"/>
      <x v="68"/>
      <x/>
      <x/>
      <x/>
      <x v="2"/>
    </i>
    <i r="2">
      <x v="1"/>
      <x v="1"/>
      <x/>
      <x/>
    </i>
    <i r="2">
      <x v="5"/>
      <x v="3"/>
      <x/>
      <x v="1"/>
    </i>
    <i>
      <x v="69"/>
      <x v="69"/>
      <x/>
      <x/>
      <x/>
      <x/>
    </i>
    <i r="2">
      <x v="1"/>
      <x v="1"/>
      <x/>
      <x v="1"/>
    </i>
    <i>
      <x v="70"/>
      <x v="70"/>
      <x/>
      <x/>
      <x v="1"/>
      <x v="2"/>
    </i>
    <i>
      <x v="71"/>
      <x v="71"/>
      <x v="2"/>
      <x v="1"/>
      <x v="2"/>
      <x v="1"/>
    </i>
    <i r="2">
      <x/>
      <x/>
      <x v="2"/>
      <x v="1"/>
    </i>
    <i>
      <x v="72"/>
      <x v="72"/>
      <x/>
      <x/>
      <x v="1"/>
      <x/>
    </i>
    <i>
      <x v="73"/>
      <x v="73"/>
      <x/>
      <x/>
      <x/>
      <x v="4"/>
    </i>
    <i r="2">
      <x v="1"/>
      <x v="1"/>
      <x/>
      <x v="2"/>
    </i>
    <i>
      <x v="74"/>
      <x v="74"/>
      <x/>
      <x/>
      <x/>
      <x v="1"/>
    </i>
    <i>
      <x v="75"/>
      <x v="75"/>
      <x v="4"/>
      <x v="2"/>
      <x/>
      <x v="5"/>
    </i>
    <i>
      <x v="76"/>
      <x v="76"/>
      <x/>
      <x/>
      <x v="1"/>
      <x/>
    </i>
    <i>
      <x v="77"/>
      <x v="77"/>
      <x v="2"/>
      <x v="1"/>
      <x v="1"/>
      <x v="1"/>
    </i>
    <i r="2">
      <x/>
      <x/>
      <x v="1"/>
      <x v="1"/>
    </i>
    <i r="2">
      <x v="7"/>
      <x v="5"/>
      <x v="1"/>
      <x v="1"/>
    </i>
    <i>
      <x v="78"/>
      <x v="78"/>
      <x/>
      <x/>
      <x/>
      <x/>
    </i>
    <i r="2">
      <x v="1"/>
      <x v="1"/>
      <x/>
      <x v="1"/>
    </i>
    <i>
      <x v="79"/>
      <x v="79"/>
      <x/>
      <x/>
      <x/>
      <x/>
    </i>
    <i r="2">
      <x v="1"/>
      <x v="1"/>
      <x/>
      <x v="1"/>
    </i>
    <i>
      <x v="80"/>
      <x v="80"/>
      <x/>
      <x/>
      <x/>
      <x v="1"/>
    </i>
    <i r="2">
      <x v="1"/>
      <x v="1"/>
      <x/>
      <x v="1"/>
    </i>
    <i>
      <x v="81"/>
      <x v="81"/>
      <x/>
      <x/>
      <x/>
      <x v="4"/>
    </i>
    <i r="2">
      <x v="1"/>
      <x v="1"/>
      <x/>
      <x/>
    </i>
    <i>
      <x v="82"/>
      <x v="82"/>
      <x/>
      <x/>
      <x/>
      <x/>
    </i>
    <i>
      <x v="83"/>
      <x v="83"/>
      <x/>
      <x/>
      <x/>
      <x v="2"/>
    </i>
    <i r="2">
      <x v="8"/>
      <x v="2"/>
      <x/>
      <x v="1"/>
    </i>
    <i>
      <x v="84"/>
      <x v="84"/>
      <x v="5"/>
      <x v="3"/>
      <x/>
      <x v="1"/>
    </i>
    <i>
      <x v="85"/>
      <x v="85"/>
      <x v="5"/>
      <x v="3"/>
      <x/>
      <x v="1"/>
    </i>
    <i>
      <x v="86"/>
      <x v="86"/>
      <x v="9"/>
      <x v="6"/>
      <x/>
      <x v="1"/>
    </i>
    <i>
      <x v="87"/>
      <x v="87"/>
      <x v="10"/>
      <x v="7"/>
      <x/>
      <x/>
    </i>
    <i>
      <x v="88"/>
      <x v="88"/>
      <x v="11"/>
      <x v="8"/>
      <x/>
      <x v="1"/>
    </i>
    <i>
      <x v="89"/>
      <x v="89"/>
      <x v="4"/>
      <x v="2"/>
      <x v="1"/>
      <x v="4"/>
    </i>
    <i>
      <x v="90"/>
      <x v="90"/>
      <x/>
      <x/>
      <x/>
      <x v="1"/>
    </i>
    <i r="2">
      <x v="1"/>
      <x v="1"/>
      <x/>
      <x v="1"/>
    </i>
    <i>
      <x v="91"/>
      <x v="91"/>
      <x/>
      <x/>
      <x/>
      <x v="1"/>
    </i>
    <i>
      <x v="92"/>
      <x v="92"/>
      <x/>
      <x/>
      <x/>
      <x v="1"/>
    </i>
    <i>
      <x v="93"/>
      <x v="93"/>
      <x/>
      <x/>
      <x/>
      <x v="2"/>
    </i>
    <i r="2">
      <x v="1"/>
      <x v="1"/>
      <x/>
      <x v="1"/>
    </i>
    <i r="2">
      <x v="3"/>
      <x v="1"/>
      <x/>
      <x/>
    </i>
    <i>
      <x v="94"/>
      <x v="94"/>
      <x v="1"/>
      <x v="1"/>
      <x/>
      <x/>
    </i>
    <i>
      <x v="95"/>
      <x v="95"/>
      <x/>
      <x/>
      <x/>
      <x v="1"/>
    </i>
    <i>
      <x v="96"/>
      <x v="96"/>
      <x/>
      <x/>
      <x/>
      <x v="1"/>
    </i>
    <i>
      <x v="97"/>
      <x v="97"/>
      <x/>
      <x/>
      <x/>
      <x v="1"/>
    </i>
    <i r="2">
      <x v="8"/>
      <x v="2"/>
      <x/>
      <x v="1"/>
    </i>
    <i>
      <x v="98"/>
      <x v="98"/>
      <x/>
      <x/>
      <x/>
      <x v="1"/>
    </i>
    <i>
      <x v="99"/>
      <x v="99"/>
      <x v="12"/>
      <x v="9"/>
      <x v="1"/>
      <x v="1"/>
    </i>
    <i r="2">
      <x v="1"/>
      <x v="1"/>
      <x v="1"/>
      <x v="1"/>
    </i>
    <i>
      <x v="100"/>
      <x v="100"/>
      <x/>
      <x/>
      <x/>
      <x v="1"/>
    </i>
    <i>
      <x v="101"/>
      <x v="101"/>
      <x v="4"/>
      <x v="2"/>
      <x/>
      <x/>
    </i>
    <i r="2">
      <x/>
      <x/>
      <x/>
      <x v="1"/>
    </i>
    <i>
      <x v="102"/>
      <x v="102"/>
      <x/>
      <x/>
      <x/>
      <x v="1"/>
    </i>
    <i r="2">
      <x v="1"/>
      <x v="1"/>
      <x/>
      <x v="1"/>
    </i>
    <i>
      <x v="103"/>
      <x v="103"/>
      <x v="8"/>
      <x v="2"/>
      <x/>
      <x v="1"/>
    </i>
    <i>
      <x v="104"/>
      <x v="104"/>
      <x/>
      <x/>
      <x v="2"/>
      <x v="1"/>
    </i>
    <i r="2">
      <x v="1"/>
      <x v="1"/>
      <x v="2"/>
      <x v="1"/>
    </i>
    <i>
      <x v="105"/>
      <x v="105"/>
      <x v="13"/>
      <x v="10"/>
      <x v="1"/>
      <x v="4"/>
    </i>
    <i>
      <x v="106"/>
      <x v="106"/>
      <x/>
      <x/>
      <x/>
      <x/>
    </i>
    <i r="2">
      <x v="1"/>
      <x v="1"/>
      <x/>
      <x/>
    </i>
    <i>
      <x v="107"/>
      <x v="107"/>
      <x/>
      <x/>
      <x/>
      <x v="1"/>
    </i>
    <i r="2">
      <x v="1"/>
      <x v="1"/>
      <x/>
      <x v="1"/>
    </i>
    <i r="2">
      <x v="14"/>
      <x v="11"/>
      <x/>
      <x v="1"/>
    </i>
    <i>
      <x v="108"/>
      <x v="108"/>
      <x/>
      <x/>
      <x/>
      <x v="1"/>
    </i>
    <i>
      <x v="109"/>
      <x v="109"/>
      <x/>
      <x/>
      <x/>
      <x v="1"/>
    </i>
    <i>
      <x v="110"/>
      <x v="110"/>
      <x/>
      <x/>
      <x/>
      <x v="1"/>
    </i>
    <i r="2">
      <x v="1"/>
      <x v="1"/>
      <x/>
      <x v="1"/>
    </i>
    <i>
      <x v="111"/>
      <x v="111"/>
      <x v="2"/>
      <x v="1"/>
      <x/>
      <x/>
    </i>
    <i>
      <x v="112"/>
      <x v="112"/>
      <x v="14"/>
      <x v="11"/>
      <x/>
      <x v="1"/>
    </i>
    <i r="2">
      <x v="15"/>
      <x v="12"/>
      <x/>
      <x v="1"/>
    </i>
    <i>
      <x v="113"/>
      <x v="113"/>
      <x v="6"/>
      <x v="4"/>
      <x v="1"/>
      <x v="1"/>
    </i>
    <i r="2">
      <x/>
      <x/>
      <x v="1"/>
      <x v="2"/>
    </i>
    <i r="2">
      <x v="1"/>
      <x v="1"/>
      <x v="1"/>
      <x/>
    </i>
    <i r="2">
      <x v="3"/>
      <x v="1"/>
      <x v="1"/>
      <x v="2"/>
    </i>
    <i>
      <x v="114"/>
      <x v="114"/>
      <x v="4"/>
      <x v="2"/>
      <x/>
      <x v="4"/>
    </i>
    <i>
      <x v="115"/>
      <x v="115"/>
      <x/>
      <x/>
      <x/>
      <x v="4"/>
    </i>
    <i>
      <x v="116"/>
      <x v="116"/>
      <x/>
      <x/>
      <x v="1"/>
      <x/>
    </i>
    <i r="2">
      <x v="1"/>
      <x v="1"/>
      <x v="1"/>
      <x v="1"/>
    </i>
    <i>
      <x v="117"/>
      <x v="117"/>
      <x/>
      <x/>
      <x/>
      <x v="3"/>
    </i>
    <i r="2">
      <x v="1"/>
      <x v="1"/>
      <x/>
      <x/>
    </i>
    <i r="2">
      <x v="3"/>
      <x v="1"/>
      <x/>
      <x v="2"/>
    </i>
    <i r="2">
      <x v="16"/>
      <x v="13"/>
      <x/>
      <x v="1"/>
    </i>
    <i>
      <x v="118"/>
      <x v="118"/>
      <x v="12"/>
      <x v="9"/>
      <x v="1"/>
      <x v="1"/>
    </i>
    <i r="2">
      <x v="17"/>
      <x v="10"/>
      <x v="1"/>
      <x v="1"/>
    </i>
    <i>
      <x v="119"/>
      <x v="119"/>
      <x/>
      <x/>
      <x/>
      <x/>
    </i>
    <i r="2">
      <x v="1"/>
      <x v="1"/>
      <x/>
      <x/>
    </i>
    <i>
      <x v="120"/>
      <x v="120"/>
      <x/>
      <x/>
      <x/>
      <x v="4"/>
    </i>
    <i r="2">
      <x v="8"/>
      <x v="2"/>
      <x/>
      <x v="1"/>
    </i>
    <i>
      <x v="121"/>
      <x v="121"/>
      <x v="8"/>
      <x v="2"/>
      <x v="1"/>
      <x v="1"/>
    </i>
    <i r="2">
      <x v="5"/>
      <x v="3"/>
      <x v="1"/>
      <x v="1"/>
    </i>
    <i>
      <x v="122"/>
      <x v="122"/>
      <x v="5"/>
      <x v="3"/>
      <x/>
      <x v="1"/>
    </i>
    <i>
      <x v="123"/>
      <x v="123"/>
      <x/>
      <x/>
      <x/>
      <x v="1"/>
    </i>
    <i>
      <x v="124"/>
      <x v="124"/>
      <x/>
      <x/>
      <x/>
      <x v="1"/>
    </i>
    <i>
      <x v="125"/>
      <x v="125"/>
      <x/>
      <x/>
      <x/>
      <x v="1"/>
    </i>
    <i>
      <x v="126"/>
      <x v="126"/>
      <x/>
      <x/>
      <x/>
      <x v="1"/>
    </i>
    <i>
      <x v="127"/>
      <x v="127"/>
      <x/>
      <x/>
      <x/>
      <x v="1"/>
    </i>
    <i>
      <x v="128"/>
      <x v="128"/>
      <x/>
      <x/>
      <x v="1"/>
      <x v="1"/>
    </i>
    <i r="2">
      <x v="3"/>
      <x v="1"/>
      <x v="1"/>
      <x v="1"/>
    </i>
    <i>
      <x v="129"/>
      <x v="129"/>
      <x/>
      <x/>
      <x v="1"/>
      <x v="2"/>
    </i>
    <i r="2">
      <x v="3"/>
      <x v="1"/>
      <x v="1"/>
      <x/>
    </i>
    <i>
      <x v="130"/>
      <x v="130"/>
      <x/>
      <x/>
      <x/>
      <x v="1"/>
    </i>
    <i r="2">
      <x v="7"/>
      <x v="5"/>
      <x/>
      <x v="1"/>
    </i>
    <i>
      <x v="131"/>
      <x v="131"/>
      <x/>
      <x/>
      <x/>
      <x/>
    </i>
    <i>
      <x v="132"/>
      <x v="132"/>
      <x/>
      <x/>
      <x/>
      <x/>
    </i>
    <i>
      <x v="133"/>
      <x v="133"/>
      <x/>
      <x/>
      <x/>
      <x v="4"/>
    </i>
    <i r="2">
      <x v="1"/>
      <x v="1"/>
      <x/>
      <x/>
    </i>
    <i>
      <x v="134"/>
      <x v="134"/>
      <x/>
      <x/>
      <x/>
      <x v="1"/>
    </i>
    <i r="2">
      <x v="1"/>
      <x v="1"/>
      <x/>
      <x v="1"/>
    </i>
    <i>
      <x v="135"/>
      <x v="135"/>
      <x/>
      <x/>
      <x/>
      <x/>
    </i>
    <i r="2">
      <x v="1"/>
      <x v="1"/>
      <x/>
      <x/>
    </i>
    <i>
      <x v="136"/>
      <x v="136"/>
      <x/>
      <x/>
      <x v="1"/>
      <x/>
    </i>
    <i>
      <x v="137"/>
      <x v="137"/>
      <x/>
      <x/>
      <x v="1"/>
      <x v="2"/>
    </i>
    <i r="2">
      <x v="8"/>
      <x v="2"/>
      <x v="1"/>
      <x v="1"/>
    </i>
    <i>
      <x v="138"/>
      <x v="138"/>
      <x v="18"/>
      <x v="14"/>
      <x/>
      <x v="1"/>
    </i>
    <i>
      <x v="139"/>
      <x v="139"/>
      <x v="19"/>
      <x v="15"/>
      <x/>
      <x v="1"/>
    </i>
    <i>
      <x v="140"/>
      <x v="140"/>
      <x/>
      <x/>
      <x/>
      <x v="1"/>
    </i>
    <i r="2">
      <x v="8"/>
      <x v="2"/>
      <x/>
      <x v="1"/>
    </i>
    <i>
      <x v="141"/>
      <x v="141"/>
      <x v="20"/>
      <x v="8"/>
      <x v="1"/>
      <x v="1"/>
    </i>
    <i r="2">
      <x v="1"/>
      <x v="1"/>
      <x v="1"/>
      <x v="1"/>
    </i>
    <i>
      <x v="142"/>
      <x v="142"/>
      <x/>
      <x/>
      <x/>
      <x/>
    </i>
    <i r="2">
      <x v="8"/>
      <x v="2"/>
      <x/>
      <x v="1"/>
    </i>
    <i>
      <x v="143"/>
      <x v="143"/>
      <x/>
      <x/>
      <x v="1"/>
      <x v="2"/>
    </i>
    <i r="2">
      <x v="1"/>
      <x v="1"/>
      <x v="1"/>
      <x/>
    </i>
    <i>
      <x v="144"/>
      <x v="144"/>
      <x/>
      <x/>
      <x/>
      <x v="1"/>
    </i>
    <i r="2">
      <x v="3"/>
      <x v="1"/>
      <x/>
      <x v="1"/>
    </i>
    <i>
      <x v="145"/>
      <x v="145"/>
      <x v="12"/>
      <x v="9"/>
      <x v="1"/>
      <x v="1"/>
    </i>
    <i r="2">
      <x/>
      <x/>
      <x v="1"/>
      <x v="2"/>
    </i>
    <i>
      <x v="146"/>
      <x v="146"/>
      <x/>
      <x/>
      <x/>
      <x v="1"/>
    </i>
    <i r="2">
      <x v="1"/>
      <x v="1"/>
      <x/>
      <x v="1"/>
    </i>
    <i>
      <x v="147"/>
      <x v="147"/>
      <x v="21"/>
      <x v="3"/>
      <x/>
      <x v="1"/>
    </i>
    <i r="2">
      <x v="1"/>
      <x v="1"/>
      <x/>
      <x v="1"/>
    </i>
    <i r="2">
      <x v="8"/>
      <x v="2"/>
      <x/>
      <x v="1"/>
    </i>
    <i>
      <x v="148"/>
      <x v="148"/>
      <x v="2"/>
      <x v="1"/>
      <x/>
      <x v="1"/>
    </i>
    <i r="2">
      <x v="21"/>
      <x v="3"/>
      <x/>
      <x v="1"/>
    </i>
    <i r="2">
      <x/>
      <x/>
      <x/>
      <x v="1"/>
    </i>
    <i r="2">
      <x v="1"/>
      <x v="1"/>
      <x/>
      <x v="1"/>
    </i>
    <i>
      <x v="149"/>
      <x v="149"/>
      <x/>
      <x/>
      <x v="1"/>
      <x v="1"/>
    </i>
    <i>
      <x v="150"/>
      <x v="150"/>
      <x v="2"/>
      <x v="1"/>
      <x v="2"/>
      <x v="1"/>
    </i>
    <i>
      <x v="151"/>
      <x v="151"/>
      <x/>
      <x/>
      <x/>
      <x v="1"/>
    </i>
    <i r="2">
      <x v="22"/>
      <x v="5"/>
      <x/>
      <x v="1"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21">
      <pivotArea outline="0" collapsedLevelsAreSubtotals="1" fieldPosition="0"/>
    </format>
  </formats>
  <pivotHierarchies count="4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6"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C0A13D-FB57-417C-B8AD-46BD5814B28F}" name="TablaDinámica5" cacheId="5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3:M17" firstHeaderRow="1" firstDataRow="2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a de egreso" fld="3" baseField="0" baseItem="0"/>
  </dataFields>
  <formats count="1">
    <format dxfId="0">
      <pivotArea outline="0" collapsedLevelsAreSubtotals="1" fieldPosition="0"/>
    </format>
  </formats>
  <pivotHierarchies count="4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01F591-3470-44C4-BA61-7011161DE553}" name="TablaDinámica1" cacheId="2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2:F17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0"/>
    <field x="1"/>
  </colFields>
  <colItems count="5">
    <i>
      <x/>
      <x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11">
      <pivotArea outline="0" collapsedLevelsAreSubtotals="1" fieldPosition="0"/>
    </format>
  </formats>
  <pivotHierarchies count="4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2">
    <colHierarchyUsage hierarchyUsage="12"/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TablaDinámica1" cacheId="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4:O18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2" name="[transacciones].[nombre_transaccion].&amp;[VENTA]" cap="VENTA"/>
  </pageFields>
  <dataFields count="1">
    <dataField name="Suma de valor_total" fld="3" baseField="0" baseItem="0"/>
  </dataFields>
  <formats count="1">
    <format dxfId="16">
      <pivotArea outline="0" collapsedLevelsAreSubtotals="1" fieldPosition="0"/>
    </format>
  </formats>
  <pivotHierarchies count="4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laDinámica3" cacheId="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H231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</items>
    </pivotField>
    <pivotField axis="axisRow" compact="0" allDrilled="1" outline="0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</items>
    </pivotField>
  </pivotFields>
  <rowFields count="7">
    <field x="7"/>
    <field x="3"/>
    <field x="8"/>
    <field x="4"/>
    <field x="6"/>
    <field x="1"/>
    <field x="5"/>
  </rowFields>
  <rowItems count="227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 v="2"/>
      <x v="1"/>
      <x/>
      <x/>
    </i>
    <i r="3">
      <x/>
      <x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 v="2"/>
      <x v="1"/>
      <x/>
      <x v="1"/>
    </i>
    <i r="3">
      <x/>
      <x/>
      <x/>
      <x v="2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5"/>
      <x v="3"/>
      <x/>
      <x v="1"/>
    </i>
    <i r="3">
      <x v="3"/>
      <x v="1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 v="2"/>
      <x v="1"/>
      <x v="2"/>
      <x v="1"/>
    </i>
    <i r="3">
      <x/>
      <x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 v="2"/>
      <x v="1"/>
      <x v="1"/>
      <x v="1"/>
    </i>
    <i r="3">
      <x/>
      <x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 v="4"/>
      <x v="2"/>
      <x/>
      <x/>
    </i>
    <i r="3">
      <x/>
      <x/>
      <x/>
      <x v="1"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1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1"/>
      <x/>
      <x/>
    </i>
    <i r="1">
      <x v="112"/>
      <x v="112"/>
      <x v="14"/>
      <x v="11"/>
      <x/>
      <x v="1"/>
    </i>
    <i r="3">
      <x v="15"/>
      <x v="12"/>
      <x/>
      <x v="1"/>
    </i>
    <i r="1">
      <x v="113"/>
      <x v="113"/>
      <x v="6"/>
      <x v="4"/>
      <x v="1"/>
      <x v="1"/>
    </i>
    <i r="3">
      <x/>
      <x/>
      <x v="1"/>
      <x v="2"/>
    </i>
    <i r="3">
      <x v="1"/>
      <x v="1"/>
      <x v="1"/>
      <x/>
    </i>
    <i r="3">
      <x v="3"/>
      <x v="1"/>
      <x v="1"/>
      <x v="2"/>
    </i>
    <i r="1">
      <x v="114"/>
      <x v="114"/>
      <x v="4"/>
      <x v="2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118"/>
      <x v="118"/>
      <x v="12"/>
      <x v="9"/>
      <x v="1"/>
      <x v="1"/>
    </i>
    <i r="3">
      <x v="17"/>
      <x v="10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2"/>
      <x/>
      <x v="1"/>
    </i>
    <i r="1">
      <x v="121"/>
      <x v="121"/>
      <x v="8"/>
      <x v="2"/>
      <x v="1"/>
      <x v="1"/>
    </i>
    <i r="3">
      <x v="5"/>
      <x v="3"/>
      <x v="1"/>
      <x v="1"/>
    </i>
    <i r="1">
      <x v="122"/>
      <x v="122"/>
      <x v="5"/>
      <x v="3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5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2"/>
      <x v="1"/>
      <x v="1"/>
    </i>
    <i r="1">
      <x v="138"/>
      <x v="138"/>
      <x v="18"/>
      <x v="14"/>
      <x/>
      <x v="1"/>
    </i>
    <i r="1">
      <x v="139"/>
      <x v="139"/>
      <x v="19"/>
      <x v="15"/>
      <x/>
      <x v="1"/>
    </i>
    <i r="1">
      <x v="140"/>
      <x v="140"/>
      <x/>
      <x/>
      <x/>
      <x v="1"/>
    </i>
    <i r="3">
      <x v="8"/>
      <x v="2"/>
      <x/>
      <x v="1"/>
    </i>
    <i r="1">
      <x v="141"/>
      <x v="141"/>
      <x v="20"/>
      <x v="8"/>
      <x v="1"/>
      <x v="1"/>
    </i>
    <i r="3">
      <x v="1"/>
      <x v="1"/>
      <x v="1"/>
      <x v="1"/>
    </i>
    <i r="1">
      <x v="142"/>
      <x v="142"/>
      <x/>
      <x/>
      <x/>
      <x/>
    </i>
    <i r="3">
      <x v="8"/>
      <x v="2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 v="12"/>
      <x v="9"/>
      <x v="1"/>
      <x v="1"/>
    </i>
    <i r="3">
      <x/>
      <x/>
      <x v="1"/>
      <x v="2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3"/>
      <x/>
      <x v="1"/>
    </i>
    <i r="3">
      <x v="1"/>
      <x v="1"/>
      <x/>
      <x v="1"/>
    </i>
    <i r="3">
      <x v="8"/>
      <x v="2"/>
      <x/>
      <x v="1"/>
    </i>
    <i r="1">
      <x v="148"/>
      <x v="148"/>
      <x v="2"/>
      <x v="1"/>
      <x/>
      <x v="1"/>
    </i>
    <i r="3">
      <x v="21"/>
      <x v="3"/>
      <x/>
      <x v="1"/>
    </i>
    <i r="3">
      <x/>
      <x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1"/>
      <x v="2"/>
      <x v="1"/>
    </i>
    <i r="1">
      <x v="151"/>
      <x v="151"/>
      <x/>
      <x/>
      <x/>
      <x v="1"/>
    </i>
    <i r="3">
      <x v="22"/>
      <x v="5"/>
      <x/>
      <x v="1"/>
    </i>
    <i t="grand"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17">
      <pivotArea outline="0" collapsedLevelsAreSubtotals="1" fieldPosition="0"/>
    </format>
  </formats>
  <pivotHierarchies count="4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0"/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230"/>
  <sheetViews>
    <sheetView topLeftCell="A200" zoomScale="85" zoomScaleNormal="85" workbookViewId="0">
      <selection activeCell="A2" sqref="A2:G230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30.28515625" customWidth="1"/>
    <col min="4" max="4" width="10.85546875" bestFit="1" customWidth="1"/>
    <col min="5" max="5" width="13.85546875" bestFit="1" customWidth="1"/>
    <col min="6" max="6" width="10.85546875" bestFit="1" customWidth="1"/>
    <col min="7" max="7" width="19.5703125" style="5" bestFit="1" customWidth="1"/>
    <col min="8" max="9" width="19.5703125" bestFit="1" customWidth="1"/>
    <col min="11" max="11" width="18.7109375" bestFit="1" customWidth="1"/>
    <col min="12" max="12" width="19.5703125" style="5" bestFit="1" customWidth="1"/>
    <col min="13" max="13" width="19.5703125" bestFit="1" customWidth="1"/>
  </cols>
  <sheetData>
    <row r="2" spans="1:13" x14ac:dyDescent="0.25">
      <c r="A2" s="1" t="s">
        <v>25</v>
      </c>
      <c r="B2" t="s" vm="1">
        <v>0</v>
      </c>
      <c r="H2" s="3"/>
      <c r="M2" s="3"/>
    </row>
    <row r="4" spans="1:13" x14ac:dyDescent="0.25">
      <c r="A4" s="1" t="s">
        <v>14</v>
      </c>
      <c r="B4" s="1" t="s">
        <v>36</v>
      </c>
      <c r="C4" s="1" t="s">
        <v>16</v>
      </c>
      <c r="D4" s="1" t="s">
        <v>24</v>
      </c>
      <c r="E4" s="1" t="s">
        <v>13</v>
      </c>
      <c r="F4" s="1" t="s">
        <v>23</v>
      </c>
      <c r="G4" t="s">
        <v>15</v>
      </c>
      <c r="H4" s="10" t="s">
        <v>44</v>
      </c>
      <c r="L4"/>
    </row>
    <row r="5" spans="1:13" x14ac:dyDescent="0.25">
      <c r="A5" s="2">
        <v>46076.692083333335</v>
      </c>
      <c r="B5">
        <v>2</v>
      </c>
      <c r="C5" t="s">
        <v>19</v>
      </c>
      <c r="D5">
        <v>8000</v>
      </c>
      <c r="E5" t="s">
        <v>7</v>
      </c>
      <c r="F5">
        <v>2</v>
      </c>
      <c r="G5" s="3">
        <v>1</v>
      </c>
      <c r="H5">
        <f>+D5*F5</f>
        <v>16000</v>
      </c>
      <c r="L5"/>
    </row>
    <row r="6" spans="1:13" x14ac:dyDescent="0.25">
      <c r="A6" s="2">
        <v>46076.709675925929</v>
      </c>
      <c r="B6">
        <v>3</v>
      </c>
      <c r="C6" t="s">
        <v>19</v>
      </c>
      <c r="D6">
        <v>8000</v>
      </c>
      <c r="E6" t="s">
        <v>8</v>
      </c>
      <c r="F6">
        <v>1</v>
      </c>
      <c r="G6" s="3">
        <v>1</v>
      </c>
      <c r="H6">
        <f t="shared" ref="H6:H69" si="0">+D6*F6</f>
        <v>8000</v>
      </c>
      <c r="L6"/>
    </row>
    <row r="7" spans="1:13" x14ac:dyDescent="0.25">
      <c r="A7" s="2">
        <v>46076.717372685183</v>
      </c>
      <c r="B7">
        <v>4</v>
      </c>
      <c r="C7" t="s">
        <v>19</v>
      </c>
      <c r="D7">
        <v>8000</v>
      </c>
      <c r="E7" t="s">
        <v>7</v>
      </c>
      <c r="F7">
        <v>2</v>
      </c>
      <c r="G7" s="3">
        <v>1</v>
      </c>
      <c r="H7">
        <f t="shared" si="0"/>
        <v>16000</v>
      </c>
      <c r="L7"/>
    </row>
    <row r="8" spans="1:13" x14ac:dyDescent="0.25">
      <c r="A8" s="2">
        <v>46076.717372685183</v>
      </c>
      <c r="B8">
        <v>4</v>
      </c>
      <c r="C8" t="s">
        <v>20</v>
      </c>
      <c r="D8">
        <v>3000</v>
      </c>
      <c r="E8" t="s">
        <v>7</v>
      </c>
      <c r="F8">
        <v>2</v>
      </c>
      <c r="G8" s="3">
        <v>1</v>
      </c>
      <c r="H8">
        <f t="shared" si="0"/>
        <v>6000</v>
      </c>
      <c r="L8"/>
    </row>
    <row r="9" spans="1:13" x14ac:dyDescent="0.25">
      <c r="A9" s="2">
        <v>46076.72047453704</v>
      </c>
      <c r="B9">
        <v>5</v>
      </c>
      <c r="C9" t="s">
        <v>19</v>
      </c>
      <c r="D9">
        <v>8000</v>
      </c>
      <c r="E9" t="s">
        <v>8</v>
      </c>
      <c r="F9">
        <v>3</v>
      </c>
      <c r="G9" s="3">
        <v>1</v>
      </c>
      <c r="H9">
        <f t="shared" si="0"/>
        <v>24000</v>
      </c>
      <c r="L9"/>
    </row>
    <row r="10" spans="1:13" x14ac:dyDescent="0.25">
      <c r="A10" s="2">
        <v>46076.750289351854</v>
      </c>
      <c r="B10">
        <v>6</v>
      </c>
      <c r="C10" t="s">
        <v>17</v>
      </c>
      <c r="D10">
        <v>3000</v>
      </c>
      <c r="E10" t="s">
        <v>7</v>
      </c>
      <c r="F10">
        <v>2</v>
      </c>
      <c r="G10" s="3">
        <v>1</v>
      </c>
      <c r="H10">
        <f t="shared" si="0"/>
        <v>6000</v>
      </c>
      <c r="L10"/>
    </row>
    <row r="11" spans="1:13" x14ac:dyDescent="0.25">
      <c r="A11" s="2">
        <v>46076.750289351854</v>
      </c>
      <c r="B11">
        <v>6</v>
      </c>
      <c r="C11" t="s">
        <v>19</v>
      </c>
      <c r="D11">
        <v>8000</v>
      </c>
      <c r="E11" t="s">
        <v>7</v>
      </c>
      <c r="F11">
        <v>2</v>
      </c>
      <c r="G11" s="3">
        <v>1</v>
      </c>
      <c r="H11">
        <f t="shared" si="0"/>
        <v>16000</v>
      </c>
      <c r="L11"/>
    </row>
    <row r="12" spans="1:13" x14ac:dyDescent="0.25">
      <c r="A12" s="2">
        <v>46076.751967592594</v>
      </c>
      <c r="B12">
        <v>7</v>
      </c>
      <c r="C12" t="s">
        <v>19</v>
      </c>
      <c r="D12">
        <v>8000</v>
      </c>
      <c r="E12" t="s">
        <v>7</v>
      </c>
      <c r="F12">
        <v>2</v>
      </c>
      <c r="G12" s="3">
        <v>1</v>
      </c>
      <c r="H12">
        <f t="shared" si="0"/>
        <v>16000</v>
      </c>
      <c r="L12"/>
    </row>
    <row r="13" spans="1:13" x14ac:dyDescent="0.25">
      <c r="A13" s="2">
        <v>46076.751967592594</v>
      </c>
      <c r="B13">
        <v>7</v>
      </c>
      <c r="C13" t="s">
        <v>22</v>
      </c>
      <c r="D13">
        <v>3000</v>
      </c>
      <c r="E13" t="s">
        <v>7</v>
      </c>
      <c r="F13">
        <v>1</v>
      </c>
      <c r="G13" s="3">
        <v>1</v>
      </c>
      <c r="H13">
        <f t="shared" si="0"/>
        <v>3000</v>
      </c>
      <c r="L13"/>
    </row>
    <row r="14" spans="1:13" x14ac:dyDescent="0.25">
      <c r="A14" s="2">
        <v>46076.787222222221</v>
      </c>
      <c r="B14">
        <v>8</v>
      </c>
      <c r="C14" t="s">
        <v>19</v>
      </c>
      <c r="D14">
        <v>8000</v>
      </c>
      <c r="E14" t="s">
        <v>7</v>
      </c>
      <c r="F14">
        <v>1</v>
      </c>
      <c r="G14" s="3">
        <v>1</v>
      </c>
      <c r="H14">
        <f t="shared" si="0"/>
        <v>8000</v>
      </c>
      <c r="L14"/>
    </row>
    <row r="15" spans="1:13" x14ac:dyDescent="0.25">
      <c r="A15" s="2">
        <v>46076.795474537037</v>
      </c>
      <c r="B15">
        <v>9</v>
      </c>
      <c r="C15" t="s">
        <v>19</v>
      </c>
      <c r="D15">
        <v>8000</v>
      </c>
      <c r="E15" t="s">
        <v>7</v>
      </c>
      <c r="F15">
        <v>2</v>
      </c>
      <c r="G15" s="3">
        <v>1</v>
      </c>
      <c r="H15">
        <f t="shared" si="0"/>
        <v>16000</v>
      </c>
      <c r="L15"/>
    </row>
    <row r="16" spans="1:13" x14ac:dyDescent="0.25">
      <c r="A16" s="2">
        <v>46076.795474537037</v>
      </c>
      <c r="B16">
        <v>9</v>
      </c>
      <c r="C16" t="s">
        <v>20</v>
      </c>
      <c r="D16">
        <v>3000</v>
      </c>
      <c r="E16" t="s">
        <v>7</v>
      </c>
      <c r="F16">
        <v>2</v>
      </c>
      <c r="G16" s="3">
        <v>1</v>
      </c>
      <c r="H16">
        <f t="shared" si="0"/>
        <v>6000</v>
      </c>
      <c r="L16"/>
    </row>
    <row r="17" spans="1:12" x14ac:dyDescent="0.25">
      <c r="A17" s="2">
        <v>46076.818287037036</v>
      </c>
      <c r="B17">
        <v>10</v>
      </c>
      <c r="C17" t="s">
        <v>19</v>
      </c>
      <c r="D17">
        <v>8000</v>
      </c>
      <c r="E17" t="s">
        <v>7</v>
      </c>
      <c r="F17">
        <v>3</v>
      </c>
      <c r="G17" s="3">
        <v>1</v>
      </c>
      <c r="H17">
        <f t="shared" si="0"/>
        <v>24000</v>
      </c>
      <c r="L17"/>
    </row>
    <row r="18" spans="1:12" x14ac:dyDescent="0.25">
      <c r="A18" s="2">
        <v>46076.841643518521</v>
      </c>
      <c r="B18">
        <v>11</v>
      </c>
      <c r="C18" t="s">
        <v>19</v>
      </c>
      <c r="D18">
        <v>8000</v>
      </c>
      <c r="E18" t="s">
        <v>7</v>
      </c>
      <c r="F18">
        <v>1</v>
      </c>
      <c r="G18" s="3">
        <v>1</v>
      </c>
      <c r="H18">
        <f t="shared" si="0"/>
        <v>8000</v>
      </c>
      <c r="L18"/>
    </row>
    <row r="19" spans="1:12" x14ac:dyDescent="0.25">
      <c r="A19" s="2">
        <v>46076.843854166669</v>
      </c>
      <c r="B19">
        <v>12</v>
      </c>
      <c r="C19" t="s">
        <v>19</v>
      </c>
      <c r="D19">
        <v>8000</v>
      </c>
      <c r="E19" t="s">
        <v>7</v>
      </c>
      <c r="F19">
        <v>1</v>
      </c>
      <c r="G19" s="3">
        <v>1</v>
      </c>
      <c r="H19">
        <f t="shared" si="0"/>
        <v>8000</v>
      </c>
      <c r="L19"/>
    </row>
    <row r="20" spans="1:12" x14ac:dyDescent="0.25">
      <c r="A20" s="2">
        <v>46076.845659722225</v>
      </c>
      <c r="B20">
        <v>13</v>
      </c>
      <c r="C20" t="s">
        <v>19</v>
      </c>
      <c r="D20">
        <v>8000</v>
      </c>
      <c r="E20" t="s">
        <v>7</v>
      </c>
      <c r="F20">
        <v>1</v>
      </c>
      <c r="G20" s="3">
        <v>1</v>
      </c>
      <c r="H20">
        <f t="shared" si="0"/>
        <v>8000</v>
      </c>
      <c r="L20"/>
    </row>
    <row r="21" spans="1:12" x14ac:dyDescent="0.25">
      <c r="A21" s="2">
        <v>46076.845659722225</v>
      </c>
      <c r="B21">
        <v>13</v>
      </c>
      <c r="C21" t="s">
        <v>22</v>
      </c>
      <c r="D21">
        <v>3000</v>
      </c>
      <c r="E21" t="s">
        <v>7</v>
      </c>
      <c r="F21">
        <v>1</v>
      </c>
      <c r="G21" s="3">
        <v>1</v>
      </c>
      <c r="H21">
        <f t="shared" si="0"/>
        <v>3000</v>
      </c>
      <c r="L21"/>
    </row>
    <row r="22" spans="1:12" x14ac:dyDescent="0.25">
      <c r="A22" s="2">
        <v>46076.850243055553</v>
      </c>
      <c r="B22">
        <v>14</v>
      </c>
      <c r="C22" t="s">
        <v>19</v>
      </c>
      <c r="D22">
        <v>8000</v>
      </c>
      <c r="E22" t="s">
        <v>7</v>
      </c>
      <c r="F22">
        <v>3</v>
      </c>
      <c r="G22" s="3">
        <v>1</v>
      </c>
      <c r="H22">
        <f t="shared" si="0"/>
        <v>24000</v>
      </c>
      <c r="L22"/>
    </row>
    <row r="23" spans="1:12" x14ac:dyDescent="0.25">
      <c r="A23" s="2">
        <v>46076.852650462963</v>
      </c>
      <c r="B23">
        <v>15</v>
      </c>
      <c r="C23" t="s">
        <v>19</v>
      </c>
      <c r="D23">
        <v>8000</v>
      </c>
      <c r="E23" t="s">
        <v>7</v>
      </c>
      <c r="F23">
        <v>1</v>
      </c>
      <c r="G23" s="3">
        <v>1</v>
      </c>
      <c r="H23">
        <f t="shared" si="0"/>
        <v>8000</v>
      </c>
      <c r="L23"/>
    </row>
    <row r="24" spans="1:12" x14ac:dyDescent="0.25">
      <c r="A24" s="2">
        <v>46077.648680555554</v>
      </c>
      <c r="B24">
        <v>16</v>
      </c>
      <c r="C24" t="s">
        <v>19</v>
      </c>
      <c r="D24">
        <v>8000</v>
      </c>
      <c r="E24" t="s">
        <v>7</v>
      </c>
      <c r="F24">
        <v>5</v>
      </c>
      <c r="G24" s="3">
        <v>1</v>
      </c>
      <c r="H24">
        <f t="shared" si="0"/>
        <v>40000</v>
      </c>
      <c r="L24"/>
    </row>
    <row r="25" spans="1:12" x14ac:dyDescent="0.25">
      <c r="A25" s="2">
        <v>46077.649351851855</v>
      </c>
      <c r="B25">
        <v>17</v>
      </c>
      <c r="C25" t="s">
        <v>19</v>
      </c>
      <c r="D25">
        <v>8000</v>
      </c>
      <c r="E25" t="s">
        <v>7</v>
      </c>
      <c r="F25">
        <v>3</v>
      </c>
      <c r="G25" s="3">
        <v>1</v>
      </c>
      <c r="H25">
        <f t="shared" si="0"/>
        <v>24000</v>
      </c>
      <c r="L25"/>
    </row>
    <row r="26" spans="1:12" x14ac:dyDescent="0.25">
      <c r="A26" s="2">
        <v>46077.740034722221</v>
      </c>
      <c r="B26">
        <v>18</v>
      </c>
      <c r="C26" t="s">
        <v>19</v>
      </c>
      <c r="D26">
        <v>8000</v>
      </c>
      <c r="E26" t="s">
        <v>7</v>
      </c>
      <c r="F26">
        <v>1</v>
      </c>
      <c r="G26" s="3">
        <v>1</v>
      </c>
      <c r="H26">
        <f t="shared" si="0"/>
        <v>8000</v>
      </c>
      <c r="L26"/>
    </row>
    <row r="27" spans="1:12" x14ac:dyDescent="0.25">
      <c r="A27" s="2">
        <v>46077.759606481479</v>
      </c>
      <c r="B27">
        <v>19</v>
      </c>
      <c r="C27" t="s">
        <v>19</v>
      </c>
      <c r="D27">
        <v>8000</v>
      </c>
      <c r="E27" t="s">
        <v>7</v>
      </c>
      <c r="F27">
        <v>1</v>
      </c>
      <c r="G27" s="3">
        <v>1</v>
      </c>
      <c r="H27">
        <f t="shared" si="0"/>
        <v>8000</v>
      </c>
      <c r="L27"/>
    </row>
    <row r="28" spans="1:12" x14ac:dyDescent="0.25">
      <c r="A28" s="2">
        <v>46077.774178240739</v>
      </c>
      <c r="B28">
        <v>20</v>
      </c>
      <c r="C28" t="s">
        <v>19</v>
      </c>
      <c r="D28">
        <v>8000</v>
      </c>
      <c r="E28" t="s">
        <v>7</v>
      </c>
      <c r="F28">
        <v>2</v>
      </c>
      <c r="G28" s="3">
        <v>1</v>
      </c>
      <c r="H28">
        <f t="shared" si="0"/>
        <v>16000</v>
      </c>
      <c r="L28"/>
    </row>
    <row r="29" spans="1:12" x14ac:dyDescent="0.25">
      <c r="A29" s="2">
        <v>46077.775185185186</v>
      </c>
      <c r="B29">
        <v>21</v>
      </c>
      <c r="C29" t="s">
        <v>19</v>
      </c>
      <c r="D29">
        <v>8000</v>
      </c>
      <c r="E29" t="s">
        <v>7</v>
      </c>
      <c r="F29">
        <v>1</v>
      </c>
      <c r="G29" s="3">
        <v>1</v>
      </c>
      <c r="H29">
        <f t="shared" si="0"/>
        <v>8000</v>
      </c>
      <c r="L29"/>
    </row>
    <row r="30" spans="1:12" x14ac:dyDescent="0.25">
      <c r="A30" s="2">
        <v>46077.77952546296</v>
      </c>
      <c r="B30">
        <v>22</v>
      </c>
      <c r="C30" t="s">
        <v>18</v>
      </c>
      <c r="D30">
        <v>4500</v>
      </c>
      <c r="E30" t="s">
        <v>7</v>
      </c>
      <c r="F30">
        <v>2</v>
      </c>
      <c r="G30" s="3">
        <v>1</v>
      </c>
      <c r="H30">
        <f t="shared" si="0"/>
        <v>9000</v>
      </c>
      <c r="L30"/>
    </row>
    <row r="31" spans="1:12" x14ac:dyDescent="0.25">
      <c r="A31" s="2">
        <v>46077.77952546296</v>
      </c>
      <c r="B31">
        <v>22</v>
      </c>
      <c r="C31" t="s">
        <v>19</v>
      </c>
      <c r="D31">
        <v>8000</v>
      </c>
      <c r="E31" t="s">
        <v>7</v>
      </c>
      <c r="F31">
        <v>1</v>
      </c>
      <c r="G31" s="3">
        <v>1</v>
      </c>
      <c r="H31">
        <f t="shared" si="0"/>
        <v>8000</v>
      </c>
      <c r="L31"/>
    </row>
    <row r="32" spans="1:12" x14ac:dyDescent="0.25">
      <c r="A32" s="2">
        <v>46077.797152777777</v>
      </c>
      <c r="B32">
        <v>23</v>
      </c>
      <c r="C32" t="s">
        <v>19</v>
      </c>
      <c r="D32">
        <v>8000</v>
      </c>
      <c r="E32" t="s">
        <v>7</v>
      </c>
      <c r="F32">
        <v>1</v>
      </c>
      <c r="G32" s="3">
        <v>1</v>
      </c>
      <c r="H32">
        <f t="shared" si="0"/>
        <v>8000</v>
      </c>
      <c r="L32"/>
    </row>
    <row r="33" spans="1:12" x14ac:dyDescent="0.25">
      <c r="A33" s="2">
        <v>46077.834386574075</v>
      </c>
      <c r="B33">
        <v>24</v>
      </c>
      <c r="C33" t="s">
        <v>19</v>
      </c>
      <c r="D33">
        <v>8000</v>
      </c>
      <c r="E33" t="s">
        <v>8</v>
      </c>
      <c r="F33">
        <v>1</v>
      </c>
      <c r="G33" s="3">
        <v>1</v>
      </c>
      <c r="H33">
        <f t="shared" si="0"/>
        <v>8000</v>
      </c>
      <c r="L33"/>
    </row>
    <row r="34" spans="1:12" x14ac:dyDescent="0.25">
      <c r="A34" s="2">
        <v>46077.836875000001</v>
      </c>
      <c r="B34">
        <v>25</v>
      </c>
      <c r="C34" t="s">
        <v>19</v>
      </c>
      <c r="D34">
        <v>8000</v>
      </c>
      <c r="E34" t="s">
        <v>7</v>
      </c>
      <c r="F34">
        <v>1</v>
      </c>
      <c r="G34" s="3">
        <v>1</v>
      </c>
      <c r="H34">
        <f t="shared" si="0"/>
        <v>8000</v>
      </c>
      <c r="L34"/>
    </row>
    <row r="35" spans="1:12" x14ac:dyDescent="0.25">
      <c r="A35" s="2">
        <v>46077.847013888888</v>
      </c>
      <c r="B35">
        <v>26</v>
      </c>
      <c r="C35" t="s">
        <v>17</v>
      </c>
      <c r="D35">
        <v>3000</v>
      </c>
      <c r="E35" t="s">
        <v>7</v>
      </c>
      <c r="F35">
        <v>1</v>
      </c>
      <c r="G35" s="3">
        <v>1</v>
      </c>
      <c r="H35">
        <f t="shared" si="0"/>
        <v>3000</v>
      </c>
      <c r="L35"/>
    </row>
    <row r="36" spans="1:12" x14ac:dyDescent="0.25">
      <c r="A36" s="2">
        <v>46077.847013888888</v>
      </c>
      <c r="B36">
        <v>26</v>
      </c>
      <c r="C36" t="s">
        <v>19</v>
      </c>
      <c r="D36">
        <v>8000</v>
      </c>
      <c r="E36" t="s">
        <v>7</v>
      </c>
      <c r="F36">
        <v>3</v>
      </c>
      <c r="G36" s="3">
        <v>1</v>
      </c>
      <c r="H36">
        <f t="shared" si="0"/>
        <v>24000</v>
      </c>
      <c r="L36"/>
    </row>
    <row r="37" spans="1:12" x14ac:dyDescent="0.25">
      <c r="A37" s="2">
        <v>46077.847013888888</v>
      </c>
      <c r="B37">
        <v>26</v>
      </c>
      <c r="C37" t="s">
        <v>22</v>
      </c>
      <c r="D37">
        <v>3000</v>
      </c>
      <c r="E37" t="s">
        <v>7</v>
      </c>
      <c r="F37">
        <v>1</v>
      </c>
      <c r="G37" s="3">
        <v>1</v>
      </c>
      <c r="H37">
        <f t="shared" si="0"/>
        <v>3000</v>
      </c>
      <c r="L37"/>
    </row>
    <row r="38" spans="1:12" x14ac:dyDescent="0.25">
      <c r="A38" s="2">
        <v>46077.849872685183</v>
      </c>
      <c r="B38">
        <v>27</v>
      </c>
      <c r="C38" t="s">
        <v>19</v>
      </c>
      <c r="D38">
        <v>8000</v>
      </c>
      <c r="E38" t="s">
        <v>7</v>
      </c>
      <c r="F38">
        <v>4</v>
      </c>
      <c r="G38" s="3">
        <v>1</v>
      </c>
      <c r="H38">
        <f t="shared" si="0"/>
        <v>32000</v>
      </c>
      <c r="L38"/>
    </row>
    <row r="39" spans="1:12" x14ac:dyDescent="0.25">
      <c r="A39" s="2">
        <v>46077.849872685183</v>
      </c>
      <c r="B39">
        <v>27</v>
      </c>
      <c r="C39" t="s">
        <v>20</v>
      </c>
      <c r="D39">
        <v>3000</v>
      </c>
      <c r="E39" t="s">
        <v>7</v>
      </c>
      <c r="F39">
        <v>2</v>
      </c>
      <c r="G39" s="3">
        <v>1</v>
      </c>
      <c r="H39">
        <f t="shared" si="0"/>
        <v>6000</v>
      </c>
      <c r="L39"/>
    </row>
    <row r="40" spans="1:12" x14ac:dyDescent="0.25">
      <c r="A40" s="2">
        <v>46077.867604166669</v>
      </c>
      <c r="B40">
        <v>28</v>
      </c>
      <c r="C40" t="s">
        <v>19</v>
      </c>
      <c r="D40">
        <v>8000</v>
      </c>
      <c r="E40" t="s">
        <v>7</v>
      </c>
      <c r="F40">
        <v>1</v>
      </c>
      <c r="G40" s="3">
        <v>1</v>
      </c>
      <c r="H40">
        <f t="shared" si="0"/>
        <v>8000</v>
      </c>
      <c r="L40"/>
    </row>
    <row r="41" spans="1:12" x14ac:dyDescent="0.25">
      <c r="A41" s="2">
        <v>46078.578043981484</v>
      </c>
      <c r="B41">
        <v>29</v>
      </c>
      <c r="C41" t="s">
        <v>19</v>
      </c>
      <c r="D41">
        <v>8000</v>
      </c>
      <c r="E41" t="s">
        <v>7</v>
      </c>
      <c r="F41">
        <v>1</v>
      </c>
      <c r="G41" s="3">
        <v>1</v>
      </c>
      <c r="H41">
        <f t="shared" si="0"/>
        <v>8000</v>
      </c>
      <c r="L41"/>
    </row>
    <row r="42" spans="1:12" x14ac:dyDescent="0.25">
      <c r="A42" s="2">
        <v>46078.579907407409</v>
      </c>
      <c r="B42">
        <v>30</v>
      </c>
      <c r="C42" t="s">
        <v>19</v>
      </c>
      <c r="D42">
        <v>8000</v>
      </c>
      <c r="E42" t="s">
        <v>7</v>
      </c>
      <c r="F42">
        <v>1</v>
      </c>
      <c r="G42" s="3">
        <v>1</v>
      </c>
      <c r="H42">
        <f t="shared" si="0"/>
        <v>8000</v>
      </c>
      <c r="L42"/>
    </row>
    <row r="43" spans="1:12" x14ac:dyDescent="0.25">
      <c r="A43" s="2">
        <v>46078.58693287037</v>
      </c>
      <c r="B43">
        <v>31</v>
      </c>
      <c r="C43" t="s">
        <v>19</v>
      </c>
      <c r="D43">
        <v>8000</v>
      </c>
      <c r="E43" t="s">
        <v>7</v>
      </c>
      <c r="F43">
        <v>1</v>
      </c>
      <c r="G43" s="3">
        <v>1</v>
      </c>
      <c r="H43">
        <f t="shared" si="0"/>
        <v>8000</v>
      </c>
      <c r="L43"/>
    </row>
    <row r="44" spans="1:12" x14ac:dyDescent="0.25">
      <c r="A44" s="2">
        <v>46078.59138888889</v>
      </c>
      <c r="B44">
        <v>32</v>
      </c>
      <c r="C44" t="s">
        <v>21</v>
      </c>
      <c r="D44">
        <v>35000</v>
      </c>
      <c r="E44" t="s">
        <v>7</v>
      </c>
      <c r="F44">
        <v>1</v>
      </c>
      <c r="G44" s="3">
        <v>1</v>
      </c>
      <c r="H44">
        <f t="shared" si="0"/>
        <v>35000</v>
      </c>
      <c r="L44"/>
    </row>
    <row r="45" spans="1:12" x14ac:dyDescent="0.25">
      <c r="A45" s="2">
        <v>46078.600636574076</v>
      </c>
      <c r="B45">
        <v>34</v>
      </c>
      <c r="C45" t="s">
        <v>21</v>
      </c>
      <c r="D45">
        <v>35000</v>
      </c>
      <c r="E45" t="s">
        <v>7</v>
      </c>
      <c r="F45">
        <v>1</v>
      </c>
      <c r="G45" s="3">
        <v>1</v>
      </c>
      <c r="H45">
        <f t="shared" si="0"/>
        <v>35000</v>
      </c>
      <c r="L45"/>
    </row>
    <row r="46" spans="1:12" x14ac:dyDescent="0.25">
      <c r="A46" s="2">
        <v>46078.601261574076</v>
      </c>
      <c r="B46">
        <v>35</v>
      </c>
      <c r="C46" t="s">
        <v>19</v>
      </c>
      <c r="D46">
        <v>8000</v>
      </c>
      <c r="E46" t="s">
        <v>7</v>
      </c>
      <c r="F46">
        <v>2</v>
      </c>
      <c r="G46" s="3">
        <v>1</v>
      </c>
      <c r="H46">
        <f t="shared" si="0"/>
        <v>16000</v>
      </c>
      <c r="L46"/>
    </row>
    <row r="47" spans="1:12" x14ac:dyDescent="0.25">
      <c r="A47" s="2">
        <v>46078.694513888891</v>
      </c>
      <c r="B47">
        <v>36</v>
      </c>
      <c r="C47" t="s">
        <v>19</v>
      </c>
      <c r="D47">
        <v>8000</v>
      </c>
      <c r="E47" t="s">
        <v>7</v>
      </c>
      <c r="F47">
        <v>1</v>
      </c>
      <c r="G47" s="3">
        <v>1</v>
      </c>
      <c r="H47">
        <f t="shared" si="0"/>
        <v>8000</v>
      </c>
      <c r="L47"/>
    </row>
    <row r="48" spans="1:12" x14ac:dyDescent="0.25">
      <c r="A48" s="2">
        <v>46078.695300925923</v>
      </c>
      <c r="B48">
        <v>37</v>
      </c>
      <c r="C48" t="s">
        <v>19</v>
      </c>
      <c r="D48">
        <v>8000</v>
      </c>
      <c r="E48" t="s">
        <v>8</v>
      </c>
      <c r="F48">
        <v>1</v>
      </c>
      <c r="G48" s="3">
        <v>1</v>
      </c>
      <c r="H48">
        <f t="shared" si="0"/>
        <v>8000</v>
      </c>
      <c r="L48"/>
    </row>
    <row r="49" spans="1:12" x14ac:dyDescent="0.25">
      <c r="A49" s="2">
        <v>46078.762141203704</v>
      </c>
      <c r="B49">
        <v>38</v>
      </c>
      <c r="C49" t="s">
        <v>19</v>
      </c>
      <c r="D49">
        <v>8000</v>
      </c>
      <c r="E49" t="s">
        <v>7</v>
      </c>
      <c r="F49">
        <v>1</v>
      </c>
      <c r="G49" s="3">
        <v>1</v>
      </c>
      <c r="H49">
        <f t="shared" si="0"/>
        <v>8000</v>
      </c>
      <c r="L49"/>
    </row>
    <row r="50" spans="1:12" x14ac:dyDescent="0.25">
      <c r="A50" s="2">
        <v>46078.764027777775</v>
      </c>
      <c r="B50">
        <v>39</v>
      </c>
      <c r="C50" t="s">
        <v>19</v>
      </c>
      <c r="D50">
        <v>8000</v>
      </c>
      <c r="E50" t="s">
        <v>7</v>
      </c>
      <c r="F50">
        <v>1</v>
      </c>
      <c r="G50" s="3">
        <v>1</v>
      </c>
      <c r="H50">
        <f t="shared" si="0"/>
        <v>8000</v>
      </c>
      <c r="L50"/>
    </row>
    <row r="51" spans="1:12" x14ac:dyDescent="0.25">
      <c r="A51" s="2">
        <v>46078.768379629626</v>
      </c>
      <c r="B51">
        <v>41</v>
      </c>
      <c r="C51" t="s">
        <v>19</v>
      </c>
      <c r="D51">
        <v>8000</v>
      </c>
      <c r="E51" t="s">
        <v>7</v>
      </c>
      <c r="F51">
        <v>1</v>
      </c>
      <c r="G51" s="3">
        <v>1</v>
      </c>
      <c r="H51">
        <f t="shared" si="0"/>
        <v>8000</v>
      </c>
      <c r="L51"/>
    </row>
    <row r="52" spans="1:12" x14ac:dyDescent="0.25">
      <c r="A52" s="2">
        <v>46078.77375</v>
      </c>
      <c r="B52">
        <v>42</v>
      </c>
      <c r="C52" t="s">
        <v>19</v>
      </c>
      <c r="D52">
        <v>8000</v>
      </c>
      <c r="E52" t="s">
        <v>7</v>
      </c>
      <c r="F52">
        <v>5</v>
      </c>
      <c r="G52" s="3">
        <v>1</v>
      </c>
      <c r="H52">
        <f t="shared" si="0"/>
        <v>40000</v>
      </c>
      <c r="L52"/>
    </row>
    <row r="53" spans="1:12" x14ac:dyDescent="0.25">
      <c r="A53" s="2">
        <v>46078.774247685185</v>
      </c>
      <c r="B53">
        <v>43</v>
      </c>
      <c r="C53" t="s">
        <v>20</v>
      </c>
      <c r="D53">
        <v>3000</v>
      </c>
      <c r="E53" t="s">
        <v>7</v>
      </c>
      <c r="F53">
        <v>2</v>
      </c>
      <c r="G53" s="3">
        <v>1</v>
      </c>
      <c r="H53">
        <f t="shared" si="0"/>
        <v>6000</v>
      </c>
      <c r="L53"/>
    </row>
    <row r="54" spans="1:12" x14ac:dyDescent="0.25">
      <c r="A54" s="2">
        <v>46078.774247685185</v>
      </c>
      <c r="B54">
        <v>43</v>
      </c>
      <c r="C54" t="s">
        <v>22</v>
      </c>
      <c r="D54">
        <v>3000</v>
      </c>
      <c r="E54" t="s">
        <v>7</v>
      </c>
      <c r="F54">
        <v>1</v>
      </c>
      <c r="G54" s="3">
        <v>1</v>
      </c>
      <c r="H54">
        <f t="shared" si="0"/>
        <v>3000</v>
      </c>
      <c r="L54"/>
    </row>
    <row r="55" spans="1:12" x14ac:dyDescent="0.25">
      <c r="A55" s="2">
        <v>46078.777766203704</v>
      </c>
      <c r="B55">
        <v>44</v>
      </c>
      <c r="C55" t="s">
        <v>19</v>
      </c>
      <c r="D55">
        <v>8000</v>
      </c>
      <c r="E55" t="s">
        <v>7</v>
      </c>
      <c r="F55">
        <v>3</v>
      </c>
      <c r="G55" s="3">
        <v>1</v>
      </c>
      <c r="H55">
        <f t="shared" si="0"/>
        <v>24000</v>
      </c>
      <c r="L55"/>
    </row>
    <row r="56" spans="1:12" x14ac:dyDescent="0.25">
      <c r="A56" s="2">
        <v>46078.799016203702</v>
      </c>
      <c r="B56">
        <v>45</v>
      </c>
      <c r="C56" t="s">
        <v>19</v>
      </c>
      <c r="D56">
        <v>8000</v>
      </c>
      <c r="E56" t="s">
        <v>8</v>
      </c>
      <c r="F56">
        <v>1</v>
      </c>
      <c r="G56" s="3">
        <v>1</v>
      </c>
      <c r="H56">
        <f t="shared" si="0"/>
        <v>8000</v>
      </c>
      <c r="L56"/>
    </row>
    <row r="57" spans="1:12" x14ac:dyDescent="0.25">
      <c r="A57" s="2">
        <v>46078.800497685188</v>
      </c>
      <c r="B57">
        <v>46</v>
      </c>
      <c r="C57" t="s">
        <v>19</v>
      </c>
      <c r="D57">
        <v>8000</v>
      </c>
      <c r="E57" t="s">
        <v>7</v>
      </c>
      <c r="F57">
        <v>1</v>
      </c>
      <c r="G57" s="3">
        <v>1</v>
      </c>
      <c r="H57">
        <f t="shared" si="0"/>
        <v>8000</v>
      </c>
      <c r="L57"/>
    </row>
    <row r="58" spans="1:12" x14ac:dyDescent="0.25">
      <c r="A58" s="2">
        <v>46078.800497685188</v>
      </c>
      <c r="B58">
        <v>46</v>
      </c>
      <c r="C58" t="s">
        <v>20</v>
      </c>
      <c r="D58">
        <v>3000</v>
      </c>
      <c r="E58" t="s">
        <v>7</v>
      </c>
      <c r="F58">
        <v>1</v>
      </c>
      <c r="G58" s="3">
        <v>1</v>
      </c>
      <c r="H58">
        <f t="shared" si="0"/>
        <v>3000</v>
      </c>
      <c r="L58"/>
    </row>
    <row r="59" spans="1:12" x14ac:dyDescent="0.25">
      <c r="A59" s="2">
        <v>46078.806875000002</v>
      </c>
      <c r="B59">
        <v>47</v>
      </c>
      <c r="C59" t="s">
        <v>18</v>
      </c>
      <c r="D59">
        <v>4500</v>
      </c>
      <c r="E59" t="s">
        <v>8</v>
      </c>
      <c r="F59">
        <v>5</v>
      </c>
      <c r="G59" s="3">
        <v>1</v>
      </c>
      <c r="H59">
        <f t="shared" si="0"/>
        <v>22500</v>
      </c>
      <c r="L59"/>
    </row>
    <row r="60" spans="1:12" x14ac:dyDescent="0.25">
      <c r="A60" s="2">
        <v>46078.81894675926</v>
      </c>
      <c r="B60">
        <v>48</v>
      </c>
      <c r="C60" t="s">
        <v>21</v>
      </c>
      <c r="D60">
        <v>35000</v>
      </c>
      <c r="E60" t="s">
        <v>7</v>
      </c>
      <c r="F60">
        <v>1</v>
      </c>
      <c r="G60" s="3">
        <v>1</v>
      </c>
      <c r="H60">
        <f t="shared" si="0"/>
        <v>35000</v>
      </c>
      <c r="L60"/>
    </row>
    <row r="61" spans="1:12" x14ac:dyDescent="0.25">
      <c r="A61" s="2">
        <v>46078.81894675926</v>
      </c>
      <c r="B61">
        <v>48</v>
      </c>
      <c r="C61" t="s">
        <v>22</v>
      </c>
      <c r="D61">
        <v>3000</v>
      </c>
      <c r="E61" t="s">
        <v>7</v>
      </c>
      <c r="F61">
        <v>1</v>
      </c>
      <c r="G61" s="3">
        <v>1</v>
      </c>
      <c r="H61">
        <f t="shared" si="0"/>
        <v>3000</v>
      </c>
      <c r="L61"/>
    </row>
    <row r="62" spans="1:12" x14ac:dyDescent="0.25">
      <c r="A62" s="2">
        <v>46078.819791666669</v>
      </c>
      <c r="B62">
        <v>49</v>
      </c>
      <c r="C62" t="s">
        <v>19</v>
      </c>
      <c r="D62">
        <v>8000</v>
      </c>
      <c r="E62" t="s">
        <v>7</v>
      </c>
      <c r="F62">
        <v>2</v>
      </c>
      <c r="G62" s="3">
        <v>1</v>
      </c>
      <c r="H62">
        <f t="shared" si="0"/>
        <v>16000</v>
      </c>
      <c r="L62"/>
    </row>
    <row r="63" spans="1:12" x14ac:dyDescent="0.25">
      <c r="A63" s="2">
        <v>46078.83253472222</v>
      </c>
      <c r="B63">
        <v>50</v>
      </c>
      <c r="C63" t="s">
        <v>19</v>
      </c>
      <c r="D63">
        <v>8000</v>
      </c>
      <c r="E63" t="s">
        <v>7</v>
      </c>
      <c r="F63">
        <v>2</v>
      </c>
      <c r="G63" s="3">
        <v>1</v>
      </c>
      <c r="H63">
        <f t="shared" si="0"/>
        <v>16000</v>
      </c>
      <c r="L63"/>
    </row>
    <row r="64" spans="1:12" x14ac:dyDescent="0.25">
      <c r="A64" s="2">
        <v>46078.838090277779</v>
      </c>
      <c r="B64">
        <v>51</v>
      </c>
      <c r="C64" t="s">
        <v>19</v>
      </c>
      <c r="D64">
        <v>8000</v>
      </c>
      <c r="E64" t="s">
        <v>7</v>
      </c>
      <c r="F64">
        <v>4</v>
      </c>
      <c r="G64" s="3">
        <v>1</v>
      </c>
      <c r="H64">
        <f t="shared" si="0"/>
        <v>32000</v>
      </c>
      <c r="L64"/>
    </row>
    <row r="65" spans="1:12" x14ac:dyDescent="0.25">
      <c r="A65" s="2">
        <v>46078.841678240744</v>
      </c>
      <c r="B65">
        <v>52</v>
      </c>
      <c r="C65" t="s">
        <v>19</v>
      </c>
      <c r="D65">
        <v>8000</v>
      </c>
      <c r="E65" t="s">
        <v>8</v>
      </c>
      <c r="F65">
        <v>1</v>
      </c>
      <c r="G65" s="3">
        <v>1</v>
      </c>
      <c r="H65">
        <f t="shared" si="0"/>
        <v>8000</v>
      </c>
      <c r="L65"/>
    </row>
    <row r="66" spans="1:12" x14ac:dyDescent="0.25">
      <c r="A66" s="2">
        <v>46078.848043981481</v>
      </c>
      <c r="B66">
        <v>53</v>
      </c>
      <c r="C66" t="s">
        <v>19</v>
      </c>
      <c r="D66">
        <v>8000</v>
      </c>
      <c r="E66" t="s">
        <v>7</v>
      </c>
      <c r="F66">
        <v>2</v>
      </c>
      <c r="G66" s="3">
        <v>1</v>
      </c>
      <c r="H66">
        <f t="shared" si="0"/>
        <v>16000</v>
      </c>
      <c r="L66"/>
    </row>
    <row r="67" spans="1:12" x14ac:dyDescent="0.25">
      <c r="A67" s="2">
        <v>46079.557025462964</v>
      </c>
      <c r="B67">
        <v>54</v>
      </c>
      <c r="C67" t="s">
        <v>18</v>
      </c>
      <c r="D67">
        <v>4500</v>
      </c>
      <c r="E67" t="s">
        <v>7</v>
      </c>
      <c r="F67">
        <v>2</v>
      </c>
      <c r="G67" s="3">
        <v>1</v>
      </c>
      <c r="H67">
        <f t="shared" si="0"/>
        <v>9000</v>
      </c>
      <c r="L67"/>
    </row>
    <row r="68" spans="1:12" x14ac:dyDescent="0.25">
      <c r="A68" s="2">
        <v>46079.560671296298</v>
      </c>
      <c r="B68">
        <v>55</v>
      </c>
      <c r="C68" t="s">
        <v>19</v>
      </c>
      <c r="D68">
        <v>8000</v>
      </c>
      <c r="E68" t="s">
        <v>7</v>
      </c>
      <c r="F68">
        <v>2</v>
      </c>
      <c r="G68" s="3">
        <v>1</v>
      </c>
      <c r="H68">
        <f t="shared" si="0"/>
        <v>16000</v>
      </c>
      <c r="L68"/>
    </row>
    <row r="69" spans="1:12" x14ac:dyDescent="0.25">
      <c r="A69" s="2">
        <v>46079.634108796294</v>
      </c>
      <c r="B69">
        <v>56</v>
      </c>
      <c r="C69" t="s">
        <v>34</v>
      </c>
      <c r="D69">
        <v>25000</v>
      </c>
      <c r="E69" t="s">
        <v>8</v>
      </c>
      <c r="F69">
        <v>1</v>
      </c>
      <c r="G69" s="3">
        <v>1</v>
      </c>
      <c r="H69">
        <f t="shared" si="0"/>
        <v>25000</v>
      </c>
      <c r="L69"/>
    </row>
    <row r="70" spans="1:12" x14ac:dyDescent="0.25">
      <c r="A70" s="2">
        <v>46079.72755787037</v>
      </c>
      <c r="B70">
        <v>57</v>
      </c>
      <c r="C70" t="s">
        <v>19</v>
      </c>
      <c r="D70">
        <v>8000</v>
      </c>
      <c r="E70" t="s">
        <v>8</v>
      </c>
      <c r="F70">
        <v>5</v>
      </c>
      <c r="G70" s="3">
        <v>1</v>
      </c>
      <c r="H70">
        <f t="shared" ref="H70:H133" si="1">+D70*F70</f>
        <v>40000</v>
      </c>
      <c r="L70"/>
    </row>
    <row r="71" spans="1:12" x14ac:dyDescent="0.25">
      <c r="A71" s="2">
        <v>46079.72755787037</v>
      </c>
      <c r="B71">
        <v>57</v>
      </c>
      <c r="C71" t="s">
        <v>22</v>
      </c>
      <c r="D71">
        <v>3000</v>
      </c>
      <c r="E71" t="s">
        <v>8</v>
      </c>
      <c r="F71">
        <v>3</v>
      </c>
      <c r="G71" s="3">
        <v>1</v>
      </c>
      <c r="H71">
        <f t="shared" si="1"/>
        <v>9000</v>
      </c>
      <c r="L71"/>
    </row>
    <row r="72" spans="1:12" x14ac:dyDescent="0.25">
      <c r="A72" s="2">
        <v>46079.752893518518</v>
      </c>
      <c r="B72">
        <v>58</v>
      </c>
      <c r="C72" t="s">
        <v>19</v>
      </c>
      <c r="D72">
        <v>8000</v>
      </c>
      <c r="E72" t="s">
        <v>7</v>
      </c>
      <c r="F72">
        <v>1</v>
      </c>
      <c r="G72" s="3">
        <v>1</v>
      </c>
      <c r="H72">
        <f t="shared" si="1"/>
        <v>8000</v>
      </c>
      <c r="L72"/>
    </row>
    <row r="73" spans="1:12" x14ac:dyDescent="0.25">
      <c r="A73" s="2">
        <v>46079.763055555559</v>
      </c>
      <c r="B73">
        <v>59</v>
      </c>
      <c r="C73" t="s">
        <v>19</v>
      </c>
      <c r="D73">
        <v>8000</v>
      </c>
      <c r="E73" t="s">
        <v>8</v>
      </c>
      <c r="F73">
        <v>1</v>
      </c>
      <c r="G73" s="3">
        <v>1</v>
      </c>
      <c r="H73">
        <f t="shared" si="1"/>
        <v>8000</v>
      </c>
      <c r="L73"/>
    </row>
    <row r="74" spans="1:12" x14ac:dyDescent="0.25">
      <c r="A74" s="2">
        <v>46079.764050925929</v>
      </c>
      <c r="B74">
        <v>60</v>
      </c>
      <c r="C74" t="s">
        <v>19</v>
      </c>
      <c r="D74">
        <v>8000</v>
      </c>
      <c r="E74" t="s">
        <v>7</v>
      </c>
      <c r="F74">
        <v>1</v>
      </c>
      <c r="G74" s="3">
        <v>1</v>
      </c>
      <c r="H74">
        <f t="shared" si="1"/>
        <v>8000</v>
      </c>
      <c r="L74"/>
    </row>
    <row r="75" spans="1:12" x14ac:dyDescent="0.25">
      <c r="A75" s="2">
        <v>46079.773599537039</v>
      </c>
      <c r="B75">
        <v>61</v>
      </c>
      <c r="C75" t="s">
        <v>19</v>
      </c>
      <c r="D75">
        <v>8000</v>
      </c>
      <c r="E75" t="s">
        <v>8</v>
      </c>
      <c r="F75">
        <v>1</v>
      </c>
      <c r="G75" s="3">
        <v>1</v>
      </c>
      <c r="H75">
        <f t="shared" si="1"/>
        <v>8000</v>
      </c>
      <c r="L75"/>
    </row>
    <row r="76" spans="1:12" x14ac:dyDescent="0.25">
      <c r="A76" s="2">
        <v>46079.794652777775</v>
      </c>
      <c r="B76">
        <v>62</v>
      </c>
      <c r="C76" t="s">
        <v>19</v>
      </c>
      <c r="D76">
        <v>8000</v>
      </c>
      <c r="E76" t="s">
        <v>7</v>
      </c>
      <c r="F76">
        <v>2</v>
      </c>
      <c r="G76" s="3">
        <v>1</v>
      </c>
      <c r="H76">
        <f t="shared" si="1"/>
        <v>16000</v>
      </c>
      <c r="L76"/>
    </row>
    <row r="77" spans="1:12" x14ac:dyDescent="0.25">
      <c r="A77" s="2">
        <v>46079.812418981484</v>
      </c>
      <c r="B77">
        <v>63</v>
      </c>
      <c r="C77" t="s">
        <v>19</v>
      </c>
      <c r="D77">
        <v>8000</v>
      </c>
      <c r="E77" t="s">
        <v>8</v>
      </c>
      <c r="F77">
        <v>2</v>
      </c>
      <c r="G77" s="3">
        <v>1</v>
      </c>
      <c r="H77">
        <f t="shared" si="1"/>
        <v>16000</v>
      </c>
      <c r="L77"/>
    </row>
    <row r="78" spans="1:12" x14ac:dyDescent="0.25">
      <c r="A78" s="2">
        <v>46079.812418981484</v>
      </c>
      <c r="B78">
        <v>63</v>
      </c>
      <c r="C78" t="s">
        <v>20</v>
      </c>
      <c r="D78">
        <v>3000</v>
      </c>
      <c r="E78" t="s">
        <v>8</v>
      </c>
      <c r="F78">
        <v>1</v>
      </c>
      <c r="G78" s="3">
        <v>1</v>
      </c>
      <c r="H78">
        <f t="shared" si="1"/>
        <v>3000</v>
      </c>
      <c r="L78"/>
    </row>
    <row r="79" spans="1:12" x14ac:dyDescent="0.25">
      <c r="A79" s="2">
        <v>46079.81355324074</v>
      </c>
      <c r="B79">
        <v>64</v>
      </c>
      <c r="C79" t="s">
        <v>19</v>
      </c>
      <c r="D79">
        <v>8000</v>
      </c>
      <c r="E79" t="s">
        <v>7</v>
      </c>
      <c r="F79">
        <v>1</v>
      </c>
      <c r="G79" s="3">
        <v>1</v>
      </c>
      <c r="H79">
        <f t="shared" si="1"/>
        <v>8000</v>
      </c>
      <c r="L79"/>
    </row>
    <row r="80" spans="1:12" x14ac:dyDescent="0.25">
      <c r="A80" s="2">
        <v>46079.814722222225</v>
      </c>
      <c r="B80">
        <v>65</v>
      </c>
      <c r="C80" t="s">
        <v>19</v>
      </c>
      <c r="D80">
        <v>8000</v>
      </c>
      <c r="E80" t="s">
        <v>7</v>
      </c>
      <c r="F80">
        <v>1</v>
      </c>
      <c r="G80" s="3">
        <v>1</v>
      </c>
      <c r="H80">
        <f t="shared" si="1"/>
        <v>8000</v>
      </c>
      <c r="L80"/>
    </row>
    <row r="81" spans="1:12" x14ac:dyDescent="0.25">
      <c r="A81" s="2">
        <v>46079.84375</v>
      </c>
      <c r="B81">
        <v>66</v>
      </c>
      <c r="C81" t="s">
        <v>19</v>
      </c>
      <c r="D81">
        <v>8000</v>
      </c>
      <c r="E81" t="s">
        <v>7</v>
      </c>
      <c r="F81">
        <v>1</v>
      </c>
      <c r="G81" s="3">
        <v>1</v>
      </c>
      <c r="H81">
        <f t="shared" si="1"/>
        <v>8000</v>
      </c>
      <c r="L81"/>
    </row>
    <row r="82" spans="1:12" x14ac:dyDescent="0.25">
      <c r="A82" s="2">
        <v>46079.84375</v>
      </c>
      <c r="B82">
        <v>66</v>
      </c>
      <c r="C82" t="s">
        <v>22</v>
      </c>
      <c r="D82">
        <v>3000</v>
      </c>
      <c r="E82" t="s">
        <v>7</v>
      </c>
      <c r="F82">
        <v>1</v>
      </c>
      <c r="G82" s="3">
        <v>1</v>
      </c>
      <c r="H82">
        <f t="shared" si="1"/>
        <v>3000</v>
      </c>
      <c r="L82"/>
    </row>
    <row r="83" spans="1:12" x14ac:dyDescent="0.25">
      <c r="A83" s="2">
        <v>46079.843946759262</v>
      </c>
      <c r="B83">
        <v>67</v>
      </c>
      <c r="C83" t="s">
        <v>19</v>
      </c>
      <c r="D83">
        <v>8000</v>
      </c>
      <c r="E83" t="s">
        <v>8</v>
      </c>
      <c r="F83">
        <v>1</v>
      </c>
      <c r="G83" s="3">
        <v>1</v>
      </c>
      <c r="H83">
        <f t="shared" si="1"/>
        <v>8000</v>
      </c>
      <c r="L83"/>
    </row>
    <row r="84" spans="1:12" x14ac:dyDescent="0.25">
      <c r="A84" s="2">
        <v>46079.844108796293</v>
      </c>
      <c r="B84">
        <v>68</v>
      </c>
      <c r="C84" t="s">
        <v>19</v>
      </c>
      <c r="D84">
        <v>8000</v>
      </c>
      <c r="E84" t="s">
        <v>8</v>
      </c>
      <c r="F84">
        <v>1</v>
      </c>
      <c r="G84" s="3">
        <v>1</v>
      </c>
      <c r="H84">
        <f t="shared" si="1"/>
        <v>8000</v>
      </c>
      <c r="L84"/>
    </row>
    <row r="85" spans="1:12" x14ac:dyDescent="0.25">
      <c r="A85" s="2">
        <v>46080.630173611113</v>
      </c>
      <c r="B85">
        <v>69</v>
      </c>
      <c r="C85" t="s">
        <v>19</v>
      </c>
      <c r="D85">
        <v>8000</v>
      </c>
      <c r="E85" t="s">
        <v>8</v>
      </c>
      <c r="F85">
        <v>1</v>
      </c>
      <c r="G85" s="3">
        <v>1</v>
      </c>
      <c r="H85">
        <f t="shared" si="1"/>
        <v>8000</v>
      </c>
      <c r="L85"/>
    </row>
    <row r="86" spans="1:12" x14ac:dyDescent="0.25">
      <c r="A86" s="2">
        <v>46080.630173611113</v>
      </c>
      <c r="B86">
        <v>69</v>
      </c>
      <c r="C86" t="s">
        <v>22</v>
      </c>
      <c r="D86">
        <v>3000</v>
      </c>
      <c r="E86" t="s">
        <v>8</v>
      </c>
      <c r="F86">
        <v>1</v>
      </c>
      <c r="G86" s="3">
        <v>1</v>
      </c>
      <c r="H86">
        <f t="shared" si="1"/>
        <v>3000</v>
      </c>
      <c r="L86"/>
    </row>
    <row r="87" spans="1:12" x14ac:dyDescent="0.25">
      <c r="A87" s="2">
        <v>46080.631249999999</v>
      </c>
      <c r="B87">
        <v>70</v>
      </c>
      <c r="C87" t="s">
        <v>19</v>
      </c>
      <c r="D87">
        <v>8000</v>
      </c>
      <c r="E87" t="s">
        <v>7</v>
      </c>
      <c r="F87">
        <v>1</v>
      </c>
      <c r="G87" s="3">
        <v>1</v>
      </c>
      <c r="H87">
        <f t="shared" si="1"/>
        <v>8000</v>
      </c>
      <c r="L87"/>
    </row>
    <row r="88" spans="1:12" x14ac:dyDescent="0.25">
      <c r="A88" s="2">
        <v>46080.715798611112</v>
      </c>
      <c r="B88">
        <v>71</v>
      </c>
      <c r="C88" t="s">
        <v>19</v>
      </c>
      <c r="D88">
        <v>8000</v>
      </c>
      <c r="E88" t="s">
        <v>7</v>
      </c>
      <c r="F88">
        <v>1</v>
      </c>
      <c r="G88" s="3">
        <v>1</v>
      </c>
      <c r="H88">
        <f t="shared" si="1"/>
        <v>8000</v>
      </c>
      <c r="L88"/>
    </row>
    <row r="89" spans="1:12" x14ac:dyDescent="0.25">
      <c r="A89" s="2">
        <v>46080.715798611112</v>
      </c>
      <c r="B89">
        <v>71</v>
      </c>
      <c r="C89" t="s">
        <v>21</v>
      </c>
      <c r="D89">
        <v>35000</v>
      </c>
      <c r="E89" t="s">
        <v>7</v>
      </c>
      <c r="F89">
        <v>1</v>
      </c>
      <c r="G89" s="3">
        <v>1</v>
      </c>
      <c r="H89">
        <f t="shared" si="1"/>
        <v>35000</v>
      </c>
      <c r="L89"/>
    </row>
    <row r="90" spans="1:12" x14ac:dyDescent="0.25">
      <c r="A90" s="2">
        <v>46080.715798611112</v>
      </c>
      <c r="B90">
        <v>71</v>
      </c>
      <c r="C90" t="s">
        <v>33</v>
      </c>
      <c r="D90">
        <v>2000</v>
      </c>
      <c r="E90" t="s">
        <v>7</v>
      </c>
      <c r="F90">
        <v>1</v>
      </c>
      <c r="G90" s="3">
        <v>1</v>
      </c>
      <c r="H90">
        <f t="shared" si="1"/>
        <v>2000</v>
      </c>
      <c r="L90"/>
    </row>
    <row r="91" spans="1:12" x14ac:dyDescent="0.25">
      <c r="A91" s="2">
        <v>46080.725428240738</v>
      </c>
      <c r="B91">
        <v>72</v>
      </c>
      <c r="C91" t="s">
        <v>19</v>
      </c>
      <c r="D91">
        <v>8000</v>
      </c>
      <c r="E91" t="s">
        <v>7</v>
      </c>
      <c r="F91">
        <v>3</v>
      </c>
      <c r="G91" s="3">
        <v>1</v>
      </c>
      <c r="H91">
        <f t="shared" si="1"/>
        <v>24000</v>
      </c>
      <c r="L91"/>
    </row>
    <row r="92" spans="1:12" x14ac:dyDescent="0.25">
      <c r="A92" s="2">
        <v>46080.725428240738</v>
      </c>
      <c r="B92">
        <v>72</v>
      </c>
      <c r="C92" t="s">
        <v>20</v>
      </c>
      <c r="D92">
        <v>3000</v>
      </c>
      <c r="E92" t="s">
        <v>7</v>
      </c>
      <c r="F92">
        <v>2</v>
      </c>
      <c r="G92" s="3">
        <v>1</v>
      </c>
      <c r="H92">
        <f t="shared" si="1"/>
        <v>6000</v>
      </c>
      <c r="L92"/>
    </row>
    <row r="93" spans="1:12" x14ac:dyDescent="0.25">
      <c r="A93" s="2">
        <v>46080.725428240738</v>
      </c>
      <c r="B93">
        <v>72</v>
      </c>
      <c r="C93" t="s">
        <v>21</v>
      </c>
      <c r="D93">
        <v>35000</v>
      </c>
      <c r="E93" t="s">
        <v>7</v>
      </c>
      <c r="F93">
        <v>1</v>
      </c>
      <c r="G93" s="3">
        <v>1</v>
      </c>
      <c r="H93">
        <f t="shared" si="1"/>
        <v>35000</v>
      </c>
      <c r="L93"/>
    </row>
    <row r="94" spans="1:12" x14ac:dyDescent="0.25">
      <c r="A94" s="2">
        <v>46080.742268518516</v>
      </c>
      <c r="B94">
        <v>73</v>
      </c>
      <c r="C94" t="s">
        <v>19</v>
      </c>
      <c r="D94">
        <v>8000</v>
      </c>
      <c r="E94" t="s">
        <v>7</v>
      </c>
      <c r="F94">
        <v>2</v>
      </c>
      <c r="G94" s="3">
        <v>1</v>
      </c>
      <c r="H94">
        <f t="shared" si="1"/>
        <v>16000</v>
      </c>
      <c r="L94"/>
    </row>
    <row r="95" spans="1:12" x14ac:dyDescent="0.25">
      <c r="A95" s="2">
        <v>46080.742268518516</v>
      </c>
      <c r="B95">
        <v>73</v>
      </c>
      <c r="C95" t="s">
        <v>20</v>
      </c>
      <c r="D95">
        <v>3000</v>
      </c>
      <c r="E95" t="s">
        <v>7</v>
      </c>
      <c r="F95">
        <v>1</v>
      </c>
      <c r="G95" s="3">
        <v>1</v>
      </c>
      <c r="H95">
        <f t="shared" si="1"/>
        <v>3000</v>
      </c>
      <c r="L95"/>
    </row>
    <row r="96" spans="1:12" x14ac:dyDescent="0.25">
      <c r="A96" s="2">
        <v>46080.761412037034</v>
      </c>
      <c r="B96">
        <v>74</v>
      </c>
      <c r="C96" t="s">
        <v>19</v>
      </c>
      <c r="D96">
        <v>8000</v>
      </c>
      <c r="E96" t="s">
        <v>8</v>
      </c>
      <c r="F96">
        <v>3</v>
      </c>
      <c r="G96" s="3">
        <v>1</v>
      </c>
      <c r="H96">
        <f t="shared" si="1"/>
        <v>24000</v>
      </c>
      <c r="L96"/>
    </row>
    <row r="97" spans="1:12" x14ac:dyDescent="0.25">
      <c r="A97" s="2">
        <v>46080.824016203704</v>
      </c>
      <c r="B97">
        <v>75</v>
      </c>
      <c r="C97" t="s">
        <v>17</v>
      </c>
      <c r="D97">
        <v>3000</v>
      </c>
      <c r="E97" t="s">
        <v>35</v>
      </c>
      <c r="F97">
        <v>1</v>
      </c>
      <c r="G97" s="3">
        <v>1</v>
      </c>
      <c r="H97">
        <f t="shared" si="1"/>
        <v>3000</v>
      </c>
      <c r="L97"/>
    </row>
    <row r="98" spans="1:12" x14ac:dyDescent="0.25">
      <c r="A98" s="2">
        <v>46080.824016203704</v>
      </c>
      <c r="B98">
        <v>75</v>
      </c>
      <c r="C98" t="s">
        <v>19</v>
      </c>
      <c r="D98">
        <v>8000</v>
      </c>
      <c r="E98" t="s">
        <v>35</v>
      </c>
      <c r="F98">
        <v>1</v>
      </c>
      <c r="G98" s="3">
        <v>1</v>
      </c>
      <c r="H98">
        <f t="shared" si="1"/>
        <v>8000</v>
      </c>
      <c r="L98"/>
    </row>
    <row r="99" spans="1:12" x14ac:dyDescent="0.25">
      <c r="A99" s="2">
        <v>46080.836365740739</v>
      </c>
      <c r="B99">
        <v>76</v>
      </c>
      <c r="C99" t="s">
        <v>19</v>
      </c>
      <c r="D99">
        <v>8000</v>
      </c>
      <c r="E99" t="s">
        <v>8</v>
      </c>
      <c r="F99">
        <v>2</v>
      </c>
      <c r="G99" s="3">
        <v>1</v>
      </c>
      <c r="H99">
        <f t="shared" si="1"/>
        <v>16000</v>
      </c>
      <c r="L99"/>
    </row>
    <row r="100" spans="1:12" x14ac:dyDescent="0.25">
      <c r="A100" s="2">
        <v>46080.837210648147</v>
      </c>
      <c r="B100">
        <v>77</v>
      </c>
      <c r="C100" t="s">
        <v>19</v>
      </c>
      <c r="D100">
        <v>8000</v>
      </c>
      <c r="E100" t="s">
        <v>7</v>
      </c>
      <c r="F100">
        <v>4</v>
      </c>
      <c r="G100" s="3">
        <v>1</v>
      </c>
      <c r="H100">
        <f t="shared" si="1"/>
        <v>32000</v>
      </c>
      <c r="L100"/>
    </row>
    <row r="101" spans="1:12" x14ac:dyDescent="0.25">
      <c r="A101" s="2">
        <v>46080.837210648147</v>
      </c>
      <c r="B101">
        <v>77</v>
      </c>
      <c r="C101" t="s">
        <v>20</v>
      </c>
      <c r="D101">
        <v>3000</v>
      </c>
      <c r="E101" t="s">
        <v>7</v>
      </c>
      <c r="F101">
        <v>3</v>
      </c>
      <c r="G101" s="3">
        <v>1</v>
      </c>
      <c r="H101">
        <f t="shared" si="1"/>
        <v>9000</v>
      </c>
      <c r="L101"/>
    </row>
    <row r="102" spans="1:12" x14ac:dyDescent="0.25">
      <c r="A102" s="2">
        <v>46080.83902777778</v>
      </c>
      <c r="B102">
        <v>78</v>
      </c>
      <c r="C102" t="s">
        <v>19</v>
      </c>
      <c r="D102">
        <v>8000</v>
      </c>
      <c r="E102" t="s">
        <v>7</v>
      </c>
      <c r="F102">
        <v>1</v>
      </c>
      <c r="G102" s="3">
        <v>1</v>
      </c>
      <c r="H102">
        <f t="shared" si="1"/>
        <v>8000</v>
      </c>
      <c r="L102"/>
    </row>
    <row r="103" spans="1:12" x14ac:dyDescent="0.25">
      <c r="A103" s="2">
        <v>46081.78979166667</v>
      </c>
      <c r="B103">
        <v>79</v>
      </c>
      <c r="C103" t="s">
        <v>18</v>
      </c>
      <c r="D103">
        <v>4500</v>
      </c>
      <c r="E103" t="s">
        <v>7</v>
      </c>
      <c r="F103">
        <v>6</v>
      </c>
      <c r="G103" s="3">
        <v>1</v>
      </c>
      <c r="H103">
        <f t="shared" si="1"/>
        <v>27000</v>
      </c>
      <c r="L103"/>
    </row>
    <row r="104" spans="1:12" x14ac:dyDescent="0.25">
      <c r="A104" s="2">
        <v>46081.790231481478</v>
      </c>
      <c r="B104">
        <v>80</v>
      </c>
      <c r="C104" t="s">
        <v>19</v>
      </c>
      <c r="D104">
        <v>8000</v>
      </c>
      <c r="E104" t="s">
        <v>8</v>
      </c>
      <c r="F104">
        <v>2</v>
      </c>
      <c r="G104" s="3">
        <v>1</v>
      </c>
      <c r="H104">
        <f t="shared" si="1"/>
        <v>16000</v>
      </c>
    </row>
    <row r="105" spans="1:12" x14ac:dyDescent="0.25">
      <c r="A105" s="2">
        <v>46081.790960648148</v>
      </c>
      <c r="B105">
        <v>81</v>
      </c>
      <c r="C105" t="s">
        <v>17</v>
      </c>
      <c r="D105">
        <v>3000</v>
      </c>
      <c r="E105" t="s">
        <v>8</v>
      </c>
      <c r="F105">
        <v>1</v>
      </c>
      <c r="G105" s="3">
        <v>1</v>
      </c>
      <c r="H105">
        <f t="shared" si="1"/>
        <v>3000</v>
      </c>
    </row>
    <row r="106" spans="1:12" x14ac:dyDescent="0.25">
      <c r="A106" s="2">
        <v>46081.790960648148</v>
      </c>
      <c r="B106">
        <v>81</v>
      </c>
      <c r="C106" t="s">
        <v>19</v>
      </c>
      <c r="D106">
        <v>8000</v>
      </c>
      <c r="E106" t="s">
        <v>8</v>
      </c>
      <c r="F106">
        <v>1</v>
      </c>
      <c r="G106" s="3">
        <v>1</v>
      </c>
      <c r="H106">
        <f t="shared" si="1"/>
        <v>8000</v>
      </c>
    </row>
    <row r="107" spans="1:12" x14ac:dyDescent="0.25">
      <c r="A107" s="2">
        <v>46081.790960648148</v>
      </c>
      <c r="B107">
        <v>81</v>
      </c>
      <c r="C107" t="s">
        <v>33</v>
      </c>
      <c r="D107">
        <v>2000</v>
      </c>
      <c r="E107" t="s">
        <v>8</v>
      </c>
      <c r="F107">
        <v>1</v>
      </c>
      <c r="G107" s="3">
        <v>1</v>
      </c>
      <c r="H107">
        <f t="shared" si="1"/>
        <v>2000</v>
      </c>
    </row>
    <row r="108" spans="1:12" x14ac:dyDescent="0.25">
      <c r="A108" s="2">
        <v>46081.792407407411</v>
      </c>
      <c r="B108">
        <v>82</v>
      </c>
      <c r="C108" t="s">
        <v>19</v>
      </c>
      <c r="D108">
        <v>8000</v>
      </c>
      <c r="E108" t="s">
        <v>7</v>
      </c>
      <c r="F108">
        <v>2</v>
      </c>
      <c r="G108" s="3">
        <v>1</v>
      </c>
      <c r="H108">
        <f t="shared" si="1"/>
        <v>16000</v>
      </c>
    </row>
    <row r="109" spans="1:12" x14ac:dyDescent="0.25">
      <c r="A109" s="2">
        <v>46081.792407407411</v>
      </c>
      <c r="B109">
        <v>82</v>
      </c>
      <c r="C109" t="s">
        <v>20</v>
      </c>
      <c r="D109">
        <v>3000</v>
      </c>
      <c r="E109" t="s">
        <v>7</v>
      </c>
      <c r="F109">
        <v>1</v>
      </c>
      <c r="G109" s="3">
        <v>1</v>
      </c>
      <c r="H109">
        <f t="shared" si="1"/>
        <v>3000</v>
      </c>
    </row>
    <row r="110" spans="1:12" x14ac:dyDescent="0.25">
      <c r="A110" s="2">
        <v>46081.793206018519</v>
      </c>
      <c r="B110">
        <v>83</v>
      </c>
      <c r="C110" t="s">
        <v>19</v>
      </c>
      <c r="D110">
        <v>8000</v>
      </c>
      <c r="E110" t="s">
        <v>7</v>
      </c>
      <c r="F110">
        <v>2</v>
      </c>
      <c r="G110" s="3">
        <v>1</v>
      </c>
      <c r="H110">
        <f t="shared" si="1"/>
        <v>16000</v>
      </c>
    </row>
    <row r="111" spans="1:12" x14ac:dyDescent="0.25">
      <c r="A111" s="2">
        <v>46081.793206018519</v>
      </c>
      <c r="B111">
        <v>83</v>
      </c>
      <c r="C111" t="s">
        <v>20</v>
      </c>
      <c r="D111">
        <v>3000</v>
      </c>
      <c r="E111" t="s">
        <v>7</v>
      </c>
      <c r="F111">
        <v>1</v>
      </c>
      <c r="G111" s="3">
        <v>1</v>
      </c>
      <c r="H111">
        <f t="shared" si="1"/>
        <v>3000</v>
      </c>
    </row>
    <row r="112" spans="1:12" x14ac:dyDescent="0.25">
      <c r="A112" s="2">
        <v>46081.793865740743</v>
      </c>
      <c r="B112">
        <v>84</v>
      </c>
      <c r="C112" t="s">
        <v>19</v>
      </c>
      <c r="D112">
        <v>8000</v>
      </c>
      <c r="E112" t="s">
        <v>7</v>
      </c>
      <c r="F112">
        <v>1</v>
      </c>
      <c r="G112" s="3">
        <v>1</v>
      </c>
      <c r="H112">
        <f t="shared" si="1"/>
        <v>8000</v>
      </c>
    </row>
    <row r="113" spans="1:8" x14ac:dyDescent="0.25">
      <c r="A113" s="2">
        <v>46081.793865740743</v>
      </c>
      <c r="B113">
        <v>84</v>
      </c>
      <c r="C113" t="s">
        <v>20</v>
      </c>
      <c r="D113">
        <v>3000</v>
      </c>
      <c r="E113" t="s">
        <v>7</v>
      </c>
      <c r="F113">
        <v>1</v>
      </c>
      <c r="G113" s="3">
        <v>1</v>
      </c>
      <c r="H113">
        <f t="shared" si="1"/>
        <v>3000</v>
      </c>
    </row>
    <row r="114" spans="1:8" x14ac:dyDescent="0.25">
      <c r="A114" s="2">
        <v>46081.794421296298</v>
      </c>
      <c r="B114">
        <v>85</v>
      </c>
      <c r="C114" t="s">
        <v>19</v>
      </c>
      <c r="D114">
        <v>8000</v>
      </c>
      <c r="E114" t="s">
        <v>7</v>
      </c>
      <c r="F114">
        <v>4</v>
      </c>
      <c r="G114" s="3">
        <v>1</v>
      </c>
      <c r="H114">
        <f t="shared" si="1"/>
        <v>32000</v>
      </c>
    </row>
    <row r="115" spans="1:8" x14ac:dyDescent="0.25">
      <c r="A115" s="2">
        <v>46081.794421296298</v>
      </c>
      <c r="B115">
        <v>85</v>
      </c>
      <c r="C115" t="s">
        <v>20</v>
      </c>
      <c r="D115">
        <v>3000</v>
      </c>
      <c r="E115" t="s">
        <v>7</v>
      </c>
      <c r="F115">
        <v>2</v>
      </c>
      <c r="G115" s="3">
        <v>1</v>
      </c>
      <c r="H115">
        <f t="shared" si="1"/>
        <v>6000</v>
      </c>
    </row>
    <row r="116" spans="1:8" x14ac:dyDescent="0.25">
      <c r="A116" s="2">
        <v>46081.794652777775</v>
      </c>
      <c r="B116">
        <v>86</v>
      </c>
      <c r="C116" t="s">
        <v>19</v>
      </c>
      <c r="D116">
        <v>8000</v>
      </c>
      <c r="E116" t="s">
        <v>7</v>
      </c>
      <c r="F116">
        <v>2</v>
      </c>
      <c r="G116" s="3">
        <v>1</v>
      </c>
      <c r="H116">
        <f t="shared" si="1"/>
        <v>16000</v>
      </c>
    </row>
    <row r="117" spans="1:8" x14ac:dyDescent="0.25">
      <c r="A117" s="2">
        <v>46081.795092592591</v>
      </c>
      <c r="B117">
        <v>87</v>
      </c>
      <c r="C117" t="s">
        <v>19</v>
      </c>
      <c r="D117">
        <v>8000</v>
      </c>
      <c r="E117" t="s">
        <v>7</v>
      </c>
      <c r="F117">
        <v>3</v>
      </c>
      <c r="G117" s="3">
        <v>1</v>
      </c>
      <c r="H117">
        <f t="shared" si="1"/>
        <v>24000</v>
      </c>
    </row>
    <row r="118" spans="1:8" x14ac:dyDescent="0.25">
      <c r="A118" s="2">
        <v>46081.795092592591</v>
      </c>
      <c r="B118">
        <v>87</v>
      </c>
      <c r="C118" t="s">
        <v>40</v>
      </c>
      <c r="D118">
        <v>4500</v>
      </c>
      <c r="E118" t="s">
        <v>7</v>
      </c>
      <c r="F118">
        <v>1</v>
      </c>
      <c r="G118" s="3">
        <v>1</v>
      </c>
      <c r="H118">
        <f t="shared" si="1"/>
        <v>4500</v>
      </c>
    </row>
    <row r="119" spans="1:8" x14ac:dyDescent="0.25">
      <c r="A119" s="2">
        <v>46081.795497685183</v>
      </c>
      <c r="B119">
        <v>88</v>
      </c>
      <c r="C119" t="s">
        <v>21</v>
      </c>
      <c r="D119">
        <v>35000</v>
      </c>
      <c r="E119" t="s">
        <v>7</v>
      </c>
      <c r="F119">
        <v>1</v>
      </c>
      <c r="G119" s="3">
        <v>1</v>
      </c>
      <c r="H119">
        <f t="shared" si="1"/>
        <v>35000</v>
      </c>
    </row>
    <row r="120" spans="1:8" x14ac:dyDescent="0.25">
      <c r="A120" s="2">
        <v>46081.795729166668</v>
      </c>
      <c r="B120">
        <v>89</v>
      </c>
      <c r="C120" t="s">
        <v>21</v>
      </c>
      <c r="D120">
        <v>35000</v>
      </c>
      <c r="E120" t="s">
        <v>7</v>
      </c>
      <c r="F120">
        <v>1</v>
      </c>
      <c r="G120" s="3">
        <v>1</v>
      </c>
      <c r="H120">
        <f t="shared" si="1"/>
        <v>35000</v>
      </c>
    </row>
    <row r="121" spans="1:8" x14ac:dyDescent="0.25">
      <c r="A121" s="2">
        <v>46081.7971875</v>
      </c>
      <c r="B121">
        <v>90</v>
      </c>
      <c r="C121" t="s">
        <v>41</v>
      </c>
      <c r="D121">
        <v>48000</v>
      </c>
      <c r="E121" t="s">
        <v>7</v>
      </c>
      <c r="F121">
        <v>1</v>
      </c>
      <c r="G121" s="3">
        <v>1</v>
      </c>
      <c r="H121">
        <f t="shared" si="1"/>
        <v>48000</v>
      </c>
    </row>
    <row r="122" spans="1:8" x14ac:dyDescent="0.25">
      <c r="A122" s="2">
        <v>46081.797511574077</v>
      </c>
      <c r="B122">
        <v>91</v>
      </c>
      <c r="C122" t="s">
        <v>42</v>
      </c>
      <c r="D122">
        <v>70000</v>
      </c>
      <c r="E122" t="s">
        <v>7</v>
      </c>
      <c r="F122">
        <v>2</v>
      </c>
      <c r="G122" s="3">
        <v>1</v>
      </c>
      <c r="H122">
        <f t="shared" si="1"/>
        <v>140000</v>
      </c>
    </row>
    <row r="123" spans="1:8" x14ac:dyDescent="0.25">
      <c r="A123" s="2">
        <v>46081.797662037039</v>
      </c>
      <c r="B123">
        <v>92</v>
      </c>
      <c r="C123" t="s">
        <v>43</v>
      </c>
      <c r="D123">
        <v>40000</v>
      </c>
      <c r="E123" t="s">
        <v>7</v>
      </c>
      <c r="F123">
        <v>1</v>
      </c>
      <c r="G123" s="3">
        <v>1</v>
      </c>
      <c r="H123">
        <f t="shared" si="1"/>
        <v>40000</v>
      </c>
    </row>
    <row r="124" spans="1:8" x14ac:dyDescent="0.25">
      <c r="A124" s="2">
        <v>46081.799027777779</v>
      </c>
      <c r="B124">
        <v>93</v>
      </c>
      <c r="C124" t="s">
        <v>18</v>
      </c>
      <c r="D124">
        <v>4500</v>
      </c>
      <c r="E124" t="s">
        <v>8</v>
      </c>
      <c r="F124">
        <v>4</v>
      </c>
      <c r="G124" s="3">
        <v>1</v>
      </c>
      <c r="H124">
        <f t="shared" si="1"/>
        <v>18000</v>
      </c>
    </row>
    <row r="125" spans="1:8" x14ac:dyDescent="0.25">
      <c r="A125" s="2">
        <v>46083.511145833334</v>
      </c>
      <c r="B125">
        <v>95</v>
      </c>
      <c r="C125" t="s">
        <v>19</v>
      </c>
      <c r="D125">
        <v>8000</v>
      </c>
      <c r="E125" t="s">
        <v>7</v>
      </c>
      <c r="F125">
        <v>1</v>
      </c>
      <c r="G125" s="3">
        <v>1</v>
      </c>
      <c r="H125">
        <f t="shared" si="1"/>
        <v>8000</v>
      </c>
    </row>
    <row r="126" spans="1:8" x14ac:dyDescent="0.25">
      <c r="A126" s="2">
        <v>46083.511145833334</v>
      </c>
      <c r="B126">
        <v>95</v>
      </c>
      <c r="C126" t="s">
        <v>20</v>
      </c>
      <c r="D126">
        <v>3000</v>
      </c>
      <c r="E126" t="s">
        <v>7</v>
      </c>
      <c r="F126">
        <v>1</v>
      </c>
      <c r="G126" s="3">
        <v>1</v>
      </c>
      <c r="H126">
        <f t="shared" si="1"/>
        <v>3000</v>
      </c>
    </row>
    <row r="127" spans="1:8" x14ac:dyDescent="0.25">
      <c r="A127" s="2">
        <v>46083.720312500001</v>
      </c>
      <c r="B127">
        <v>96</v>
      </c>
      <c r="C127" t="s">
        <v>19</v>
      </c>
      <c r="D127">
        <v>8000</v>
      </c>
      <c r="E127" t="s">
        <v>7</v>
      </c>
      <c r="F127">
        <v>1</v>
      </c>
      <c r="G127" s="3">
        <v>1</v>
      </c>
      <c r="H127">
        <f t="shared" si="1"/>
        <v>8000</v>
      </c>
    </row>
    <row r="128" spans="1:8" x14ac:dyDescent="0.25">
      <c r="A128" s="2">
        <v>46083.735949074071</v>
      </c>
      <c r="B128">
        <v>97</v>
      </c>
      <c r="C128" t="s">
        <v>19</v>
      </c>
      <c r="D128">
        <v>8000</v>
      </c>
      <c r="E128" t="s">
        <v>7</v>
      </c>
      <c r="F128">
        <v>1</v>
      </c>
      <c r="G128" s="3">
        <v>1</v>
      </c>
      <c r="H128">
        <f t="shared" si="1"/>
        <v>8000</v>
      </c>
    </row>
    <row r="129" spans="1:8" x14ac:dyDescent="0.25">
      <c r="A129" s="2">
        <v>46083.825416666667</v>
      </c>
      <c r="B129">
        <v>98</v>
      </c>
      <c r="C129" t="s">
        <v>19</v>
      </c>
      <c r="D129">
        <v>8000</v>
      </c>
      <c r="E129" t="s">
        <v>7</v>
      </c>
      <c r="F129">
        <v>3</v>
      </c>
      <c r="G129" s="3">
        <v>1</v>
      </c>
      <c r="H129">
        <f t="shared" si="1"/>
        <v>24000</v>
      </c>
    </row>
    <row r="130" spans="1:8" x14ac:dyDescent="0.25">
      <c r="A130" s="2">
        <v>46083.825416666667</v>
      </c>
      <c r="B130">
        <v>98</v>
      </c>
      <c r="C130" t="s">
        <v>20</v>
      </c>
      <c r="D130">
        <v>3000</v>
      </c>
      <c r="E130" t="s">
        <v>7</v>
      </c>
      <c r="F130">
        <v>1</v>
      </c>
      <c r="G130" s="3">
        <v>1</v>
      </c>
      <c r="H130">
        <f t="shared" si="1"/>
        <v>3000</v>
      </c>
    </row>
    <row r="131" spans="1:8" x14ac:dyDescent="0.25">
      <c r="A131" s="2">
        <v>46083.825416666667</v>
      </c>
      <c r="B131">
        <v>98</v>
      </c>
      <c r="C131" t="s">
        <v>22</v>
      </c>
      <c r="D131">
        <v>3000</v>
      </c>
      <c r="E131" t="s">
        <v>7</v>
      </c>
      <c r="F131">
        <v>2</v>
      </c>
      <c r="G131" s="3">
        <v>1</v>
      </c>
      <c r="H131">
        <f t="shared" si="1"/>
        <v>6000</v>
      </c>
    </row>
    <row r="132" spans="1:8" x14ac:dyDescent="0.25">
      <c r="A132" s="2">
        <v>46084.491736111115</v>
      </c>
      <c r="B132">
        <v>99</v>
      </c>
      <c r="C132" t="s">
        <v>20</v>
      </c>
      <c r="D132">
        <v>3000</v>
      </c>
      <c r="E132" t="s">
        <v>7</v>
      </c>
      <c r="F132">
        <v>2</v>
      </c>
      <c r="G132" s="3">
        <v>1</v>
      </c>
      <c r="H132">
        <f t="shared" si="1"/>
        <v>6000</v>
      </c>
    </row>
    <row r="133" spans="1:8" x14ac:dyDescent="0.25">
      <c r="A133" s="2">
        <v>46084.551840277774</v>
      </c>
      <c r="B133">
        <v>100</v>
      </c>
      <c r="C133" t="s">
        <v>19</v>
      </c>
      <c r="D133">
        <v>8000</v>
      </c>
      <c r="E133" t="s">
        <v>7</v>
      </c>
      <c r="F133">
        <v>1</v>
      </c>
      <c r="G133" s="3">
        <v>1</v>
      </c>
      <c r="H133">
        <f t="shared" si="1"/>
        <v>8000</v>
      </c>
    </row>
    <row r="134" spans="1:8" x14ac:dyDescent="0.25">
      <c r="A134" s="2">
        <v>46084.618692129632</v>
      </c>
      <c r="B134">
        <v>101</v>
      </c>
      <c r="C134" t="s">
        <v>19</v>
      </c>
      <c r="D134">
        <v>8000</v>
      </c>
      <c r="E134" t="s">
        <v>7</v>
      </c>
      <c r="F134">
        <v>1</v>
      </c>
      <c r="G134" s="3">
        <v>1</v>
      </c>
      <c r="H134">
        <f t="shared" ref="H134:H197" si="2">+D134*F134</f>
        <v>8000</v>
      </c>
    </row>
    <row r="135" spans="1:8" x14ac:dyDescent="0.25">
      <c r="A135" s="2">
        <v>46084.665879629632</v>
      </c>
      <c r="B135">
        <v>102</v>
      </c>
      <c r="C135" t="s">
        <v>19</v>
      </c>
      <c r="D135">
        <v>8000</v>
      </c>
      <c r="E135" t="s">
        <v>7</v>
      </c>
      <c r="F135">
        <v>1</v>
      </c>
      <c r="G135" s="3">
        <v>1</v>
      </c>
      <c r="H135">
        <f t="shared" si="2"/>
        <v>8000</v>
      </c>
    </row>
    <row r="136" spans="1:8" x14ac:dyDescent="0.25">
      <c r="A136" s="2">
        <v>46084.665879629632</v>
      </c>
      <c r="B136">
        <v>102</v>
      </c>
      <c r="C136" t="s">
        <v>40</v>
      </c>
      <c r="D136">
        <v>4500</v>
      </c>
      <c r="E136" t="s">
        <v>7</v>
      </c>
      <c r="F136">
        <v>1</v>
      </c>
      <c r="G136" s="3">
        <v>1</v>
      </c>
      <c r="H136">
        <f t="shared" si="2"/>
        <v>4500</v>
      </c>
    </row>
    <row r="137" spans="1:8" x14ac:dyDescent="0.25">
      <c r="A137" s="2">
        <v>46084.667233796295</v>
      </c>
      <c r="B137">
        <v>103</v>
      </c>
      <c r="C137" t="s">
        <v>19</v>
      </c>
      <c r="D137">
        <v>8000</v>
      </c>
      <c r="E137" t="s">
        <v>7</v>
      </c>
      <c r="F137">
        <v>1</v>
      </c>
      <c r="G137" s="3">
        <v>1</v>
      </c>
      <c r="H137">
        <f t="shared" si="2"/>
        <v>8000</v>
      </c>
    </row>
    <row r="138" spans="1:8" x14ac:dyDescent="0.25">
      <c r="A138" s="2">
        <v>46084.70716435185</v>
      </c>
      <c r="B138">
        <v>104</v>
      </c>
      <c r="C138" t="s">
        <v>59</v>
      </c>
      <c r="D138">
        <v>30000</v>
      </c>
      <c r="E138" t="s">
        <v>8</v>
      </c>
      <c r="F138">
        <v>1</v>
      </c>
      <c r="G138" s="3">
        <v>1</v>
      </c>
      <c r="H138">
        <f t="shared" si="2"/>
        <v>30000</v>
      </c>
    </row>
    <row r="139" spans="1:8" x14ac:dyDescent="0.25">
      <c r="A139" s="2">
        <v>46084.70716435185</v>
      </c>
      <c r="B139">
        <v>104</v>
      </c>
      <c r="C139" t="s">
        <v>20</v>
      </c>
      <c r="D139">
        <v>3000</v>
      </c>
      <c r="E139" t="s">
        <v>8</v>
      </c>
      <c r="F139">
        <v>1</v>
      </c>
      <c r="G139" s="3">
        <v>1</v>
      </c>
      <c r="H139">
        <f t="shared" si="2"/>
        <v>3000</v>
      </c>
    </row>
    <row r="140" spans="1:8" x14ac:dyDescent="0.25">
      <c r="A140" s="2">
        <v>46084.729108796295</v>
      </c>
      <c r="B140">
        <v>105</v>
      </c>
      <c r="C140" t="s">
        <v>19</v>
      </c>
      <c r="D140">
        <v>8000</v>
      </c>
      <c r="E140" t="s">
        <v>7</v>
      </c>
      <c r="F140">
        <v>1</v>
      </c>
      <c r="G140" s="3">
        <v>1</v>
      </c>
      <c r="H140">
        <f t="shared" si="2"/>
        <v>8000</v>
      </c>
    </row>
    <row r="141" spans="1:8" x14ac:dyDescent="0.25">
      <c r="A141" s="2">
        <v>46084.741284722222</v>
      </c>
      <c r="B141">
        <v>106</v>
      </c>
      <c r="C141" t="s">
        <v>18</v>
      </c>
      <c r="D141">
        <v>4500</v>
      </c>
      <c r="E141" t="s">
        <v>7</v>
      </c>
      <c r="F141">
        <v>2</v>
      </c>
      <c r="G141" s="3">
        <v>1</v>
      </c>
      <c r="H141">
        <f t="shared" si="2"/>
        <v>9000</v>
      </c>
    </row>
    <row r="142" spans="1:8" x14ac:dyDescent="0.25">
      <c r="A142" s="2">
        <v>46084.741284722222</v>
      </c>
      <c r="B142">
        <v>106</v>
      </c>
      <c r="C142" t="s">
        <v>19</v>
      </c>
      <c r="D142">
        <v>8000</v>
      </c>
      <c r="E142" t="s">
        <v>7</v>
      </c>
      <c r="F142">
        <v>1</v>
      </c>
      <c r="G142" s="3">
        <v>1</v>
      </c>
      <c r="H142">
        <f t="shared" si="2"/>
        <v>8000</v>
      </c>
    </row>
    <row r="143" spans="1:8" x14ac:dyDescent="0.25">
      <c r="A143" s="2">
        <v>46084.754699074074</v>
      </c>
      <c r="B143">
        <v>107</v>
      </c>
      <c r="C143" t="s">
        <v>19</v>
      </c>
      <c r="D143">
        <v>8000</v>
      </c>
      <c r="E143" t="s">
        <v>7</v>
      </c>
      <c r="F143">
        <v>1</v>
      </c>
      <c r="G143" s="3">
        <v>1</v>
      </c>
      <c r="H143">
        <f t="shared" si="2"/>
        <v>8000</v>
      </c>
    </row>
    <row r="144" spans="1:8" x14ac:dyDescent="0.25">
      <c r="A144" s="2">
        <v>46084.754699074074</v>
      </c>
      <c r="B144">
        <v>107</v>
      </c>
      <c r="C144" t="s">
        <v>20</v>
      </c>
      <c r="D144">
        <v>3000</v>
      </c>
      <c r="E144" t="s">
        <v>7</v>
      </c>
      <c r="F144">
        <v>1</v>
      </c>
      <c r="G144" s="3">
        <v>1</v>
      </c>
      <c r="H144">
        <f t="shared" si="2"/>
        <v>3000</v>
      </c>
    </row>
    <row r="145" spans="1:8" x14ac:dyDescent="0.25">
      <c r="A145" s="2">
        <v>46084.76284722222</v>
      </c>
      <c r="B145">
        <v>108</v>
      </c>
      <c r="C145" t="s">
        <v>40</v>
      </c>
      <c r="D145">
        <v>4500</v>
      </c>
      <c r="E145" t="s">
        <v>7</v>
      </c>
      <c r="F145">
        <v>1</v>
      </c>
      <c r="G145" s="3">
        <v>1</v>
      </c>
      <c r="H145">
        <f t="shared" si="2"/>
        <v>4500</v>
      </c>
    </row>
    <row r="146" spans="1:8" x14ac:dyDescent="0.25">
      <c r="A146" s="2">
        <v>46084.765185185184</v>
      </c>
      <c r="B146">
        <v>109</v>
      </c>
      <c r="C146" t="s">
        <v>19</v>
      </c>
      <c r="D146">
        <v>8000</v>
      </c>
      <c r="E146" t="s">
        <v>35</v>
      </c>
      <c r="F146">
        <v>1</v>
      </c>
      <c r="G146" s="3">
        <v>1</v>
      </c>
      <c r="H146">
        <f t="shared" si="2"/>
        <v>8000</v>
      </c>
    </row>
    <row r="147" spans="1:8" x14ac:dyDescent="0.25">
      <c r="A147" s="2">
        <v>46084.765185185184</v>
      </c>
      <c r="B147">
        <v>109</v>
      </c>
      <c r="C147" t="s">
        <v>20</v>
      </c>
      <c r="D147">
        <v>3000</v>
      </c>
      <c r="E147" t="s">
        <v>35</v>
      </c>
      <c r="F147">
        <v>1</v>
      </c>
      <c r="G147" s="3">
        <v>1</v>
      </c>
      <c r="H147">
        <f t="shared" si="2"/>
        <v>3000</v>
      </c>
    </row>
    <row r="148" spans="1:8" x14ac:dyDescent="0.25">
      <c r="A148" s="2">
        <v>46084.771307870367</v>
      </c>
      <c r="B148">
        <v>110</v>
      </c>
      <c r="C148" t="s">
        <v>50</v>
      </c>
      <c r="D148">
        <v>5000</v>
      </c>
      <c r="E148" t="s">
        <v>8</v>
      </c>
      <c r="F148">
        <v>4</v>
      </c>
      <c r="G148" s="3">
        <v>1</v>
      </c>
      <c r="H148">
        <f t="shared" si="2"/>
        <v>20000</v>
      </c>
    </row>
    <row r="149" spans="1:8" x14ac:dyDescent="0.25">
      <c r="A149" s="2">
        <v>46084.852488425924</v>
      </c>
      <c r="B149">
        <v>111</v>
      </c>
      <c r="C149" t="s">
        <v>19</v>
      </c>
      <c r="D149">
        <v>8000</v>
      </c>
      <c r="E149" t="s">
        <v>7</v>
      </c>
      <c r="F149">
        <v>2</v>
      </c>
      <c r="G149" s="3">
        <v>1</v>
      </c>
      <c r="H149">
        <f t="shared" si="2"/>
        <v>16000</v>
      </c>
    </row>
    <row r="150" spans="1:8" x14ac:dyDescent="0.25">
      <c r="A150" s="2">
        <v>46084.852488425924</v>
      </c>
      <c r="B150">
        <v>111</v>
      </c>
      <c r="C150" t="s">
        <v>20</v>
      </c>
      <c r="D150">
        <v>3000</v>
      </c>
      <c r="E150" t="s">
        <v>7</v>
      </c>
      <c r="F150">
        <v>2</v>
      </c>
      <c r="G150" s="3">
        <v>1</v>
      </c>
      <c r="H150">
        <f t="shared" si="2"/>
        <v>6000</v>
      </c>
    </row>
    <row r="151" spans="1:8" x14ac:dyDescent="0.25">
      <c r="A151" s="2">
        <v>46085.630706018521</v>
      </c>
      <c r="B151">
        <v>112</v>
      </c>
      <c r="C151" t="s">
        <v>19</v>
      </c>
      <c r="D151">
        <v>8000</v>
      </c>
      <c r="E151" t="s">
        <v>7</v>
      </c>
      <c r="F151">
        <v>1</v>
      </c>
      <c r="G151" s="3">
        <v>1</v>
      </c>
      <c r="H151">
        <f t="shared" si="2"/>
        <v>8000</v>
      </c>
    </row>
    <row r="152" spans="1:8" x14ac:dyDescent="0.25">
      <c r="A152" s="2">
        <v>46085.630706018521</v>
      </c>
      <c r="B152">
        <v>112</v>
      </c>
      <c r="C152" t="s">
        <v>20</v>
      </c>
      <c r="D152">
        <v>3000</v>
      </c>
      <c r="E152" t="s">
        <v>7</v>
      </c>
      <c r="F152">
        <v>1</v>
      </c>
      <c r="G152" s="3">
        <v>1</v>
      </c>
      <c r="H152">
        <f t="shared" si="2"/>
        <v>3000</v>
      </c>
    </row>
    <row r="153" spans="1:8" x14ac:dyDescent="0.25">
      <c r="A153" s="2">
        <v>46085.630706018521</v>
      </c>
      <c r="B153">
        <v>112</v>
      </c>
      <c r="C153" t="s">
        <v>57</v>
      </c>
      <c r="D153">
        <v>22000</v>
      </c>
      <c r="E153" t="s">
        <v>7</v>
      </c>
      <c r="F153">
        <v>1</v>
      </c>
      <c r="G153" s="3">
        <v>1</v>
      </c>
      <c r="H153">
        <f t="shared" si="2"/>
        <v>22000</v>
      </c>
    </row>
    <row r="154" spans="1:8" x14ac:dyDescent="0.25">
      <c r="A154" s="2">
        <v>46085.633634259262</v>
      </c>
      <c r="B154">
        <v>113</v>
      </c>
      <c r="C154" t="s">
        <v>19</v>
      </c>
      <c r="D154">
        <v>8000</v>
      </c>
      <c r="E154" t="s">
        <v>7</v>
      </c>
      <c r="F154">
        <v>1</v>
      </c>
      <c r="G154" s="3">
        <v>1</v>
      </c>
      <c r="H154">
        <f t="shared" si="2"/>
        <v>8000</v>
      </c>
    </row>
    <row r="155" spans="1:8" x14ac:dyDescent="0.25">
      <c r="A155" s="2">
        <v>46085.666388888887</v>
      </c>
      <c r="B155">
        <v>114</v>
      </c>
      <c r="C155" t="s">
        <v>19</v>
      </c>
      <c r="D155">
        <v>8000</v>
      </c>
      <c r="E155" t="s">
        <v>7</v>
      </c>
      <c r="F155">
        <v>1</v>
      </c>
      <c r="G155" s="3">
        <v>1</v>
      </c>
      <c r="H155">
        <f t="shared" si="2"/>
        <v>8000</v>
      </c>
    </row>
    <row r="156" spans="1:8" x14ac:dyDescent="0.25">
      <c r="A156" s="2">
        <v>46085.690694444442</v>
      </c>
      <c r="B156">
        <v>115</v>
      </c>
      <c r="C156" t="s">
        <v>19</v>
      </c>
      <c r="D156">
        <v>8000</v>
      </c>
      <c r="E156" t="s">
        <v>7</v>
      </c>
      <c r="F156">
        <v>1</v>
      </c>
      <c r="G156" s="3">
        <v>1</v>
      </c>
      <c r="H156">
        <f t="shared" si="2"/>
        <v>8000</v>
      </c>
    </row>
    <row r="157" spans="1:8" x14ac:dyDescent="0.25">
      <c r="A157" s="2">
        <v>46085.690694444442</v>
      </c>
      <c r="B157">
        <v>115</v>
      </c>
      <c r="C157" t="s">
        <v>20</v>
      </c>
      <c r="D157">
        <v>3000</v>
      </c>
      <c r="E157" t="s">
        <v>7</v>
      </c>
      <c r="F157">
        <v>1</v>
      </c>
      <c r="G157" s="3">
        <v>1</v>
      </c>
      <c r="H157">
        <f t="shared" si="2"/>
        <v>3000</v>
      </c>
    </row>
    <row r="158" spans="1:8" x14ac:dyDescent="0.25">
      <c r="A158" s="2">
        <v>46085.690879629627</v>
      </c>
      <c r="B158">
        <v>116</v>
      </c>
      <c r="C158" t="s">
        <v>17</v>
      </c>
      <c r="D158">
        <v>3000</v>
      </c>
      <c r="E158" t="s">
        <v>7</v>
      </c>
      <c r="F158">
        <v>2</v>
      </c>
      <c r="G158" s="3">
        <v>1</v>
      </c>
      <c r="H158">
        <f t="shared" si="2"/>
        <v>6000</v>
      </c>
    </row>
    <row r="159" spans="1:8" x14ac:dyDescent="0.25">
      <c r="A159" s="2">
        <v>46085.692164351851</v>
      </c>
      <c r="B159">
        <v>117</v>
      </c>
      <c r="C159" t="s">
        <v>57</v>
      </c>
      <c r="D159">
        <v>22000</v>
      </c>
      <c r="E159" t="s">
        <v>7</v>
      </c>
      <c r="F159">
        <v>1</v>
      </c>
      <c r="G159" s="3">
        <v>1</v>
      </c>
      <c r="H159">
        <f t="shared" si="2"/>
        <v>22000</v>
      </c>
    </row>
    <row r="160" spans="1:8" x14ac:dyDescent="0.25">
      <c r="A160" s="2">
        <v>46085.692164351851</v>
      </c>
      <c r="B160">
        <v>117</v>
      </c>
      <c r="C160" t="s">
        <v>58</v>
      </c>
      <c r="D160">
        <v>17000</v>
      </c>
      <c r="E160" t="s">
        <v>7</v>
      </c>
      <c r="F160">
        <v>1</v>
      </c>
      <c r="G160" s="3">
        <v>1</v>
      </c>
      <c r="H160">
        <f t="shared" si="2"/>
        <v>17000</v>
      </c>
    </row>
    <row r="161" spans="1:8" x14ac:dyDescent="0.25">
      <c r="A161" s="2">
        <v>46085.701921296299</v>
      </c>
      <c r="B161">
        <v>118</v>
      </c>
      <c r="C161" t="s">
        <v>34</v>
      </c>
      <c r="D161">
        <v>25000</v>
      </c>
      <c r="E161" t="s">
        <v>8</v>
      </c>
      <c r="F161">
        <v>1</v>
      </c>
      <c r="G161" s="3">
        <v>1</v>
      </c>
      <c r="H161">
        <f t="shared" si="2"/>
        <v>25000</v>
      </c>
    </row>
    <row r="162" spans="1:8" x14ac:dyDescent="0.25">
      <c r="A162" s="2">
        <v>46085.701921296299</v>
      </c>
      <c r="B162">
        <v>118</v>
      </c>
      <c r="C162" t="s">
        <v>19</v>
      </c>
      <c r="D162">
        <v>8000</v>
      </c>
      <c r="E162" t="s">
        <v>8</v>
      </c>
      <c r="F162">
        <v>3</v>
      </c>
      <c r="G162" s="3">
        <v>1</v>
      </c>
      <c r="H162">
        <f t="shared" si="2"/>
        <v>24000</v>
      </c>
    </row>
    <row r="163" spans="1:8" x14ac:dyDescent="0.25">
      <c r="A163" s="2">
        <v>46085.701921296299</v>
      </c>
      <c r="B163">
        <v>118</v>
      </c>
      <c r="C163" t="s">
        <v>20</v>
      </c>
      <c r="D163">
        <v>3000</v>
      </c>
      <c r="E163" t="s">
        <v>8</v>
      </c>
      <c r="F163">
        <v>2</v>
      </c>
      <c r="G163" s="3">
        <v>1</v>
      </c>
      <c r="H163">
        <f t="shared" si="2"/>
        <v>6000</v>
      </c>
    </row>
    <row r="164" spans="1:8" x14ac:dyDescent="0.25">
      <c r="A164" s="2">
        <v>46085.701921296299</v>
      </c>
      <c r="B164">
        <v>118</v>
      </c>
      <c r="C164" t="s">
        <v>22</v>
      </c>
      <c r="D164">
        <v>3000</v>
      </c>
      <c r="E164" t="s">
        <v>8</v>
      </c>
      <c r="F164">
        <v>3</v>
      </c>
      <c r="G164" s="3">
        <v>1</v>
      </c>
      <c r="H164">
        <f t="shared" si="2"/>
        <v>9000</v>
      </c>
    </row>
    <row r="165" spans="1:8" x14ac:dyDescent="0.25">
      <c r="A165" s="2">
        <v>46085.783217592594</v>
      </c>
      <c r="B165">
        <v>119</v>
      </c>
      <c r="C165" t="s">
        <v>18</v>
      </c>
      <c r="D165">
        <v>4500</v>
      </c>
      <c r="E165" t="s">
        <v>7</v>
      </c>
      <c r="F165">
        <v>4</v>
      </c>
      <c r="G165" s="3">
        <v>1</v>
      </c>
      <c r="H165">
        <f t="shared" si="2"/>
        <v>18000</v>
      </c>
    </row>
    <row r="166" spans="1:8" x14ac:dyDescent="0.25">
      <c r="A166" s="2">
        <v>46085.804606481484</v>
      </c>
      <c r="B166">
        <v>120</v>
      </c>
      <c r="C166" t="s">
        <v>19</v>
      </c>
      <c r="D166">
        <v>8000</v>
      </c>
      <c r="E166" t="s">
        <v>7</v>
      </c>
      <c r="F166">
        <v>4</v>
      </c>
      <c r="G166" s="3">
        <v>1</v>
      </c>
      <c r="H166">
        <f t="shared" si="2"/>
        <v>32000</v>
      </c>
    </row>
    <row r="167" spans="1:8" x14ac:dyDescent="0.25">
      <c r="A167" s="2">
        <v>46085.810763888891</v>
      </c>
      <c r="B167">
        <v>121</v>
      </c>
      <c r="C167" t="s">
        <v>19</v>
      </c>
      <c r="D167">
        <v>8000</v>
      </c>
      <c r="E167" t="s">
        <v>8</v>
      </c>
      <c r="F167">
        <v>2</v>
      </c>
      <c r="G167" s="3">
        <v>1</v>
      </c>
      <c r="H167">
        <f t="shared" si="2"/>
        <v>16000</v>
      </c>
    </row>
    <row r="168" spans="1:8" x14ac:dyDescent="0.25">
      <c r="A168" s="2">
        <v>46085.810763888891</v>
      </c>
      <c r="B168">
        <v>121</v>
      </c>
      <c r="C168" t="s">
        <v>20</v>
      </c>
      <c r="D168">
        <v>3000</v>
      </c>
      <c r="E168" t="s">
        <v>8</v>
      </c>
      <c r="F168">
        <v>1</v>
      </c>
      <c r="G168" s="3">
        <v>1</v>
      </c>
      <c r="H168">
        <f t="shared" si="2"/>
        <v>3000</v>
      </c>
    </row>
    <row r="169" spans="1:8" x14ac:dyDescent="0.25">
      <c r="A169" s="2">
        <v>46085.831319444442</v>
      </c>
      <c r="B169">
        <v>122</v>
      </c>
      <c r="C169" t="s">
        <v>19</v>
      </c>
      <c r="D169">
        <v>8000</v>
      </c>
      <c r="E169" t="s">
        <v>7</v>
      </c>
      <c r="F169">
        <v>5</v>
      </c>
      <c r="G169" s="3">
        <v>1</v>
      </c>
      <c r="H169">
        <f t="shared" si="2"/>
        <v>40000</v>
      </c>
    </row>
    <row r="170" spans="1:8" x14ac:dyDescent="0.25">
      <c r="A170" s="2">
        <v>46085.831319444442</v>
      </c>
      <c r="B170">
        <v>122</v>
      </c>
      <c r="C170" t="s">
        <v>20</v>
      </c>
      <c r="D170">
        <v>3000</v>
      </c>
      <c r="E170" t="s">
        <v>7</v>
      </c>
      <c r="F170">
        <v>2</v>
      </c>
      <c r="G170" s="3">
        <v>1</v>
      </c>
      <c r="H170">
        <f t="shared" si="2"/>
        <v>6000</v>
      </c>
    </row>
    <row r="171" spans="1:8" x14ac:dyDescent="0.25">
      <c r="A171" s="2">
        <v>46085.831319444442</v>
      </c>
      <c r="B171">
        <v>122</v>
      </c>
      <c r="C171" t="s">
        <v>22</v>
      </c>
      <c r="D171">
        <v>3000</v>
      </c>
      <c r="E171" t="s">
        <v>7</v>
      </c>
      <c r="F171">
        <v>3</v>
      </c>
      <c r="G171" s="3">
        <v>1</v>
      </c>
      <c r="H171">
        <f t="shared" si="2"/>
        <v>9000</v>
      </c>
    </row>
    <row r="172" spans="1:8" x14ac:dyDescent="0.25">
      <c r="A172" s="2">
        <v>46085.831319444442</v>
      </c>
      <c r="B172">
        <v>122</v>
      </c>
      <c r="C172" t="s">
        <v>60</v>
      </c>
      <c r="D172">
        <v>50000</v>
      </c>
      <c r="E172" t="s">
        <v>7</v>
      </c>
      <c r="F172">
        <v>1</v>
      </c>
      <c r="G172" s="3">
        <v>1</v>
      </c>
      <c r="H172">
        <f t="shared" si="2"/>
        <v>50000</v>
      </c>
    </row>
    <row r="173" spans="1:8" x14ac:dyDescent="0.25">
      <c r="A173" s="2">
        <v>46086.58488425926</v>
      </c>
      <c r="B173">
        <v>123</v>
      </c>
      <c r="C173" t="s">
        <v>59</v>
      </c>
      <c r="D173">
        <v>30000</v>
      </c>
      <c r="E173" t="s">
        <v>8</v>
      </c>
      <c r="F173">
        <v>1</v>
      </c>
      <c r="G173" s="3">
        <v>1</v>
      </c>
      <c r="H173">
        <f t="shared" si="2"/>
        <v>30000</v>
      </c>
    </row>
    <row r="174" spans="1:8" x14ac:dyDescent="0.25">
      <c r="A174" s="2">
        <v>46086.58488425926</v>
      </c>
      <c r="B174">
        <v>123</v>
      </c>
      <c r="C174" t="s">
        <v>61</v>
      </c>
      <c r="D174">
        <v>5000</v>
      </c>
      <c r="E174" t="s">
        <v>8</v>
      </c>
      <c r="F174">
        <v>1</v>
      </c>
      <c r="G174" s="3">
        <v>1</v>
      </c>
      <c r="H174">
        <f t="shared" si="2"/>
        <v>5000</v>
      </c>
    </row>
    <row r="175" spans="1:8" x14ac:dyDescent="0.25">
      <c r="A175" s="2">
        <v>46086.627349537041</v>
      </c>
      <c r="B175">
        <v>124</v>
      </c>
      <c r="C175" t="s">
        <v>19</v>
      </c>
      <c r="D175">
        <v>8000</v>
      </c>
      <c r="E175" t="s">
        <v>7</v>
      </c>
      <c r="F175">
        <v>2</v>
      </c>
      <c r="G175" s="3">
        <v>1</v>
      </c>
      <c r="H175">
        <f t="shared" si="2"/>
        <v>16000</v>
      </c>
    </row>
    <row r="176" spans="1:8" x14ac:dyDescent="0.25">
      <c r="A176" s="2">
        <v>46086.627349537041</v>
      </c>
      <c r="B176">
        <v>124</v>
      </c>
      <c r="C176" t="s">
        <v>20</v>
      </c>
      <c r="D176">
        <v>3000</v>
      </c>
      <c r="E176" t="s">
        <v>7</v>
      </c>
      <c r="F176">
        <v>2</v>
      </c>
      <c r="G176" s="3">
        <v>1</v>
      </c>
      <c r="H176">
        <f t="shared" si="2"/>
        <v>6000</v>
      </c>
    </row>
    <row r="177" spans="1:8" x14ac:dyDescent="0.25">
      <c r="A177" s="2">
        <v>46086.639016203706</v>
      </c>
      <c r="B177">
        <v>125</v>
      </c>
      <c r="C177" t="s">
        <v>19</v>
      </c>
      <c r="D177">
        <v>8000</v>
      </c>
      <c r="E177" t="s">
        <v>7</v>
      </c>
      <c r="F177">
        <v>4</v>
      </c>
      <c r="G177" s="3">
        <v>1</v>
      </c>
      <c r="H177">
        <f t="shared" si="2"/>
        <v>32000</v>
      </c>
    </row>
    <row r="178" spans="1:8" x14ac:dyDescent="0.25">
      <c r="A178" s="2">
        <v>46086.639016203706</v>
      </c>
      <c r="B178">
        <v>125</v>
      </c>
      <c r="C178" t="s">
        <v>40</v>
      </c>
      <c r="D178">
        <v>4500</v>
      </c>
      <c r="E178" t="s">
        <v>7</v>
      </c>
      <c r="F178">
        <v>1</v>
      </c>
      <c r="G178" s="3">
        <v>1</v>
      </c>
      <c r="H178">
        <f t="shared" si="2"/>
        <v>4500</v>
      </c>
    </row>
    <row r="179" spans="1:8" x14ac:dyDescent="0.25">
      <c r="A179" s="2">
        <v>46086.649016203701</v>
      </c>
      <c r="B179">
        <v>126</v>
      </c>
      <c r="C179" t="s">
        <v>40</v>
      </c>
      <c r="D179">
        <v>4500</v>
      </c>
      <c r="E179" t="s">
        <v>8</v>
      </c>
      <c r="F179">
        <v>1</v>
      </c>
      <c r="G179" s="3">
        <v>1</v>
      </c>
      <c r="H179">
        <f t="shared" si="2"/>
        <v>4500</v>
      </c>
    </row>
    <row r="180" spans="1:8" x14ac:dyDescent="0.25">
      <c r="A180" s="2">
        <v>46086.649016203701</v>
      </c>
      <c r="B180">
        <v>126</v>
      </c>
      <c r="C180" t="s">
        <v>21</v>
      </c>
      <c r="D180">
        <v>35000</v>
      </c>
      <c r="E180" t="s">
        <v>8</v>
      </c>
      <c r="F180">
        <v>1</v>
      </c>
      <c r="G180" s="3">
        <v>1</v>
      </c>
      <c r="H180">
        <f t="shared" si="2"/>
        <v>35000</v>
      </c>
    </row>
    <row r="181" spans="1:8" x14ac:dyDescent="0.25">
      <c r="A181" s="2">
        <v>46086.658553240741</v>
      </c>
      <c r="B181">
        <v>127</v>
      </c>
      <c r="C181" t="s">
        <v>21</v>
      </c>
      <c r="D181">
        <v>35000</v>
      </c>
      <c r="E181" t="s">
        <v>7</v>
      </c>
      <c r="F181">
        <v>1</v>
      </c>
      <c r="G181" s="3">
        <v>1</v>
      </c>
      <c r="H181">
        <f t="shared" si="2"/>
        <v>35000</v>
      </c>
    </row>
    <row r="182" spans="1:8" x14ac:dyDescent="0.25">
      <c r="A182" s="2">
        <v>46086.716770833336</v>
      </c>
      <c r="B182">
        <v>128</v>
      </c>
      <c r="C182" t="s">
        <v>19</v>
      </c>
      <c r="D182">
        <v>8000</v>
      </c>
      <c r="E182" t="s">
        <v>7</v>
      </c>
      <c r="F182">
        <v>1</v>
      </c>
      <c r="G182" s="3">
        <v>1</v>
      </c>
      <c r="H182">
        <f t="shared" si="2"/>
        <v>8000</v>
      </c>
    </row>
    <row r="183" spans="1:8" x14ac:dyDescent="0.25">
      <c r="A183" s="2">
        <v>46086.720509259256</v>
      </c>
      <c r="B183">
        <v>129</v>
      </c>
      <c r="C183" t="s">
        <v>19</v>
      </c>
      <c r="D183">
        <v>8000</v>
      </c>
      <c r="E183" t="s">
        <v>7</v>
      </c>
      <c r="F183">
        <v>1</v>
      </c>
      <c r="G183" s="3">
        <v>1</v>
      </c>
      <c r="H183">
        <f t="shared" si="2"/>
        <v>8000</v>
      </c>
    </row>
    <row r="184" spans="1:8" x14ac:dyDescent="0.25">
      <c r="A184" s="2">
        <v>46086.739074074074</v>
      </c>
      <c r="B184">
        <v>130</v>
      </c>
      <c r="C184" t="s">
        <v>19</v>
      </c>
      <c r="D184">
        <v>8000</v>
      </c>
      <c r="E184" t="s">
        <v>7</v>
      </c>
      <c r="F184">
        <v>1</v>
      </c>
      <c r="G184" s="3">
        <v>1</v>
      </c>
      <c r="H184">
        <f t="shared" si="2"/>
        <v>8000</v>
      </c>
    </row>
    <row r="185" spans="1:8" x14ac:dyDescent="0.25">
      <c r="A185" s="2">
        <v>46086.754618055558</v>
      </c>
      <c r="B185">
        <v>131</v>
      </c>
      <c r="C185" t="s">
        <v>19</v>
      </c>
      <c r="D185">
        <v>8000</v>
      </c>
      <c r="E185" t="s">
        <v>7</v>
      </c>
      <c r="F185">
        <v>1</v>
      </c>
      <c r="G185" s="3">
        <v>1</v>
      </c>
      <c r="H185">
        <f t="shared" si="2"/>
        <v>8000</v>
      </c>
    </row>
    <row r="186" spans="1:8" x14ac:dyDescent="0.25">
      <c r="A186" s="2">
        <v>46086.771956018521</v>
      </c>
      <c r="B186">
        <v>132</v>
      </c>
      <c r="C186" t="s">
        <v>19</v>
      </c>
      <c r="D186">
        <v>8000</v>
      </c>
      <c r="E186" t="s">
        <v>7</v>
      </c>
      <c r="F186">
        <v>1</v>
      </c>
      <c r="G186" s="3">
        <v>1</v>
      </c>
      <c r="H186">
        <f t="shared" si="2"/>
        <v>8000</v>
      </c>
    </row>
    <row r="187" spans="1:8" x14ac:dyDescent="0.25">
      <c r="A187" s="2">
        <v>46086.784814814811</v>
      </c>
      <c r="B187">
        <v>133</v>
      </c>
      <c r="C187" t="s">
        <v>19</v>
      </c>
      <c r="D187">
        <v>8000</v>
      </c>
      <c r="E187" t="s">
        <v>8</v>
      </c>
      <c r="F187">
        <v>1</v>
      </c>
      <c r="G187" s="3">
        <v>1</v>
      </c>
      <c r="H187">
        <f t="shared" si="2"/>
        <v>8000</v>
      </c>
    </row>
    <row r="188" spans="1:8" x14ac:dyDescent="0.25">
      <c r="A188" s="2">
        <v>46086.784814814811</v>
      </c>
      <c r="B188">
        <v>133</v>
      </c>
      <c r="C188" t="s">
        <v>22</v>
      </c>
      <c r="D188">
        <v>3000</v>
      </c>
      <c r="E188" t="s">
        <v>8</v>
      </c>
      <c r="F188">
        <v>1</v>
      </c>
      <c r="G188" s="3">
        <v>1</v>
      </c>
      <c r="H188">
        <f t="shared" si="2"/>
        <v>3000</v>
      </c>
    </row>
    <row r="189" spans="1:8" x14ac:dyDescent="0.25">
      <c r="A189" s="2">
        <v>46086.802337962959</v>
      </c>
      <c r="B189">
        <v>134</v>
      </c>
      <c r="C189" t="s">
        <v>19</v>
      </c>
      <c r="D189">
        <v>8000</v>
      </c>
      <c r="E189" t="s">
        <v>8</v>
      </c>
      <c r="F189">
        <v>3</v>
      </c>
      <c r="G189" s="3">
        <v>1</v>
      </c>
      <c r="H189">
        <f t="shared" si="2"/>
        <v>24000</v>
      </c>
    </row>
    <row r="190" spans="1:8" x14ac:dyDescent="0.25">
      <c r="A190" s="2">
        <v>46086.802337962959</v>
      </c>
      <c r="B190">
        <v>134</v>
      </c>
      <c r="C190" t="s">
        <v>22</v>
      </c>
      <c r="D190">
        <v>3000</v>
      </c>
      <c r="E190" t="s">
        <v>8</v>
      </c>
      <c r="F190">
        <v>2</v>
      </c>
      <c r="G190" s="3">
        <v>1</v>
      </c>
      <c r="H190">
        <f t="shared" si="2"/>
        <v>6000</v>
      </c>
    </row>
    <row r="191" spans="1:8" x14ac:dyDescent="0.25">
      <c r="A191" s="2">
        <v>46086.843182870369</v>
      </c>
      <c r="B191">
        <v>135</v>
      </c>
      <c r="C191" t="s">
        <v>19</v>
      </c>
      <c r="D191">
        <v>8000</v>
      </c>
      <c r="E191" t="s">
        <v>7</v>
      </c>
      <c r="F191">
        <v>1</v>
      </c>
      <c r="G191" s="3">
        <v>1</v>
      </c>
      <c r="H191">
        <f t="shared" si="2"/>
        <v>8000</v>
      </c>
    </row>
    <row r="192" spans="1:8" x14ac:dyDescent="0.25">
      <c r="A192" s="2">
        <v>46086.843182870369</v>
      </c>
      <c r="B192">
        <v>135</v>
      </c>
      <c r="C192" t="s">
        <v>33</v>
      </c>
      <c r="D192">
        <v>2000</v>
      </c>
      <c r="E192" t="s">
        <v>7</v>
      </c>
      <c r="F192">
        <v>1</v>
      </c>
      <c r="G192" s="3">
        <v>1</v>
      </c>
      <c r="H192">
        <f t="shared" si="2"/>
        <v>2000</v>
      </c>
    </row>
    <row r="193" spans="1:8" x14ac:dyDescent="0.25">
      <c r="A193" s="2">
        <v>46088.957627314812</v>
      </c>
      <c r="B193">
        <v>146</v>
      </c>
      <c r="C193" t="s">
        <v>19</v>
      </c>
      <c r="D193">
        <v>8000</v>
      </c>
      <c r="E193" t="s">
        <v>7</v>
      </c>
      <c r="F193">
        <v>2</v>
      </c>
      <c r="G193" s="3">
        <v>1</v>
      </c>
      <c r="H193">
        <f t="shared" si="2"/>
        <v>16000</v>
      </c>
    </row>
    <row r="194" spans="1:8" x14ac:dyDescent="0.25">
      <c r="A194" s="2">
        <v>46088.957777777781</v>
      </c>
      <c r="B194">
        <v>147</v>
      </c>
      <c r="C194" t="s">
        <v>19</v>
      </c>
      <c r="D194">
        <v>8000</v>
      </c>
      <c r="E194" t="s">
        <v>7</v>
      </c>
      <c r="F194">
        <v>2</v>
      </c>
      <c r="G194" s="3">
        <v>1</v>
      </c>
      <c r="H194">
        <f t="shared" si="2"/>
        <v>16000</v>
      </c>
    </row>
    <row r="195" spans="1:8" x14ac:dyDescent="0.25">
      <c r="A195" s="2">
        <v>46088.958321759259</v>
      </c>
      <c r="B195">
        <v>148</v>
      </c>
      <c r="C195" t="s">
        <v>19</v>
      </c>
      <c r="D195">
        <v>8000</v>
      </c>
      <c r="E195" t="s">
        <v>7</v>
      </c>
      <c r="F195">
        <v>4</v>
      </c>
      <c r="G195" s="3">
        <v>1</v>
      </c>
      <c r="H195">
        <f t="shared" si="2"/>
        <v>32000</v>
      </c>
    </row>
    <row r="196" spans="1:8" x14ac:dyDescent="0.25">
      <c r="A196" s="2">
        <v>46088.958321759259</v>
      </c>
      <c r="B196">
        <v>148</v>
      </c>
      <c r="C196" t="s">
        <v>20</v>
      </c>
      <c r="D196">
        <v>3000</v>
      </c>
      <c r="E196" t="s">
        <v>7</v>
      </c>
      <c r="F196">
        <v>2</v>
      </c>
      <c r="G196" s="3">
        <v>1</v>
      </c>
      <c r="H196">
        <f t="shared" si="2"/>
        <v>6000</v>
      </c>
    </row>
    <row r="197" spans="1:8" x14ac:dyDescent="0.25">
      <c r="A197" s="2">
        <v>46088.958923611113</v>
      </c>
      <c r="B197">
        <v>149</v>
      </c>
      <c r="C197" t="s">
        <v>19</v>
      </c>
      <c r="D197">
        <v>8000</v>
      </c>
      <c r="E197" t="s">
        <v>7</v>
      </c>
      <c r="F197">
        <v>1</v>
      </c>
      <c r="G197" s="3">
        <v>1</v>
      </c>
      <c r="H197">
        <f t="shared" si="2"/>
        <v>8000</v>
      </c>
    </row>
    <row r="198" spans="1:8" x14ac:dyDescent="0.25">
      <c r="A198" s="2">
        <v>46088.958923611113</v>
      </c>
      <c r="B198">
        <v>149</v>
      </c>
      <c r="C198" t="s">
        <v>20</v>
      </c>
      <c r="D198">
        <v>3000</v>
      </c>
      <c r="E198" t="s">
        <v>7</v>
      </c>
      <c r="F198">
        <v>1</v>
      </c>
      <c r="G198" s="3">
        <v>1</v>
      </c>
      <c r="H198">
        <f t="shared" ref="H198:H230" si="3">+D198*F198</f>
        <v>3000</v>
      </c>
    </row>
    <row r="199" spans="1:8" x14ac:dyDescent="0.25">
      <c r="A199" s="2">
        <v>46088.959155092591</v>
      </c>
      <c r="B199">
        <v>150</v>
      </c>
      <c r="C199" t="s">
        <v>19</v>
      </c>
      <c r="D199">
        <v>8000</v>
      </c>
      <c r="E199" t="s">
        <v>7</v>
      </c>
      <c r="F199">
        <v>2</v>
      </c>
      <c r="G199" s="3">
        <v>1</v>
      </c>
      <c r="H199">
        <f t="shared" si="3"/>
        <v>16000</v>
      </c>
    </row>
    <row r="200" spans="1:8" x14ac:dyDescent="0.25">
      <c r="A200" s="2">
        <v>46088.959155092591</v>
      </c>
      <c r="B200">
        <v>150</v>
      </c>
      <c r="C200" t="s">
        <v>20</v>
      </c>
      <c r="D200">
        <v>3000</v>
      </c>
      <c r="E200" t="s">
        <v>7</v>
      </c>
      <c r="F200">
        <v>2</v>
      </c>
      <c r="G200" s="3">
        <v>1</v>
      </c>
      <c r="H200">
        <f t="shared" si="3"/>
        <v>6000</v>
      </c>
    </row>
    <row r="201" spans="1:8" x14ac:dyDescent="0.25">
      <c r="A201" s="2">
        <v>46088.960428240738</v>
      </c>
      <c r="B201">
        <v>151</v>
      </c>
      <c r="C201" t="s">
        <v>19</v>
      </c>
      <c r="D201">
        <v>8000</v>
      </c>
      <c r="E201" t="s">
        <v>8</v>
      </c>
      <c r="F201">
        <v>2</v>
      </c>
      <c r="G201" s="3">
        <v>1</v>
      </c>
      <c r="H201">
        <f t="shared" si="3"/>
        <v>16000</v>
      </c>
    </row>
    <row r="202" spans="1:8" x14ac:dyDescent="0.25">
      <c r="A202" s="2">
        <v>46088.961412037039</v>
      </c>
      <c r="B202">
        <v>152</v>
      </c>
      <c r="C202" t="s">
        <v>19</v>
      </c>
      <c r="D202">
        <v>8000</v>
      </c>
      <c r="E202" t="s">
        <v>8</v>
      </c>
      <c r="F202">
        <v>3</v>
      </c>
      <c r="G202" s="3">
        <v>1</v>
      </c>
      <c r="H202">
        <f t="shared" si="3"/>
        <v>24000</v>
      </c>
    </row>
    <row r="203" spans="1:8" x14ac:dyDescent="0.25">
      <c r="A203" s="2">
        <v>46088.961412037039</v>
      </c>
      <c r="B203">
        <v>152</v>
      </c>
      <c r="C203" t="s">
        <v>40</v>
      </c>
      <c r="D203">
        <v>4500</v>
      </c>
      <c r="E203" t="s">
        <v>8</v>
      </c>
      <c r="F203">
        <v>1</v>
      </c>
      <c r="G203" s="3">
        <v>1</v>
      </c>
      <c r="H203">
        <f t="shared" si="3"/>
        <v>4500</v>
      </c>
    </row>
    <row r="204" spans="1:8" x14ac:dyDescent="0.25">
      <c r="A204" s="2">
        <v>46088.963182870371</v>
      </c>
      <c r="B204">
        <v>153</v>
      </c>
      <c r="C204" t="s">
        <v>65</v>
      </c>
      <c r="D204">
        <v>15000</v>
      </c>
      <c r="E204" t="s">
        <v>7</v>
      </c>
      <c r="F204">
        <v>1</v>
      </c>
      <c r="G204" s="3">
        <v>1</v>
      </c>
      <c r="H204">
        <f t="shared" si="3"/>
        <v>15000</v>
      </c>
    </row>
    <row r="205" spans="1:8" x14ac:dyDescent="0.25">
      <c r="A205" s="2">
        <v>46088.964814814812</v>
      </c>
      <c r="B205">
        <v>154</v>
      </c>
      <c r="C205" t="s">
        <v>66</v>
      </c>
      <c r="D205">
        <v>60000</v>
      </c>
      <c r="E205" t="s">
        <v>7</v>
      </c>
      <c r="F205">
        <v>1</v>
      </c>
      <c r="G205" s="3">
        <v>1</v>
      </c>
      <c r="H205">
        <f t="shared" si="3"/>
        <v>60000</v>
      </c>
    </row>
    <row r="206" spans="1:8" x14ac:dyDescent="0.25">
      <c r="A206" s="2">
        <v>46088.965104166666</v>
      </c>
      <c r="B206">
        <v>155</v>
      </c>
      <c r="C206" t="s">
        <v>19</v>
      </c>
      <c r="D206">
        <v>8000</v>
      </c>
      <c r="E206" t="s">
        <v>7</v>
      </c>
      <c r="F206">
        <v>1</v>
      </c>
      <c r="G206" s="3">
        <v>1</v>
      </c>
      <c r="H206">
        <f t="shared" si="3"/>
        <v>8000</v>
      </c>
    </row>
    <row r="207" spans="1:8" x14ac:dyDescent="0.25">
      <c r="A207" s="2">
        <v>46088.965104166666</v>
      </c>
      <c r="B207">
        <v>155</v>
      </c>
      <c r="C207" t="s">
        <v>40</v>
      </c>
      <c r="D207">
        <v>4500</v>
      </c>
      <c r="E207" t="s">
        <v>7</v>
      </c>
      <c r="F207">
        <v>1</v>
      </c>
      <c r="G207" s="3">
        <v>1</v>
      </c>
      <c r="H207">
        <f t="shared" si="3"/>
        <v>4500</v>
      </c>
    </row>
    <row r="208" spans="1:8" x14ac:dyDescent="0.25">
      <c r="A208" s="2">
        <v>46088.966435185182</v>
      </c>
      <c r="B208">
        <v>156</v>
      </c>
      <c r="C208" t="s">
        <v>67</v>
      </c>
      <c r="D208">
        <v>40000</v>
      </c>
      <c r="E208" t="s">
        <v>8</v>
      </c>
      <c r="F208">
        <v>1</v>
      </c>
      <c r="G208" s="3">
        <v>1</v>
      </c>
      <c r="H208">
        <f t="shared" si="3"/>
        <v>40000</v>
      </c>
    </row>
    <row r="209" spans="1:8" x14ac:dyDescent="0.25">
      <c r="A209" s="2">
        <v>46088.966435185182</v>
      </c>
      <c r="B209">
        <v>156</v>
      </c>
      <c r="C209" t="s">
        <v>20</v>
      </c>
      <c r="D209">
        <v>3000</v>
      </c>
      <c r="E209" t="s">
        <v>8</v>
      </c>
      <c r="F209">
        <v>1</v>
      </c>
      <c r="G209" s="3">
        <v>1</v>
      </c>
      <c r="H209">
        <f t="shared" si="3"/>
        <v>3000</v>
      </c>
    </row>
    <row r="210" spans="1:8" x14ac:dyDescent="0.25">
      <c r="A210" s="2">
        <v>46088.966805555552</v>
      </c>
      <c r="B210">
        <v>157</v>
      </c>
      <c r="C210" t="s">
        <v>19</v>
      </c>
      <c r="D210">
        <v>8000</v>
      </c>
      <c r="E210" t="s">
        <v>7</v>
      </c>
      <c r="F210">
        <v>2</v>
      </c>
      <c r="G210" s="3">
        <v>1</v>
      </c>
      <c r="H210">
        <f t="shared" si="3"/>
        <v>16000</v>
      </c>
    </row>
    <row r="211" spans="1:8" x14ac:dyDescent="0.25">
      <c r="A211" s="2">
        <v>46088.966805555552</v>
      </c>
      <c r="B211">
        <v>157</v>
      </c>
      <c r="C211" t="s">
        <v>40</v>
      </c>
      <c r="D211">
        <v>4500</v>
      </c>
      <c r="E211" t="s">
        <v>7</v>
      </c>
      <c r="F211">
        <v>1</v>
      </c>
      <c r="G211" s="3">
        <v>1</v>
      </c>
      <c r="H211">
        <f t="shared" si="3"/>
        <v>4500</v>
      </c>
    </row>
    <row r="212" spans="1:8" x14ac:dyDescent="0.25">
      <c r="A212" s="2">
        <v>46089.590648148151</v>
      </c>
      <c r="B212">
        <v>136</v>
      </c>
      <c r="C212" t="s">
        <v>19</v>
      </c>
      <c r="D212">
        <v>8000</v>
      </c>
      <c r="E212" t="s">
        <v>8</v>
      </c>
      <c r="F212">
        <v>3</v>
      </c>
      <c r="G212" s="3">
        <v>1</v>
      </c>
      <c r="H212">
        <f t="shared" si="3"/>
        <v>24000</v>
      </c>
    </row>
    <row r="213" spans="1:8" x14ac:dyDescent="0.25">
      <c r="A213" s="2">
        <v>46089.590648148151</v>
      </c>
      <c r="B213">
        <v>136</v>
      </c>
      <c r="C213" t="s">
        <v>20</v>
      </c>
      <c r="D213">
        <v>3000</v>
      </c>
      <c r="E213" t="s">
        <v>8</v>
      </c>
      <c r="F213">
        <v>2</v>
      </c>
      <c r="G213" s="3">
        <v>1</v>
      </c>
      <c r="H213">
        <f t="shared" si="3"/>
        <v>6000</v>
      </c>
    </row>
    <row r="214" spans="1:8" x14ac:dyDescent="0.25">
      <c r="A214" s="2">
        <v>46089.590891203705</v>
      </c>
      <c r="B214">
        <v>137</v>
      </c>
      <c r="C214" t="s">
        <v>19</v>
      </c>
      <c r="D214">
        <v>8000</v>
      </c>
      <c r="E214" t="s">
        <v>7</v>
      </c>
      <c r="F214">
        <v>1</v>
      </c>
      <c r="G214" s="3">
        <v>1</v>
      </c>
      <c r="H214">
        <f t="shared" si="3"/>
        <v>8000</v>
      </c>
    </row>
    <row r="215" spans="1:8" x14ac:dyDescent="0.25">
      <c r="A215" s="2">
        <v>46089.590891203705</v>
      </c>
      <c r="B215">
        <v>137</v>
      </c>
      <c r="C215" t="s">
        <v>22</v>
      </c>
      <c r="D215">
        <v>3000</v>
      </c>
      <c r="E215" t="s">
        <v>7</v>
      </c>
      <c r="F215">
        <v>1</v>
      </c>
      <c r="G215" s="3">
        <v>1</v>
      </c>
      <c r="H215">
        <f t="shared" si="3"/>
        <v>3000</v>
      </c>
    </row>
    <row r="216" spans="1:8" x14ac:dyDescent="0.25">
      <c r="A216" s="2">
        <v>46089.597615740742</v>
      </c>
      <c r="B216">
        <v>138</v>
      </c>
      <c r="C216" t="s">
        <v>59</v>
      </c>
      <c r="D216">
        <v>30000</v>
      </c>
      <c r="E216" t="s">
        <v>8</v>
      </c>
      <c r="F216">
        <v>1</v>
      </c>
      <c r="G216" s="3">
        <v>1</v>
      </c>
      <c r="H216">
        <f t="shared" si="3"/>
        <v>30000</v>
      </c>
    </row>
    <row r="217" spans="1:8" x14ac:dyDescent="0.25">
      <c r="A217" s="2">
        <v>46089.597615740742</v>
      </c>
      <c r="B217">
        <v>138</v>
      </c>
      <c r="C217" t="s">
        <v>19</v>
      </c>
      <c r="D217">
        <v>8000</v>
      </c>
      <c r="E217" t="s">
        <v>8</v>
      </c>
      <c r="F217">
        <v>3</v>
      </c>
      <c r="G217" s="3">
        <v>1</v>
      </c>
      <c r="H217">
        <f t="shared" si="3"/>
        <v>24000</v>
      </c>
    </row>
    <row r="218" spans="1:8" x14ac:dyDescent="0.25">
      <c r="A218" s="2">
        <v>46089.621215277781</v>
      </c>
      <c r="B218">
        <v>139</v>
      </c>
      <c r="C218" t="s">
        <v>19</v>
      </c>
      <c r="D218">
        <v>8000</v>
      </c>
      <c r="E218" t="s">
        <v>7</v>
      </c>
      <c r="F218">
        <v>1</v>
      </c>
      <c r="G218" s="3">
        <v>1</v>
      </c>
      <c r="H218">
        <f t="shared" si="3"/>
        <v>8000</v>
      </c>
    </row>
    <row r="219" spans="1:8" x14ac:dyDescent="0.25">
      <c r="A219" s="2">
        <v>46089.621215277781</v>
      </c>
      <c r="B219">
        <v>139</v>
      </c>
      <c r="C219" t="s">
        <v>20</v>
      </c>
      <c r="D219">
        <v>3000</v>
      </c>
      <c r="E219" t="s">
        <v>7</v>
      </c>
      <c r="F219">
        <v>1</v>
      </c>
      <c r="G219" s="3">
        <v>1</v>
      </c>
      <c r="H219">
        <f t="shared" si="3"/>
        <v>3000</v>
      </c>
    </row>
    <row r="220" spans="1:8" x14ac:dyDescent="0.25">
      <c r="A220" s="2">
        <v>46089.63009259259</v>
      </c>
      <c r="B220">
        <v>140</v>
      </c>
      <c r="C220" t="s">
        <v>62</v>
      </c>
      <c r="D220">
        <v>35000</v>
      </c>
      <c r="E220" t="s">
        <v>7</v>
      </c>
      <c r="F220">
        <v>1</v>
      </c>
      <c r="G220" s="3">
        <v>1</v>
      </c>
      <c r="H220">
        <f t="shared" si="3"/>
        <v>35000</v>
      </c>
    </row>
    <row r="221" spans="1:8" x14ac:dyDescent="0.25">
      <c r="A221" s="2">
        <v>46089.63009259259</v>
      </c>
      <c r="B221">
        <v>140</v>
      </c>
      <c r="C221" t="s">
        <v>20</v>
      </c>
      <c r="D221">
        <v>3000</v>
      </c>
      <c r="E221" t="s">
        <v>7</v>
      </c>
      <c r="F221">
        <v>1</v>
      </c>
      <c r="G221" s="3">
        <v>1</v>
      </c>
      <c r="H221">
        <f t="shared" si="3"/>
        <v>3000</v>
      </c>
    </row>
    <row r="222" spans="1:8" x14ac:dyDescent="0.25">
      <c r="A222" s="2">
        <v>46089.63009259259</v>
      </c>
      <c r="B222">
        <v>140</v>
      </c>
      <c r="C222" t="s">
        <v>40</v>
      </c>
      <c r="D222">
        <v>4500</v>
      </c>
      <c r="E222" t="s">
        <v>7</v>
      </c>
      <c r="F222">
        <v>1</v>
      </c>
      <c r="G222" s="3">
        <v>1</v>
      </c>
      <c r="H222">
        <f t="shared" si="3"/>
        <v>4500</v>
      </c>
    </row>
    <row r="223" spans="1:8" x14ac:dyDescent="0.25">
      <c r="A223" s="2">
        <v>46089.630787037036</v>
      </c>
      <c r="B223">
        <v>141</v>
      </c>
      <c r="C223" t="s">
        <v>17</v>
      </c>
      <c r="D223">
        <v>3000</v>
      </c>
      <c r="E223" t="s">
        <v>7</v>
      </c>
      <c r="F223">
        <v>1</v>
      </c>
      <c r="G223" s="3">
        <v>1</v>
      </c>
      <c r="H223">
        <f t="shared" si="3"/>
        <v>3000</v>
      </c>
    </row>
    <row r="224" spans="1:8" x14ac:dyDescent="0.25">
      <c r="A224" s="2">
        <v>46089.630787037036</v>
      </c>
      <c r="B224">
        <v>141</v>
      </c>
      <c r="C224" t="s">
        <v>62</v>
      </c>
      <c r="D224">
        <v>35000</v>
      </c>
      <c r="E224" t="s">
        <v>7</v>
      </c>
      <c r="F224">
        <v>1</v>
      </c>
      <c r="G224" s="3">
        <v>1</v>
      </c>
      <c r="H224">
        <f t="shared" si="3"/>
        <v>35000</v>
      </c>
    </row>
    <row r="225" spans="1:8" x14ac:dyDescent="0.25">
      <c r="A225" s="2">
        <v>46089.630787037036</v>
      </c>
      <c r="B225">
        <v>141</v>
      </c>
      <c r="C225" t="s">
        <v>19</v>
      </c>
      <c r="D225">
        <v>8000</v>
      </c>
      <c r="E225" t="s">
        <v>7</v>
      </c>
      <c r="F225">
        <v>1</v>
      </c>
      <c r="G225" s="3">
        <v>1</v>
      </c>
      <c r="H225">
        <f t="shared" si="3"/>
        <v>8000</v>
      </c>
    </row>
    <row r="226" spans="1:8" x14ac:dyDescent="0.25">
      <c r="A226" s="2">
        <v>46089.630787037036</v>
      </c>
      <c r="B226">
        <v>141</v>
      </c>
      <c r="C226" t="s">
        <v>20</v>
      </c>
      <c r="D226">
        <v>3000</v>
      </c>
      <c r="E226" t="s">
        <v>7</v>
      </c>
      <c r="F226">
        <v>1</v>
      </c>
      <c r="G226" s="3">
        <v>1</v>
      </c>
      <c r="H226">
        <f t="shared" si="3"/>
        <v>3000</v>
      </c>
    </row>
    <row r="227" spans="1:8" x14ac:dyDescent="0.25">
      <c r="A227" s="2">
        <v>46089.723726851851</v>
      </c>
      <c r="B227">
        <v>142</v>
      </c>
      <c r="C227" t="s">
        <v>19</v>
      </c>
      <c r="D227">
        <v>8000</v>
      </c>
      <c r="E227" t="s">
        <v>8</v>
      </c>
      <c r="F227">
        <v>1</v>
      </c>
      <c r="G227" s="3">
        <v>1</v>
      </c>
      <c r="H227">
        <f t="shared" si="3"/>
        <v>8000</v>
      </c>
    </row>
    <row r="228" spans="1:8" x14ac:dyDescent="0.25">
      <c r="A228" s="2">
        <v>46089.727361111109</v>
      </c>
      <c r="B228">
        <v>143</v>
      </c>
      <c r="C228" t="s">
        <v>17</v>
      </c>
      <c r="D228">
        <v>3000</v>
      </c>
      <c r="E228" t="s">
        <v>35</v>
      </c>
      <c r="F228">
        <v>1</v>
      </c>
      <c r="G228" s="3">
        <v>1</v>
      </c>
      <c r="H228">
        <f t="shared" si="3"/>
        <v>3000</v>
      </c>
    </row>
    <row r="229" spans="1:8" x14ac:dyDescent="0.25">
      <c r="A229" s="2">
        <v>46089.752152777779</v>
      </c>
      <c r="B229">
        <v>144</v>
      </c>
      <c r="C229" t="s">
        <v>19</v>
      </c>
      <c r="D229">
        <v>8000</v>
      </c>
      <c r="E229" t="s">
        <v>7</v>
      </c>
      <c r="F229">
        <v>1</v>
      </c>
      <c r="G229" s="3">
        <v>1</v>
      </c>
      <c r="H229">
        <f t="shared" si="3"/>
        <v>8000</v>
      </c>
    </row>
    <row r="230" spans="1:8" x14ac:dyDescent="0.25">
      <c r="A230" s="2">
        <v>46089.752152777779</v>
      </c>
      <c r="B230">
        <v>144</v>
      </c>
      <c r="C230" t="s">
        <v>63</v>
      </c>
      <c r="D230">
        <v>2000</v>
      </c>
      <c r="E230" t="s">
        <v>7</v>
      </c>
      <c r="F230">
        <v>1</v>
      </c>
      <c r="G230" s="3">
        <v>1</v>
      </c>
      <c r="H230">
        <f t="shared" si="3"/>
        <v>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M228"/>
  <sheetViews>
    <sheetView tabSelected="1" topLeftCell="A200" zoomScale="85" zoomScaleNormal="85" workbookViewId="0">
      <selection activeCell="A228" sqref="A228"/>
    </sheetView>
  </sheetViews>
  <sheetFormatPr baseColWidth="10" defaultRowHeight="15" x14ac:dyDescent="0.25"/>
  <cols>
    <col min="1" max="1" width="15.7109375" bestFit="1" customWidth="1"/>
    <col min="4" max="4" width="15.5703125" bestFit="1" customWidth="1"/>
    <col min="5" max="5" width="11.7109375" customWidth="1"/>
    <col min="6" max="6" width="8.5703125" bestFit="1" customWidth="1"/>
    <col min="8" max="8" width="12.5703125" bestFit="1" customWidth="1"/>
    <col min="13" max="13" width="11.85546875" bestFit="1" customWidth="1"/>
  </cols>
  <sheetData>
    <row r="1" spans="1:13" x14ac:dyDescent="0.25">
      <c r="A1" t="str">
        <f>sales!A4</f>
        <v>fecha</v>
      </c>
      <c r="B1" s="10" t="str">
        <f>sales!B4</f>
        <v>id_factura</v>
      </c>
      <c r="C1" s="10" t="str">
        <f>sales!C4</f>
        <v>nombre_producto</v>
      </c>
      <c r="D1" s="10" t="str">
        <f>sales!D4</f>
        <v>precio_producto</v>
      </c>
      <c r="E1" s="10" t="str">
        <f>sales!E4</f>
        <v>tipo_cuenta</v>
      </c>
      <c r="F1" s="10" t="str">
        <f>sales!F4</f>
        <v>cantidad</v>
      </c>
      <c r="G1" s="10" t="str">
        <f>sales!G4</f>
        <v>Recuento de id_item</v>
      </c>
      <c r="H1" s="10" t="str">
        <f>sales!H4</f>
        <v>valor_factura</v>
      </c>
      <c r="J1" s="13" t="s">
        <v>14</v>
      </c>
      <c r="K1" s="13" t="s">
        <v>45</v>
      </c>
      <c r="L1" s="14" t="s">
        <v>46</v>
      </c>
      <c r="M1" s="14" t="s">
        <v>47</v>
      </c>
    </row>
    <row r="2" spans="1:13" x14ac:dyDescent="0.25">
      <c r="A2" s="11">
        <f>sales!A5</f>
        <v>46076.692083333335</v>
      </c>
      <c r="B2">
        <f>sales!B5</f>
        <v>2</v>
      </c>
      <c r="C2" t="str">
        <f>sales!C5</f>
        <v>Chorizo</v>
      </c>
      <c r="D2">
        <f>sales!D5</f>
        <v>8000</v>
      </c>
      <c r="E2" t="str">
        <f>sales!E5</f>
        <v>EFECTIVO</v>
      </c>
      <c r="F2">
        <f>sales!F5</f>
        <v>2</v>
      </c>
      <c r="G2">
        <f>sales!G5</f>
        <v>1</v>
      </c>
      <c r="H2">
        <f>sales!H5</f>
        <v>16000</v>
      </c>
      <c r="J2" s="12">
        <f t="shared" ref="J2:J65" si="0">+DATE(YEAR(A2),MONTH(A2),DAY(A2))</f>
        <v>46076</v>
      </c>
      <c r="K2" t="str">
        <f t="shared" ref="K2:K65" si="1">TEXT(A2,"hh:mm AM/PM")</f>
        <v>04:36 p. m.</v>
      </c>
      <c r="L2">
        <f>+IF(E2="EFECTIVO",H2,0)</f>
        <v>16000</v>
      </c>
      <c r="M2">
        <f>+IF(OR(E2="NEQUI",E2="DaviPlata"),H2,0)</f>
        <v>0</v>
      </c>
    </row>
    <row r="3" spans="1:13" x14ac:dyDescent="0.25">
      <c r="A3" s="11">
        <f>sales!A6</f>
        <v>46076.709675925929</v>
      </c>
      <c r="B3">
        <f>sales!B6</f>
        <v>3</v>
      </c>
      <c r="C3" t="str">
        <f>sales!C6</f>
        <v>Chorizo</v>
      </c>
      <c r="D3">
        <f>sales!D6</f>
        <v>8000</v>
      </c>
      <c r="E3" t="str">
        <f>sales!E6</f>
        <v>NEQUI</v>
      </c>
      <c r="F3">
        <f>sales!F6</f>
        <v>1</v>
      </c>
      <c r="G3">
        <f>sales!G6</f>
        <v>1</v>
      </c>
      <c r="H3">
        <f>sales!H6</f>
        <v>8000</v>
      </c>
      <c r="J3" s="12">
        <f t="shared" si="0"/>
        <v>46076</v>
      </c>
      <c r="K3" t="str">
        <f t="shared" si="1"/>
        <v>05:01 p. m.</v>
      </c>
      <c r="L3">
        <f t="shared" ref="L3:L66" si="2">+IF(E3="EFECTIVO",H3,0)</f>
        <v>0</v>
      </c>
      <c r="M3">
        <f t="shared" ref="M3:M66" si="3">+IF(OR(E3="NEQUI",E3="DAVIPLATA"),H3,0)</f>
        <v>8000</v>
      </c>
    </row>
    <row r="4" spans="1:13" x14ac:dyDescent="0.25">
      <c r="A4" s="11">
        <f>sales!A7</f>
        <v>46076.717372685183</v>
      </c>
      <c r="B4">
        <f>sales!B7</f>
        <v>4</v>
      </c>
      <c r="C4" t="str">
        <f>sales!C7</f>
        <v>Chorizo</v>
      </c>
      <c r="D4">
        <f>sales!D7</f>
        <v>8000</v>
      </c>
      <c r="E4" t="str">
        <f>sales!E7</f>
        <v>EFECTIVO</v>
      </c>
      <c r="F4">
        <f>sales!F7</f>
        <v>2</v>
      </c>
      <c r="G4">
        <f>sales!G7</f>
        <v>1</v>
      </c>
      <c r="H4">
        <f>sales!H7</f>
        <v>16000</v>
      </c>
      <c r="J4" s="12">
        <f t="shared" si="0"/>
        <v>46076</v>
      </c>
      <c r="K4" t="str">
        <f t="shared" si="1"/>
        <v>05:13 p. m.</v>
      </c>
      <c r="L4">
        <f t="shared" si="2"/>
        <v>16000</v>
      </c>
      <c r="M4">
        <f t="shared" si="3"/>
        <v>0</v>
      </c>
    </row>
    <row r="5" spans="1:13" x14ac:dyDescent="0.25">
      <c r="A5" s="11">
        <f>sales!A8</f>
        <v>46076.717372685183</v>
      </c>
      <c r="B5">
        <f>sales!B8</f>
        <v>4</v>
      </c>
      <c r="C5" t="str">
        <f>sales!C8</f>
        <v>Coca cola</v>
      </c>
      <c r="D5">
        <f>sales!D8</f>
        <v>3000</v>
      </c>
      <c r="E5" t="str">
        <f>sales!E8</f>
        <v>EFECTIVO</v>
      </c>
      <c r="F5">
        <f>sales!F8</f>
        <v>2</v>
      </c>
      <c r="G5">
        <f>sales!G8</f>
        <v>1</v>
      </c>
      <c r="H5">
        <f>sales!H8</f>
        <v>6000</v>
      </c>
      <c r="J5" s="12">
        <f t="shared" si="0"/>
        <v>46076</v>
      </c>
      <c r="K5" t="str">
        <f t="shared" si="1"/>
        <v>05:13 p. m.</v>
      </c>
      <c r="L5">
        <f t="shared" si="2"/>
        <v>6000</v>
      </c>
      <c r="M5">
        <f t="shared" si="3"/>
        <v>0</v>
      </c>
    </row>
    <row r="6" spans="1:13" x14ac:dyDescent="0.25">
      <c r="A6" s="11">
        <f>sales!A9</f>
        <v>46076.72047453704</v>
      </c>
      <c r="B6">
        <f>sales!B9</f>
        <v>5</v>
      </c>
      <c r="C6" t="str">
        <f>sales!C9</f>
        <v>Chorizo</v>
      </c>
      <c r="D6">
        <f>sales!D9</f>
        <v>8000</v>
      </c>
      <c r="E6" t="str">
        <f>sales!E9</f>
        <v>NEQUI</v>
      </c>
      <c r="F6">
        <f>sales!F9</f>
        <v>3</v>
      </c>
      <c r="G6">
        <f>sales!G9</f>
        <v>1</v>
      </c>
      <c r="H6">
        <f>sales!H9</f>
        <v>24000</v>
      </c>
      <c r="J6" s="12">
        <f t="shared" si="0"/>
        <v>46076</v>
      </c>
      <c r="K6" t="str">
        <f t="shared" si="1"/>
        <v>05:17 p. m.</v>
      </c>
      <c r="L6">
        <f t="shared" si="2"/>
        <v>0</v>
      </c>
      <c r="M6">
        <f t="shared" si="3"/>
        <v>24000</v>
      </c>
    </row>
    <row r="7" spans="1:13" x14ac:dyDescent="0.25">
      <c r="A7" s="11">
        <f>sales!A10</f>
        <v>46076.750289351854</v>
      </c>
      <c r="B7">
        <f>sales!B10</f>
        <v>6</v>
      </c>
      <c r="C7" t="str">
        <f>sales!C10</f>
        <v>Agua</v>
      </c>
      <c r="D7">
        <f>sales!D10</f>
        <v>3000</v>
      </c>
      <c r="E7" t="str">
        <f>sales!E10</f>
        <v>EFECTIVO</v>
      </c>
      <c r="F7">
        <f>sales!F10</f>
        <v>2</v>
      </c>
      <c r="G7">
        <f>sales!G10</f>
        <v>1</v>
      </c>
      <c r="H7">
        <f>sales!H10</f>
        <v>6000</v>
      </c>
      <c r="J7" s="12">
        <f t="shared" si="0"/>
        <v>46076</v>
      </c>
      <c r="K7" t="str">
        <f t="shared" si="1"/>
        <v>06:00 p. m.</v>
      </c>
      <c r="L7">
        <f t="shared" si="2"/>
        <v>6000</v>
      </c>
      <c r="M7">
        <f t="shared" si="3"/>
        <v>0</v>
      </c>
    </row>
    <row r="8" spans="1:13" x14ac:dyDescent="0.25">
      <c r="A8" s="11">
        <f>sales!A11</f>
        <v>46076.750289351854</v>
      </c>
      <c r="B8">
        <f>sales!B11</f>
        <v>6</v>
      </c>
      <c r="C8" t="str">
        <f>sales!C11</f>
        <v>Chorizo</v>
      </c>
      <c r="D8">
        <f>sales!D11</f>
        <v>8000</v>
      </c>
      <c r="E8" t="str">
        <f>sales!E11</f>
        <v>EFECTIVO</v>
      </c>
      <c r="F8">
        <f>sales!F11</f>
        <v>2</v>
      </c>
      <c r="G8">
        <f>sales!G11</f>
        <v>1</v>
      </c>
      <c r="H8">
        <f>sales!H11</f>
        <v>16000</v>
      </c>
      <c r="J8" s="12">
        <f t="shared" si="0"/>
        <v>46076</v>
      </c>
      <c r="K8" t="str">
        <f t="shared" si="1"/>
        <v>06:00 p. m.</v>
      </c>
      <c r="L8">
        <f t="shared" si="2"/>
        <v>16000</v>
      </c>
      <c r="M8">
        <f t="shared" si="3"/>
        <v>0</v>
      </c>
    </row>
    <row r="9" spans="1:13" x14ac:dyDescent="0.25">
      <c r="A9" s="11">
        <f>sales!A12</f>
        <v>46076.751967592594</v>
      </c>
      <c r="B9">
        <f>sales!B12</f>
        <v>7</v>
      </c>
      <c r="C9" t="str">
        <f>sales!C12</f>
        <v>Chorizo</v>
      </c>
      <c r="D9">
        <f>sales!D12</f>
        <v>8000</v>
      </c>
      <c r="E9" t="str">
        <f>sales!E12</f>
        <v>EFECTIVO</v>
      </c>
      <c r="F9">
        <f>sales!F12</f>
        <v>2</v>
      </c>
      <c r="G9">
        <f>sales!G12</f>
        <v>1</v>
      </c>
      <c r="H9">
        <f>sales!H12</f>
        <v>16000</v>
      </c>
      <c r="J9" s="12">
        <f t="shared" si="0"/>
        <v>46076</v>
      </c>
      <c r="K9" t="str">
        <f t="shared" si="1"/>
        <v>06:02 p. m.</v>
      </c>
      <c r="L9">
        <f t="shared" si="2"/>
        <v>16000</v>
      </c>
      <c r="M9">
        <f t="shared" si="3"/>
        <v>0</v>
      </c>
    </row>
    <row r="10" spans="1:13" x14ac:dyDescent="0.25">
      <c r="A10" s="11">
        <f>sales!A13</f>
        <v>46076.751967592594</v>
      </c>
      <c r="B10">
        <f>sales!B13</f>
        <v>7</v>
      </c>
      <c r="C10" t="str">
        <f>sales!C13</f>
        <v>Postobon</v>
      </c>
      <c r="D10">
        <f>sales!D13</f>
        <v>3000</v>
      </c>
      <c r="E10" t="str">
        <f>sales!E13</f>
        <v>EFECTIVO</v>
      </c>
      <c r="F10">
        <f>sales!F13</f>
        <v>1</v>
      </c>
      <c r="G10">
        <f>sales!G13</f>
        <v>1</v>
      </c>
      <c r="H10">
        <f>sales!H13</f>
        <v>3000</v>
      </c>
      <c r="J10" s="12">
        <f t="shared" si="0"/>
        <v>46076</v>
      </c>
      <c r="K10" t="str">
        <f t="shared" si="1"/>
        <v>06:02 p. m.</v>
      </c>
      <c r="L10">
        <f t="shared" si="2"/>
        <v>3000</v>
      </c>
      <c r="M10">
        <f t="shared" si="3"/>
        <v>0</v>
      </c>
    </row>
    <row r="11" spans="1:13" x14ac:dyDescent="0.25">
      <c r="A11" s="11">
        <f>sales!A14</f>
        <v>46076.787222222221</v>
      </c>
      <c r="B11">
        <f>sales!B14</f>
        <v>8</v>
      </c>
      <c r="C11" t="str">
        <f>sales!C14</f>
        <v>Chorizo</v>
      </c>
      <c r="D11">
        <f>sales!D14</f>
        <v>8000</v>
      </c>
      <c r="E11" t="str">
        <f>sales!E14</f>
        <v>EFECTIVO</v>
      </c>
      <c r="F11">
        <f>sales!F14</f>
        <v>1</v>
      </c>
      <c r="G11">
        <f>sales!G14</f>
        <v>1</v>
      </c>
      <c r="H11">
        <f>sales!H14</f>
        <v>8000</v>
      </c>
      <c r="J11" s="12">
        <f t="shared" si="0"/>
        <v>46076</v>
      </c>
      <c r="K11" t="str">
        <f t="shared" si="1"/>
        <v>06:53 p. m.</v>
      </c>
      <c r="L11">
        <f t="shared" si="2"/>
        <v>8000</v>
      </c>
      <c r="M11">
        <f t="shared" si="3"/>
        <v>0</v>
      </c>
    </row>
    <row r="12" spans="1:13" x14ac:dyDescent="0.25">
      <c r="A12" s="11">
        <f>sales!A15</f>
        <v>46076.795474537037</v>
      </c>
      <c r="B12">
        <f>sales!B15</f>
        <v>9</v>
      </c>
      <c r="C12" t="str">
        <f>sales!C15</f>
        <v>Chorizo</v>
      </c>
      <c r="D12">
        <f>sales!D15</f>
        <v>8000</v>
      </c>
      <c r="E12" t="str">
        <f>sales!E15</f>
        <v>EFECTIVO</v>
      </c>
      <c r="F12">
        <f>sales!F15</f>
        <v>2</v>
      </c>
      <c r="G12">
        <f>sales!G15</f>
        <v>1</v>
      </c>
      <c r="H12">
        <f>sales!H15</f>
        <v>16000</v>
      </c>
      <c r="J12" s="12">
        <f t="shared" si="0"/>
        <v>46076</v>
      </c>
      <c r="K12" t="str">
        <f t="shared" si="1"/>
        <v>07:05 p. m.</v>
      </c>
      <c r="L12">
        <f t="shared" si="2"/>
        <v>16000</v>
      </c>
      <c r="M12">
        <f t="shared" si="3"/>
        <v>0</v>
      </c>
    </row>
    <row r="13" spans="1:13" x14ac:dyDescent="0.25">
      <c r="A13" s="11">
        <f>sales!A16</f>
        <v>46076.795474537037</v>
      </c>
      <c r="B13">
        <f>sales!B16</f>
        <v>9</v>
      </c>
      <c r="C13" t="str">
        <f>sales!C16</f>
        <v>Coca cola</v>
      </c>
      <c r="D13">
        <f>sales!D16</f>
        <v>3000</v>
      </c>
      <c r="E13" t="str">
        <f>sales!E16</f>
        <v>EFECTIVO</v>
      </c>
      <c r="F13">
        <f>sales!F16</f>
        <v>2</v>
      </c>
      <c r="G13">
        <f>sales!G16</f>
        <v>1</v>
      </c>
      <c r="H13">
        <f>sales!H16</f>
        <v>6000</v>
      </c>
      <c r="J13" s="12">
        <f t="shared" si="0"/>
        <v>46076</v>
      </c>
      <c r="K13" t="str">
        <f t="shared" si="1"/>
        <v>07:05 p. m.</v>
      </c>
      <c r="L13">
        <f t="shared" si="2"/>
        <v>6000</v>
      </c>
      <c r="M13">
        <f t="shared" si="3"/>
        <v>0</v>
      </c>
    </row>
    <row r="14" spans="1:13" x14ac:dyDescent="0.25">
      <c r="A14" s="11">
        <f>sales!A17</f>
        <v>46076.818287037036</v>
      </c>
      <c r="B14">
        <f>sales!B17</f>
        <v>10</v>
      </c>
      <c r="C14" t="str">
        <f>sales!C17</f>
        <v>Chorizo</v>
      </c>
      <c r="D14">
        <f>sales!D17</f>
        <v>8000</v>
      </c>
      <c r="E14" t="str">
        <f>sales!E17</f>
        <v>EFECTIVO</v>
      </c>
      <c r="F14">
        <f>sales!F17</f>
        <v>3</v>
      </c>
      <c r="G14">
        <f>sales!G17</f>
        <v>1</v>
      </c>
      <c r="H14">
        <f>sales!H17</f>
        <v>24000</v>
      </c>
      <c r="J14" s="12">
        <f t="shared" si="0"/>
        <v>46076</v>
      </c>
      <c r="K14" t="str">
        <f t="shared" si="1"/>
        <v>07:38 p. m.</v>
      </c>
      <c r="L14">
        <f t="shared" si="2"/>
        <v>24000</v>
      </c>
      <c r="M14">
        <f t="shared" si="3"/>
        <v>0</v>
      </c>
    </row>
    <row r="15" spans="1:13" x14ac:dyDescent="0.25">
      <c r="A15" s="11">
        <f>sales!A18</f>
        <v>46076.841643518521</v>
      </c>
      <c r="B15">
        <f>sales!B18</f>
        <v>11</v>
      </c>
      <c r="C15" t="str">
        <f>sales!C18</f>
        <v>Chorizo</v>
      </c>
      <c r="D15">
        <f>sales!D18</f>
        <v>8000</v>
      </c>
      <c r="E15" t="str">
        <f>sales!E18</f>
        <v>EFECTIVO</v>
      </c>
      <c r="F15">
        <f>sales!F18</f>
        <v>1</v>
      </c>
      <c r="G15">
        <f>sales!G18</f>
        <v>1</v>
      </c>
      <c r="H15">
        <f>sales!H18</f>
        <v>8000</v>
      </c>
      <c r="J15" s="12">
        <f t="shared" si="0"/>
        <v>46076</v>
      </c>
      <c r="K15" t="str">
        <f t="shared" si="1"/>
        <v>08:11 p. m.</v>
      </c>
      <c r="L15">
        <f t="shared" si="2"/>
        <v>8000</v>
      </c>
      <c r="M15">
        <f t="shared" si="3"/>
        <v>0</v>
      </c>
    </row>
    <row r="16" spans="1:13" x14ac:dyDescent="0.25">
      <c r="A16" s="11">
        <f>sales!A19</f>
        <v>46076.843854166669</v>
      </c>
      <c r="B16">
        <f>sales!B19</f>
        <v>12</v>
      </c>
      <c r="C16" t="str">
        <f>sales!C19</f>
        <v>Chorizo</v>
      </c>
      <c r="D16">
        <f>sales!D19</f>
        <v>8000</v>
      </c>
      <c r="E16" t="str">
        <f>sales!E19</f>
        <v>EFECTIVO</v>
      </c>
      <c r="F16">
        <f>sales!F19</f>
        <v>1</v>
      </c>
      <c r="G16">
        <f>sales!G19</f>
        <v>1</v>
      </c>
      <c r="H16">
        <f>sales!H19</f>
        <v>8000</v>
      </c>
      <c r="J16" s="12">
        <f t="shared" si="0"/>
        <v>46076</v>
      </c>
      <c r="K16" t="str">
        <f t="shared" si="1"/>
        <v>08:15 p. m.</v>
      </c>
      <c r="L16">
        <f t="shared" si="2"/>
        <v>8000</v>
      </c>
      <c r="M16">
        <f t="shared" si="3"/>
        <v>0</v>
      </c>
    </row>
    <row r="17" spans="1:13" x14ac:dyDescent="0.25">
      <c r="A17" s="11">
        <f>sales!A20</f>
        <v>46076.845659722225</v>
      </c>
      <c r="B17">
        <f>sales!B20</f>
        <v>13</v>
      </c>
      <c r="C17" t="str">
        <f>sales!C20</f>
        <v>Chorizo</v>
      </c>
      <c r="D17">
        <f>sales!D20</f>
        <v>8000</v>
      </c>
      <c r="E17" t="str">
        <f>sales!E20</f>
        <v>EFECTIVO</v>
      </c>
      <c r="F17">
        <f>sales!F20</f>
        <v>1</v>
      </c>
      <c r="G17">
        <f>sales!G20</f>
        <v>1</v>
      </c>
      <c r="H17">
        <f>sales!H20</f>
        <v>8000</v>
      </c>
      <c r="J17" s="12">
        <f t="shared" si="0"/>
        <v>46076</v>
      </c>
      <c r="K17" t="str">
        <f t="shared" si="1"/>
        <v>08:17 p. m.</v>
      </c>
      <c r="L17">
        <f t="shared" si="2"/>
        <v>8000</v>
      </c>
      <c r="M17">
        <f t="shared" si="3"/>
        <v>0</v>
      </c>
    </row>
    <row r="18" spans="1:13" x14ac:dyDescent="0.25">
      <c r="A18" s="11">
        <f>sales!A21</f>
        <v>46076.845659722225</v>
      </c>
      <c r="B18">
        <f>sales!B21</f>
        <v>13</v>
      </c>
      <c r="C18" t="str">
        <f>sales!C21</f>
        <v>Postobon</v>
      </c>
      <c r="D18">
        <f>sales!D21</f>
        <v>3000</v>
      </c>
      <c r="E18" t="str">
        <f>sales!E21</f>
        <v>EFECTIVO</v>
      </c>
      <c r="F18">
        <f>sales!F21</f>
        <v>1</v>
      </c>
      <c r="G18">
        <f>sales!G21</f>
        <v>1</v>
      </c>
      <c r="H18">
        <f>sales!H21</f>
        <v>3000</v>
      </c>
      <c r="J18" s="12">
        <f t="shared" si="0"/>
        <v>46076</v>
      </c>
      <c r="K18" t="str">
        <f t="shared" si="1"/>
        <v>08:17 p. m.</v>
      </c>
      <c r="L18">
        <f t="shared" si="2"/>
        <v>3000</v>
      </c>
      <c r="M18">
        <f t="shared" si="3"/>
        <v>0</v>
      </c>
    </row>
    <row r="19" spans="1:13" x14ac:dyDescent="0.25">
      <c r="A19" s="11">
        <f>sales!A22</f>
        <v>46076.850243055553</v>
      </c>
      <c r="B19">
        <f>sales!B22</f>
        <v>14</v>
      </c>
      <c r="C19" t="str">
        <f>sales!C22</f>
        <v>Chorizo</v>
      </c>
      <c r="D19">
        <f>sales!D22</f>
        <v>8000</v>
      </c>
      <c r="E19" t="str">
        <f>sales!E22</f>
        <v>EFECTIVO</v>
      </c>
      <c r="F19">
        <f>sales!F22</f>
        <v>3</v>
      </c>
      <c r="G19">
        <f>sales!G22</f>
        <v>1</v>
      </c>
      <c r="H19">
        <f>sales!H22</f>
        <v>24000</v>
      </c>
      <c r="J19" s="12">
        <f t="shared" si="0"/>
        <v>46076</v>
      </c>
      <c r="K19" t="str">
        <f t="shared" si="1"/>
        <v>08:24 p. m.</v>
      </c>
      <c r="L19">
        <f t="shared" si="2"/>
        <v>24000</v>
      </c>
      <c r="M19">
        <f t="shared" si="3"/>
        <v>0</v>
      </c>
    </row>
    <row r="20" spans="1:13" x14ac:dyDescent="0.25">
      <c r="A20" s="11">
        <f>sales!A23</f>
        <v>46076.852650462963</v>
      </c>
      <c r="B20">
        <f>sales!B23</f>
        <v>15</v>
      </c>
      <c r="C20" t="str">
        <f>sales!C23</f>
        <v>Chorizo</v>
      </c>
      <c r="D20">
        <f>sales!D23</f>
        <v>8000</v>
      </c>
      <c r="E20" t="str">
        <f>sales!E23</f>
        <v>EFECTIVO</v>
      </c>
      <c r="F20">
        <f>sales!F23</f>
        <v>1</v>
      </c>
      <c r="G20">
        <f>sales!G23</f>
        <v>1</v>
      </c>
      <c r="H20">
        <f>sales!H23</f>
        <v>8000</v>
      </c>
      <c r="J20" s="12">
        <f t="shared" si="0"/>
        <v>46076</v>
      </c>
      <c r="K20" t="str">
        <f t="shared" si="1"/>
        <v>08:27 p. m.</v>
      </c>
      <c r="L20">
        <f t="shared" si="2"/>
        <v>8000</v>
      </c>
      <c r="M20">
        <f t="shared" si="3"/>
        <v>0</v>
      </c>
    </row>
    <row r="21" spans="1:13" x14ac:dyDescent="0.25">
      <c r="A21" s="11">
        <f>sales!A24</f>
        <v>46077.648680555554</v>
      </c>
      <c r="B21">
        <f>sales!B24</f>
        <v>16</v>
      </c>
      <c r="C21" t="str">
        <f>sales!C24</f>
        <v>Chorizo</v>
      </c>
      <c r="D21">
        <f>sales!D24</f>
        <v>8000</v>
      </c>
      <c r="E21" t="str">
        <f>sales!E24</f>
        <v>EFECTIVO</v>
      </c>
      <c r="F21">
        <f>sales!F24</f>
        <v>5</v>
      </c>
      <c r="G21">
        <f>sales!G24</f>
        <v>1</v>
      </c>
      <c r="H21">
        <f>sales!H24</f>
        <v>40000</v>
      </c>
      <c r="J21" s="12">
        <f t="shared" si="0"/>
        <v>46077</v>
      </c>
      <c r="K21" t="str">
        <f t="shared" si="1"/>
        <v>03:34 p. m.</v>
      </c>
      <c r="L21">
        <f t="shared" si="2"/>
        <v>40000</v>
      </c>
      <c r="M21">
        <f t="shared" si="3"/>
        <v>0</v>
      </c>
    </row>
    <row r="22" spans="1:13" x14ac:dyDescent="0.25">
      <c r="A22" s="11">
        <f>sales!A25</f>
        <v>46077.649351851855</v>
      </c>
      <c r="B22">
        <f>sales!B25</f>
        <v>17</v>
      </c>
      <c r="C22" t="str">
        <f>sales!C25</f>
        <v>Chorizo</v>
      </c>
      <c r="D22">
        <f>sales!D25</f>
        <v>8000</v>
      </c>
      <c r="E22" t="str">
        <f>sales!E25</f>
        <v>EFECTIVO</v>
      </c>
      <c r="F22">
        <f>sales!F25</f>
        <v>3</v>
      </c>
      <c r="G22">
        <f>sales!G25</f>
        <v>1</v>
      </c>
      <c r="H22">
        <f>sales!H25</f>
        <v>24000</v>
      </c>
      <c r="J22" s="12">
        <f t="shared" si="0"/>
        <v>46077</v>
      </c>
      <c r="K22" t="str">
        <f t="shared" si="1"/>
        <v>03:35 p. m.</v>
      </c>
      <c r="L22">
        <f t="shared" si="2"/>
        <v>24000</v>
      </c>
      <c r="M22">
        <f t="shared" si="3"/>
        <v>0</v>
      </c>
    </row>
    <row r="23" spans="1:13" x14ac:dyDescent="0.25">
      <c r="A23" s="11">
        <f>sales!A26</f>
        <v>46077.740034722221</v>
      </c>
      <c r="B23">
        <f>sales!B26</f>
        <v>18</v>
      </c>
      <c r="C23" t="str">
        <f>sales!C26</f>
        <v>Chorizo</v>
      </c>
      <c r="D23">
        <f>sales!D26</f>
        <v>8000</v>
      </c>
      <c r="E23" t="str">
        <f>sales!E26</f>
        <v>EFECTIVO</v>
      </c>
      <c r="F23">
        <f>sales!F26</f>
        <v>1</v>
      </c>
      <c r="G23">
        <f>sales!G26</f>
        <v>1</v>
      </c>
      <c r="H23">
        <f>sales!H26</f>
        <v>8000</v>
      </c>
      <c r="J23" s="12">
        <f t="shared" si="0"/>
        <v>46077</v>
      </c>
      <c r="K23" t="str">
        <f t="shared" si="1"/>
        <v>05:45 p. m.</v>
      </c>
      <c r="L23">
        <f t="shared" si="2"/>
        <v>8000</v>
      </c>
      <c r="M23">
        <f t="shared" si="3"/>
        <v>0</v>
      </c>
    </row>
    <row r="24" spans="1:13" x14ac:dyDescent="0.25">
      <c r="A24" s="11">
        <f>sales!A27</f>
        <v>46077.759606481479</v>
      </c>
      <c r="B24">
        <f>sales!B27</f>
        <v>19</v>
      </c>
      <c r="C24" t="str">
        <f>sales!C27</f>
        <v>Chorizo</v>
      </c>
      <c r="D24">
        <f>sales!D27</f>
        <v>8000</v>
      </c>
      <c r="E24" t="str">
        <f>sales!E27</f>
        <v>EFECTIVO</v>
      </c>
      <c r="F24">
        <f>sales!F27</f>
        <v>1</v>
      </c>
      <c r="G24">
        <f>sales!G27</f>
        <v>1</v>
      </c>
      <c r="H24">
        <f>sales!H27</f>
        <v>8000</v>
      </c>
      <c r="J24" s="12">
        <f t="shared" si="0"/>
        <v>46077</v>
      </c>
      <c r="K24" t="str">
        <f t="shared" si="1"/>
        <v>06:13 p. m.</v>
      </c>
      <c r="L24">
        <f t="shared" si="2"/>
        <v>8000</v>
      </c>
      <c r="M24">
        <f t="shared" si="3"/>
        <v>0</v>
      </c>
    </row>
    <row r="25" spans="1:13" x14ac:dyDescent="0.25">
      <c r="A25" s="11">
        <f>sales!A28</f>
        <v>46077.774178240739</v>
      </c>
      <c r="B25">
        <f>sales!B28</f>
        <v>20</v>
      </c>
      <c r="C25" t="str">
        <f>sales!C28</f>
        <v>Chorizo</v>
      </c>
      <c r="D25">
        <f>sales!D28</f>
        <v>8000</v>
      </c>
      <c r="E25" t="str">
        <f>sales!E28</f>
        <v>EFECTIVO</v>
      </c>
      <c r="F25">
        <f>sales!F28</f>
        <v>2</v>
      </c>
      <c r="G25">
        <f>sales!G28</f>
        <v>1</v>
      </c>
      <c r="H25">
        <f>sales!H28</f>
        <v>16000</v>
      </c>
      <c r="J25" s="12">
        <f t="shared" si="0"/>
        <v>46077</v>
      </c>
      <c r="K25" t="str">
        <f t="shared" si="1"/>
        <v>06:34 p. m.</v>
      </c>
      <c r="L25">
        <f t="shared" si="2"/>
        <v>16000</v>
      </c>
      <c r="M25">
        <f t="shared" si="3"/>
        <v>0</v>
      </c>
    </row>
    <row r="26" spans="1:13" x14ac:dyDescent="0.25">
      <c r="A26" s="11">
        <f>sales!A29</f>
        <v>46077.775185185186</v>
      </c>
      <c r="B26">
        <f>sales!B29</f>
        <v>21</v>
      </c>
      <c r="C26" t="str">
        <f>sales!C29</f>
        <v>Chorizo</v>
      </c>
      <c r="D26">
        <f>sales!D29</f>
        <v>8000</v>
      </c>
      <c r="E26" t="str">
        <f>sales!E29</f>
        <v>EFECTIVO</v>
      </c>
      <c r="F26">
        <f>sales!F29</f>
        <v>1</v>
      </c>
      <c r="G26">
        <f>sales!G29</f>
        <v>1</v>
      </c>
      <c r="H26">
        <f>sales!H29</f>
        <v>8000</v>
      </c>
      <c r="J26" s="12">
        <f t="shared" si="0"/>
        <v>46077</v>
      </c>
      <c r="K26" t="str">
        <f t="shared" si="1"/>
        <v>06:36 p. m.</v>
      </c>
      <c r="L26">
        <f t="shared" si="2"/>
        <v>8000</v>
      </c>
      <c r="M26">
        <f t="shared" si="3"/>
        <v>0</v>
      </c>
    </row>
    <row r="27" spans="1:13" x14ac:dyDescent="0.25">
      <c r="A27" s="11">
        <f>sales!A30</f>
        <v>46077.77952546296</v>
      </c>
      <c r="B27">
        <f>sales!B30</f>
        <v>22</v>
      </c>
      <c r="C27" t="str">
        <f>sales!C30</f>
        <v>Chori- CRUDO</v>
      </c>
      <c r="D27">
        <f>sales!D30</f>
        <v>4500</v>
      </c>
      <c r="E27" t="str">
        <f>sales!E30</f>
        <v>EFECTIVO</v>
      </c>
      <c r="F27">
        <f>sales!F30</f>
        <v>2</v>
      </c>
      <c r="G27">
        <f>sales!G30</f>
        <v>1</v>
      </c>
      <c r="H27">
        <f>sales!H30</f>
        <v>9000</v>
      </c>
      <c r="J27" s="12">
        <f t="shared" si="0"/>
        <v>46077</v>
      </c>
      <c r="K27" t="str">
        <f t="shared" si="1"/>
        <v>06:42 p. m.</v>
      </c>
      <c r="L27">
        <f t="shared" si="2"/>
        <v>9000</v>
      </c>
      <c r="M27">
        <f t="shared" si="3"/>
        <v>0</v>
      </c>
    </row>
    <row r="28" spans="1:13" x14ac:dyDescent="0.25">
      <c r="A28" s="11">
        <f>sales!A31</f>
        <v>46077.77952546296</v>
      </c>
      <c r="B28">
        <f>sales!B31</f>
        <v>22</v>
      </c>
      <c r="C28" t="str">
        <f>sales!C31</f>
        <v>Chorizo</v>
      </c>
      <c r="D28">
        <f>sales!D31</f>
        <v>8000</v>
      </c>
      <c r="E28" t="str">
        <f>sales!E31</f>
        <v>EFECTIVO</v>
      </c>
      <c r="F28">
        <f>sales!F31</f>
        <v>1</v>
      </c>
      <c r="G28">
        <f>sales!G31</f>
        <v>1</v>
      </c>
      <c r="H28">
        <f>sales!H31</f>
        <v>8000</v>
      </c>
      <c r="J28" s="12">
        <f t="shared" si="0"/>
        <v>46077</v>
      </c>
      <c r="K28" t="str">
        <f t="shared" si="1"/>
        <v>06:42 p. m.</v>
      </c>
      <c r="L28">
        <f t="shared" si="2"/>
        <v>8000</v>
      </c>
      <c r="M28">
        <f t="shared" si="3"/>
        <v>0</v>
      </c>
    </row>
    <row r="29" spans="1:13" x14ac:dyDescent="0.25">
      <c r="A29" s="11">
        <f>sales!A32</f>
        <v>46077.797152777777</v>
      </c>
      <c r="B29">
        <f>sales!B32</f>
        <v>23</v>
      </c>
      <c r="C29" t="str">
        <f>sales!C32</f>
        <v>Chorizo</v>
      </c>
      <c r="D29">
        <f>sales!D32</f>
        <v>8000</v>
      </c>
      <c r="E29" t="str">
        <f>sales!E32</f>
        <v>EFECTIVO</v>
      </c>
      <c r="F29">
        <f>sales!F32</f>
        <v>1</v>
      </c>
      <c r="G29">
        <f>sales!G32</f>
        <v>1</v>
      </c>
      <c r="H29">
        <f>sales!H32</f>
        <v>8000</v>
      </c>
      <c r="J29" s="12">
        <f t="shared" si="0"/>
        <v>46077</v>
      </c>
      <c r="K29" t="str">
        <f t="shared" si="1"/>
        <v>07:07 p. m.</v>
      </c>
      <c r="L29">
        <f t="shared" si="2"/>
        <v>8000</v>
      </c>
      <c r="M29">
        <f t="shared" si="3"/>
        <v>0</v>
      </c>
    </row>
    <row r="30" spans="1:13" x14ac:dyDescent="0.25">
      <c r="A30" s="11">
        <f>sales!A33</f>
        <v>46077.834386574075</v>
      </c>
      <c r="B30">
        <f>sales!B33</f>
        <v>24</v>
      </c>
      <c r="C30" t="str">
        <f>sales!C33</f>
        <v>Chorizo</v>
      </c>
      <c r="D30">
        <f>sales!D33</f>
        <v>8000</v>
      </c>
      <c r="E30" t="str">
        <f>sales!E33</f>
        <v>NEQUI</v>
      </c>
      <c r="F30">
        <f>sales!F33</f>
        <v>1</v>
      </c>
      <c r="G30">
        <f>sales!G33</f>
        <v>1</v>
      </c>
      <c r="H30">
        <f>sales!H33</f>
        <v>8000</v>
      </c>
      <c r="J30" s="12">
        <f t="shared" si="0"/>
        <v>46077</v>
      </c>
      <c r="K30" t="str">
        <f t="shared" si="1"/>
        <v>08:01 p. m.</v>
      </c>
      <c r="L30">
        <f t="shared" si="2"/>
        <v>0</v>
      </c>
      <c r="M30">
        <f t="shared" si="3"/>
        <v>8000</v>
      </c>
    </row>
    <row r="31" spans="1:13" x14ac:dyDescent="0.25">
      <c r="A31" s="11">
        <f>sales!A34</f>
        <v>46077.836875000001</v>
      </c>
      <c r="B31">
        <f>sales!B34</f>
        <v>25</v>
      </c>
      <c r="C31" t="str">
        <f>sales!C34</f>
        <v>Chorizo</v>
      </c>
      <c r="D31">
        <f>sales!D34</f>
        <v>8000</v>
      </c>
      <c r="E31" t="str">
        <f>sales!E34</f>
        <v>EFECTIVO</v>
      </c>
      <c r="F31">
        <f>sales!F34</f>
        <v>1</v>
      </c>
      <c r="G31">
        <f>sales!G34</f>
        <v>1</v>
      </c>
      <c r="H31">
        <f>sales!H34</f>
        <v>8000</v>
      </c>
      <c r="J31" s="12">
        <f t="shared" si="0"/>
        <v>46077</v>
      </c>
      <c r="K31" t="str">
        <f t="shared" si="1"/>
        <v>08:05 p. m.</v>
      </c>
      <c r="L31">
        <f t="shared" si="2"/>
        <v>8000</v>
      </c>
      <c r="M31">
        <f t="shared" si="3"/>
        <v>0</v>
      </c>
    </row>
    <row r="32" spans="1:13" x14ac:dyDescent="0.25">
      <c r="A32" s="11">
        <f>sales!A35</f>
        <v>46077.847013888888</v>
      </c>
      <c r="B32">
        <f>sales!B35</f>
        <v>26</v>
      </c>
      <c r="C32" t="str">
        <f>sales!C35</f>
        <v>Agua</v>
      </c>
      <c r="D32">
        <f>sales!D35</f>
        <v>3000</v>
      </c>
      <c r="E32" t="str">
        <f>sales!E35</f>
        <v>EFECTIVO</v>
      </c>
      <c r="F32">
        <f>sales!F35</f>
        <v>1</v>
      </c>
      <c r="G32">
        <f>sales!G35</f>
        <v>1</v>
      </c>
      <c r="H32">
        <f>sales!H35</f>
        <v>3000</v>
      </c>
      <c r="J32" s="12">
        <f t="shared" si="0"/>
        <v>46077</v>
      </c>
      <c r="K32" t="str">
        <f t="shared" si="1"/>
        <v>08:19 p. m.</v>
      </c>
      <c r="L32">
        <f t="shared" si="2"/>
        <v>3000</v>
      </c>
      <c r="M32">
        <f t="shared" si="3"/>
        <v>0</v>
      </c>
    </row>
    <row r="33" spans="1:13" x14ac:dyDescent="0.25">
      <c r="A33" s="11">
        <f>sales!A36</f>
        <v>46077.847013888888</v>
      </c>
      <c r="B33">
        <f>sales!B36</f>
        <v>26</v>
      </c>
      <c r="C33" t="str">
        <f>sales!C36</f>
        <v>Chorizo</v>
      </c>
      <c r="D33">
        <f>sales!D36</f>
        <v>8000</v>
      </c>
      <c r="E33" t="str">
        <f>sales!E36</f>
        <v>EFECTIVO</v>
      </c>
      <c r="F33">
        <f>sales!F36</f>
        <v>3</v>
      </c>
      <c r="G33">
        <f>sales!G36</f>
        <v>1</v>
      </c>
      <c r="H33">
        <f>sales!H36</f>
        <v>24000</v>
      </c>
      <c r="J33" s="12">
        <f t="shared" si="0"/>
        <v>46077</v>
      </c>
      <c r="K33" t="str">
        <f t="shared" si="1"/>
        <v>08:19 p. m.</v>
      </c>
      <c r="L33">
        <f t="shared" si="2"/>
        <v>24000</v>
      </c>
      <c r="M33">
        <f t="shared" si="3"/>
        <v>0</v>
      </c>
    </row>
    <row r="34" spans="1:13" x14ac:dyDescent="0.25">
      <c r="A34" s="11">
        <f>sales!A37</f>
        <v>46077.847013888888</v>
      </c>
      <c r="B34">
        <f>sales!B37</f>
        <v>26</v>
      </c>
      <c r="C34" t="str">
        <f>sales!C37</f>
        <v>Postobon</v>
      </c>
      <c r="D34">
        <f>sales!D37</f>
        <v>3000</v>
      </c>
      <c r="E34" t="str">
        <f>sales!E37</f>
        <v>EFECTIVO</v>
      </c>
      <c r="F34">
        <f>sales!F37</f>
        <v>1</v>
      </c>
      <c r="G34">
        <f>sales!G37</f>
        <v>1</v>
      </c>
      <c r="H34">
        <f>sales!H37</f>
        <v>3000</v>
      </c>
      <c r="J34" s="12">
        <f t="shared" si="0"/>
        <v>46077</v>
      </c>
      <c r="K34" t="str">
        <f t="shared" si="1"/>
        <v>08:19 p. m.</v>
      </c>
      <c r="L34">
        <f t="shared" si="2"/>
        <v>3000</v>
      </c>
      <c r="M34">
        <f t="shared" si="3"/>
        <v>0</v>
      </c>
    </row>
    <row r="35" spans="1:13" x14ac:dyDescent="0.25">
      <c r="A35" s="11">
        <f>sales!A38</f>
        <v>46077.849872685183</v>
      </c>
      <c r="B35">
        <f>sales!B38</f>
        <v>27</v>
      </c>
      <c r="C35" t="str">
        <f>sales!C38</f>
        <v>Chorizo</v>
      </c>
      <c r="D35">
        <f>sales!D38</f>
        <v>8000</v>
      </c>
      <c r="E35" t="str">
        <f>sales!E38</f>
        <v>EFECTIVO</v>
      </c>
      <c r="F35">
        <f>sales!F38</f>
        <v>4</v>
      </c>
      <c r="G35">
        <f>sales!G38</f>
        <v>1</v>
      </c>
      <c r="H35">
        <f>sales!H38</f>
        <v>32000</v>
      </c>
      <c r="J35" s="12">
        <f t="shared" si="0"/>
        <v>46077</v>
      </c>
      <c r="K35" t="str">
        <f t="shared" si="1"/>
        <v>08:23 p. m.</v>
      </c>
      <c r="L35">
        <f t="shared" si="2"/>
        <v>32000</v>
      </c>
      <c r="M35">
        <f t="shared" si="3"/>
        <v>0</v>
      </c>
    </row>
    <row r="36" spans="1:13" x14ac:dyDescent="0.25">
      <c r="A36" s="11">
        <f>sales!A39</f>
        <v>46077.849872685183</v>
      </c>
      <c r="B36">
        <f>sales!B39</f>
        <v>27</v>
      </c>
      <c r="C36" t="str">
        <f>sales!C39</f>
        <v>Coca cola</v>
      </c>
      <c r="D36">
        <f>sales!D39</f>
        <v>3000</v>
      </c>
      <c r="E36" t="str">
        <f>sales!E39</f>
        <v>EFECTIVO</v>
      </c>
      <c r="F36">
        <f>sales!F39</f>
        <v>2</v>
      </c>
      <c r="G36">
        <f>sales!G39</f>
        <v>1</v>
      </c>
      <c r="H36">
        <f>sales!H39</f>
        <v>6000</v>
      </c>
      <c r="J36" s="12">
        <f t="shared" si="0"/>
        <v>46077</v>
      </c>
      <c r="K36" t="str">
        <f t="shared" si="1"/>
        <v>08:23 p. m.</v>
      </c>
      <c r="L36">
        <f t="shared" si="2"/>
        <v>6000</v>
      </c>
      <c r="M36">
        <f t="shared" si="3"/>
        <v>0</v>
      </c>
    </row>
    <row r="37" spans="1:13" x14ac:dyDescent="0.25">
      <c r="A37" s="11">
        <f>sales!A40</f>
        <v>46077.867604166669</v>
      </c>
      <c r="B37">
        <f>sales!B40</f>
        <v>28</v>
      </c>
      <c r="C37" t="str">
        <f>sales!C40</f>
        <v>Chorizo</v>
      </c>
      <c r="D37">
        <f>sales!D40</f>
        <v>8000</v>
      </c>
      <c r="E37" t="str">
        <f>sales!E40</f>
        <v>EFECTIVO</v>
      </c>
      <c r="F37">
        <f>sales!F40</f>
        <v>1</v>
      </c>
      <c r="G37">
        <f>sales!G40</f>
        <v>1</v>
      </c>
      <c r="H37">
        <f>sales!H40</f>
        <v>8000</v>
      </c>
      <c r="J37" s="12">
        <f t="shared" si="0"/>
        <v>46077</v>
      </c>
      <c r="K37" t="str">
        <f t="shared" si="1"/>
        <v>08:49 p. m.</v>
      </c>
      <c r="L37">
        <f t="shared" si="2"/>
        <v>8000</v>
      </c>
      <c r="M37">
        <f t="shared" si="3"/>
        <v>0</v>
      </c>
    </row>
    <row r="38" spans="1:13" x14ac:dyDescent="0.25">
      <c r="A38" s="11">
        <f>sales!A41</f>
        <v>46078.578043981484</v>
      </c>
      <c r="B38">
        <f>sales!B41</f>
        <v>29</v>
      </c>
      <c r="C38" t="str">
        <f>sales!C41</f>
        <v>Chorizo</v>
      </c>
      <c r="D38">
        <f>sales!D41</f>
        <v>8000</v>
      </c>
      <c r="E38" t="str">
        <f>sales!E41</f>
        <v>EFECTIVO</v>
      </c>
      <c r="F38">
        <f>sales!F41</f>
        <v>1</v>
      </c>
      <c r="G38">
        <f>sales!G41</f>
        <v>1</v>
      </c>
      <c r="H38">
        <f>sales!H41</f>
        <v>8000</v>
      </c>
      <c r="J38" s="12">
        <f t="shared" si="0"/>
        <v>46078</v>
      </c>
      <c r="K38" t="str">
        <f t="shared" si="1"/>
        <v>01:52 p. m.</v>
      </c>
      <c r="L38">
        <f t="shared" si="2"/>
        <v>8000</v>
      </c>
      <c r="M38">
        <f t="shared" si="3"/>
        <v>0</v>
      </c>
    </row>
    <row r="39" spans="1:13" x14ac:dyDescent="0.25">
      <c r="A39" s="11">
        <f>sales!A42</f>
        <v>46078.579907407409</v>
      </c>
      <c r="B39">
        <f>sales!B42</f>
        <v>30</v>
      </c>
      <c r="C39" t="str">
        <f>sales!C42</f>
        <v>Chorizo</v>
      </c>
      <c r="D39">
        <f>sales!D42</f>
        <v>8000</v>
      </c>
      <c r="E39" t="str">
        <f>sales!E42</f>
        <v>EFECTIVO</v>
      </c>
      <c r="F39">
        <f>sales!F42</f>
        <v>1</v>
      </c>
      <c r="G39">
        <f>sales!G42</f>
        <v>1</v>
      </c>
      <c r="H39">
        <f>sales!H42</f>
        <v>8000</v>
      </c>
      <c r="J39" s="12">
        <f t="shared" si="0"/>
        <v>46078</v>
      </c>
      <c r="K39" t="str">
        <f t="shared" si="1"/>
        <v>01:55 p. m.</v>
      </c>
      <c r="L39">
        <f t="shared" si="2"/>
        <v>8000</v>
      </c>
      <c r="M39">
        <f t="shared" si="3"/>
        <v>0</v>
      </c>
    </row>
    <row r="40" spans="1:13" x14ac:dyDescent="0.25">
      <c r="A40" s="11">
        <f>sales!A43</f>
        <v>46078.58693287037</v>
      </c>
      <c r="B40">
        <f>sales!B43</f>
        <v>31</v>
      </c>
      <c r="C40" t="str">
        <f>sales!C43</f>
        <v>Chorizo</v>
      </c>
      <c r="D40">
        <f>sales!D43</f>
        <v>8000</v>
      </c>
      <c r="E40" t="str">
        <f>sales!E43</f>
        <v>EFECTIVO</v>
      </c>
      <c r="F40">
        <f>sales!F43</f>
        <v>1</v>
      </c>
      <c r="G40">
        <f>sales!G43</f>
        <v>1</v>
      </c>
      <c r="H40">
        <f>sales!H43</f>
        <v>8000</v>
      </c>
      <c r="J40" s="12">
        <f t="shared" si="0"/>
        <v>46078</v>
      </c>
      <c r="K40" t="str">
        <f t="shared" si="1"/>
        <v>02:05 p. m.</v>
      </c>
      <c r="L40">
        <f t="shared" si="2"/>
        <v>8000</v>
      </c>
      <c r="M40">
        <f t="shared" si="3"/>
        <v>0</v>
      </c>
    </row>
    <row r="41" spans="1:13" x14ac:dyDescent="0.25">
      <c r="A41" s="11">
        <f>sales!A44</f>
        <v>46078.59138888889</v>
      </c>
      <c r="B41">
        <f>sales!B44</f>
        <v>32</v>
      </c>
      <c r="C41" t="str">
        <f>sales!C44</f>
        <v>parri tres carnes</v>
      </c>
      <c r="D41">
        <f>sales!D44</f>
        <v>35000</v>
      </c>
      <c r="E41" t="str">
        <f>sales!E44</f>
        <v>EFECTIVO</v>
      </c>
      <c r="F41">
        <f>sales!F44</f>
        <v>1</v>
      </c>
      <c r="G41">
        <f>sales!G44</f>
        <v>1</v>
      </c>
      <c r="H41">
        <f>sales!H44</f>
        <v>35000</v>
      </c>
      <c r="J41" s="12">
        <f t="shared" si="0"/>
        <v>46078</v>
      </c>
      <c r="K41" t="str">
        <f t="shared" si="1"/>
        <v>02:11 p. m.</v>
      </c>
      <c r="L41">
        <f t="shared" si="2"/>
        <v>35000</v>
      </c>
      <c r="M41">
        <f t="shared" si="3"/>
        <v>0</v>
      </c>
    </row>
    <row r="42" spans="1:13" x14ac:dyDescent="0.25">
      <c r="A42" s="11">
        <f>sales!A45</f>
        <v>46078.600636574076</v>
      </c>
      <c r="B42">
        <f>sales!B45</f>
        <v>34</v>
      </c>
      <c r="C42" t="str">
        <f>sales!C45</f>
        <v>parri tres carnes</v>
      </c>
      <c r="D42">
        <f>sales!D45</f>
        <v>35000</v>
      </c>
      <c r="E42" t="str">
        <f>sales!E45</f>
        <v>EFECTIVO</v>
      </c>
      <c r="F42">
        <f>sales!F45</f>
        <v>1</v>
      </c>
      <c r="G42">
        <f>sales!G45</f>
        <v>1</v>
      </c>
      <c r="H42">
        <f>sales!H45</f>
        <v>35000</v>
      </c>
      <c r="J42" s="12">
        <f t="shared" si="0"/>
        <v>46078</v>
      </c>
      <c r="K42" t="str">
        <f t="shared" si="1"/>
        <v>02:24 p. m.</v>
      </c>
      <c r="L42">
        <f t="shared" si="2"/>
        <v>35000</v>
      </c>
      <c r="M42">
        <f t="shared" si="3"/>
        <v>0</v>
      </c>
    </row>
    <row r="43" spans="1:13" x14ac:dyDescent="0.25">
      <c r="A43" s="11">
        <f>sales!A46</f>
        <v>46078.601261574076</v>
      </c>
      <c r="B43">
        <f>sales!B46</f>
        <v>35</v>
      </c>
      <c r="C43" t="str">
        <f>sales!C46</f>
        <v>Chorizo</v>
      </c>
      <c r="D43">
        <f>sales!D46</f>
        <v>8000</v>
      </c>
      <c r="E43" t="str">
        <f>sales!E46</f>
        <v>EFECTIVO</v>
      </c>
      <c r="F43">
        <f>sales!F46</f>
        <v>2</v>
      </c>
      <c r="G43">
        <f>sales!G46</f>
        <v>1</v>
      </c>
      <c r="H43">
        <f>sales!H46</f>
        <v>16000</v>
      </c>
      <c r="J43" s="12">
        <f t="shared" si="0"/>
        <v>46078</v>
      </c>
      <c r="K43" t="str">
        <f t="shared" si="1"/>
        <v>02:25 p. m.</v>
      </c>
      <c r="L43">
        <f t="shared" si="2"/>
        <v>16000</v>
      </c>
      <c r="M43">
        <f t="shared" si="3"/>
        <v>0</v>
      </c>
    </row>
    <row r="44" spans="1:13" x14ac:dyDescent="0.25">
      <c r="A44" s="11">
        <f>sales!A47</f>
        <v>46078.694513888891</v>
      </c>
      <c r="B44">
        <f>sales!B47</f>
        <v>36</v>
      </c>
      <c r="C44" t="str">
        <f>sales!C47</f>
        <v>Chorizo</v>
      </c>
      <c r="D44">
        <f>sales!D47</f>
        <v>8000</v>
      </c>
      <c r="E44" t="str">
        <f>sales!E47</f>
        <v>EFECTIVO</v>
      </c>
      <c r="F44">
        <f>sales!F47</f>
        <v>1</v>
      </c>
      <c r="G44">
        <f>sales!G47</f>
        <v>1</v>
      </c>
      <c r="H44">
        <f>sales!H47</f>
        <v>8000</v>
      </c>
      <c r="J44" s="12">
        <f t="shared" si="0"/>
        <v>46078</v>
      </c>
      <c r="K44" t="str">
        <f t="shared" si="1"/>
        <v>04:40 p. m.</v>
      </c>
      <c r="L44">
        <f t="shared" si="2"/>
        <v>8000</v>
      </c>
      <c r="M44">
        <f t="shared" si="3"/>
        <v>0</v>
      </c>
    </row>
    <row r="45" spans="1:13" x14ac:dyDescent="0.25">
      <c r="A45" s="11">
        <f>sales!A48</f>
        <v>46078.695300925923</v>
      </c>
      <c r="B45">
        <f>sales!B48</f>
        <v>37</v>
      </c>
      <c r="C45" t="str">
        <f>sales!C48</f>
        <v>Chorizo</v>
      </c>
      <c r="D45">
        <f>sales!D48</f>
        <v>8000</v>
      </c>
      <c r="E45" t="str">
        <f>sales!E48</f>
        <v>NEQUI</v>
      </c>
      <c r="F45">
        <f>sales!F48</f>
        <v>1</v>
      </c>
      <c r="G45">
        <f>sales!G48</f>
        <v>1</v>
      </c>
      <c r="H45">
        <f>sales!H48</f>
        <v>8000</v>
      </c>
      <c r="J45" s="12">
        <f t="shared" si="0"/>
        <v>46078</v>
      </c>
      <c r="K45" t="str">
        <f t="shared" si="1"/>
        <v>04:41 p. m.</v>
      </c>
      <c r="L45">
        <f t="shared" si="2"/>
        <v>0</v>
      </c>
      <c r="M45">
        <f t="shared" si="3"/>
        <v>8000</v>
      </c>
    </row>
    <row r="46" spans="1:13" x14ac:dyDescent="0.25">
      <c r="A46" s="11">
        <f>sales!A49</f>
        <v>46078.762141203704</v>
      </c>
      <c r="B46">
        <f>sales!B49</f>
        <v>38</v>
      </c>
      <c r="C46" t="str">
        <f>sales!C49</f>
        <v>Chorizo</v>
      </c>
      <c r="D46">
        <f>sales!D49</f>
        <v>8000</v>
      </c>
      <c r="E46" t="str">
        <f>sales!E49</f>
        <v>EFECTIVO</v>
      </c>
      <c r="F46">
        <f>sales!F49</f>
        <v>1</v>
      </c>
      <c r="G46">
        <f>sales!G49</f>
        <v>1</v>
      </c>
      <c r="H46">
        <f>sales!H49</f>
        <v>8000</v>
      </c>
      <c r="J46" s="12">
        <f t="shared" si="0"/>
        <v>46078</v>
      </c>
      <c r="K46" t="str">
        <f t="shared" si="1"/>
        <v>06:17 p. m.</v>
      </c>
      <c r="L46">
        <f t="shared" si="2"/>
        <v>8000</v>
      </c>
      <c r="M46">
        <f t="shared" si="3"/>
        <v>0</v>
      </c>
    </row>
    <row r="47" spans="1:13" x14ac:dyDescent="0.25">
      <c r="A47" s="11">
        <f>sales!A50</f>
        <v>46078.764027777775</v>
      </c>
      <c r="B47">
        <f>sales!B50</f>
        <v>39</v>
      </c>
      <c r="C47" t="str">
        <f>sales!C50</f>
        <v>Chorizo</v>
      </c>
      <c r="D47">
        <f>sales!D50</f>
        <v>8000</v>
      </c>
      <c r="E47" t="str">
        <f>sales!E50</f>
        <v>EFECTIVO</v>
      </c>
      <c r="F47">
        <f>sales!F50</f>
        <v>1</v>
      </c>
      <c r="G47">
        <f>sales!G50</f>
        <v>1</v>
      </c>
      <c r="H47">
        <f>sales!H50</f>
        <v>8000</v>
      </c>
      <c r="J47" s="12">
        <f t="shared" si="0"/>
        <v>46078</v>
      </c>
      <c r="K47" t="str">
        <f t="shared" si="1"/>
        <v>06:20 p. m.</v>
      </c>
      <c r="L47">
        <f t="shared" si="2"/>
        <v>8000</v>
      </c>
      <c r="M47">
        <f t="shared" si="3"/>
        <v>0</v>
      </c>
    </row>
    <row r="48" spans="1:13" x14ac:dyDescent="0.25">
      <c r="A48" s="11">
        <f>sales!A51</f>
        <v>46078.768379629626</v>
      </c>
      <c r="B48">
        <f>sales!B51</f>
        <v>41</v>
      </c>
      <c r="C48" t="str">
        <f>sales!C51</f>
        <v>Chorizo</v>
      </c>
      <c r="D48">
        <f>sales!D51</f>
        <v>8000</v>
      </c>
      <c r="E48" t="str">
        <f>sales!E51</f>
        <v>EFECTIVO</v>
      </c>
      <c r="F48">
        <f>sales!F51</f>
        <v>1</v>
      </c>
      <c r="G48">
        <f>sales!G51</f>
        <v>1</v>
      </c>
      <c r="H48">
        <f>sales!H51</f>
        <v>8000</v>
      </c>
      <c r="J48" s="12">
        <f t="shared" si="0"/>
        <v>46078</v>
      </c>
      <c r="K48" t="str">
        <f t="shared" si="1"/>
        <v>06:26 p. m.</v>
      </c>
      <c r="L48">
        <f t="shared" si="2"/>
        <v>8000</v>
      </c>
      <c r="M48">
        <f t="shared" si="3"/>
        <v>0</v>
      </c>
    </row>
    <row r="49" spans="1:13" x14ac:dyDescent="0.25">
      <c r="A49" s="11">
        <f>sales!A52</f>
        <v>46078.77375</v>
      </c>
      <c r="B49">
        <f>sales!B52</f>
        <v>42</v>
      </c>
      <c r="C49" t="str">
        <f>sales!C52</f>
        <v>Chorizo</v>
      </c>
      <c r="D49">
        <f>sales!D52</f>
        <v>8000</v>
      </c>
      <c r="E49" t="str">
        <f>sales!E52</f>
        <v>EFECTIVO</v>
      </c>
      <c r="F49">
        <f>sales!F52</f>
        <v>5</v>
      </c>
      <c r="G49">
        <f>sales!G52</f>
        <v>1</v>
      </c>
      <c r="H49">
        <f>sales!H52</f>
        <v>40000</v>
      </c>
      <c r="J49" s="12">
        <f t="shared" si="0"/>
        <v>46078</v>
      </c>
      <c r="K49" t="str">
        <f t="shared" si="1"/>
        <v>06:34 p. m.</v>
      </c>
      <c r="L49">
        <f t="shared" si="2"/>
        <v>40000</v>
      </c>
      <c r="M49">
        <f t="shared" si="3"/>
        <v>0</v>
      </c>
    </row>
    <row r="50" spans="1:13" x14ac:dyDescent="0.25">
      <c r="A50" s="11">
        <f>sales!A53</f>
        <v>46078.774247685185</v>
      </c>
      <c r="B50">
        <f>sales!B53</f>
        <v>43</v>
      </c>
      <c r="C50" t="str">
        <f>sales!C53</f>
        <v>Coca cola</v>
      </c>
      <c r="D50">
        <f>sales!D53</f>
        <v>3000</v>
      </c>
      <c r="E50" t="str">
        <f>sales!E53</f>
        <v>EFECTIVO</v>
      </c>
      <c r="F50">
        <f>sales!F53</f>
        <v>2</v>
      </c>
      <c r="G50">
        <f>sales!G53</f>
        <v>1</v>
      </c>
      <c r="H50">
        <f>sales!H53</f>
        <v>6000</v>
      </c>
      <c r="J50" s="12">
        <f t="shared" si="0"/>
        <v>46078</v>
      </c>
      <c r="K50" t="str">
        <f t="shared" si="1"/>
        <v>06:34 p. m.</v>
      </c>
      <c r="L50">
        <f t="shared" si="2"/>
        <v>6000</v>
      </c>
      <c r="M50">
        <f t="shared" si="3"/>
        <v>0</v>
      </c>
    </row>
    <row r="51" spans="1:13" x14ac:dyDescent="0.25">
      <c r="A51" s="11">
        <f>sales!A54</f>
        <v>46078.774247685185</v>
      </c>
      <c r="B51">
        <f>sales!B54</f>
        <v>43</v>
      </c>
      <c r="C51" t="str">
        <f>sales!C54</f>
        <v>Postobon</v>
      </c>
      <c r="D51">
        <f>sales!D54</f>
        <v>3000</v>
      </c>
      <c r="E51" t="str">
        <f>sales!E54</f>
        <v>EFECTIVO</v>
      </c>
      <c r="F51">
        <f>sales!F54</f>
        <v>1</v>
      </c>
      <c r="G51">
        <f>sales!G54</f>
        <v>1</v>
      </c>
      <c r="H51">
        <f>sales!H54</f>
        <v>3000</v>
      </c>
      <c r="J51" s="12">
        <f t="shared" si="0"/>
        <v>46078</v>
      </c>
      <c r="K51" t="str">
        <f t="shared" si="1"/>
        <v>06:34 p. m.</v>
      </c>
      <c r="L51">
        <f t="shared" si="2"/>
        <v>3000</v>
      </c>
      <c r="M51">
        <f t="shared" si="3"/>
        <v>0</v>
      </c>
    </row>
    <row r="52" spans="1:13" x14ac:dyDescent="0.25">
      <c r="A52" s="11">
        <f>sales!A55</f>
        <v>46078.777766203704</v>
      </c>
      <c r="B52">
        <f>sales!B55</f>
        <v>44</v>
      </c>
      <c r="C52" t="str">
        <f>sales!C55</f>
        <v>Chorizo</v>
      </c>
      <c r="D52">
        <f>sales!D55</f>
        <v>8000</v>
      </c>
      <c r="E52" t="str">
        <f>sales!E55</f>
        <v>EFECTIVO</v>
      </c>
      <c r="F52">
        <f>sales!F55</f>
        <v>3</v>
      </c>
      <c r="G52">
        <f>sales!G55</f>
        <v>1</v>
      </c>
      <c r="H52">
        <f>sales!H55</f>
        <v>24000</v>
      </c>
      <c r="J52" s="12">
        <f t="shared" si="0"/>
        <v>46078</v>
      </c>
      <c r="K52" t="str">
        <f t="shared" si="1"/>
        <v>06:39 p. m.</v>
      </c>
      <c r="L52">
        <f t="shared" si="2"/>
        <v>24000</v>
      </c>
      <c r="M52">
        <f t="shared" si="3"/>
        <v>0</v>
      </c>
    </row>
    <row r="53" spans="1:13" x14ac:dyDescent="0.25">
      <c r="A53" s="11">
        <f>sales!A56</f>
        <v>46078.799016203702</v>
      </c>
      <c r="B53">
        <f>sales!B56</f>
        <v>45</v>
      </c>
      <c r="C53" t="str">
        <f>sales!C56</f>
        <v>Chorizo</v>
      </c>
      <c r="D53">
        <f>sales!D56</f>
        <v>8000</v>
      </c>
      <c r="E53" t="str">
        <f>sales!E56</f>
        <v>NEQUI</v>
      </c>
      <c r="F53">
        <f>sales!F56</f>
        <v>1</v>
      </c>
      <c r="G53">
        <f>sales!G56</f>
        <v>1</v>
      </c>
      <c r="H53">
        <f>sales!H56</f>
        <v>8000</v>
      </c>
      <c r="J53" s="12">
        <f t="shared" si="0"/>
        <v>46078</v>
      </c>
      <c r="K53" t="str">
        <f t="shared" si="1"/>
        <v>07:10 p. m.</v>
      </c>
      <c r="L53">
        <f t="shared" si="2"/>
        <v>0</v>
      </c>
      <c r="M53">
        <f t="shared" si="3"/>
        <v>8000</v>
      </c>
    </row>
    <row r="54" spans="1:13" x14ac:dyDescent="0.25">
      <c r="A54" s="11">
        <f>sales!A57</f>
        <v>46078.800497685188</v>
      </c>
      <c r="B54">
        <f>sales!B57</f>
        <v>46</v>
      </c>
      <c r="C54" t="str">
        <f>sales!C57</f>
        <v>Chorizo</v>
      </c>
      <c r="D54">
        <f>sales!D57</f>
        <v>8000</v>
      </c>
      <c r="E54" t="str">
        <f>sales!E57</f>
        <v>EFECTIVO</v>
      </c>
      <c r="F54">
        <f>sales!F57</f>
        <v>1</v>
      </c>
      <c r="G54">
        <f>sales!G57</f>
        <v>1</v>
      </c>
      <c r="H54">
        <f>sales!H57</f>
        <v>8000</v>
      </c>
      <c r="J54" s="12">
        <f t="shared" si="0"/>
        <v>46078</v>
      </c>
      <c r="K54" t="str">
        <f t="shared" si="1"/>
        <v>07:12 p. m.</v>
      </c>
      <c r="L54">
        <f t="shared" si="2"/>
        <v>8000</v>
      </c>
      <c r="M54">
        <f t="shared" si="3"/>
        <v>0</v>
      </c>
    </row>
    <row r="55" spans="1:13" x14ac:dyDescent="0.25">
      <c r="A55" s="11">
        <f>sales!A58</f>
        <v>46078.800497685188</v>
      </c>
      <c r="B55">
        <f>sales!B58</f>
        <v>46</v>
      </c>
      <c r="C55" t="str">
        <f>sales!C58</f>
        <v>Coca cola</v>
      </c>
      <c r="D55">
        <f>sales!D58</f>
        <v>3000</v>
      </c>
      <c r="E55" t="str">
        <f>sales!E58</f>
        <v>EFECTIVO</v>
      </c>
      <c r="F55">
        <f>sales!F58</f>
        <v>1</v>
      </c>
      <c r="G55">
        <f>sales!G58</f>
        <v>1</v>
      </c>
      <c r="H55">
        <f>sales!H58</f>
        <v>3000</v>
      </c>
      <c r="J55" s="12">
        <f t="shared" si="0"/>
        <v>46078</v>
      </c>
      <c r="K55" t="str">
        <f t="shared" si="1"/>
        <v>07:12 p. m.</v>
      </c>
      <c r="L55">
        <f t="shared" si="2"/>
        <v>3000</v>
      </c>
      <c r="M55">
        <f t="shared" si="3"/>
        <v>0</v>
      </c>
    </row>
    <row r="56" spans="1:13" x14ac:dyDescent="0.25">
      <c r="A56" s="11">
        <f>sales!A59</f>
        <v>46078.806875000002</v>
      </c>
      <c r="B56">
        <f>sales!B59</f>
        <v>47</v>
      </c>
      <c r="C56" t="str">
        <f>sales!C59</f>
        <v>Chori- CRUDO</v>
      </c>
      <c r="D56">
        <f>sales!D59</f>
        <v>4500</v>
      </c>
      <c r="E56" t="str">
        <f>sales!E59</f>
        <v>NEQUI</v>
      </c>
      <c r="F56">
        <f>sales!F59</f>
        <v>5</v>
      </c>
      <c r="G56">
        <f>sales!G59</f>
        <v>1</v>
      </c>
      <c r="H56">
        <f>sales!H59</f>
        <v>22500</v>
      </c>
      <c r="J56" s="12">
        <f t="shared" si="0"/>
        <v>46078</v>
      </c>
      <c r="K56" t="str">
        <f t="shared" si="1"/>
        <v>07:21 p. m.</v>
      </c>
      <c r="L56">
        <f t="shared" si="2"/>
        <v>0</v>
      </c>
      <c r="M56">
        <f t="shared" si="3"/>
        <v>22500</v>
      </c>
    </row>
    <row r="57" spans="1:13" x14ac:dyDescent="0.25">
      <c r="A57" s="11">
        <f>sales!A60</f>
        <v>46078.81894675926</v>
      </c>
      <c r="B57">
        <f>sales!B60</f>
        <v>48</v>
      </c>
      <c r="C57" t="str">
        <f>sales!C60</f>
        <v>parri tres carnes</v>
      </c>
      <c r="D57">
        <f>sales!D60</f>
        <v>35000</v>
      </c>
      <c r="E57" t="str">
        <f>sales!E60</f>
        <v>EFECTIVO</v>
      </c>
      <c r="F57">
        <f>sales!F60</f>
        <v>1</v>
      </c>
      <c r="G57">
        <f>sales!G60</f>
        <v>1</v>
      </c>
      <c r="H57">
        <f>sales!H60</f>
        <v>35000</v>
      </c>
      <c r="J57" s="12">
        <f t="shared" si="0"/>
        <v>46078</v>
      </c>
      <c r="K57" t="str">
        <f t="shared" si="1"/>
        <v>07:39 p. m.</v>
      </c>
      <c r="L57">
        <f t="shared" si="2"/>
        <v>35000</v>
      </c>
      <c r="M57">
        <f t="shared" si="3"/>
        <v>0</v>
      </c>
    </row>
    <row r="58" spans="1:13" x14ac:dyDescent="0.25">
      <c r="A58" s="11">
        <f>sales!A61</f>
        <v>46078.81894675926</v>
      </c>
      <c r="B58">
        <f>sales!B61</f>
        <v>48</v>
      </c>
      <c r="C58" t="str">
        <f>sales!C61</f>
        <v>Postobon</v>
      </c>
      <c r="D58">
        <f>sales!D61</f>
        <v>3000</v>
      </c>
      <c r="E58" t="str">
        <f>sales!E61</f>
        <v>EFECTIVO</v>
      </c>
      <c r="F58">
        <f>sales!F61</f>
        <v>1</v>
      </c>
      <c r="G58">
        <f>sales!G61</f>
        <v>1</v>
      </c>
      <c r="H58">
        <f>sales!H61</f>
        <v>3000</v>
      </c>
      <c r="J58" s="12">
        <f t="shared" si="0"/>
        <v>46078</v>
      </c>
      <c r="K58" t="str">
        <f t="shared" si="1"/>
        <v>07:39 p. m.</v>
      </c>
      <c r="L58">
        <f t="shared" si="2"/>
        <v>3000</v>
      </c>
      <c r="M58">
        <f t="shared" si="3"/>
        <v>0</v>
      </c>
    </row>
    <row r="59" spans="1:13" x14ac:dyDescent="0.25">
      <c r="A59" s="11">
        <f>sales!A62</f>
        <v>46078.819791666669</v>
      </c>
      <c r="B59">
        <f>sales!B62</f>
        <v>49</v>
      </c>
      <c r="C59" t="str">
        <f>sales!C62</f>
        <v>Chorizo</v>
      </c>
      <c r="D59">
        <f>sales!D62</f>
        <v>8000</v>
      </c>
      <c r="E59" t="str">
        <f>sales!E62</f>
        <v>EFECTIVO</v>
      </c>
      <c r="F59">
        <f>sales!F62</f>
        <v>2</v>
      </c>
      <c r="G59">
        <f>sales!G62</f>
        <v>1</v>
      </c>
      <c r="H59">
        <f>sales!H62</f>
        <v>16000</v>
      </c>
      <c r="J59" s="12">
        <f t="shared" si="0"/>
        <v>46078</v>
      </c>
      <c r="K59" t="str">
        <f t="shared" si="1"/>
        <v>07:40 p. m.</v>
      </c>
      <c r="L59">
        <f t="shared" si="2"/>
        <v>16000</v>
      </c>
      <c r="M59">
        <f t="shared" si="3"/>
        <v>0</v>
      </c>
    </row>
    <row r="60" spans="1:13" x14ac:dyDescent="0.25">
      <c r="A60" s="11">
        <f>sales!A63</f>
        <v>46078.83253472222</v>
      </c>
      <c r="B60">
        <f>sales!B63</f>
        <v>50</v>
      </c>
      <c r="C60" t="str">
        <f>sales!C63</f>
        <v>Chorizo</v>
      </c>
      <c r="D60">
        <f>sales!D63</f>
        <v>8000</v>
      </c>
      <c r="E60" t="str">
        <f>sales!E63</f>
        <v>EFECTIVO</v>
      </c>
      <c r="F60">
        <f>sales!F63</f>
        <v>2</v>
      </c>
      <c r="G60">
        <f>sales!G63</f>
        <v>1</v>
      </c>
      <c r="H60">
        <f>sales!H63</f>
        <v>16000</v>
      </c>
      <c r="J60" s="12">
        <f t="shared" si="0"/>
        <v>46078</v>
      </c>
      <c r="K60" t="str">
        <f t="shared" si="1"/>
        <v>07:58 p. m.</v>
      </c>
      <c r="L60">
        <f t="shared" si="2"/>
        <v>16000</v>
      </c>
      <c r="M60">
        <f t="shared" si="3"/>
        <v>0</v>
      </c>
    </row>
    <row r="61" spans="1:13" x14ac:dyDescent="0.25">
      <c r="A61" s="11">
        <f>sales!A64</f>
        <v>46078.838090277779</v>
      </c>
      <c r="B61">
        <f>sales!B64</f>
        <v>51</v>
      </c>
      <c r="C61" t="str">
        <f>sales!C64</f>
        <v>Chorizo</v>
      </c>
      <c r="D61">
        <f>sales!D64</f>
        <v>8000</v>
      </c>
      <c r="E61" t="str">
        <f>sales!E64</f>
        <v>EFECTIVO</v>
      </c>
      <c r="F61">
        <f>sales!F64</f>
        <v>4</v>
      </c>
      <c r="G61">
        <f>sales!G64</f>
        <v>1</v>
      </c>
      <c r="H61">
        <f>sales!H64</f>
        <v>32000</v>
      </c>
      <c r="J61" s="12">
        <f t="shared" si="0"/>
        <v>46078</v>
      </c>
      <c r="K61" t="str">
        <f t="shared" si="1"/>
        <v>08:06 p. m.</v>
      </c>
      <c r="L61">
        <f t="shared" si="2"/>
        <v>32000</v>
      </c>
      <c r="M61">
        <f t="shared" si="3"/>
        <v>0</v>
      </c>
    </row>
    <row r="62" spans="1:13" x14ac:dyDescent="0.25">
      <c r="A62" s="11">
        <f>sales!A65</f>
        <v>46078.841678240744</v>
      </c>
      <c r="B62">
        <f>sales!B65</f>
        <v>52</v>
      </c>
      <c r="C62" t="str">
        <f>sales!C65</f>
        <v>Chorizo</v>
      </c>
      <c r="D62">
        <f>sales!D65</f>
        <v>8000</v>
      </c>
      <c r="E62" t="str">
        <f>sales!E65</f>
        <v>NEQUI</v>
      </c>
      <c r="F62">
        <f>sales!F65</f>
        <v>1</v>
      </c>
      <c r="G62">
        <f>sales!G65</f>
        <v>1</v>
      </c>
      <c r="H62">
        <f>sales!H65</f>
        <v>8000</v>
      </c>
      <c r="J62" s="12">
        <f t="shared" si="0"/>
        <v>46078</v>
      </c>
      <c r="K62" t="str">
        <f t="shared" si="1"/>
        <v>08:12 p. m.</v>
      </c>
      <c r="L62">
        <f t="shared" si="2"/>
        <v>0</v>
      </c>
      <c r="M62">
        <f t="shared" si="3"/>
        <v>8000</v>
      </c>
    </row>
    <row r="63" spans="1:13" x14ac:dyDescent="0.25">
      <c r="A63" s="11">
        <f>sales!A66</f>
        <v>46078.848043981481</v>
      </c>
      <c r="B63">
        <f>sales!B66</f>
        <v>53</v>
      </c>
      <c r="C63" t="str">
        <f>sales!C66</f>
        <v>Chorizo</v>
      </c>
      <c r="D63">
        <f>sales!D66</f>
        <v>8000</v>
      </c>
      <c r="E63" t="str">
        <f>sales!E66</f>
        <v>EFECTIVO</v>
      </c>
      <c r="F63">
        <f>sales!F66</f>
        <v>2</v>
      </c>
      <c r="G63">
        <f>sales!G66</f>
        <v>1</v>
      </c>
      <c r="H63">
        <f>sales!H66</f>
        <v>16000</v>
      </c>
      <c r="J63" s="12">
        <f t="shared" si="0"/>
        <v>46078</v>
      </c>
      <c r="K63" t="str">
        <f t="shared" si="1"/>
        <v>08:21 p. m.</v>
      </c>
      <c r="L63">
        <f t="shared" si="2"/>
        <v>16000</v>
      </c>
      <c r="M63">
        <f t="shared" si="3"/>
        <v>0</v>
      </c>
    </row>
    <row r="64" spans="1:13" x14ac:dyDescent="0.25">
      <c r="A64" s="11">
        <f>sales!A67</f>
        <v>46079.557025462964</v>
      </c>
      <c r="B64">
        <f>sales!B67</f>
        <v>54</v>
      </c>
      <c r="C64" t="str">
        <f>sales!C67</f>
        <v>Chori- CRUDO</v>
      </c>
      <c r="D64">
        <f>sales!D67</f>
        <v>4500</v>
      </c>
      <c r="E64" t="str">
        <f>sales!E67</f>
        <v>EFECTIVO</v>
      </c>
      <c r="F64">
        <f>sales!F67</f>
        <v>2</v>
      </c>
      <c r="G64">
        <f>sales!G67</f>
        <v>1</v>
      </c>
      <c r="H64">
        <f>sales!H67</f>
        <v>9000</v>
      </c>
      <c r="J64" s="12">
        <f t="shared" si="0"/>
        <v>46079</v>
      </c>
      <c r="K64" t="str">
        <f t="shared" si="1"/>
        <v>01:22 p. m.</v>
      </c>
      <c r="L64">
        <f t="shared" si="2"/>
        <v>9000</v>
      </c>
      <c r="M64">
        <f t="shared" si="3"/>
        <v>0</v>
      </c>
    </row>
    <row r="65" spans="1:13" x14ac:dyDescent="0.25">
      <c r="A65" s="11">
        <f>sales!A68</f>
        <v>46079.560671296298</v>
      </c>
      <c r="B65">
        <f>sales!B68</f>
        <v>55</v>
      </c>
      <c r="C65" t="str">
        <f>sales!C68</f>
        <v>Chorizo</v>
      </c>
      <c r="D65">
        <f>sales!D68</f>
        <v>8000</v>
      </c>
      <c r="E65" t="str">
        <f>sales!E68</f>
        <v>EFECTIVO</v>
      </c>
      <c r="F65">
        <f>sales!F68</f>
        <v>2</v>
      </c>
      <c r="G65">
        <f>sales!G68</f>
        <v>1</v>
      </c>
      <c r="H65">
        <f>sales!H68</f>
        <v>16000</v>
      </c>
      <c r="J65" s="12">
        <f t="shared" si="0"/>
        <v>46079</v>
      </c>
      <c r="K65" t="str">
        <f t="shared" si="1"/>
        <v>01:27 p. m.</v>
      </c>
      <c r="L65">
        <f t="shared" si="2"/>
        <v>16000</v>
      </c>
      <c r="M65">
        <f t="shared" si="3"/>
        <v>0</v>
      </c>
    </row>
    <row r="66" spans="1:13" x14ac:dyDescent="0.25">
      <c r="A66" s="11">
        <f>sales!A69</f>
        <v>46079.634108796294</v>
      </c>
      <c r="B66">
        <f>sales!B69</f>
        <v>56</v>
      </c>
      <c r="C66" t="str">
        <f>sales!C69</f>
        <v>carne + chorizo</v>
      </c>
      <c r="D66">
        <f>sales!D69</f>
        <v>25000</v>
      </c>
      <c r="E66" t="str">
        <f>sales!E69</f>
        <v>NEQUI</v>
      </c>
      <c r="F66">
        <f>sales!F69</f>
        <v>1</v>
      </c>
      <c r="G66">
        <f>sales!G69</f>
        <v>1</v>
      </c>
      <c r="H66">
        <f>sales!H69</f>
        <v>25000</v>
      </c>
      <c r="J66" s="12">
        <f t="shared" ref="J66:J120" si="4">+DATE(YEAR(A66),MONTH(A66),DAY(A66))</f>
        <v>46079</v>
      </c>
      <c r="K66" t="str">
        <f t="shared" ref="K66:K120" si="5">TEXT(A66,"hh:mm AM/PM")</f>
        <v>03:13 p. m.</v>
      </c>
      <c r="L66">
        <f t="shared" si="2"/>
        <v>0</v>
      </c>
      <c r="M66">
        <f t="shared" si="3"/>
        <v>25000</v>
      </c>
    </row>
    <row r="67" spans="1:13" x14ac:dyDescent="0.25">
      <c r="A67" s="11">
        <f>sales!A70</f>
        <v>46079.72755787037</v>
      </c>
      <c r="B67">
        <f>sales!B70</f>
        <v>57</v>
      </c>
      <c r="C67" t="str">
        <f>sales!C70</f>
        <v>Chorizo</v>
      </c>
      <c r="D67">
        <f>sales!D70</f>
        <v>8000</v>
      </c>
      <c r="E67" t="str">
        <f>sales!E70</f>
        <v>NEQUI</v>
      </c>
      <c r="F67">
        <f>sales!F70</f>
        <v>5</v>
      </c>
      <c r="G67">
        <f>sales!G70</f>
        <v>1</v>
      </c>
      <c r="H67">
        <f>sales!H70</f>
        <v>40000</v>
      </c>
      <c r="J67" s="12">
        <f t="shared" si="4"/>
        <v>46079</v>
      </c>
      <c r="K67" t="str">
        <f t="shared" si="5"/>
        <v>05:27 p. m.</v>
      </c>
      <c r="L67">
        <f t="shared" ref="L67:L121" si="6">+IF(E67="EFECTIVO",H67,0)</f>
        <v>0</v>
      </c>
      <c r="M67">
        <f t="shared" ref="M67:M121" si="7">+IF(OR(E67="NEQUI",E67="DAVIPLATA"),H67,0)</f>
        <v>40000</v>
      </c>
    </row>
    <row r="68" spans="1:13" x14ac:dyDescent="0.25">
      <c r="A68" s="11">
        <f>sales!A71</f>
        <v>46079.72755787037</v>
      </c>
      <c r="B68">
        <f>sales!B71</f>
        <v>57</v>
      </c>
      <c r="C68" t="str">
        <f>sales!C71</f>
        <v>Postobon</v>
      </c>
      <c r="D68">
        <f>sales!D71</f>
        <v>3000</v>
      </c>
      <c r="E68" t="str">
        <f>sales!E71</f>
        <v>NEQUI</v>
      </c>
      <c r="F68">
        <f>sales!F71</f>
        <v>3</v>
      </c>
      <c r="G68">
        <f>sales!G71</f>
        <v>1</v>
      </c>
      <c r="H68">
        <f>sales!H71</f>
        <v>9000</v>
      </c>
      <c r="J68" s="12">
        <f t="shared" si="4"/>
        <v>46079</v>
      </c>
      <c r="K68" t="str">
        <f t="shared" si="5"/>
        <v>05:27 p. m.</v>
      </c>
      <c r="L68">
        <f t="shared" si="6"/>
        <v>0</v>
      </c>
      <c r="M68">
        <f t="shared" si="7"/>
        <v>9000</v>
      </c>
    </row>
    <row r="69" spans="1:13" x14ac:dyDescent="0.25">
      <c r="A69" s="11">
        <f>sales!A72</f>
        <v>46079.752893518518</v>
      </c>
      <c r="B69">
        <f>sales!B72</f>
        <v>58</v>
      </c>
      <c r="C69" t="str">
        <f>sales!C72</f>
        <v>Chorizo</v>
      </c>
      <c r="D69">
        <f>sales!D72</f>
        <v>8000</v>
      </c>
      <c r="E69" t="str">
        <f>sales!E72</f>
        <v>EFECTIVO</v>
      </c>
      <c r="F69">
        <f>sales!F72</f>
        <v>1</v>
      </c>
      <c r="G69">
        <f>sales!G72</f>
        <v>1</v>
      </c>
      <c r="H69">
        <f>sales!H72</f>
        <v>8000</v>
      </c>
      <c r="J69" s="12">
        <f t="shared" si="4"/>
        <v>46079</v>
      </c>
      <c r="K69" t="str">
        <f t="shared" si="5"/>
        <v>06:04 p. m.</v>
      </c>
      <c r="L69">
        <f t="shared" si="6"/>
        <v>8000</v>
      </c>
      <c r="M69">
        <f t="shared" si="7"/>
        <v>0</v>
      </c>
    </row>
    <row r="70" spans="1:13" x14ac:dyDescent="0.25">
      <c r="A70" s="11">
        <f>sales!A73</f>
        <v>46079.763055555559</v>
      </c>
      <c r="B70">
        <f>sales!B73</f>
        <v>59</v>
      </c>
      <c r="C70" t="str">
        <f>sales!C73</f>
        <v>Chorizo</v>
      </c>
      <c r="D70">
        <f>sales!D73</f>
        <v>8000</v>
      </c>
      <c r="E70" t="str">
        <f>sales!E73</f>
        <v>NEQUI</v>
      </c>
      <c r="F70">
        <f>sales!F73</f>
        <v>1</v>
      </c>
      <c r="G70">
        <f>sales!G73</f>
        <v>1</v>
      </c>
      <c r="H70">
        <f>sales!H73</f>
        <v>8000</v>
      </c>
      <c r="J70" s="12">
        <f t="shared" si="4"/>
        <v>46079</v>
      </c>
      <c r="K70" t="str">
        <f t="shared" si="5"/>
        <v>06:18 p. m.</v>
      </c>
      <c r="L70">
        <f t="shared" si="6"/>
        <v>0</v>
      </c>
      <c r="M70">
        <f t="shared" si="7"/>
        <v>8000</v>
      </c>
    </row>
    <row r="71" spans="1:13" x14ac:dyDescent="0.25">
      <c r="A71" s="11">
        <f>sales!A74</f>
        <v>46079.764050925929</v>
      </c>
      <c r="B71">
        <f>sales!B74</f>
        <v>60</v>
      </c>
      <c r="C71" t="str">
        <f>sales!C74</f>
        <v>Chorizo</v>
      </c>
      <c r="D71">
        <f>sales!D74</f>
        <v>8000</v>
      </c>
      <c r="E71" t="str">
        <f>sales!E74</f>
        <v>EFECTIVO</v>
      </c>
      <c r="F71">
        <f>sales!F74</f>
        <v>1</v>
      </c>
      <c r="G71">
        <f>sales!G74</f>
        <v>1</v>
      </c>
      <c r="H71">
        <f>sales!H74</f>
        <v>8000</v>
      </c>
      <c r="J71" s="12">
        <f t="shared" si="4"/>
        <v>46079</v>
      </c>
      <c r="K71" t="str">
        <f t="shared" si="5"/>
        <v>06:20 p. m.</v>
      </c>
      <c r="L71">
        <f t="shared" si="6"/>
        <v>8000</v>
      </c>
      <c r="M71">
        <f t="shared" si="7"/>
        <v>0</v>
      </c>
    </row>
    <row r="72" spans="1:13" x14ac:dyDescent="0.25">
      <c r="A72" s="11">
        <f>sales!A75</f>
        <v>46079.773599537039</v>
      </c>
      <c r="B72">
        <f>sales!B75</f>
        <v>61</v>
      </c>
      <c r="C72" t="str">
        <f>sales!C75</f>
        <v>Chorizo</v>
      </c>
      <c r="D72">
        <f>sales!D75</f>
        <v>8000</v>
      </c>
      <c r="E72" t="str">
        <f>sales!E75</f>
        <v>NEQUI</v>
      </c>
      <c r="F72">
        <f>sales!F75</f>
        <v>1</v>
      </c>
      <c r="G72">
        <f>sales!G75</f>
        <v>1</v>
      </c>
      <c r="H72">
        <f>sales!H75</f>
        <v>8000</v>
      </c>
      <c r="J72" s="12">
        <f t="shared" si="4"/>
        <v>46079</v>
      </c>
      <c r="K72" t="str">
        <f t="shared" si="5"/>
        <v>06:33 p. m.</v>
      </c>
      <c r="L72">
        <f t="shared" si="6"/>
        <v>0</v>
      </c>
      <c r="M72">
        <f t="shared" si="7"/>
        <v>8000</v>
      </c>
    </row>
    <row r="73" spans="1:13" x14ac:dyDescent="0.25">
      <c r="A73" s="11">
        <f>sales!A76</f>
        <v>46079.794652777775</v>
      </c>
      <c r="B73">
        <f>sales!B76</f>
        <v>62</v>
      </c>
      <c r="C73" t="str">
        <f>sales!C76</f>
        <v>Chorizo</v>
      </c>
      <c r="D73">
        <f>sales!D76</f>
        <v>8000</v>
      </c>
      <c r="E73" t="str">
        <f>sales!E76</f>
        <v>EFECTIVO</v>
      </c>
      <c r="F73">
        <f>sales!F76</f>
        <v>2</v>
      </c>
      <c r="G73">
        <f>sales!G76</f>
        <v>1</v>
      </c>
      <c r="H73">
        <f>sales!H76</f>
        <v>16000</v>
      </c>
      <c r="J73" s="12">
        <f t="shared" si="4"/>
        <v>46079</v>
      </c>
      <c r="K73" t="str">
        <f t="shared" si="5"/>
        <v>07:04 p. m.</v>
      </c>
      <c r="L73">
        <f t="shared" si="6"/>
        <v>16000</v>
      </c>
      <c r="M73">
        <f t="shared" si="7"/>
        <v>0</v>
      </c>
    </row>
    <row r="74" spans="1:13" x14ac:dyDescent="0.25">
      <c r="A74" s="11">
        <f>sales!A77</f>
        <v>46079.812418981484</v>
      </c>
      <c r="B74">
        <f>sales!B77</f>
        <v>63</v>
      </c>
      <c r="C74" t="str">
        <f>sales!C77</f>
        <v>Chorizo</v>
      </c>
      <c r="D74">
        <f>sales!D77</f>
        <v>8000</v>
      </c>
      <c r="E74" t="str">
        <f>sales!E77</f>
        <v>NEQUI</v>
      </c>
      <c r="F74">
        <f>sales!F77</f>
        <v>2</v>
      </c>
      <c r="G74">
        <f>sales!G77</f>
        <v>1</v>
      </c>
      <c r="H74">
        <f>sales!H77</f>
        <v>16000</v>
      </c>
      <c r="J74" s="12">
        <f t="shared" si="4"/>
        <v>46079</v>
      </c>
      <c r="K74" t="str">
        <f t="shared" si="5"/>
        <v>07:29 p. m.</v>
      </c>
      <c r="L74">
        <f t="shared" si="6"/>
        <v>0</v>
      </c>
      <c r="M74">
        <f t="shared" si="7"/>
        <v>16000</v>
      </c>
    </row>
    <row r="75" spans="1:13" x14ac:dyDescent="0.25">
      <c r="A75" s="11">
        <f>sales!A78</f>
        <v>46079.812418981484</v>
      </c>
      <c r="B75">
        <f>sales!B78</f>
        <v>63</v>
      </c>
      <c r="C75" t="str">
        <f>sales!C78</f>
        <v>Coca cola</v>
      </c>
      <c r="D75">
        <f>sales!D78</f>
        <v>3000</v>
      </c>
      <c r="E75" t="str">
        <f>sales!E78</f>
        <v>NEQUI</v>
      </c>
      <c r="F75">
        <f>sales!F78</f>
        <v>1</v>
      </c>
      <c r="G75">
        <f>sales!G78</f>
        <v>1</v>
      </c>
      <c r="H75">
        <f>sales!H78</f>
        <v>3000</v>
      </c>
      <c r="J75" s="12">
        <f t="shared" si="4"/>
        <v>46079</v>
      </c>
      <c r="K75" t="str">
        <f t="shared" si="5"/>
        <v>07:29 p. m.</v>
      </c>
      <c r="L75">
        <f t="shared" si="6"/>
        <v>0</v>
      </c>
      <c r="M75">
        <f t="shared" si="7"/>
        <v>3000</v>
      </c>
    </row>
    <row r="76" spans="1:13" x14ac:dyDescent="0.25">
      <c r="A76" s="11">
        <f>sales!A79</f>
        <v>46079.81355324074</v>
      </c>
      <c r="B76">
        <f>sales!B79</f>
        <v>64</v>
      </c>
      <c r="C76" t="str">
        <f>sales!C79</f>
        <v>Chorizo</v>
      </c>
      <c r="D76">
        <f>sales!D79</f>
        <v>8000</v>
      </c>
      <c r="E76" t="str">
        <f>sales!E79</f>
        <v>EFECTIVO</v>
      </c>
      <c r="F76">
        <f>sales!F79</f>
        <v>1</v>
      </c>
      <c r="G76">
        <f>sales!G79</f>
        <v>1</v>
      </c>
      <c r="H76">
        <f>sales!H79</f>
        <v>8000</v>
      </c>
      <c r="J76" s="12">
        <f t="shared" si="4"/>
        <v>46079</v>
      </c>
      <c r="K76" t="str">
        <f t="shared" si="5"/>
        <v>07:31 p. m.</v>
      </c>
      <c r="L76">
        <f t="shared" si="6"/>
        <v>8000</v>
      </c>
      <c r="M76">
        <f t="shared" si="7"/>
        <v>0</v>
      </c>
    </row>
    <row r="77" spans="1:13" x14ac:dyDescent="0.25">
      <c r="A77" s="11">
        <f>sales!A80</f>
        <v>46079.814722222225</v>
      </c>
      <c r="B77">
        <f>sales!B80</f>
        <v>65</v>
      </c>
      <c r="C77" t="str">
        <f>sales!C80</f>
        <v>Chorizo</v>
      </c>
      <c r="D77">
        <f>sales!D80</f>
        <v>8000</v>
      </c>
      <c r="E77" t="str">
        <f>sales!E80</f>
        <v>EFECTIVO</v>
      </c>
      <c r="F77">
        <f>sales!F80</f>
        <v>1</v>
      </c>
      <c r="G77">
        <f>sales!G80</f>
        <v>1</v>
      </c>
      <c r="H77">
        <f>sales!H80</f>
        <v>8000</v>
      </c>
      <c r="J77" s="12">
        <f t="shared" si="4"/>
        <v>46079</v>
      </c>
      <c r="K77" t="str">
        <f t="shared" si="5"/>
        <v>07:33 p. m.</v>
      </c>
      <c r="L77">
        <f t="shared" si="6"/>
        <v>8000</v>
      </c>
      <c r="M77">
        <f t="shared" si="7"/>
        <v>0</v>
      </c>
    </row>
    <row r="78" spans="1:13" x14ac:dyDescent="0.25">
      <c r="A78" s="11">
        <f>sales!A81</f>
        <v>46079.84375</v>
      </c>
      <c r="B78">
        <f>sales!B81</f>
        <v>66</v>
      </c>
      <c r="C78" t="str">
        <f>sales!C81</f>
        <v>Chorizo</v>
      </c>
      <c r="D78">
        <f>sales!D81</f>
        <v>8000</v>
      </c>
      <c r="E78" t="str">
        <f>sales!E81</f>
        <v>EFECTIVO</v>
      </c>
      <c r="F78">
        <f>sales!F81</f>
        <v>1</v>
      </c>
      <c r="G78">
        <f>sales!G81</f>
        <v>1</v>
      </c>
      <c r="H78">
        <f>sales!H81</f>
        <v>8000</v>
      </c>
      <c r="J78" s="12">
        <f t="shared" si="4"/>
        <v>46079</v>
      </c>
      <c r="K78" t="str">
        <f t="shared" si="5"/>
        <v>08:15 p. m.</v>
      </c>
      <c r="L78">
        <f t="shared" si="6"/>
        <v>8000</v>
      </c>
      <c r="M78">
        <f t="shared" si="7"/>
        <v>0</v>
      </c>
    </row>
    <row r="79" spans="1:13" x14ac:dyDescent="0.25">
      <c r="A79" s="11">
        <f>sales!A82</f>
        <v>46079.84375</v>
      </c>
      <c r="B79">
        <f>sales!B82</f>
        <v>66</v>
      </c>
      <c r="C79" t="str">
        <f>sales!C82</f>
        <v>Postobon</v>
      </c>
      <c r="D79">
        <f>sales!D82</f>
        <v>3000</v>
      </c>
      <c r="E79" t="str">
        <f>sales!E82</f>
        <v>EFECTIVO</v>
      </c>
      <c r="F79">
        <f>sales!F82</f>
        <v>1</v>
      </c>
      <c r="G79">
        <f>sales!G82</f>
        <v>1</v>
      </c>
      <c r="H79">
        <f>sales!H82</f>
        <v>3000</v>
      </c>
      <c r="J79" s="12">
        <f t="shared" si="4"/>
        <v>46079</v>
      </c>
      <c r="K79" t="str">
        <f t="shared" si="5"/>
        <v>08:15 p. m.</v>
      </c>
      <c r="L79">
        <f t="shared" si="6"/>
        <v>3000</v>
      </c>
      <c r="M79">
        <f t="shared" si="7"/>
        <v>0</v>
      </c>
    </row>
    <row r="80" spans="1:13" x14ac:dyDescent="0.25">
      <c r="A80" s="11">
        <f>sales!A83</f>
        <v>46079.843946759262</v>
      </c>
      <c r="B80">
        <f>sales!B83</f>
        <v>67</v>
      </c>
      <c r="C80" t="str">
        <f>sales!C83</f>
        <v>Chorizo</v>
      </c>
      <c r="D80">
        <f>sales!D83</f>
        <v>8000</v>
      </c>
      <c r="E80" t="str">
        <f>sales!E83</f>
        <v>NEQUI</v>
      </c>
      <c r="F80">
        <f>sales!F83</f>
        <v>1</v>
      </c>
      <c r="G80">
        <f>sales!G83</f>
        <v>1</v>
      </c>
      <c r="H80">
        <f>sales!H83</f>
        <v>8000</v>
      </c>
      <c r="J80" s="12">
        <f t="shared" si="4"/>
        <v>46079</v>
      </c>
      <c r="K80" t="str">
        <f t="shared" si="5"/>
        <v>08:15 p. m.</v>
      </c>
      <c r="L80">
        <f t="shared" si="6"/>
        <v>0</v>
      </c>
      <c r="M80">
        <f t="shared" si="7"/>
        <v>8000</v>
      </c>
    </row>
    <row r="81" spans="1:13" x14ac:dyDescent="0.25">
      <c r="A81" s="11">
        <f>sales!A84</f>
        <v>46079.844108796293</v>
      </c>
      <c r="B81">
        <f>sales!B84</f>
        <v>68</v>
      </c>
      <c r="C81" t="str">
        <f>sales!C84</f>
        <v>Chorizo</v>
      </c>
      <c r="D81">
        <f>sales!D84</f>
        <v>8000</v>
      </c>
      <c r="E81" t="str">
        <f>sales!E84</f>
        <v>NEQUI</v>
      </c>
      <c r="F81">
        <f>sales!F84</f>
        <v>1</v>
      </c>
      <c r="G81">
        <f>sales!G84</f>
        <v>1</v>
      </c>
      <c r="H81">
        <f>sales!H84</f>
        <v>8000</v>
      </c>
      <c r="J81" s="12">
        <f t="shared" si="4"/>
        <v>46079</v>
      </c>
      <c r="K81" t="str">
        <f t="shared" si="5"/>
        <v>08:15 p. m.</v>
      </c>
      <c r="L81">
        <f t="shared" si="6"/>
        <v>0</v>
      </c>
      <c r="M81">
        <f t="shared" si="7"/>
        <v>8000</v>
      </c>
    </row>
    <row r="82" spans="1:13" x14ac:dyDescent="0.25">
      <c r="A82" s="11">
        <f>sales!A85</f>
        <v>46080.630173611113</v>
      </c>
      <c r="B82">
        <f>sales!B85</f>
        <v>69</v>
      </c>
      <c r="C82" t="str">
        <f>sales!C85</f>
        <v>Chorizo</v>
      </c>
      <c r="D82">
        <f>sales!D85</f>
        <v>8000</v>
      </c>
      <c r="E82" t="str">
        <f>sales!E85</f>
        <v>NEQUI</v>
      </c>
      <c r="F82">
        <f>sales!F85</f>
        <v>1</v>
      </c>
      <c r="G82">
        <f>sales!G85</f>
        <v>1</v>
      </c>
      <c r="H82">
        <f>sales!H85</f>
        <v>8000</v>
      </c>
      <c r="J82" s="12">
        <f t="shared" si="4"/>
        <v>46080</v>
      </c>
      <c r="K82" t="str">
        <f t="shared" si="5"/>
        <v>03:07 p. m.</v>
      </c>
      <c r="L82">
        <f t="shared" si="6"/>
        <v>0</v>
      </c>
      <c r="M82">
        <f t="shared" si="7"/>
        <v>8000</v>
      </c>
    </row>
    <row r="83" spans="1:13" x14ac:dyDescent="0.25">
      <c r="A83" s="11">
        <f>sales!A86</f>
        <v>46080.630173611113</v>
      </c>
      <c r="B83">
        <f>sales!B86</f>
        <v>69</v>
      </c>
      <c r="C83" t="str">
        <f>sales!C86</f>
        <v>Postobon</v>
      </c>
      <c r="D83">
        <f>sales!D86</f>
        <v>3000</v>
      </c>
      <c r="E83" t="str">
        <f>sales!E86</f>
        <v>NEQUI</v>
      </c>
      <c r="F83">
        <f>sales!F86</f>
        <v>1</v>
      </c>
      <c r="G83">
        <f>sales!G86</f>
        <v>1</v>
      </c>
      <c r="H83">
        <f>sales!H86</f>
        <v>3000</v>
      </c>
      <c r="J83" s="12">
        <f t="shared" si="4"/>
        <v>46080</v>
      </c>
      <c r="K83" t="str">
        <f t="shared" si="5"/>
        <v>03:07 p. m.</v>
      </c>
      <c r="L83">
        <f t="shared" si="6"/>
        <v>0</v>
      </c>
      <c r="M83">
        <f t="shared" si="7"/>
        <v>3000</v>
      </c>
    </row>
    <row r="84" spans="1:13" x14ac:dyDescent="0.25">
      <c r="A84" s="11">
        <f>sales!A87</f>
        <v>46080.631249999999</v>
      </c>
      <c r="B84">
        <f>sales!B87</f>
        <v>70</v>
      </c>
      <c r="C84" t="str">
        <f>sales!C87</f>
        <v>Chorizo</v>
      </c>
      <c r="D84">
        <f>sales!D87</f>
        <v>8000</v>
      </c>
      <c r="E84" t="str">
        <f>sales!E87</f>
        <v>EFECTIVO</v>
      </c>
      <c r="F84">
        <f>sales!F87</f>
        <v>1</v>
      </c>
      <c r="G84">
        <f>sales!G87</f>
        <v>1</v>
      </c>
      <c r="H84">
        <f>sales!H87</f>
        <v>8000</v>
      </c>
      <c r="J84" s="12">
        <f t="shared" si="4"/>
        <v>46080</v>
      </c>
      <c r="K84" t="str">
        <f t="shared" si="5"/>
        <v>03:09 p. m.</v>
      </c>
      <c r="L84">
        <f t="shared" si="6"/>
        <v>8000</v>
      </c>
      <c r="M84">
        <f t="shared" si="7"/>
        <v>0</v>
      </c>
    </row>
    <row r="85" spans="1:13" x14ac:dyDescent="0.25">
      <c r="A85" s="11">
        <f>sales!A88</f>
        <v>46080.715798611112</v>
      </c>
      <c r="B85">
        <f>sales!B88</f>
        <v>71</v>
      </c>
      <c r="C85" t="str">
        <f>sales!C88</f>
        <v>Chorizo</v>
      </c>
      <c r="D85">
        <f>sales!D88</f>
        <v>8000</v>
      </c>
      <c r="E85" t="str">
        <f>sales!E88</f>
        <v>EFECTIVO</v>
      </c>
      <c r="F85">
        <f>sales!F88</f>
        <v>1</v>
      </c>
      <c r="G85">
        <f>sales!G88</f>
        <v>1</v>
      </c>
      <c r="H85">
        <f>sales!H88</f>
        <v>8000</v>
      </c>
      <c r="J85" s="12">
        <f t="shared" si="4"/>
        <v>46080</v>
      </c>
      <c r="K85" t="str">
        <f t="shared" si="5"/>
        <v>05:10 p. m.</v>
      </c>
      <c r="L85">
        <f t="shared" si="6"/>
        <v>8000</v>
      </c>
      <c r="M85">
        <f t="shared" si="7"/>
        <v>0</v>
      </c>
    </row>
    <row r="86" spans="1:13" x14ac:dyDescent="0.25">
      <c r="A86" s="11">
        <f>sales!A89</f>
        <v>46080.715798611112</v>
      </c>
      <c r="B86">
        <f>sales!B89</f>
        <v>71</v>
      </c>
      <c r="C86" t="str">
        <f>sales!C89</f>
        <v>parri tres carnes</v>
      </c>
      <c r="D86">
        <f>sales!D89</f>
        <v>35000</v>
      </c>
      <c r="E86" t="str">
        <f>sales!E89</f>
        <v>EFECTIVO</v>
      </c>
      <c r="F86">
        <f>sales!F89</f>
        <v>1</v>
      </c>
      <c r="G86">
        <f>sales!G89</f>
        <v>1</v>
      </c>
      <c r="H86">
        <f>sales!H89</f>
        <v>35000</v>
      </c>
      <c r="J86" s="12">
        <f t="shared" si="4"/>
        <v>46080</v>
      </c>
      <c r="K86" t="str">
        <f t="shared" si="5"/>
        <v>05:10 p. m.</v>
      </c>
      <c r="L86">
        <f t="shared" si="6"/>
        <v>35000</v>
      </c>
      <c r="M86">
        <f t="shared" si="7"/>
        <v>0</v>
      </c>
    </row>
    <row r="87" spans="1:13" x14ac:dyDescent="0.25">
      <c r="A87" s="11">
        <f>sales!A90</f>
        <v>46080.715798611112</v>
      </c>
      <c r="B87">
        <f>sales!B90</f>
        <v>71</v>
      </c>
      <c r="C87" t="str">
        <f>sales!C90</f>
        <v>tinto</v>
      </c>
      <c r="D87">
        <f>sales!D90</f>
        <v>2000</v>
      </c>
      <c r="E87" t="str">
        <f>sales!E90</f>
        <v>EFECTIVO</v>
      </c>
      <c r="F87">
        <f>sales!F90</f>
        <v>1</v>
      </c>
      <c r="G87">
        <f>sales!G90</f>
        <v>1</v>
      </c>
      <c r="H87">
        <f>sales!H90</f>
        <v>2000</v>
      </c>
      <c r="J87" s="12">
        <f t="shared" si="4"/>
        <v>46080</v>
      </c>
      <c r="K87" t="str">
        <f t="shared" si="5"/>
        <v>05:10 p. m.</v>
      </c>
      <c r="L87">
        <f t="shared" si="6"/>
        <v>2000</v>
      </c>
      <c r="M87">
        <f t="shared" si="7"/>
        <v>0</v>
      </c>
    </row>
    <row r="88" spans="1:13" x14ac:dyDescent="0.25">
      <c r="A88" s="11">
        <f>sales!A91</f>
        <v>46080.725428240738</v>
      </c>
      <c r="B88">
        <f>sales!B91</f>
        <v>72</v>
      </c>
      <c r="C88" t="str">
        <f>sales!C91</f>
        <v>Chorizo</v>
      </c>
      <c r="D88">
        <f>sales!D91</f>
        <v>8000</v>
      </c>
      <c r="E88" t="str">
        <f>sales!E91</f>
        <v>EFECTIVO</v>
      </c>
      <c r="F88">
        <f>sales!F91</f>
        <v>3</v>
      </c>
      <c r="G88">
        <f>sales!G91</f>
        <v>1</v>
      </c>
      <c r="H88">
        <f>sales!H91</f>
        <v>24000</v>
      </c>
      <c r="J88" s="12">
        <f t="shared" si="4"/>
        <v>46080</v>
      </c>
      <c r="K88" t="str">
        <f t="shared" si="5"/>
        <v>05:24 p. m.</v>
      </c>
      <c r="L88">
        <f t="shared" si="6"/>
        <v>24000</v>
      </c>
      <c r="M88">
        <f t="shared" si="7"/>
        <v>0</v>
      </c>
    </row>
    <row r="89" spans="1:13" x14ac:dyDescent="0.25">
      <c r="A89" s="11">
        <f>sales!A92</f>
        <v>46080.725428240738</v>
      </c>
      <c r="B89">
        <f>sales!B92</f>
        <v>72</v>
      </c>
      <c r="C89" t="str">
        <f>sales!C92</f>
        <v>Coca cola</v>
      </c>
      <c r="D89">
        <f>sales!D92</f>
        <v>3000</v>
      </c>
      <c r="E89" t="str">
        <f>sales!E92</f>
        <v>EFECTIVO</v>
      </c>
      <c r="F89">
        <f>sales!F92</f>
        <v>2</v>
      </c>
      <c r="G89">
        <f>sales!G92</f>
        <v>1</v>
      </c>
      <c r="H89">
        <f>sales!H92</f>
        <v>6000</v>
      </c>
      <c r="J89" s="12">
        <f t="shared" si="4"/>
        <v>46080</v>
      </c>
      <c r="K89" t="str">
        <f t="shared" si="5"/>
        <v>05:24 p. m.</v>
      </c>
      <c r="L89">
        <f t="shared" si="6"/>
        <v>6000</v>
      </c>
      <c r="M89">
        <f t="shared" si="7"/>
        <v>0</v>
      </c>
    </row>
    <row r="90" spans="1:13" x14ac:dyDescent="0.25">
      <c r="A90" s="11">
        <f>sales!A93</f>
        <v>46080.725428240738</v>
      </c>
      <c r="B90">
        <f>sales!B93</f>
        <v>72</v>
      </c>
      <c r="C90" t="str">
        <f>sales!C93</f>
        <v>parri tres carnes</v>
      </c>
      <c r="D90">
        <f>sales!D93</f>
        <v>35000</v>
      </c>
      <c r="E90" t="str">
        <f>sales!E93</f>
        <v>EFECTIVO</v>
      </c>
      <c r="F90">
        <f>sales!F93</f>
        <v>1</v>
      </c>
      <c r="G90">
        <f>sales!G93</f>
        <v>1</v>
      </c>
      <c r="H90">
        <f>sales!H93</f>
        <v>35000</v>
      </c>
      <c r="J90" s="12">
        <f t="shared" si="4"/>
        <v>46080</v>
      </c>
      <c r="K90" t="str">
        <f t="shared" si="5"/>
        <v>05:24 p. m.</v>
      </c>
      <c r="L90">
        <f t="shared" si="6"/>
        <v>35000</v>
      </c>
      <c r="M90">
        <f t="shared" si="7"/>
        <v>0</v>
      </c>
    </row>
    <row r="91" spans="1:13" x14ac:dyDescent="0.25">
      <c r="A91" s="11">
        <f>sales!A94</f>
        <v>46080.742268518516</v>
      </c>
      <c r="B91">
        <f>sales!B94</f>
        <v>73</v>
      </c>
      <c r="C91" t="str">
        <f>sales!C94</f>
        <v>Chorizo</v>
      </c>
      <c r="D91">
        <f>sales!D94</f>
        <v>8000</v>
      </c>
      <c r="E91" t="str">
        <f>sales!E94</f>
        <v>EFECTIVO</v>
      </c>
      <c r="F91">
        <f>sales!F94</f>
        <v>2</v>
      </c>
      <c r="G91">
        <f>sales!G94</f>
        <v>1</v>
      </c>
      <c r="H91">
        <f>sales!H94</f>
        <v>16000</v>
      </c>
      <c r="J91" s="12">
        <f t="shared" si="4"/>
        <v>46080</v>
      </c>
      <c r="K91" t="str">
        <f t="shared" si="5"/>
        <v>05:48 p. m.</v>
      </c>
      <c r="L91">
        <f t="shared" si="6"/>
        <v>16000</v>
      </c>
      <c r="M91">
        <f t="shared" si="7"/>
        <v>0</v>
      </c>
    </row>
    <row r="92" spans="1:13" x14ac:dyDescent="0.25">
      <c r="A92" s="11">
        <f>sales!A95</f>
        <v>46080.742268518516</v>
      </c>
      <c r="B92">
        <f>sales!B95</f>
        <v>73</v>
      </c>
      <c r="C92" t="str">
        <f>sales!C95</f>
        <v>Coca cola</v>
      </c>
      <c r="D92">
        <f>sales!D95</f>
        <v>3000</v>
      </c>
      <c r="E92" t="str">
        <f>sales!E95</f>
        <v>EFECTIVO</v>
      </c>
      <c r="F92">
        <f>sales!F95</f>
        <v>1</v>
      </c>
      <c r="G92">
        <f>sales!G95</f>
        <v>1</v>
      </c>
      <c r="H92">
        <f>sales!H95</f>
        <v>3000</v>
      </c>
      <c r="J92" s="12">
        <f t="shared" si="4"/>
        <v>46080</v>
      </c>
      <c r="K92" t="str">
        <f t="shared" si="5"/>
        <v>05:48 p. m.</v>
      </c>
      <c r="L92">
        <f t="shared" si="6"/>
        <v>3000</v>
      </c>
      <c r="M92">
        <f t="shared" si="7"/>
        <v>0</v>
      </c>
    </row>
    <row r="93" spans="1:13" x14ac:dyDescent="0.25">
      <c r="A93" s="11">
        <f>sales!A96</f>
        <v>46080.761412037034</v>
      </c>
      <c r="B93">
        <f>sales!B96</f>
        <v>74</v>
      </c>
      <c r="C93" t="str">
        <f>sales!C96</f>
        <v>Chorizo</v>
      </c>
      <c r="D93">
        <f>sales!D96</f>
        <v>8000</v>
      </c>
      <c r="E93" t="str">
        <f>sales!E96</f>
        <v>NEQUI</v>
      </c>
      <c r="F93">
        <f>sales!F96</f>
        <v>3</v>
      </c>
      <c r="G93">
        <f>sales!G96</f>
        <v>1</v>
      </c>
      <c r="H93">
        <f>sales!H96</f>
        <v>24000</v>
      </c>
      <c r="J93" s="12">
        <f t="shared" si="4"/>
        <v>46080</v>
      </c>
      <c r="K93" t="str">
        <f t="shared" si="5"/>
        <v>06:16 p. m.</v>
      </c>
      <c r="L93">
        <f t="shared" si="6"/>
        <v>0</v>
      </c>
      <c r="M93">
        <f t="shared" si="7"/>
        <v>24000</v>
      </c>
    </row>
    <row r="94" spans="1:13" x14ac:dyDescent="0.25">
      <c r="A94" s="11">
        <f>sales!A97</f>
        <v>46080.824016203704</v>
      </c>
      <c r="B94">
        <f>sales!B97</f>
        <v>75</v>
      </c>
      <c r="C94" t="str">
        <f>sales!C97</f>
        <v>Agua</v>
      </c>
      <c r="D94">
        <f>sales!D97</f>
        <v>3000</v>
      </c>
      <c r="E94" t="str">
        <f>sales!E97</f>
        <v>DaviPlata</v>
      </c>
      <c r="F94">
        <f>sales!F97</f>
        <v>1</v>
      </c>
      <c r="G94">
        <f>sales!G97</f>
        <v>1</v>
      </c>
      <c r="H94">
        <f>sales!H97</f>
        <v>3000</v>
      </c>
      <c r="J94" s="12">
        <f t="shared" si="4"/>
        <v>46080</v>
      </c>
      <c r="K94" t="str">
        <f t="shared" si="5"/>
        <v>07:46 p. m.</v>
      </c>
      <c r="L94">
        <f t="shared" si="6"/>
        <v>0</v>
      </c>
      <c r="M94">
        <f t="shared" si="7"/>
        <v>3000</v>
      </c>
    </row>
    <row r="95" spans="1:13" x14ac:dyDescent="0.25">
      <c r="A95" s="11">
        <f>sales!A98</f>
        <v>46080.824016203704</v>
      </c>
      <c r="B95">
        <f>sales!B98</f>
        <v>75</v>
      </c>
      <c r="C95" t="str">
        <f>sales!C98</f>
        <v>Chorizo</v>
      </c>
      <c r="D95">
        <f>sales!D98</f>
        <v>8000</v>
      </c>
      <c r="E95" t="str">
        <f>sales!E98</f>
        <v>DaviPlata</v>
      </c>
      <c r="F95">
        <f>sales!F98</f>
        <v>1</v>
      </c>
      <c r="G95">
        <f>sales!G98</f>
        <v>1</v>
      </c>
      <c r="H95">
        <f>sales!H98</f>
        <v>8000</v>
      </c>
      <c r="J95" s="12">
        <f t="shared" si="4"/>
        <v>46080</v>
      </c>
      <c r="K95" t="str">
        <f t="shared" si="5"/>
        <v>07:46 p. m.</v>
      </c>
      <c r="L95">
        <f t="shared" si="6"/>
        <v>0</v>
      </c>
      <c r="M95">
        <f t="shared" si="7"/>
        <v>8000</v>
      </c>
    </row>
    <row r="96" spans="1:13" x14ac:dyDescent="0.25">
      <c r="A96" s="11">
        <f>sales!A99</f>
        <v>46080.836365740739</v>
      </c>
      <c r="B96">
        <f>sales!B99</f>
        <v>76</v>
      </c>
      <c r="C96" t="str">
        <f>sales!C99</f>
        <v>Chorizo</v>
      </c>
      <c r="D96">
        <f>sales!D99</f>
        <v>8000</v>
      </c>
      <c r="E96" t="str">
        <f>sales!E99</f>
        <v>NEQUI</v>
      </c>
      <c r="F96">
        <f>sales!F99</f>
        <v>2</v>
      </c>
      <c r="G96">
        <f>sales!G99</f>
        <v>1</v>
      </c>
      <c r="H96">
        <f>sales!H99</f>
        <v>16000</v>
      </c>
      <c r="J96" s="12">
        <f t="shared" si="4"/>
        <v>46080</v>
      </c>
      <c r="K96" t="str">
        <f t="shared" si="5"/>
        <v>08:04 p. m.</v>
      </c>
      <c r="L96">
        <f t="shared" si="6"/>
        <v>0</v>
      </c>
      <c r="M96">
        <f t="shared" si="7"/>
        <v>16000</v>
      </c>
    </row>
    <row r="97" spans="1:13" x14ac:dyDescent="0.25">
      <c r="A97" s="11">
        <f>sales!A100</f>
        <v>46080.837210648147</v>
      </c>
      <c r="B97">
        <f>sales!B100</f>
        <v>77</v>
      </c>
      <c r="C97" t="str">
        <f>sales!C100</f>
        <v>Chorizo</v>
      </c>
      <c r="D97">
        <f>sales!D100</f>
        <v>8000</v>
      </c>
      <c r="E97" t="str">
        <f>sales!E100</f>
        <v>EFECTIVO</v>
      </c>
      <c r="F97">
        <f>sales!F100</f>
        <v>4</v>
      </c>
      <c r="G97">
        <f>sales!G100</f>
        <v>1</v>
      </c>
      <c r="H97">
        <f>sales!H100</f>
        <v>32000</v>
      </c>
      <c r="J97" s="12">
        <f t="shared" si="4"/>
        <v>46080</v>
      </c>
      <c r="K97" t="str">
        <f t="shared" si="5"/>
        <v>08:05 p. m.</v>
      </c>
      <c r="L97">
        <f t="shared" si="6"/>
        <v>32000</v>
      </c>
      <c r="M97">
        <f t="shared" si="7"/>
        <v>0</v>
      </c>
    </row>
    <row r="98" spans="1:13" x14ac:dyDescent="0.25">
      <c r="A98" s="11">
        <f>sales!A101</f>
        <v>46080.837210648147</v>
      </c>
      <c r="B98">
        <f>sales!B101</f>
        <v>77</v>
      </c>
      <c r="C98" t="str">
        <f>sales!C101</f>
        <v>Coca cola</v>
      </c>
      <c r="D98">
        <f>sales!D101</f>
        <v>3000</v>
      </c>
      <c r="E98" t="str">
        <f>sales!E101</f>
        <v>EFECTIVO</v>
      </c>
      <c r="F98">
        <f>sales!F101</f>
        <v>3</v>
      </c>
      <c r="G98">
        <f>sales!G101</f>
        <v>1</v>
      </c>
      <c r="H98">
        <f>sales!H101</f>
        <v>9000</v>
      </c>
      <c r="J98" s="12">
        <f t="shared" si="4"/>
        <v>46080</v>
      </c>
      <c r="K98" t="str">
        <f t="shared" si="5"/>
        <v>08:05 p. m.</v>
      </c>
      <c r="L98">
        <f t="shared" si="6"/>
        <v>9000</v>
      </c>
      <c r="M98">
        <f t="shared" si="7"/>
        <v>0</v>
      </c>
    </row>
    <row r="99" spans="1:13" x14ac:dyDescent="0.25">
      <c r="A99" s="11">
        <f>sales!A102</f>
        <v>46080.83902777778</v>
      </c>
      <c r="B99">
        <f>sales!B102</f>
        <v>78</v>
      </c>
      <c r="C99" t="str">
        <f>sales!C102</f>
        <v>Chorizo</v>
      </c>
      <c r="D99">
        <f>sales!D102</f>
        <v>8000</v>
      </c>
      <c r="E99" t="str">
        <f>sales!E102</f>
        <v>EFECTIVO</v>
      </c>
      <c r="F99">
        <f>sales!F102</f>
        <v>1</v>
      </c>
      <c r="G99">
        <f>sales!G102</f>
        <v>1</v>
      </c>
      <c r="H99">
        <f>sales!H102</f>
        <v>8000</v>
      </c>
      <c r="J99" s="12">
        <f t="shared" si="4"/>
        <v>46080</v>
      </c>
      <c r="K99" t="str">
        <f t="shared" si="5"/>
        <v>08:08 p. m.</v>
      </c>
      <c r="L99">
        <f t="shared" si="6"/>
        <v>8000</v>
      </c>
      <c r="M99">
        <f t="shared" si="7"/>
        <v>0</v>
      </c>
    </row>
    <row r="100" spans="1:13" x14ac:dyDescent="0.25">
      <c r="A100" s="11">
        <f>sales!A103</f>
        <v>46081.78979166667</v>
      </c>
      <c r="B100">
        <f>sales!B103</f>
        <v>79</v>
      </c>
      <c r="C100" t="str">
        <f>sales!C103</f>
        <v>Chori- CRUDO</v>
      </c>
      <c r="D100">
        <f>sales!D103</f>
        <v>4500</v>
      </c>
      <c r="E100" t="str">
        <f>sales!E103</f>
        <v>EFECTIVO</v>
      </c>
      <c r="F100">
        <f>sales!F103</f>
        <v>6</v>
      </c>
      <c r="G100">
        <f>sales!G103</f>
        <v>1</v>
      </c>
      <c r="H100">
        <f>sales!H103</f>
        <v>27000</v>
      </c>
      <c r="J100" s="12">
        <f t="shared" si="4"/>
        <v>46081</v>
      </c>
      <c r="K100" t="str">
        <f t="shared" si="5"/>
        <v>06:57 p. m.</v>
      </c>
      <c r="L100">
        <f t="shared" si="6"/>
        <v>27000</v>
      </c>
      <c r="M100">
        <f t="shared" si="7"/>
        <v>0</v>
      </c>
    </row>
    <row r="101" spans="1:13" x14ac:dyDescent="0.25">
      <c r="A101" s="11">
        <f>sales!A104</f>
        <v>46081.790231481478</v>
      </c>
      <c r="B101">
        <f>sales!B104</f>
        <v>80</v>
      </c>
      <c r="C101" t="str">
        <f>sales!C104</f>
        <v>Chorizo</v>
      </c>
      <c r="D101">
        <f>sales!D104</f>
        <v>8000</v>
      </c>
      <c r="E101" t="str">
        <f>sales!E104</f>
        <v>NEQUI</v>
      </c>
      <c r="F101">
        <f>sales!F104</f>
        <v>2</v>
      </c>
      <c r="G101">
        <f>sales!G104</f>
        <v>1</v>
      </c>
      <c r="H101">
        <f>sales!H104</f>
        <v>16000</v>
      </c>
      <c r="J101" s="12">
        <f t="shared" si="4"/>
        <v>46081</v>
      </c>
      <c r="K101" t="str">
        <f t="shared" si="5"/>
        <v>06:57 p. m.</v>
      </c>
      <c r="L101">
        <f t="shared" si="6"/>
        <v>0</v>
      </c>
      <c r="M101">
        <f t="shared" si="7"/>
        <v>16000</v>
      </c>
    </row>
    <row r="102" spans="1:13" x14ac:dyDescent="0.25">
      <c r="A102" s="11">
        <f>sales!A105</f>
        <v>46081.790960648148</v>
      </c>
      <c r="B102">
        <f>sales!B105</f>
        <v>81</v>
      </c>
      <c r="C102" t="str">
        <f>sales!C105</f>
        <v>Agua</v>
      </c>
      <c r="D102">
        <f>sales!D105</f>
        <v>3000</v>
      </c>
      <c r="E102" t="str">
        <f>sales!E105</f>
        <v>NEQUI</v>
      </c>
      <c r="F102">
        <f>sales!F105</f>
        <v>1</v>
      </c>
      <c r="G102">
        <f>sales!G105</f>
        <v>1</v>
      </c>
      <c r="H102">
        <f>sales!H105</f>
        <v>3000</v>
      </c>
      <c r="J102" s="12">
        <f t="shared" si="4"/>
        <v>46081</v>
      </c>
      <c r="K102" t="str">
        <f t="shared" si="5"/>
        <v>06:58 p. m.</v>
      </c>
      <c r="L102">
        <f t="shared" si="6"/>
        <v>0</v>
      </c>
      <c r="M102">
        <f t="shared" si="7"/>
        <v>3000</v>
      </c>
    </row>
    <row r="103" spans="1:13" x14ac:dyDescent="0.25">
      <c r="A103" s="11">
        <f>sales!A106</f>
        <v>46081.790960648148</v>
      </c>
      <c r="B103">
        <f>sales!B106</f>
        <v>81</v>
      </c>
      <c r="C103" t="str">
        <f>sales!C106</f>
        <v>Chorizo</v>
      </c>
      <c r="D103">
        <f>sales!D106</f>
        <v>8000</v>
      </c>
      <c r="E103" t="str">
        <f>sales!E106</f>
        <v>NEQUI</v>
      </c>
      <c r="F103">
        <f>sales!F106</f>
        <v>1</v>
      </c>
      <c r="G103">
        <f>sales!G106</f>
        <v>1</v>
      </c>
      <c r="H103">
        <f>sales!H106</f>
        <v>8000</v>
      </c>
      <c r="J103" s="12">
        <f t="shared" si="4"/>
        <v>46081</v>
      </c>
      <c r="K103" t="str">
        <f t="shared" si="5"/>
        <v>06:58 p. m.</v>
      </c>
      <c r="L103">
        <f t="shared" si="6"/>
        <v>0</v>
      </c>
      <c r="M103">
        <f t="shared" si="7"/>
        <v>8000</v>
      </c>
    </row>
    <row r="104" spans="1:13" x14ac:dyDescent="0.25">
      <c r="A104" s="11">
        <f>sales!A107</f>
        <v>46081.790960648148</v>
      </c>
      <c r="B104">
        <f>sales!B107</f>
        <v>81</v>
      </c>
      <c r="C104" t="str">
        <f>sales!C107</f>
        <v>tinto</v>
      </c>
      <c r="D104">
        <f>sales!D107</f>
        <v>2000</v>
      </c>
      <c r="E104" t="str">
        <f>sales!E107</f>
        <v>NEQUI</v>
      </c>
      <c r="F104">
        <f>sales!F107</f>
        <v>1</v>
      </c>
      <c r="G104">
        <f>sales!G107</f>
        <v>1</v>
      </c>
      <c r="H104">
        <f>sales!H107</f>
        <v>2000</v>
      </c>
      <c r="J104" s="12">
        <f t="shared" si="4"/>
        <v>46081</v>
      </c>
      <c r="K104" t="str">
        <f t="shared" si="5"/>
        <v>06:58 p. m.</v>
      </c>
      <c r="L104">
        <f t="shared" si="6"/>
        <v>0</v>
      </c>
      <c r="M104">
        <f t="shared" si="7"/>
        <v>2000</v>
      </c>
    </row>
    <row r="105" spans="1:13" x14ac:dyDescent="0.25">
      <c r="A105" s="11">
        <f>sales!A108</f>
        <v>46081.792407407411</v>
      </c>
      <c r="B105">
        <f>sales!B108</f>
        <v>82</v>
      </c>
      <c r="C105" t="str">
        <f>sales!C108</f>
        <v>Chorizo</v>
      </c>
      <c r="D105">
        <f>sales!D108</f>
        <v>8000</v>
      </c>
      <c r="E105" t="str">
        <f>sales!E108</f>
        <v>EFECTIVO</v>
      </c>
      <c r="F105">
        <f>sales!F108</f>
        <v>2</v>
      </c>
      <c r="G105">
        <f>sales!G108</f>
        <v>1</v>
      </c>
      <c r="H105">
        <f>sales!H108</f>
        <v>16000</v>
      </c>
      <c r="J105" s="12">
        <f t="shared" si="4"/>
        <v>46081</v>
      </c>
      <c r="K105" t="str">
        <f t="shared" si="5"/>
        <v>07:01 p. m.</v>
      </c>
      <c r="L105">
        <f t="shared" si="6"/>
        <v>16000</v>
      </c>
      <c r="M105">
        <f t="shared" si="7"/>
        <v>0</v>
      </c>
    </row>
    <row r="106" spans="1:13" x14ac:dyDescent="0.25">
      <c r="A106" s="11">
        <f>sales!A109</f>
        <v>46081.792407407411</v>
      </c>
      <c r="B106">
        <f>sales!B109</f>
        <v>82</v>
      </c>
      <c r="C106" t="str">
        <f>sales!C109</f>
        <v>Coca cola</v>
      </c>
      <c r="D106">
        <f>sales!D109</f>
        <v>3000</v>
      </c>
      <c r="E106" t="str">
        <f>sales!E109</f>
        <v>EFECTIVO</v>
      </c>
      <c r="F106">
        <f>sales!F109</f>
        <v>1</v>
      </c>
      <c r="G106">
        <f>sales!G109</f>
        <v>1</v>
      </c>
      <c r="H106">
        <f>sales!H109</f>
        <v>3000</v>
      </c>
      <c r="J106" s="12">
        <f t="shared" si="4"/>
        <v>46081</v>
      </c>
      <c r="K106" t="str">
        <f t="shared" si="5"/>
        <v>07:01 p. m.</v>
      </c>
      <c r="L106">
        <f t="shared" si="6"/>
        <v>3000</v>
      </c>
      <c r="M106">
        <f t="shared" si="7"/>
        <v>0</v>
      </c>
    </row>
    <row r="107" spans="1:13" x14ac:dyDescent="0.25">
      <c r="A107" s="11">
        <f>sales!A110</f>
        <v>46081.793206018519</v>
      </c>
      <c r="B107">
        <f>sales!B110</f>
        <v>83</v>
      </c>
      <c r="C107" t="str">
        <f>sales!C110</f>
        <v>Chorizo</v>
      </c>
      <c r="D107">
        <f>sales!D110</f>
        <v>8000</v>
      </c>
      <c r="E107" t="str">
        <f>sales!E110</f>
        <v>EFECTIVO</v>
      </c>
      <c r="F107">
        <f>sales!F110</f>
        <v>2</v>
      </c>
      <c r="G107">
        <f>sales!G110</f>
        <v>1</v>
      </c>
      <c r="H107">
        <f>sales!H110</f>
        <v>16000</v>
      </c>
      <c r="J107" s="12">
        <f t="shared" si="4"/>
        <v>46081</v>
      </c>
      <c r="K107" t="str">
        <f t="shared" si="5"/>
        <v>07:02 p. m.</v>
      </c>
      <c r="L107">
        <f t="shared" si="6"/>
        <v>16000</v>
      </c>
      <c r="M107">
        <f t="shared" si="7"/>
        <v>0</v>
      </c>
    </row>
    <row r="108" spans="1:13" x14ac:dyDescent="0.25">
      <c r="A108" s="11">
        <f>sales!A111</f>
        <v>46081.793206018519</v>
      </c>
      <c r="B108">
        <f>sales!B111</f>
        <v>83</v>
      </c>
      <c r="C108" t="str">
        <f>sales!C111</f>
        <v>Coca cola</v>
      </c>
      <c r="D108">
        <f>sales!D111</f>
        <v>3000</v>
      </c>
      <c r="E108" t="str">
        <f>sales!E111</f>
        <v>EFECTIVO</v>
      </c>
      <c r="F108">
        <f>sales!F111</f>
        <v>1</v>
      </c>
      <c r="G108">
        <f>sales!G111</f>
        <v>1</v>
      </c>
      <c r="H108">
        <f>sales!H111</f>
        <v>3000</v>
      </c>
      <c r="J108" s="12">
        <f t="shared" si="4"/>
        <v>46081</v>
      </c>
      <c r="K108" t="str">
        <f t="shared" si="5"/>
        <v>07:02 p. m.</v>
      </c>
      <c r="L108">
        <f t="shared" si="6"/>
        <v>3000</v>
      </c>
      <c r="M108">
        <f t="shared" si="7"/>
        <v>0</v>
      </c>
    </row>
    <row r="109" spans="1:13" x14ac:dyDescent="0.25">
      <c r="A109" s="11">
        <f>sales!A112</f>
        <v>46081.793865740743</v>
      </c>
      <c r="B109">
        <f>sales!B112</f>
        <v>84</v>
      </c>
      <c r="C109" t="str">
        <f>sales!C112</f>
        <v>Chorizo</v>
      </c>
      <c r="D109">
        <f>sales!D112</f>
        <v>8000</v>
      </c>
      <c r="E109" t="str">
        <f>sales!E112</f>
        <v>EFECTIVO</v>
      </c>
      <c r="F109">
        <f>sales!F112</f>
        <v>1</v>
      </c>
      <c r="G109">
        <f>sales!G112</f>
        <v>1</v>
      </c>
      <c r="H109">
        <f>sales!H112</f>
        <v>8000</v>
      </c>
      <c r="J109" s="12">
        <f t="shared" si="4"/>
        <v>46081</v>
      </c>
      <c r="K109" t="str">
        <f t="shared" si="5"/>
        <v>07:03 p. m.</v>
      </c>
      <c r="L109">
        <f t="shared" si="6"/>
        <v>8000</v>
      </c>
      <c r="M109">
        <f t="shared" si="7"/>
        <v>0</v>
      </c>
    </row>
    <row r="110" spans="1:13" x14ac:dyDescent="0.25">
      <c r="A110" s="11">
        <f>sales!A113</f>
        <v>46081.793865740743</v>
      </c>
      <c r="B110">
        <f>sales!B113</f>
        <v>84</v>
      </c>
      <c r="C110" t="str">
        <f>sales!C113</f>
        <v>Coca cola</v>
      </c>
      <c r="D110">
        <f>sales!D113</f>
        <v>3000</v>
      </c>
      <c r="E110" t="str">
        <f>sales!E113</f>
        <v>EFECTIVO</v>
      </c>
      <c r="F110">
        <f>sales!F113</f>
        <v>1</v>
      </c>
      <c r="G110">
        <f>sales!G113</f>
        <v>1</v>
      </c>
      <c r="H110">
        <f>sales!H113</f>
        <v>3000</v>
      </c>
      <c r="J110" s="12">
        <f t="shared" si="4"/>
        <v>46081</v>
      </c>
      <c r="K110" t="str">
        <f t="shared" si="5"/>
        <v>07:03 p. m.</v>
      </c>
      <c r="L110">
        <f t="shared" si="6"/>
        <v>3000</v>
      </c>
      <c r="M110">
        <f t="shared" si="7"/>
        <v>0</v>
      </c>
    </row>
    <row r="111" spans="1:13" x14ac:dyDescent="0.25">
      <c r="A111" s="11">
        <f>sales!A114</f>
        <v>46081.794421296298</v>
      </c>
      <c r="B111">
        <f>sales!B114</f>
        <v>85</v>
      </c>
      <c r="C111" t="str">
        <f>sales!C114</f>
        <v>Chorizo</v>
      </c>
      <c r="D111">
        <f>sales!D114</f>
        <v>8000</v>
      </c>
      <c r="E111" t="str">
        <f>sales!E114</f>
        <v>EFECTIVO</v>
      </c>
      <c r="F111">
        <f>sales!F114</f>
        <v>4</v>
      </c>
      <c r="G111">
        <f>sales!G114</f>
        <v>1</v>
      </c>
      <c r="H111">
        <f>sales!H114</f>
        <v>32000</v>
      </c>
      <c r="J111" s="12">
        <f t="shared" si="4"/>
        <v>46081</v>
      </c>
      <c r="K111" t="str">
        <f t="shared" si="5"/>
        <v>07:03 p. m.</v>
      </c>
      <c r="L111">
        <f t="shared" si="6"/>
        <v>32000</v>
      </c>
      <c r="M111">
        <f t="shared" si="7"/>
        <v>0</v>
      </c>
    </row>
    <row r="112" spans="1:13" x14ac:dyDescent="0.25">
      <c r="A112" s="11">
        <f>sales!A115</f>
        <v>46081.794421296298</v>
      </c>
      <c r="B112">
        <f>sales!B115</f>
        <v>85</v>
      </c>
      <c r="C112" t="str">
        <f>sales!C115</f>
        <v>Coca cola</v>
      </c>
      <c r="D112">
        <f>sales!D115</f>
        <v>3000</v>
      </c>
      <c r="E112" t="str">
        <f>sales!E115</f>
        <v>EFECTIVO</v>
      </c>
      <c r="F112">
        <f>sales!F115</f>
        <v>2</v>
      </c>
      <c r="G112">
        <f>sales!G115</f>
        <v>1</v>
      </c>
      <c r="H112">
        <f>sales!H115</f>
        <v>6000</v>
      </c>
      <c r="J112" s="12">
        <f t="shared" si="4"/>
        <v>46081</v>
      </c>
      <c r="K112" t="str">
        <f t="shared" si="5"/>
        <v>07:03 p. m.</v>
      </c>
      <c r="L112">
        <f t="shared" si="6"/>
        <v>6000</v>
      </c>
      <c r="M112">
        <f t="shared" si="7"/>
        <v>0</v>
      </c>
    </row>
    <row r="113" spans="1:13" x14ac:dyDescent="0.25">
      <c r="A113" s="11">
        <f>sales!A116</f>
        <v>46081.794652777775</v>
      </c>
      <c r="B113">
        <f>sales!B116</f>
        <v>86</v>
      </c>
      <c r="C113" t="str">
        <f>sales!C116</f>
        <v>Chorizo</v>
      </c>
      <c r="D113">
        <f>sales!D116</f>
        <v>8000</v>
      </c>
      <c r="E113" t="str">
        <f>sales!E116</f>
        <v>EFECTIVO</v>
      </c>
      <c r="F113">
        <f>sales!F116</f>
        <v>2</v>
      </c>
      <c r="G113">
        <f>sales!G116</f>
        <v>1</v>
      </c>
      <c r="H113">
        <f>sales!H116</f>
        <v>16000</v>
      </c>
      <c r="J113" s="12">
        <f t="shared" si="4"/>
        <v>46081</v>
      </c>
      <c r="K113" t="str">
        <f t="shared" si="5"/>
        <v>07:04 p. m.</v>
      </c>
      <c r="L113">
        <f t="shared" si="6"/>
        <v>16000</v>
      </c>
      <c r="M113">
        <f t="shared" si="7"/>
        <v>0</v>
      </c>
    </row>
    <row r="114" spans="1:13" x14ac:dyDescent="0.25">
      <c r="A114" s="11">
        <f>sales!A117</f>
        <v>46081.795092592591</v>
      </c>
      <c r="B114">
        <f>sales!B117</f>
        <v>87</v>
      </c>
      <c r="C114" t="str">
        <f>sales!C117</f>
        <v>Chorizo</v>
      </c>
      <c r="D114">
        <f>sales!D117</f>
        <v>8000</v>
      </c>
      <c r="E114" t="str">
        <f>sales!E117</f>
        <v>EFECTIVO</v>
      </c>
      <c r="F114">
        <f>sales!F117</f>
        <v>3</v>
      </c>
      <c r="G114">
        <f>sales!G117</f>
        <v>1</v>
      </c>
      <c r="H114">
        <f>sales!H117</f>
        <v>24000</v>
      </c>
      <c r="J114" s="12">
        <f t="shared" si="4"/>
        <v>46081</v>
      </c>
      <c r="K114" t="str">
        <f t="shared" si="5"/>
        <v>07:04 p. m.</v>
      </c>
      <c r="L114">
        <f t="shared" si="6"/>
        <v>24000</v>
      </c>
      <c r="M114">
        <f t="shared" si="7"/>
        <v>0</v>
      </c>
    </row>
    <row r="115" spans="1:13" x14ac:dyDescent="0.25">
      <c r="A115" s="11">
        <f>sales!A118</f>
        <v>46081.795092592591</v>
      </c>
      <c r="B115">
        <f>sales!B118</f>
        <v>87</v>
      </c>
      <c r="C115" t="str">
        <f>sales!C118</f>
        <v>Hit</v>
      </c>
      <c r="D115">
        <f>sales!D118</f>
        <v>4500</v>
      </c>
      <c r="E115" t="str">
        <f>sales!E118</f>
        <v>EFECTIVO</v>
      </c>
      <c r="F115">
        <f>sales!F118</f>
        <v>1</v>
      </c>
      <c r="G115">
        <f>sales!G118</f>
        <v>1</v>
      </c>
      <c r="H115">
        <f>sales!H118</f>
        <v>4500</v>
      </c>
      <c r="J115" s="12">
        <f t="shared" si="4"/>
        <v>46081</v>
      </c>
      <c r="K115" t="str">
        <f t="shared" si="5"/>
        <v>07:04 p. m.</v>
      </c>
      <c r="L115">
        <f t="shared" si="6"/>
        <v>4500</v>
      </c>
      <c r="M115">
        <f t="shared" si="7"/>
        <v>0</v>
      </c>
    </row>
    <row r="116" spans="1:13" x14ac:dyDescent="0.25">
      <c r="A116" s="11">
        <f>sales!A119</f>
        <v>46081.795497685183</v>
      </c>
      <c r="B116">
        <f>sales!B119</f>
        <v>88</v>
      </c>
      <c r="C116" t="str">
        <f>sales!C119</f>
        <v>parri tres carnes</v>
      </c>
      <c r="D116">
        <f>sales!D119</f>
        <v>35000</v>
      </c>
      <c r="E116" t="str">
        <f>sales!E119</f>
        <v>EFECTIVO</v>
      </c>
      <c r="F116">
        <f>sales!F119</f>
        <v>1</v>
      </c>
      <c r="G116">
        <f>sales!G119</f>
        <v>1</v>
      </c>
      <c r="H116">
        <f>sales!H119</f>
        <v>35000</v>
      </c>
      <c r="J116" s="12">
        <f t="shared" si="4"/>
        <v>46081</v>
      </c>
      <c r="K116" t="str">
        <f t="shared" si="5"/>
        <v>07:05 p. m.</v>
      </c>
      <c r="L116">
        <f t="shared" si="6"/>
        <v>35000</v>
      </c>
      <c r="M116">
        <f t="shared" si="7"/>
        <v>0</v>
      </c>
    </row>
    <row r="117" spans="1:13" x14ac:dyDescent="0.25">
      <c r="A117" s="11">
        <f>sales!A120</f>
        <v>46081.795729166668</v>
      </c>
      <c r="B117">
        <f>sales!B120</f>
        <v>89</v>
      </c>
      <c r="C117" t="str">
        <f>sales!C120</f>
        <v>parri tres carnes</v>
      </c>
      <c r="D117">
        <f>sales!D120</f>
        <v>35000</v>
      </c>
      <c r="E117" t="str">
        <f>sales!E120</f>
        <v>EFECTIVO</v>
      </c>
      <c r="F117">
        <f>sales!F120</f>
        <v>1</v>
      </c>
      <c r="G117">
        <f>sales!G120</f>
        <v>1</v>
      </c>
      <c r="H117">
        <f>sales!H120</f>
        <v>35000</v>
      </c>
      <c r="J117" s="12">
        <f t="shared" si="4"/>
        <v>46081</v>
      </c>
      <c r="K117" t="str">
        <f t="shared" si="5"/>
        <v>07:05 p. m.</v>
      </c>
      <c r="L117">
        <f t="shared" si="6"/>
        <v>35000</v>
      </c>
      <c r="M117">
        <f t="shared" si="7"/>
        <v>0</v>
      </c>
    </row>
    <row r="118" spans="1:13" x14ac:dyDescent="0.25">
      <c r="A118" s="11">
        <f>sales!A121</f>
        <v>46081.7971875</v>
      </c>
      <c r="B118">
        <f>sales!B121</f>
        <v>90</v>
      </c>
      <c r="C118" t="str">
        <f>sales!C121</f>
        <v>parri 48</v>
      </c>
      <c r="D118">
        <f>sales!D121</f>
        <v>48000</v>
      </c>
      <c r="E118" t="str">
        <f>sales!E121</f>
        <v>EFECTIVO</v>
      </c>
      <c r="F118">
        <f>sales!F121</f>
        <v>1</v>
      </c>
      <c r="G118">
        <f>sales!G121</f>
        <v>1</v>
      </c>
      <c r="H118">
        <f>sales!H121</f>
        <v>48000</v>
      </c>
      <c r="J118" s="12">
        <f t="shared" si="4"/>
        <v>46081</v>
      </c>
      <c r="K118" t="str">
        <f t="shared" si="5"/>
        <v>07:07 p. m.</v>
      </c>
      <c r="L118">
        <f t="shared" si="6"/>
        <v>48000</v>
      </c>
      <c r="M118">
        <f t="shared" si="7"/>
        <v>0</v>
      </c>
    </row>
    <row r="119" spans="1:13" x14ac:dyDescent="0.25">
      <c r="A119" s="11">
        <f>sales!A122</f>
        <v>46081.797511574077</v>
      </c>
      <c r="B119">
        <f>sales!B122</f>
        <v>91</v>
      </c>
      <c r="C119" t="str">
        <f>sales!C122</f>
        <v>parri 70</v>
      </c>
      <c r="D119">
        <f>sales!D122</f>
        <v>70000</v>
      </c>
      <c r="E119" t="str">
        <f>sales!E122</f>
        <v>EFECTIVO</v>
      </c>
      <c r="F119">
        <f>sales!F122</f>
        <v>2</v>
      </c>
      <c r="G119">
        <f>sales!G122</f>
        <v>1</v>
      </c>
      <c r="H119">
        <f>sales!H122</f>
        <v>140000</v>
      </c>
      <c r="J119" s="12">
        <f t="shared" si="4"/>
        <v>46081</v>
      </c>
      <c r="K119" t="str">
        <f t="shared" si="5"/>
        <v>07:08 p. m.</v>
      </c>
      <c r="L119">
        <f t="shared" si="6"/>
        <v>140000</v>
      </c>
      <c r="M119">
        <f t="shared" si="7"/>
        <v>0</v>
      </c>
    </row>
    <row r="120" spans="1:13" x14ac:dyDescent="0.25">
      <c r="A120" s="11">
        <f>sales!A123</f>
        <v>46081.797662037039</v>
      </c>
      <c r="B120">
        <f>sales!B123</f>
        <v>92</v>
      </c>
      <c r="C120" t="str">
        <f>sales!C123</f>
        <v>parri 40</v>
      </c>
      <c r="D120">
        <f>sales!D123</f>
        <v>40000</v>
      </c>
      <c r="E120" t="str">
        <f>sales!E123</f>
        <v>EFECTIVO</v>
      </c>
      <c r="F120">
        <f>sales!F123</f>
        <v>1</v>
      </c>
      <c r="G120">
        <f>sales!G123</f>
        <v>1</v>
      </c>
      <c r="H120">
        <f>sales!H123</f>
        <v>40000</v>
      </c>
      <c r="J120" s="12">
        <f t="shared" si="4"/>
        <v>46081</v>
      </c>
      <c r="K120" t="str">
        <f t="shared" si="5"/>
        <v>07:08 p. m.</v>
      </c>
      <c r="L120">
        <f t="shared" si="6"/>
        <v>40000</v>
      </c>
      <c r="M120">
        <f t="shared" si="7"/>
        <v>0</v>
      </c>
    </row>
    <row r="121" spans="1:13" x14ac:dyDescent="0.25">
      <c r="A121" s="11">
        <f>sales!A124</f>
        <v>46081.799027777779</v>
      </c>
      <c r="B121">
        <f>sales!B124</f>
        <v>93</v>
      </c>
      <c r="C121" t="str">
        <f>sales!C124</f>
        <v>Chori- CRUDO</v>
      </c>
      <c r="D121">
        <f>sales!D124</f>
        <v>4500</v>
      </c>
      <c r="E121" t="str">
        <f>sales!E124</f>
        <v>NEQUI</v>
      </c>
      <c r="F121">
        <f>sales!F124</f>
        <v>4</v>
      </c>
      <c r="G121">
        <f>sales!G124</f>
        <v>1</v>
      </c>
      <c r="H121">
        <f>sales!H124</f>
        <v>18000</v>
      </c>
      <c r="J121" s="12">
        <f>+DATE(YEAR(A121),MONTH(A121),DAY(A121))</f>
        <v>46081</v>
      </c>
      <c r="K121" t="str">
        <f>TEXT(A121,"hh:mm AM/PM")</f>
        <v>07:10 p. m.</v>
      </c>
      <c r="L121">
        <f t="shared" si="6"/>
        <v>0</v>
      </c>
      <c r="M121">
        <f t="shared" si="7"/>
        <v>18000</v>
      </c>
    </row>
    <row r="122" spans="1:13" x14ac:dyDescent="0.25">
      <c r="A122" s="11">
        <f>sales!A125</f>
        <v>46083.511145833334</v>
      </c>
      <c r="B122">
        <f>sales!B125</f>
        <v>95</v>
      </c>
      <c r="C122" t="str">
        <f>sales!C125</f>
        <v>Chorizo</v>
      </c>
      <c r="D122">
        <f>sales!D125</f>
        <v>8000</v>
      </c>
      <c r="E122" t="str">
        <f>sales!E125</f>
        <v>EFECTIVO</v>
      </c>
      <c r="F122">
        <f>sales!F125</f>
        <v>1</v>
      </c>
      <c r="G122">
        <f>sales!G125</f>
        <v>1</v>
      </c>
      <c r="H122">
        <f>sales!H125</f>
        <v>8000</v>
      </c>
      <c r="J122" s="12">
        <f t="shared" ref="J122:J147" si="8">+DATE(YEAR(A122),MONTH(A122),DAY(A122))</f>
        <v>46083</v>
      </c>
      <c r="K122" t="str">
        <f t="shared" ref="K122:K147" si="9">TEXT(A122,"hh:mm AM/PM")</f>
        <v>12:16 p. m.</v>
      </c>
      <c r="L122">
        <f t="shared" ref="L122:L146" si="10">+IF(E122="EFECTIVO",H122,0)</f>
        <v>8000</v>
      </c>
      <c r="M122">
        <f t="shared" ref="M122:M147" si="11">+IF(OR(E122="NEQUI",E122="DAVIPLATA"),H122,0)</f>
        <v>0</v>
      </c>
    </row>
    <row r="123" spans="1:13" x14ac:dyDescent="0.25">
      <c r="A123" s="11">
        <f>sales!A126</f>
        <v>46083.511145833334</v>
      </c>
      <c r="B123">
        <f>sales!B126</f>
        <v>95</v>
      </c>
      <c r="C123" t="str">
        <f>sales!C126</f>
        <v>Coca cola</v>
      </c>
      <c r="D123">
        <f>sales!D126</f>
        <v>3000</v>
      </c>
      <c r="E123" t="str">
        <f>sales!E126</f>
        <v>EFECTIVO</v>
      </c>
      <c r="F123">
        <f>sales!F126</f>
        <v>1</v>
      </c>
      <c r="G123">
        <f>sales!G126</f>
        <v>1</v>
      </c>
      <c r="H123">
        <f>sales!H126</f>
        <v>3000</v>
      </c>
      <c r="J123" s="12">
        <f t="shared" si="8"/>
        <v>46083</v>
      </c>
      <c r="K123" t="str">
        <f t="shared" si="9"/>
        <v>12:16 p. m.</v>
      </c>
      <c r="L123">
        <f t="shared" si="10"/>
        <v>3000</v>
      </c>
      <c r="M123">
        <f t="shared" si="11"/>
        <v>0</v>
      </c>
    </row>
    <row r="124" spans="1:13" x14ac:dyDescent="0.25">
      <c r="A124" s="11">
        <f>sales!A127</f>
        <v>46083.720312500001</v>
      </c>
      <c r="B124">
        <f>sales!B127</f>
        <v>96</v>
      </c>
      <c r="C124" t="str">
        <f>sales!C127</f>
        <v>Chorizo</v>
      </c>
      <c r="D124">
        <f>sales!D127</f>
        <v>8000</v>
      </c>
      <c r="E124" t="str">
        <f>sales!E127</f>
        <v>EFECTIVO</v>
      </c>
      <c r="F124">
        <f>sales!F127</f>
        <v>1</v>
      </c>
      <c r="G124">
        <f>sales!G127</f>
        <v>1</v>
      </c>
      <c r="H124">
        <f>sales!H127</f>
        <v>8000</v>
      </c>
      <c r="J124" s="12">
        <f t="shared" si="8"/>
        <v>46083</v>
      </c>
      <c r="K124" t="str">
        <f t="shared" si="9"/>
        <v>05:17 p. m.</v>
      </c>
      <c r="L124">
        <f t="shared" si="10"/>
        <v>8000</v>
      </c>
      <c r="M124">
        <f t="shared" si="11"/>
        <v>0</v>
      </c>
    </row>
    <row r="125" spans="1:13" x14ac:dyDescent="0.25">
      <c r="A125" s="11">
        <f>sales!A128</f>
        <v>46083.735949074071</v>
      </c>
      <c r="B125">
        <f>sales!B128</f>
        <v>97</v>
      </c>
      <c r="C125" t="str">
        <f>sales!C128</f>
        <v>Chorizo</v>
      </c>
      <c r="D125">
        <f>sales!D128</f>
        <v>8000</v>
      </c>
      <c r="E125" t="str">
        <f>sales!E128</f>
        <v>EFECTIVO</v>
      </c>
      <c r="F125">
        <f>sales!F128</f>
        <v>1</v>
      </c>
      <c r="G125">
        <f>sales!G128</f>
        <v>1</v>
      </c>
      <c r="H125">
        <f>sales!H128</f>
        <v>8000</v>
      </c>
      <c r="J125" s="12">
        <f t="shared" si="8"/>
        <v>46083</v>
      </c>
      <c r="K125" t="str">
        <f t="shared" si="9"/>
        <v>05:39 p. m.</v>
      </c>
      <c r="L125">
        <f t="shared" si="10"/>
        <v>8000</v>
      </c>
      <c r="M125">
        <f t="shared" si="11"/>
        <v>0</v>
      </c>
    </row>
    <row r="126" spans="1:13" x14ac:dyDescent="0.25">
      <c r="A126" s="11">
        <f>sales!A129</f>
        <v>46083.825416666667</v>
      </c>
      <c r="B126">
        <f>sales!B129</f>
        <v>98</v>
      </c>
      <c r="C126" t="str">
        <f>sales!C129</f>
        <v>Chorizo</v>
      </c>
      <c r="D126">
        <f>sales!D129</f>
        <v>8000</v>
      </c>
      <c r="E126" t="str">
        <f>sales!E129</f>
        <v>EFECTIVO</v>
      </c>
      <c r="F126">
        <f>sales!F129</f>
        <v>3</v>
      </c>
      <c r="G126">
        <f>sales!G129</f>
        <v>1</v>
      </c>
      <c r="H126">
        <f>sales!H129</f>
        <v>24000</v>
      </c>
      <c r="J126" s="12">
        <f t="shared" si="8"/>
        <v>46083</v>
      </c>
      <c r="K126" t="str">
        <f t="shared" si="9"/>
        <v>07:48 p. m.</v>
      </c>
      <c r="L126">
        <f t="shared" si="10"/>
        <v>24000</v>
      </c>
      <c r="M126">
        <f t="shared" si="11"/>
        <v>0</v>
      </c>
    </row>
    <row r="127" spans="1:13" x14ac:dyDescent="0.25">
      <c r="A127" s="11">
        <f>sales!A130</f>
        <v>46083.825416666667</v>
      </c>
      <c r="B127">
        <f>sales!B130</f>
        <v>98</v>
      </c>
      <c r="C127" t="str">
        <f>sales!C130</f>
        <v>Coca cola</v>
      </c>
      <c r="D127">
        <f>sales!D130</f>
        <v>3000</v>
      </c>
      <c r="E127" t="str">
        <f>sales!E130</f>
        <v>EFECTIVO</v>
      </c>
      <c r="F127">
        <f>sales!F130</f>
        <v>1</v>
      </c>
      <c r="G127">
        <f>sales!G130</f>
        <v>1</v>
      </c>
      <c r="H127">
        <f>sales!H130</f>
        <v>3000</v>
      </c>
      <c r="J127" s="12">
        <f t="shared" si="8"/>
        <v>46083</v>
      </c>
      <c r="K127" t="str">
        <f t="shared" si="9"/>
        <v>07:48 p. m.</v>
      </c>
      <c r="L127">
        <f t="shared" si="10"/>
        <v>3000</v>
      </c>
      <c r="M127">
        <f t="shared" si="11"/>
        <v>0</v>
      </c>
    </row>
    <row r="128" spans="1:13" x14ac:dyDescent="0.25">
      <c r="A128" s="11">
        <f>sales!A131</f>
        <v>46083.825416666667</v>
      </c>
      <c r="B128">
        <f>sales!B131</f>
        <v>98</v>
      </c>
      <c r="C128" t="str">
        <f>sales!C131</f>
        <v>Postobon</v>
      </c>
      <c r="D128">
        <f>sales!D131</f>
        <v>3000</v>
      </c>
      <c r="E128" t="str">
        <f>sales!E131</f>
        <v>EFECTIVO</v>
      </c>
      <c r="F128">
        <f>sales!F131</f>
        <v>2</v>
      </c>
      <c r="G128">
        <f>sales!G131</f>
        <v>1</v>
      </c>
      <c r="H128">
        <f>sales!H131</f>
        <v>6000</v>
      </c>
      <c r="J128" s="12">
        <f t="shared" si="8"/>
        <v>46083</v>
      </c>
      <c r="K128" t="str">
        <f t="shared" si="9"/>
        <v>07:48 p. m.</v>
      </c>
      <c r="L128">
        <f t="shared" si="10"/>
        <v>6000</v>
      </c>
      <c r="M128">
        <f t="shared" si="11"/>
        <v>0</v>
      </c>
    </row>
    <row r="129" spans="1:13" x14ac:dyDescent="0.25">
      <c r="A129" s="11">
        <f>sales!A132</f>
        <v>46084.491736111115</v>
      </c>
      <c r="B129">
        <f>sales!B132</f>
        <v>99</v>
      </c>
      <c r="C129" t="str">
        <f>sales!C132</f>
        <v>Coca cola</v>
      </c>
      <c r="D129">
        <f>sales!D132</f>
        <v>3000</v>
      </c>
      <c r="E129" t="str">
        <f>sales!E132</f>
        <v>EFECTIVO</v>
      </c>
      <c r="F129">
        <f>sales!F132</f>
        <v>2</v>
      </c>
      <c r="G129">
        <f>sales!G132</f>
        <v>1</v>
      </c>
      <c r="H129">
        <f>sales!H132</f>
        <v>6000</v>
      </c>
      <c r="J129" s="12">
        <f t="shared" si="8"/>
        <v>46084</v>
      </c>
      <c r="K129" t="str">
        <f t="shared" si="9"/>
        <v>11:48 a. m.</v>
      </c>
      <c r="L129">
        <f t="shared" si="10"/>
        <v>6000</v>
      </c>
      <c r="M129">
        <f t="shared" si="11"/>
        <v>0</v>
      </c>
    </row>
    <row r="130" spans="1:13" x14ac:dyDescent="0.25">
      <c r="A130" s="11">
        <f>sales!A133</f>
        <v>46084.551840277774</v>
      </c>
      <c r="B130">
        <f>sales!B133</f>
        <v>100</v>
      </c>
      <c r="C130" t="str">
        <f>sales!C133</f>
        <v>Chorizo</v>
      </c>
      <c r="D130">
        <f>sales!D133</f>
        <v>8000</v>
      </c>
      <c r="E130" t="str">
        <f>sales!E133</f>
        <v>EFECTIVO</v>
      </c>
      <c r="F130">
        <f>sales!F133</f>
        <v>1</v>
      </c>
      <c r="G130">
        <f>sales!G133</f>
        <v>1</v>
      </c>
      <c r="H130">
        <f>sales!H133</f>
        <v>8000</v>
      </c>
      <c r="J130" s="12">
        <f t="shared" si="8"/>
        <v>46084</v>
      </c>
      <c r="K130" t="str">
        <f t="shared" si="9"/>
        <v>01:14 p. m.</v>
      </c>
      <c r="L130">
        <f t="shared" si="10"/>
        <v>8000</v>
      </c>
      <c r="M130">
        <f t="shared" si="11"/>
        <v>0</v>
      </c>
    </row>
    <row r="131" spans="1:13" x14ac:dyDescent="0.25">
      <c r="A131" s="11">
        <f>sales!A134</f>
        <v>46084.618692129632</v>
      </c>
      <c r="B131">
        <f>sales!B134</f>
        <v>101</v>
      </c>
      <c r="C131" t="str">
        <f>sales!C134</f>
        <v>Chorizo</v>
      </c>
      <c r="D131">
        <f>sales!D134</f>
        <v>8000</v>
      </c>
      <c r="E131" t="str">
        <f>sales!E134</f>
        <v>EFECTIVO</v>
      </c>
      <c r="F131">
        <f>sales!F134</f>
        <v>1</v>
      </c>
      <c r="G131">
        <f>sales!G134</f>
        <v>1</v>
      </c>
      <c r="H131">
        <f>sales!H134</f>
        <v>8000</v>
      </c>
      <c r="J131" s="12">
        <f t="shared" si="8"/>
        <v>46084</v>
      </c>
      <c r="K131" t="str">
        <f t="shared" si="9"/>
        <v>02:50 p. m.</v>
      </c>
      <c r="L131">
        <f t="shared" si="10"/>
        <v>8000</v>
      </c>
      <c r="M131">
        <f t="shared" si="11"/>
        <v>0</v>
      </c>
    </row>
    <row r="132" spans="1:13" x14ac:dyDescent="0.25">
      <c r="A132" s="11">
        <f>sales!A135</f>
        <v>46084.665879629632</v>
      </c>
      <c r="B132">
        <f>sales!B135</f>
        <v>102</v>
      </c>
      <c r="C132" t="str">
        <f>sales!C135</f>
        <v>Chorizo</v>
      </c>
      <c r="D132">
        <f>sales!D135</f>
        <v>8000</v>
      </c>
      <c r="E132" t="str">
        <f>sales!E135</f>
        <v>EFECTIVO</v>
      </c>
      <c r="F132">
        <f>sales!F135</f>
        <v>1</v>
      </c>
      <c r="G132">
        <f>sales!G135</f>
        <v>1</v>
      </c>
      <c r="H132">
        <f>sales!H135</f>
        <v>8000</v>
      </c>
      <c r="J132" s="12">
        <f t="shared" si="8"/>
        <v>46084</v>
      </c>
      <c r="K132" t="str">
        <f t="shared" si="9"/>
        <v>03:58 p. m.</v>
      </c>
      <c r="L132">
        <f t="shared" si="10"/>
        <v>8000</v>
      </c>
      <c r="M132">
        <f t="shared" si="11"/>
        <v>0</v>
      </c>
    </row>
    <row r="133" spans="1:13" x14ac:dyDescent="0.25">
      <c r="A133" s="11">
        <f>sales!A136</f>
        <v>46084.665879629632</v>
      </c>
      <c r="B133">
        <f>sales!B136</f>
        <v>102</v>
      </c>
      <c r="C133" t="str">
        <f>sales!C136</f>
        <v>Hit</v>
      </c>
      <c r="D133">
        <f>sales!D136</f>
        <v>4500</v>
      </c>
      <c r="E133" t="str">
        <f>sales!E136</f>
        <v>EFECTIVO</v>
      </c>
      <c r="F133">
        <f>sales!F136</f>
        <v>1</v>
      </c>
      <c r="G133">
        <f>sales!G136</f>
        <v>1</v>
      </c>
      <c r="H133">
        <f>sales!H136</f>
        <v>4500</v>
      </c>
      <c r="J133" s="12">
        <f t="shared" si="8"/>
        <v>46084</v>
      </c>
      <c r="K133" t="str">
        <f t="shared" si="9"/>
        <v>03:58 p. m.</v>
      </c>
      <c r="L133">
        <f t="shared" si="10"/>
        <v>4500</v>
      </c>
      <c r="M133">
        <f t="shared" si="11"/>
        <v>0</v>
      </c>
    </row>
    <row r="134" spans="1:13" x14ac:dyDescent="0.25">
      <c r="A134" s="11">
        <f>sales!A137</f>
        <v>46084.667233796295</v>
      </c>
      <c r="B134">
        <f>sales!B137</f>
        <v>103</v>
      </c>
      <c r="C134" t="str">
        <f>sales!C137</f>
        <v>Chorizo</v>
      </c>
      <c r="D134">
        <f>sales!D137</f>
        <v>8000</v>
      </c>
      <c r="E134" t="str">
        <f>sales!E137</f>
        <v>EFECTIVO</v>
      </c>
      <c r="F134">
        <f>sales!F137</f>
        <v>1</v>
      </c>
      <c r="G134">
        <f>sales!G137</f>
        <v>1</v>
      </c>
      <c r="H134">
        <f>sales!H137</f>
        <v>8000</v>
      </c>
      <c r="J134" s="12">
        <f t="shared" si="8"/>
        <v>46084</v>
      </c>
      <c r="K134" t="str">
        <f t="shared" si="9"/>
        <v>04:00 p. m.</v>
      </c>
      <c r="L134">
        <f t="shared" si="10"/>
        <v>8000</v>
      </c>
      <c r="M134">
        <f t="shared" si="11"/>
        <v>0</v>
      </c>
    </row>
    <row r="135" spans="1:13" x14ac:dyDescent="0.25">
      <c r="A135" s="11">
        <f>sales!A138</f>
        <v>46084.70716435185</v>
      </c>
      <c r="B135">
        <f>sales!B138</f>
        <v>104</v>
      </c>
      <c r="C135" t="str">
        <f>sales!C138</f>
        <v>Carne con chorizo -30</v>
      </c>
      <c r="D135">
        <f>sales!D138</f>
        <v>30000</v>
      </c>
      <c r="E135" t="str">
        <f>sales!E138</f>
        <v>NEQUI</v>
      </c>
      <c r="F135">
        <f>sales!F138</f>
        <v>1</v>
      </c>
      <c r="G135">
        <f>sales!G138</f>
        <v>1</v>
      </c>
      <c r="H135">
        <f>sales!H138</f>
        <v>30000</v>
      </c>
      <c r="J135" s="12">
        <f t="shared" si="8"/>
        <v>46084</v>
      </c>
      <c r="K135" t="str">
        <f t="shared" si="9"/>
        <v>04:58 p. m.</v>
      </c>
      <c r="L135">
        <f t="shared" si="10"/>
        <v>0</v>
      </c>
      <c r="M135">
        <f t="shared" si="11"/>
        <v>30000</v>
      </c>
    </row>
    <row r="136" spans="1:13" x14ac:dyDescent="0.25">
      <c r="A136" s="11">
        <f>sales!A139</f>
        <v>46084.70716435185</v>
      </c>
      <c r="B136">
        <f>sales!B139</f>
        <v>104</v>
      </c>
      <c r="C136" t="str">
        <f>sales!C139</f>
        <v>Coca cola</v>
      </c>
      <c r="D136">
        <f>sales!D139</f>
        <v>3000</v>
      </c>
      <c r="E136" t="str">
        <f>sales!E139</f>
        <v>NEQUI</v>
      </c>
      <c r="F136">
        <f>sales!F139</f>
        <v>1</v>
      </c>
      <c r="G136">
        <f>sales!G139</f>
        <v>1</v>
      </c>
      <c r="H136">
        <f>sales!H139</f>
        <v>3000</v>
      </c>
      <c r="J136" s="12">
        <f t="shared" si="8"/>
        <v>46084</v>
      </c>
      <c r="K136" t="str">
        <f t="shared" si="9"/>
        <v>04:58 p. m.</v>
      </c>
      <c r="L136">
        <f t="shared" si="10"/>
        <v>0</v>
      </c>
      <c r="M136">
        <f t="shared" si="11"/>
        <v>3000</v>
      </c>
    </row>
    <row r="137" spans="1:13" x14ac:dyDescent="0.25">
      <c r="A137" s="11">
        <f>sales!A140</f>
        <v>46084.729108796295</v>
      </c>
      <c r="B137">
        <f>sales!B140</f>
        <v>105</v>
      </c>
      <c r="C137" t="str">
        <f>sales!C140</f>
        <v>Chorizo</v>
      </c>
      <c r="D137">
        <f>sales!D140</f>
        <v>8000</v>
      </c>
      <c r="E137" t="str">
        <f>sales!E140</f>
        <v>EFECTIVO</v>
      </c>
      <c r="F137">
        <f>sales!F140</f>
        <v>1</v>
      </c>
      <c r="G137">
        <f>sales!G140</f>
        <v>1</v>
      </c>
      <c r="H137">
        <f>sales!H140</f>
        <v>8000</v>
      </c>
      <c r="J137" s="12">
        <f t="shared" si="8"/>
        <v>46084</v>
      </c>
      <c r="K137" t="str">
        <f t="shared" si="9"/>
        <v>05:29 p. m.</v>
      </c>
      <c r="L137">
        <f t="shared" si="10"/>
        <v>8000</v>
      </c>
      <c r="M137">
        <f t="shared" si="11"/>
        <v>0</v>
      </c>
    </row>
    <row r="138" spans="1:13" x14ac:dyDescent="0.25">
      <c r="A138" s="11">
        <f>sales!A141</f>
        <v>46084.741284722222</v>
      </c>
      <c r="B138">
        <f>sales!B141</f>
        <v>106</v>
      </c>
      <c r="C138" t="str">
        <f>sales!C141</f>
        <v>Chori- CRUDO</v>
      </c>
      <c r="D138">
        <f>sales!D141</f>
        <v>4500</v>
      </c>
      <c r="E138" t="str">
        <f>sales!E141</f>
        <v>EFECTIVO</v>
      </c>
      <c r="F138">
        <f>sales!F141</f>
        <v>2</v>
      </c>
      <c r="G138">
        <f>sales!G141</f>
        <v>1</v>
      </c>
      <c r="H138">
        <f>sales!H141</f>
        <v>9000</v>
      </c>
      <c r="J138" s="12">
        <f t="shared" si="8"/>
        <v>46084</v>
      </c>
      <c r="K138" t="str">
        <f t="shared" si="9"/>
        <v>05:47 p. m.</v>
      </c>
      <c r="L138">
        <f t="shared" si="10"/>
        <v>9000</v>
      </c>
      <c r="M138">
        <f t="shared" si="11"/>
        <v>0</v>
      </c>
    </row>
    <row r="139" spans="1:13" x14ac:dyDescent="0.25">
      <c r="A139" s="11">
        <f>sales!A142</f>
        <v>46084.741284722222</v>
      </c>
      <c r="B139">
        <f>sales!B142</f>
        <v>106</v>
      </c>
      <c r="C139" t="str">
        <f>sales!C142</f>
        <v>Chorizo</v>
      </c>
      <c r="D139">
        <f>sales!D142</f>
        <v>8000</v>
      </c>
      <c r="E139" t="str">
        <f>sales!E142</f>
        <v>EFECTIVO</v>
      </c>
      <c r="F139">
        <f>sales!F142</f>
        <v>1</v>
      </c>
      <c r="G139">
        <f>sales!G142</f>
        <v>1</v>
      </c>
      <c r="H139">
        <f>sales!H142</f>
        <v>8000</v>
      </c>
      <c r="J139" s="12">
        <f t="shared" si="8"/>
        <v>46084</v>
      </c>
      <c r="K139" t="str">
        <f t="shared" si="9"/>
        <v>05:47 p. m.</v>
      </c>
      <c r="L139">
        <f t="shared" si="10"/>
        <v>8000</v>
      </c>
      <c r="M139">
        <f t="shared" si="11"/>
        <v>0</v>
      </c>
    </row>
    <row r="140" spans="1:13" x14ac:dyDescent="0.25">
      <c r="A140" s="11">
        <f>sales!A143</f>
        <v>46084.754699074074</v>
      </c>
      <c r="B140">
        <f>sales!B143</f>
        <v>107</v>
      </c>
      <c r="C140" t="str">
        <f>sales!C143</f>
        <v>Chorizo</v>
      </c>
      <c r="D140">
        <f>sales!D143</f>
        <v>8000</v>
      </c>
      <c r="E140" t="str">
        <f>sales!E143</f>
        <v>EFECTIVO</v>
      </c>
      <c r="F140">
        <f>sales!F143</f>
        <v>1</v>
      </c>
      <c r="G140">
        <f>sales!G143</f>
        <v>1</v>
      </c>
      <c r="H140">
        <f>sales!H143</f>
        <v>8000</v>
      </c>
      <c r="J140" s="12">
        <f t="shared" si="8"/>
        <v>46084</v>
      </c>
      <c r="K140" t="str">
        <f t="shared" si="9"/>
        <v>06:06 p. m.</v>
      </c>
      <c r="L140">
        <f t="shared" si="10"/>
        <v>8000</v>
      </c>
      <c r="M140">
        <f t="shared" si="11"/>
        <v>0</v>
      </c>
    </row>
    <row r="141" spans="1:13" x14ac:dyDescent="0.25">
      <c r="A141" s="11">
        <f>sales!A144</f>
        <v>46084.754699074074</v>
      </c>
      <c r="B141">
        <f>sales!B144</f>
        <v>107</v>
      </c>
      <c r="C141" t="str">
        <f>sales!C144</f>
        <v>Coca cola</v>
      </c>
      <c r="D141">
        <f>sales!D144</f>
        <v>3000</v>
      </c>
      <c r="E141" t="str">
        <f>sales!E144</f>
        <v>EFECTIVO</v>
      </c>
      <c r="F141">
        <f>sales!F144</f>
        <v>1</v>
      </c>
      <c r="G141">
        <f>sales!G144</f>
        <v>1</v>
      </c>
      <c r="H141">
        <f>sales!H144</f>
        <v>3000</v>
      </c>
      <c r="J141" s="12">
        <f t="shared" si="8"/>
        <v>46084</v>
      </c>
      <c r="K141" t="str">
        <f t="shared" si="9"/>
        <v>06:06 p. m.</v>
      </c>
      <c r="L141">
        <f t="shared" si="10"/>
        <v>3000</v>
      </c>
      <c r="M141">
        <f t="shared" si="11"/>
        <v>0</v>
      </c>
    </row>
    <row r="142" spans="1:13" x14ac:dyDescent="0.25">
      <c r="A142" s="11">
        <f>sales!A145</f>
        <v>46084.76284722222</v>
      </c>
      <c r="B142">
        <f>sales!B145</f>
        <v>108</v>
      </c>
      <c r="C142" t="str">
        <f>sales!C145</f>
        <v>Hit</v>
      </c>
      <c r="D142">
        <f>sales!D145</f>
        <v>4500</v>
      </c>
      <c r="E142" t="str">
        <f>sales!E145</f>
        <v>EFECTIVO</v>
      </c>
      <c r="F142">
        <f>sales!F145</f>
        <v>1</v>
      </c>
      <c r="G142">
        <f>sales!G145</f>
        <v>1</v>
      </c>
      <c r="H142">
        <f>sales!H145</f>
        <v>4500</v>
      </c>
      <c r="J142" s="12">
        <f t="shared" si="8"/>
        <v>46084</v>
      </c>
      <c r="K142" t="str">
        <f t="shared" si="9"/>
        <v>06:18 p. m.</v>
      </c>
      <c r="L142">
        <f t="shared" si="10"/>
        <v>4500</v>
      </c>
      <c r="M142">
        <f t="shared" si="11"/>
        <v>0</v>
      </c>
    </row>
    <row r="143" spans="1:13" x14ac:dyDescent="0.25">
      <c r="A143" s="11">
        <f>sales!A146</f>
        <v>46084.765185185184</v>
      </c>
      <c r="B143">
        <f>sales!B146</f>
        <v>109</v>
      </c>
      <c r="C143" t="str">
        <f>sales!C146</f>
        <v>Chorizo</v>
      </c>
      <c r="D143">
        <f>sales!D146</f>
        <v>8000</v>
      </c>
      <c r="E143" t="str">
        <f>sales!E146</f>
        <v>DaviPlata</v>
      </c>
      <c r="F143">
        <f>sales!F146</f>
        <v>1</v>
      </c>
      <c r="G143">
        <f>sales!G146</f>
        <v>1</v>
      </c>
      <c r="H143">
        <f>sales!H146</f>
        <v>8000</v>
      </c>
      <c r="J143" s="12">
        <f t="shared" si="8"/>
        <v>46084</v>
      </c>
      <c r="K143" t="str">
        <f t="shared" si="9"/>
        <v>06:21 p. m.</v>
      </c>
      <c r="L143">
        <f t="shared" si="10"/>
        <v>0</v>
      </c>
      <c r="M143">
        <f t="shared" si="11"/>
        <v>8000</v>
      </c>
    </row>
    <row r="144" spans="1:13" x14ac:dyDescent="0.25">
      <c r="A144" s="11">
        <f>sales!A147</f>
        <v>46084.765185185184</v>
      </c>
      <c r="B144">
        <f>sales!B147</f>
        <v>109</v>
      </c>
      <c r="C144" t="str">
        <f>sales!C147</f>
        <v>Coca cola</v>
      </c>
      <c r="D144">
        <f>sales!D147</f>
        <v>3000</v>
      </c>
      <c r="E144" t="str">
        <f>sales!E147</f>
        <v>DaviPlata</v>
      </c>
      <c r="F144">
        <f>sales!F147</f>
        <v>1</v>
      </c>
      <c r="G144">
        <f>sales!G147</f>
        <v>1</v>
      </c>
      <c r="H144">
        <f>sales!H147</f>
        <v>3000</v>
      </c>
      <c r="J144" s="12">
        <f t="shared" si="8"/>
        <v>46084</v>
      </c>
      <c r="K144" t="str">
        <f t="shared" si="9"/>
        <v>06:21 p. m.</v>
      </c>
      <c r="L144">
        <f t="shared" si="10"/>
        <v>0</v>
      </c>
      <c r="M144">
        <f t="shared" si="11"/>
        <v>3000</v>
      </c>
    </row>
    <row r="145" spans="1:13" x14ac:dyDescent="0.25">
      <c r="A145" s="11">
        <f>sales!A148</f>
        <v>46084.771307870367</v>
      </c>
      <c r="B145">
        <f>sales!B148</f>
        <v>110</v>
      </c>
      <c r="C145" t="str">
        <f>sales!C148</f>
        <v>Hamb. CRUDA</v>
      </c>
      <c r="D145">
        <f>sales!D148</f>
        <v>5000</v>
      </c>
      <c r="E145" t="str">
        <f>sales!E148</f>
        <v>NEQUI</v>
      </c>
      <c r="F145">
        <f>sales!F148</f>
        <v>4</v>
      </c>
      <c r="G145">
        <f>sales!G148</f>
        <v>1</v>
      </c>
      <c r="H145">
        <f>sales!H148</f>
        <v>20000</v>
      </c>
      <c r="J145" s="12">
        <f t="shared" si="8"/>
        <v>46084</v>
      </c>
      <c r="K145" t="str">
        <f t="shared" si="9"/>
        <v>06:30 p. m.</v>
      </c>
      <c r="L145">
        <f t="shared" si="10"/>
        <v>0</v>
      </c>
      <c r="M145">
        <f t="shared" si="11"/>
        <v>20000</v>
      </c>
    </row>
    <row r="146" spans="1:13" x14ac:dyDescent="0.25">
      <c r="A146" s="11">
        <f>sales!A149</f>
        <v>46084.852488425924</v>
      </c>
      <c r="B146">
        <f>sales!B149</f>
        <v>111</v>
      </c>
      <c r="C146" t="str">
        <f>sales!C149</f>
        <v>Chorizo</v>
      </c>
      <c r="D146">
        <f>sales!D149</f>
        <v>8000</v>
      </c>
      <c r="E146" t="str">
        <f>sales!E149</f>
        <v>EFECTIVO</v>
      </c>
      <c r="F146">
        <f>sales!F149</f>
        <v>2</v>
      </c>
      <c r="G146">
        <f>sales!G149</f>
        <v>1</v>
      </c>
      <c r="H146">
        <f>sales!H149</f>
        <v>16000</v>
      </c>
      <c r="J146" s="12">
        <f t="shared" si="8"/>
        <v>46084</v>
      </c>
      <c r="K146" t="str">
        <f t="shared" si="9"/>
        <v>08:27 p. m.</v>
      </c>
      <c r="L146">
        <f t="shared" si="10"/>
        <v>16000</v>
      </c>
      <c r="M146">
        <f t="shared" si="11"/>
        <v>0</v>
      </c>
    </row>
    <row r="147" spans="1:13" x14ac:dyDescent="0.25">
      <c r="A147" s="11">
        <f>sales!A150</f>
        <v>46084.852488425924</v>
      </c>
      <c r="B147">
        <f>sales!B150</f>
        <v>111</v>
      </c>
      <c r="C147" t="str">
        <f>sales!C150</f>
        <v>Coca cola</v>
      </c>
      <c r="D147">
        <f>sales!D150</f>
        <v>3000</v>
      </c>
      <c r="E147" t="str">
        <f>sales!E150</f>
        <v>EFECTIVO</v>
      </c>
      <c r="F147">
        <f>sales!F150</f>
        <v>2</v>
      </c>
      <c r="G147">
        <f>sales!G150</f>
        <v>1</v>
      </c>
      <c r="H147">
        <f>sales!H150</f>
        <v>6000</v>
      </c>
      <c r="J147" s="12">
        <f t="shared" si="8"/>
        <v>46084</v>
      </c>
      <c r="K147" t="str">
        <f t="shared" si="9"/>
        <v>08:27 p. m.</v>
      </c>
      <c r="L147">
        <f>+IF(E147="EFECTIVO",H147,0)</f>
        <v>6000</v>
      </c>
      <c r="M147">
        <f t="shared" si="11"/>
        <v>0</v>
      </c>
    </row>
    <row r="148" spans="1:13" x14ac:dyDescent="0.25">
      <c r="A148" s="11">
        <f>sales!A151</f>
        <v>46085.630706018521</v>
      </c>
      <c r="B148">
        <f>sales!B151</f>
        <v>112</v>
      </c>
      <c r="C148" t="str">
        <f>sales!C151</f>
        <v>Chorizo</v>
      </c>
      <c r="D148">
        <f>sales!D151</f>
        <v>8000</v>
      </c>
      <c r="E148" t="str">
        <f>sales!E151</f>
        <v>EFECTIVO</v>
      </c>
      <c r="F148">
        <f>sales!F151</f>
        <v>1</v>
      </c>
      <c r="G148">
        <f>sales!G151</f>
        <v>1</v>
      </c>
      <c r="H148">
        <f>sales!H151</f>
        <v>8000</v>
      </c>
      <c r="J148" s="12">
        <f t="shared" ref="J148:J208" si="12">+DATE(YEAR(A148),MONTH(A148),DAY(A148))</f>
        <v>46085</v>
      </c>
      <c r="K148" t="str">
        <f t="shared" ref="K148:K208" si="13">TEXT(A148,"hh:mm AM/PM")</f>
        <v>03:08 p. m.</v>
      </c>
      <c r="L148">
        <f>+IF(E148="EFECTIVO",H148,0)</f>
        <v>8000</v>
      </c>
      <c r="M148">
        <f t="shared" ref="M148:M209" si="14">+IF(OR(E148="NEQUI",E148="DAVIPLATA"),H148,0)</f>
        <v>0</v>
      </c>
    </row>
    <row r="149" spans="1:13" x14ac:dyDescent="0.25">
      <c r="A149" s="11">
        <f>sales!A152</f>
        <v>46085.630706018521</v>
      </c>
      <c r="B149">
        <f>sales!B152</f>
        <v>112</v>
      </c>
      <c r="C149" t="str">
        <f>sales!C152</f>
        <v>Coca cola</v>
      </c>
      <c r="D149">
        <f>sales!D152</f>
        <v>3000</v>
      </c>
      <c r="E149" t="str">
        <f>sales!E152</f>
        <v>EFECTIVO</v>
      </c>
      <c r="F149">
        <f>sales!F152</f>
        <v>1</v>
      </c>
      <c r="G149">
        <f>sales!G152</f>
        <v>1</v>
      </c>
      <c r="H149">
        <f>sales!H152</f>
        <v>3000</v>
      </c>
      <c r="J149" s="12">
        <f t="shared" si="12"/>
        <v>46085</v>
      </c>
      <c r="K149" t="str">
        <f t="shared" si="13"/>
        <v>03:08 p. m.</v>
      </c>
      <c r="L149">
        <f t="shared" ref="L149:L208" si="15">+IF(E149="EFECTIVO",H149,0)</f>
        <v>3000</v>
      </c>
      <c r="M149">
        <f t="shared" si="14"/>
        <v>0</v>
      </c>
    </row>
    <row r="150" spans="1:13" x14ac:dyDescent="0.25">
      <c r="A150" s="11">
        <f>sales!A153</f>
        <v>46085.630706018521</v>
      </c>
      <c r="B150">
        <f>sales!B153</f>
        <v>112</v>
      </c>
      <c r="C150" t="str">
        <f>sales!C153</f>
        <v>Ham. combo</v>
      </c>
      <c r="D150">
        <f>sales!D153</f>
        <v>22000</v>
      </c>
      <c r="E150" t="str">
        <f>sales!E153</f>
        <v>EFECTIVO</v>
      </c>
      <c r="F150">
        <f>sales!F153</f>
        <v>1</v>
      </c>
      <c r="G150">
        <f>sales!G153</f>
        <v>1</v>
      </c>
      <c r="H150">
        <f>sales!H153</f>
        <v>22000</v>
      </c>
      <c r="J150" s="12">
        <f t="shared" si="12"/>
        <v>46085</v>
      </c>
      <c r="K150" t="str">
        <f t="shared" si="13"/>
        <v>03:08 p. m.</v>
      </c>
      <c r="L150">
        <f t="shared" si="15"/>
        <v>22000</v>
      </c>
      <c r="M150">
        <f t="shared" si="14"/>
        <v>0</v>
      </c>
    </row>
    <row r="151" spans="1:13" x14ac:dyDescent="0.25">
      <c r="A151" s="11">
        <f>sales!A154</f>
        <v>46085.633634259262</v>
      </c>
      <c r="B151">
        <f>sales!B154</f>
        <v>113</v>
      </c>
      <c r="C151" t="str">
        <f>sales!C154</f>
        <v>Chorizo</v>
      </c>
      <c r="D151">
        <f>sales!D154</f>
        <v>8000</v>
      </c>
      <c r="E151" t="str">
        <f>sales!E154</f>
        <v>EFECTIVO</v>
      </c>
      <c r="F151">
        <f>sales!F154</f>
        <v>1</v>
      </c>
      <c r="G151">
        <f>sales!G154</f>
        <v>1</v>
      </c>
      <c r="H151">
        <f>sales!H154</f>
        <v>8000</v>
      </c>
      <c r="J151" s="12">
        <f t="shared" si="12"/>
        <v>46085</v>
      </c>
      <c r="K151" t="str">
        <f t="shared" si="13"/>
        <v>03:12 p. m.</v>
      </c>
      <c r="L151">
        <f t="shared" si="15"/>
        <v>8000</v>
      </c>
      <c r="M151">
        <f t="shared" si="14"/>
        <v>0</v>
      </c>
    </row>
    <row r="152" spans="1:13" x14ac:dyDescent="0.25">
      <c r="A152" s="11">
        <f>sales!A155</f>
        <v>46085.666388888887</v>
      </c>
      <c r="B152">
        <f>sales!B155</f>
        <v>114</v>
      </c>
      <c r="C152" t="str">
        <f>sales!C155</f>
        <v>Chorizo</v>
      </c>
      <c r="D152">
        <f>sales!D155</f>
        <v>8000</v>
      </c>
      <c r="E152" t="str">
        <f>sales!E155</f>
        <v>EFECTIVO</v>
      </c>
      <c r="F152">
        <f>sales!F155</f>
        <v>1</v>
      </c>
      <c r="G152">
        <f>sales!G155</f>
        <v>1</v>
      </c>
      <c r="H152">
        <f>sales!H155</f>
        <v>8000</v>
      </c>
      <c r="J152" s="12">
        <f t="shared" si="12"/>
        <v>46085</v>
      </c>
      <c r="K152" t="str">
        <f t="shared" si="13"/>
        <v>03:59 p. m.</v>
      </c>
      <c r="L152">
        <f t="shared" si="15"/>
        <v>8000</v>
      </c>
      <c r="M152">
        <f t="shared" si="14"/>
        <v>0</v>
      </c>
    </row>
    <row r="153" spans="1:13" x14ac:dyDescent="0.25">
      <c r="A153" s="11">
        <f>sales!A156</f>
        <v>46085.690694444442</v>
      </c>
      <c r="B153">
        <f>sales!B156</f>
        <v>115</v>
      </c>
      <c r="C153" t="str">
        <f>sales!C156</f>
        <v>Chorizo</v>
      </c>
      <c r="D153">
        <f>sales!D156</f>
        <v>8000</v>
      </c>
      <c r="E153" t="str">
        <f>sales!E156</f>
        <v>EFECTIVO</v>
      </c>
      <c r="F153">
        <f>sales!F156</f>
        <v>1</v>
      </c>
      <c r="G153">
        <f>sales!G156</f>
        <v>1</v>
      </c>
      <c r="H153">
        <f>sales!H156</f>
        <v>8000</v>
      </c>
      <c r="J153" s="12">
        <f t="shared" si="12"/>
        <v>46085</v>
      </c>
      <c r="K153" t="str">
        <f t="shared" si="13"/>
        <v>04:34 p. m.</v>
      </c>
      <c r="L153">
        <f t="shared" si="15"/>
        <v>8000</v>
      </c>
      <c r="M153">
        <f t="shared" si="14"/>
        <v>0</v>
      </c>
    </row>
    <row r="154" spans="1:13" x14ac:dyDescent="0.25">
      <c r="A154" s="11">
        <f>sales!A157</f>
        <v>46085.690694444442</v>
      </c>
      <c r="B154">
        <f>sales!B157</f>
        <v>115</v>
      </c>
      <c r="C154" t="str">
        <f>sales!C157</f>
        <v>Coca cola</v>
      </c>
      <c r="D154">
        <f>sales!D157</f>
        <v>3000</v>
      </c>
      <c r="E154" t="str">
        <f>sales!E157</f>
        <v>EFECTIVO</v>
      </c>
      <c r="F154">
        <f>sales!F157</f>
        <v>1</v>
      </c>
      <c r="G154">
        <f>sales!G157</f>
        <v>1</v>
      </c>
      <c r="H154">
        <f>sales!H157</f>
        <v>3000</v>
      </c>
      <c r="J154" s="12">
        <f t="shared" si="12"/>
        <v>46085</v>
      </c>
      <c r="K154" t="str">
        <f t="shared" si="13"/>
        <v>04:34 p. m.</v>
      </c>
      <c r="L154">
        <f t="shared" si="15"/>
        <v>3000</v>
      </c>
      <c r="M154">
        <f t="shared" si="14"/>
        <v>0</v>
      </c>
    </row>
    <row r="155" spans="1:13" x14ac:dyDescent="0.25">
      <c r="A155" s="11">
        <f>sales!A158</f>
        <v>46085.690879629627</v>
      </c>
      <c r="B155">
        <f>sales!B158</f>
        <v>116</v>
      </c>
      <c r="C155" t="str">
        <f>sales!C158</f>
        <v>Agua</v>
      </c>
      <c r="D155">
        <f>sales!D158</f>
        <v>3000</v>
      </c>
      <c r="E155" t="str">
        <f>sales!E158</f>
        <v>EFECTIVO</v>
      </c>
      <c r="F155">
        <f>sales!F158</f>
        <v>2</v>
      </c>
      <c r="G155">
        <f>sales!G158</f>
        <v>1</v>
      </c>
      <c r="H155">
        <f>sales!H158</f>
        <v>6000</v>
      </c>
      <c r="J155" s="12">
        <f t="shared" si="12"/>
        <v>46085</v>
      </c>
      <c r="K155" t="str">
        <f t="shared" si="13"/>
        <v>04:34 p. m.</v>
      </c>
      <c r="L155">
        <f t="shared" si="15"/>
        <v>6000</v>
      </c>
      <c r="M155">
        <f t="shared" si="14"/>
        <v>0</v>
      </c>
    </row>
    <row r="156" spans="1:13" x14ac:dyDescent="0.25">
      <c r="A156" s="11">
        <f>sales!A159</f>
        <v>46085.692164351851</v>
      </c>
      <c r="B156">
        <f>sales!B159</f>
        <v>117</v>
      </c>
      <c r="C156" t="str">
        <f>sales!C159</f>
        <v>Ham. combo</v>
      </c>
      <c r="D156">
        <f>sales!D159</f>
        <v>22000</v>
      </c>
      <c r="E156" t="str">
        <f>sales!E159</f>
        <v>EFECTIVO</v>
      </c>
      <c r="F156">
        <f>sales!F159</f>
        <v>1</v>
      </c>
      <c r="G156">
        <f>sales!G159</f>
        <v>1</v>
      </c>
      <c r="H156">
        <f>sales!H159</f>
        <v>22000</v>
      </c>
      <c r="J156" s="12">
        <f t="shared" si="12"/>
        <v>46085</v>
      </c>
      <c r="K156" t="str">
        <f t="shared" si="13"/>
        <v>04:36 p. m.</v>
      </c>
      <c r="L156">
        <f t="shared" si="15"/>
        <v>22000</v>
      </c>
      <c r="M156">
        <f t="shared" si="14"/>
        <v>0</v>
      </c>
    </row>
    <row r="157" spans="1:13" x14ac:dyDescent="0.25">
      <c r="A157" s="11">
        <f>sales!A160</f>
        <v>46085.692164351851</v>
      </c>
      <c r="B157">
        <f>sales!B160</f>
        <v>117</v>
      </c>
      <c r="C157" t="str">
        <f>sales!C160</f>
        <v>Ham. sencilla</v>
      </c>
      <c r="D157">
        <f>sales!D160</f>
        <v>17000</v>
      </c>
      <c r="E157" t="str">
        <f>sales!E160</f>
        <v>EFECTIVO</v>
      </c>
      <c r="F157">
        <f>sales!F160</f>
        <v>1</v>
      </c>
      <c r="G157">
        <f>sales!G160</f>
        <v>1</v>
      </c>
      <c r="H157">
        <f>sales!H160</f>
        <v>17000</v>
      </c>
      <c r="J157" s="12">
        <f t="shared" si="12"/>
        <v>46085</v>
      </c>
      <c r="K157" t="str">
        <f t="shared" si="13"/>
        <v>04:36 p. m.</v>
      </c>
      <c r="L157">
        <f t="shared" si="15"/>
        <v>17000</v>
      </c>
      <c r="M157">
        <f t="shared" si="14"/>
        <v>0</v>
      </c>
    </row>
    <row r="158" spans="1:13" x14ac:dyDescent="0.25">
      <c r="A158" s="11">
        <f>sales!A161</f>
        <v>46085.701921296299</v>
      </c>
      <c r="B158">
        <f>sales!B161</f>
        <v>118</v>
      </c>
      <c r="C158" t="str">
        <f>sales!C161</f>
        <v>carne + chorizo</v>
      </c>
      <c r="D158">
        <f>sales!D161</f>
        <v>25000</v>
      </c>
      <c r="E158" t="str">
        <f>sales!E161</f>
        <v>NEQUI</v>
      </c>
      <c r="F158">
        <f>sales!F161</f>
        <v>1</v>
      </c>
      <c r="G158">
        <f>sales!G161</f>
        <v>1</v>
      </c>
      <c r="H158">
        <f>sales!H161</f>
        <v>25000</v>
      </c>
      <c r="J158" s="12">
        <f t="shared" si="12"/>
        <v>46085</v>
      </c>
      <c r="K158" t="str">
        <f t="shared" si="13"/>
        <v>04:50 p. m.</v>
      </c>
      <c r="L158">
        <f t="shared" si="15"/>
        <v>0</v>
      </c>
      <c r="M158">
        <f t="shared" si="14"/>
        <v>25000</v>
      </c>
    </row>
    <row r="159" spans="1:13" x14ac:dyDescent="0.25">
      <c r="A159" s="11">
        <f>sales!A162</f>
        <v>46085.701921296299</v>
      </c>
      <c r="B159">
        <f>sales!B162</f>
        <v>118</v>
      </c>
      <c r="C159" t="str">
        <f>sales!C162</f>
        <v>Chorizo</v>
      </c>
      <c r="D159">
        <f>sales!D162</f>
        <v>8000</v>
      </c>
      <c r="E159" t="str">
        <f>sales!E162</f>
        <v>NEQUI</v>
      </c>
      <c r="F159">
        <f>sales!F162</f>
        <v>3</v>
      </c>
      <c r="G159">
        <f>sales!G162</f>
        <v>1</v>
      </c>
      <c r="H159">
        <f>sales!H162</f>
        <v>24000</v>
      </c>
      <c r="J159" s="12">
        <f t="shared" si="12"/>
        <v>46085</v>
      </c>
      <c r="K159" t="str">
        <f t="shared" si="13"/>
        <v>04:50 p. m.</v>
      </c>
      <c r="L159">
        <f t="shared" si="15"/>
        <v>0</v>
      </c>
      <c r="M159">
        <f t="shared" si="14"/>
        <v>24000</v>
      </c>
    </row>
    <row r="160" spans="1:13" x14ac:dyDescent="0.25">
      <c r="A160" s="11">
        <f>sales!A163</f>
        <v>46085.701921296299</v>
      </c>
      <c r="B160">
        <f>sales!B163</f>
        <v>118</v>
      </c>
      <c r="C160" t="str">
        <f>sales!C163</f>
        <v>Coca cola</v>
      </c>
      <c r="D160">
        <f>sales!D163</f>
        <v>3000</v>
      </c>
      <c r="E160" t="str">
        <f>sales!E163</f>
        <v>NEQUI</v>
      </c>
      <c r="F160">
        <f>sales!F163</f>
        <v>2</v>
      </c>
      <c r="G160">
        <f>sales!G163</f>
        <v>1</v>
      </c>
      <c r="H160">
        <f>sales!H163</f>
        <v>6000</v>
      </c>
      <c r="J160" s="12">
        <f t="shared" si="12"/>
        <v>46085</v>
      </c>
      <c r="K160" t="str">
        <f t="shared" si="13"/>
        <v>04:50 p. m.</v>
      </c>
      <c r="L160">
        <f t="shared" si="15"/>
        <v>0</v>
      </c>
      <c r="M160">
        <f t="shared" si="14"/>
        <v>6000</v>
      </c>
    </row>
    <row r="161" spans="1:13" x14ac:dyDescent="0.25">
      <c r="A161" s="11">
        <f>sales!A164</f>
        <v>46085.701921296299</v>
      </c>
      <c r="B161">
        <f>sales!B164</f>
        <v>118</v>
      </c>
      <c r="C161" t="str">
        <f>sales!C164</f>
        <v>Postobon</v>
      </c>
      <c r="D161">
        <f>sales!D164</f>
        <v>3000</v>
      </c>
      <c r="E161" t="str">
        <f>sales!E164</f>
        <v>NEQUI</v>
      </c>
      <c r="F161">
        <f>sales!F164</f>
        <v>3</v>
      </c>
      <c r="G161">
        <f>sales!G164</f>
        <v>1</v>
      </c>
      <c r="H161">
        <f>sales!H164</f>
        <v>9000</v>
      </c>
      <c r="J161" s="12">
        <f t="shared" si="12"/>
        <v>46085</v>
      </c>
      <c r="K161" t="str">
        <f t="shared" si="13"/>
        <v>04:50 p. m.</v>
      </c>
      <c r="L161">
        <f t="shared" si="15"/>
        <v>0</v>
      </c>
      <c r="M161">
        <f t="shared" si="14"/>
        <v>9000</v>
      </c>
    </row>
    <row r="162" spans="1:13" x14ac:dyDescent="0.25">
      <c r="A162" s="11">
        <f>sales!A165</f>
        <v>46085.783217592594</v>
      </c>
      <c r="B162">
        <f>sales!B165</f>
        <v>119</v>
      </c>
      <c r="C162" t="str">
        <f>sales!C165</f>
        <v>Chori- CRUDO</v>
      </c>
      <c r="D162">
        <f>sales!D165</f>
        <v>4500</v>
      </c>
      <c r="E162" t="str">
        <f>sales!E165</f>
        <v>EFECTIVO</v>
      </c>
      <c r="F162">
        <f>sales!F165</f>
        <v>4</v>
      </c>
      <c r="G162">
        <f>sales!G165</f>
        <v>1</v>
      </c>
      <c r="H162">
        <f>sales!H165</f>
        <v>18000</v>
      </c>
      <c r="J162" s="12">
        <f t="shared" si="12"/>
        <v>46085</v>
      </c>
      <c r="K162" t="str">
        <f t="shared" si="13"/>
        <v>06:47 p. m.</v>
      </c>
      <c r="L162">
        <f t="shared" si="15"/>
        <v>18000</v>
      </c>
      <c r="M162">
        <f t="shared" si="14"/>
        <v>0</v>
      </c>
    </row>
    <row r="163" spans="1:13" x14ac:dyDescent="0.25">
      <c r="A163" s="11">
        <f>sales!A166</f>
        <v>46085.804606481484</v>
      </c>
      <c r="B163">
        <f>sales!B166</f>
        <v>120</v>
      </c>
      <c r="C163" t="str">
        <f>sales!C166</f>
        <v>Chorizo</v>
      </c>
      <c r="D163">
        <f>sales!D166</f>
        <v>8000</v>
      </c>
      <c r="E163" t="str">
        <f>sales!E166</f>
        <v>EFECTIVO</v>
      </c>
      <c r="F163">
        <f>sales!F166</f>
        <v>4</v>
      </c>
      <c r="G163">
        <f>sales!G166</f>
        <v>1</v>
      </c>
      <c r="H163">
        <f>sales!H166</f>
        <v>32000</v>
      </c>
      <c r="J163" s="12">
        <f t="shared" si="12"/>
        <v>46085</v>
      </c>
      <c r="K163" t="str">
        <f t="shared" si="13"/>
        <v>07:18 p. m.</v>
      </c>
      <c r="L163">
        <f t="shared" si="15"/>
        <v>32000</v>
      </c>
      <c r="M163">
        <f t="shared" si="14"/>
        <v>0</v>
      </c>
    </row>
    <row r="164" spans="1:13" x14ac:dyDescent="0.25">
      <c r="A164" s="11">
        <f>sales!A167</f>
        <v>46085.810763888891</v>
      </c>
      <c r="B164">
        <f>sales!B167</f>
        <v>121</v>
      </c>
      <c r="C164" t="str">
        <f>sales!C167</f>
        <v>Chorizo</v>
      </c>
      <c r="D164">
        <f>sales!D167</f>
        <v>8000</v>
      </c>
      <c r="E164" t="str">
        <f>sales!E167</f>
        <v>NEQUI</v>
      </c>
      <c r="F164">
        <f>sales!F167</f>
        <v>2</v>
      </c>
      <c r="G164">
        <f>sales!G167</f>
        <v>1</v>
      </c>
      <c r="H164">
        <f>sales!H167</f>
        <v>16000</v>
      </c>
      <c r="J164" s="12">
        <f t="shared" si="12"/>
        <v>46085</v>
      </c>
      <c r="K164" t="str">
        <f t="shared" si="13"/>
        <v>07:27 p. m.</v>
      </c>
      <c r="L164">
        <f t="shared" si="15"/>
        <v>0</v>
      </c>
      <c r="M164">
        <f t="shared" si="14"/>
        <v>16000</v>
      </c>
    </row>
    <row r="165" spans="1:13" x14ac:dyDescent="0.25">
      <c r="A165" s="11">
        <f>sales!A168</f>
        <v>46085.810763888891</v>
      </c>
      <c r="B165">
        <f>sales!B168</f>
        <v>121</v>
      </c>
      <c r="C165" t="str">
        <f>sales!C168</f>
        <v>Coca cola</v>
      </c>
      <c r="D165">
        <f>sales!D168</f>
        <v>3000</v>
      </c>
      <c r="E165" t="str">
        <f>sales!E168</f>
        <v>NEQUI</v>
      </c>
      <c r="F165">
        <f>sales!F168</f>
        <v>1</v>
      </c>
      <c r="G165">
        <f>sales!G168</f>
        <v>1</v>
      </c>
      <c r="H165">
        <f>sales!H168</f>
        <v>3000</v>
      </c>
      <c r="J165" s="12">
        <f t="shared" si="12"/>
        <v>46085</v>
      </c>
      <c r="K165" t="str">
        <f t="shared" si="13"/>
        <v>07:27 p. m.</v>
      </c>
      <c r="L165">
        <f t="shared" si="15"/>
        <v>0</v>
      </c>
      <c r="M165">
        <f t="shared" si="14"/>
        <v>3000</v>
      </c>
    </row>
    <row r="166" spans="1:13" x14ac:dyDescent="0.25">
      <c r="A166" s="11">
        <f>sales!A169</f>
        <v>46085.831319444442</v>
      </c>
      <c r="B166">
        <f>sales!B169</f>
        <v>122</v>
      </c>
      <c r="C166" t="str">
        <f>sales!C169</f>
        <v>Chorizo</v>
      </c>
      <c r="D166">
        <f>sales!D169</f>
        <v>8000</v>
      </c>
      <c r="E166" t="str">
        <f>sales!E169</f>
        <v>EFECTIVO</v>
      </c>
      <c r="F166">
        <f>sales!F169</f>
        <v>5</v>
      </c>
      <c r="G166">
        <f>sales!G169</f>
        <v>1</v>
      </c>
      <c r="H166">
        <f>sales!H169</f>
        <v>40000</v>
      </c>
      <c r="J166" s="12">
        <f t="shared" si="12"/>
        <v>46085</v>
      </c>
      <c r="K166" t="str">
        <f t="shared" si="13"/>
        <v>07:57 p. m.</v>
      </c>
      <c r="L166">
        <f t="shared" si="15"/>
        <v>40000</v>
      </c>
      <c r="M166">
        <f t="shared" si="14"/>
        <v>0</v>
      </c>
    </row>
    <row r="167" spans="1:13" x14ac:dyDescent="0.25">
      <c r="A167" s="11">
        <f>sales!A170</f>
        <v>46085.831319444442</v>
      </c>
      <c r="B167">
        <f>sales!B170</f>
        <v>122</v>
      </c>
      <c r="C167" t="str">
        <f>sales!C170</f>
        <v>Coca cola</v>
      </c>
      <c r="D167">
        <f>sales!D170</f>
        <v>3000</v>
      </c>
      <c r="E167" t="str">
        <f>sales!E170</f>
        <v>EFECTIVO</v>
      </c>
      <c r="F167">
        <f>sales!F170</f>
        <v>2</v>
      </c>
      <c r="G167">
        <f>sales!G170</f>
        <v>1</v>
      </c>
      <c r="H167">
        <f>sales!H170</f>
        <v>6000</v>
      </c>
      <c r="J167" s="12">
        <f t="shared" si="12"/>
        <v>46085</v>
      </c>
      <c r="K167" t="str">
        <f t="shared" si="13"/>
        <v>07:57 p. m.</v>
      </c>
      <c r="L167">
        <f t="shared" si="15"/>
        <v>6000</v>
      </c>
      <c r="M167">
        <f t="shared" si="14"/>
        <v>0</v>
      </c>
    </row>
    <row r="168" spans="1:13" x14ac:dyDescent="0.25">
      <c r="A168" s="11">
        <f>sales!A171</f>
        <v>46085.831319444442</v>
      </c>
      <c r="B168">
        <f>sales!B171</f>
        <v>122</v>
      </c>
      <c r="C168" t="str">
        <f>sales!C171</f>
        <v>Postobon</v>
      </c>
      <c r="D168">
        <f>sales!D171</f>
        <v>3000</v>
      </c>
      <c r="E168" t="str">
        <f>sales!E171</f>
        <v>EFECTIVO</v>
      </c>
      <c r="F168">
        <f>sales!F171</f>
        <v>3</v>
      </c>
      <c r="G168">
        <f>sales!G171</f>
        <v>1</v>
      </c>
      <c r="H168">
        <f>sales!H171</f>
        <v>9000</v>
      </c>
      <c r="J168" s="12">
        <f t="shared" si="12"/>
        <v>46085</v>
      </c>
      <c r="K168" t="str">
        <f t="shared" si="13"/>
        <v>07:57 p. m.</v>
      </c>
      <c r="L168">
        <f t="shared" si="15"/>
        <v>9000</v>
      </c>
      <c r="M168">
        <f t="shared" si="14"/>
        <v>0</v>
      </c>
    </row>
    <row r="169" spans="1:13" x14ac:dyDescent="0.25">
      <c r="A169" s="11">
        <f>sales!A172</f>
        <v>46085.831319444442</v>
      </c>
      <c r="B169">
        <f>sales!B172</f>
        <v>122</v>
      </c>
      <c r="C169" t="str">
        <f>sales!C172</f>
        <v>VARIOS: Costillas BBQ</v>
      </c>
      <c r="D169">
        <f>sales!D172</f>
        <v>50000</v>
      </c>
      <c r="E169" t="str">
        <f>sales!E172</f>
        <v>EFECTIVO</v>
      </c>
      <c r="F169">
        <f>sales!F172</f>
        <v>1</v>
      </c>
      <c r="G169">
        <f>sales!G172</f>
        <v>1</v>
      </c>
      <c r="H169">
        <f>sales!H172</f>
        <v>50000</v>
      </c>
      <c r="J169" s="12">
        <f t="shared" si="12"/>
        <v>46085</v>
      </c>
      <c r="K169" t="str">
        <f t="shared" si="13"/>
        <v>07:57 p. m.</v>
      </c>
      <c r="L169">
        <f t="shared" si="15"/>
        <v>50000</v>
      </c>
      <c r="M169">
        <f t="shared" si="14"/>
        <v>0</v>
      </c>
    </row>
    <row r="170" spans="1:13" x14ac:dyDescent="0.25">
      <c r="A170" s="11">
        <f>sales!A173</f>
        <v>46086.58488425926</v>
      </c>
      <c r="B170">
        <f>sales!B173</f>
        <v>123</v>
      </c>
      <c r="C170" t="str">
        <f>sales!C173</f>
        <v>Carne con chorizo -30</v>
      </c>
      <c r="D170">
        <f>sales!D173</f>
        <v>30000</v>
      </c>
      <c r="E170" t="str">
        <f>sales!E173</f>
        <v>NEQUI</v>
      </c>
      <c r="F170">
        <f>sales!F173</f>
        <v>1</v>
      </c>
      <c r="G170">
        <f>sales!G173</f>
        <v>1</v>
      </c>
      <c r="H170">
        <f>sales!H173</f>
        <v>30000</v>
      </c>
      <c r="J170" s="12">
        <f t="shared" si="12"/>
        <v>46086</v>
      </c>
      <c r="K170" t="str">
        <f t="shared" si="13"/>
        <v>02:02 p. m.</v>
      </c>
      <c r="L170">
        <f t="shared" si="15"/>
        <v>0</v>
      </c>
      <c r="M170">
        <f t="shared" si="14"/>
        <v>30000</v>
      </c>
    </row>
    <row r="171" spans="1:13" x14ac:dyDescent="0.25">
      <c r="A171" s="11">
        <f>sales!A174</f>
        <v>46086.58488425926</v>
      </c>
      <c r="B171">
        <f>sales!B174</f>
        <v>123</v>
      </c>
      <c r="C171" t="str">
        <f>sales!C174</f>
        <v>Propina - Gustavo</v>
      </c>
      <c r="D171">
        <f>sales!D174</f>
        <v>5000</v>
      </c>
      <c r="E171" t="str">
        <f>sales!E174</f>
        <v>NEQUI</v>
      </c>
      <c r="F171">
        <f>sales!F174</f>
        <v>1</v>
      </c>
      <c r="G171">
        <f>sales!G174</f>
        <v>1</v>
      </c>
      <c r="H171">
        <f>sales!H174</f>
        <v>5000</v>
      </c>
      <c r="J171" s="12">
        <f t="shared" si="12"/>
        <v>46086</v>
      </c>
      <c r="K171" t="str">
        <f t="shared" si="13"/>
        <v>02:02 p. m.</v>
      </c>
      <c r="L171">
        <f t="shared" si="15"/>
        <v>0</v>
      </c>
      <c r="M171">
        <f t="shared" si="14"/>
        <v>5000</v>
      </c>
    </row>
    <row r="172" spans="1:13" x14ac:dyDescent="0.25">
      <c r="A172" s="11">
        <f>sales!A175</f>
        <v>46086.627349537041</v>
      </c>
      <c r="B172">
        <f>sales!B175</f>
        <v>124</v>
      </c>
      <c r="C172" t="str">
        <f>sales!C175</f>
        <v>Chorizo</v>
      </c>
      <c r="D172">
        <f>sales!D175</f>
        <v>8000</v>
      </c>
      <c r="E172" t="str">
        <f>sales!E175</f>
        <v>EFECTIVO</v>
      </c>
      <c r="F172">
        <f>sales!F175</f>
        <v>2</v>
      </c>
      <c r="G172">
        <f>sales!G175</f>
        <v>1</v>
      </c>
      <c r="H172">
        <f>sales!H175</f>
        <v>16000</v>
      </c>
      <c r="J172" s="12">
        <f t="shared" si="12"/>
        <v>46086</v>
      </c>
      <c r="K172" t="str">
        <f t="shared" si="13"/>
        <v>03:03 p. m.</v>
      </c>
      <c r="L172">
        <f t="shared" si="15"/>
        <v>16000</v>
      </c>
      <c r="M172">
        <f t="shared" si="14"/>
        <v>0</v>
      </c>
    </row>
    <row r="173" spans="1:13" x14ac:dyDescent="0.25">
      <c r="A173" s="11">
        <f>sales!A176</f>
        <v>46086.627349537041</v>
      </c>
      <c r="B173">
        <f>sales!B176</f>
        <v>124</v>
      </c>
      <c r="C173" t="str">
        <f>sales!C176</f>
        <v>Coca cola</v>
      </c>
      <c r="D173">
        <f>sales!D176</f>
        <v>3000</v>
      </c>
      <c r="E173" t="str">
        <f>sales!E176</f>
        <v>EFECTIVO</v>
      </c>
      <c r="F173">
        <f>sales!F176</f>
        <v>2</v>
      </c>
      <c r="G173">
        <f>sales!G176</f>
        <v>1</v>
      </c>
      <c r="H173">
        <f>sales!H176</f>
        <v>6000</v>
      </c>
      <c r="J173" s="12">
        <f t="shared" si="12"/>
        <v>46086</v>
      </c>
      <c r="K173" t="str">
        <f t="shared" si="13"/>
        <v>03:03 p. m.</v>
      </c>
      <c r="L173">
        <f t="shared" si="15"/>
        <v>6000</v>
      </c>
      <c r="M173">
        <f t="shared" si="14"/>
        <v>0</v>
      </c>
    </row>
    <row r="174" spans="1:13" x14ac:dyDescent="0.25">
      <c r="A174" s="11">
        <f>sales!A177</f>
        <v>46086.639016203706</v>
      </c>
      <c r="B174">
        <f>sales!B177</f>
        <v>125</v>
      </c>
      <c r="C174" t="str">
        <f>sales!C177</f>
        <v>Chorizo</v>
      </c>
      <c r="D174">
        <f>sales!D177</f>
        <v>8000</v>
      </c>
      <c r="E174" t="str">
        <f>sales!E177</f>
        <v>EFECTIVO</v>
      </c>
      <c r="F174">
        <f>sales!F177</f>
        <v>4</v>
      </c>
      <c r="G174">
        <f>sales!G177</f>
        <v>1</v>
      </c>
      <c r="H174">
        <f>sales!H177</f>
        <v>32000</v>
      </c>
      <c r="J174" s="12">
        <f t="shared" si="12"/>
        <v>46086</v>
      </c>
      <c r="K174" t="str">
        <f t="shared" si="13"/>
        <v>03:20 p. m.</v>
      </c>
      <c r="L174">
        <f t="shared" si="15"/>
        <v>32000</v>
      </c>
      <c r="M174">
        <f t="shared" si="14"/>
        <v>0</v>
      </c>
    </row>
    <row r="175" spans="1:13" x14ac:dyDescent="0.25">
      <c r="A175" s="11">
        <f>sales!A178</f>
        <v>46086.639016203706</v>
      </c>
      <c r="B175">
        <f>sales!B178</f>
        <v>125</v>
      </c>
      <c r="C175" t="str">
        <f>sales!C178</f>
        <v>Hit</v>
      </c>
      <c r="D175">
        <f>sales!D178</f>
        <v>4500</v>
      </c>
      <c r="E175" t="str">
        <f>sales!E178</f>
        <v>EFECTIVO</v>
      </c>
      <c r="F175">
        <f>sales!F178</f>
        <v>1</v>
      </c>
      <c r="G175">
        <f>sales!G178</f>
        <v>1</v>
      </c>
      <c r="H175">
        <f>sales!H178</f>
        <v>4500</v>
      </c>
      <c r="J175" s="12">
        <f t="shared" si="12"/>
        <v>46086</v>
      </c>
      <c r="K175" t="str">
        <f t="shared" si="13"/>
        <v>03:20 p. m.</v>
      </c>
      <c r="L175">
        <f t="shared" si="15"/>
        <v>4500</v>
      </c>
      <c r="M175">
        <f t="shared" si="14"/>
        <v>0</v>
      </c>
    </row>
    <row r="176" spans="1:13" x14ac:dyDescent="0.25">
      <c r="A176" s="11">
        <f>sales!A179</f>
        <v>46086.649016203701</v>
      </c>
      <c r="B176">
        <f>sales!B179</f>
        <v>126</v>
      </c>
      <c r="C176" t="str">
        <f>sales!C179</f>
        <v>Hit</v>
      </c>
      <c r="D176">
        <f>sales!D179</f>
        <v>4500</v>
      </c>
      <c r="E176" t="str">
        <f>sales!E179</f>
        <v>NEQUI</v>
      </c>
      <c r="F176">
        <f>sales!F179</f>
        <v>1</v>
      </c>
      <c r="G176">
        <f>sales!G179</f>
        <v>1</v>
      </c>
      <c r="H176">
        <f>sales!H179</f>
        <v>4500</v>
      </c>
      <c r="J176" s="12">
        <f t="shared" si="12"/>
        <v>46086</v>
      </c>
      <c r="K176" t="str">
        <f t="shared" si="13"/>
        <v>03:34 p. m.</v>
      </c>
      <c r="L176">
        <f t="shared" si="15"/>
        <v>0</v>
      </c>
      <c r="M176">
        <f t="shared" si="14"/>
        <v>4500</v>
      </c>
    </row>
    <row r="177" spans="1:13" x14ac:dyDescent="0.25">
      <c r="A177" s="11">
        <f>sales!A180</f>
        <v>46086.649016203701</v>
      </c>
      <c r="B177">
        <f>sales!B180</f>
        <v>126</v>
      </c>
      <c r="C177" t="str">
        <f>sales!C180</f>
        <v>parri tres carnes</v>
      </c>
      <c r="D177">
        <f>sales!D180</f>
        <v>35000</v>
      </c>
      <c r="E177" t="str">
        <f>sales!E180</f>
        <v>NEQUI</v>
      </c>
      <c r="F177">
        <f>sales!F180</f>
        <v>1</v>
      </c>
      <c r="G177">
        <f>sales!G180</f>
        <v>1</v>
      </c>
      <c r="H177">
        <f>sales!H180</f>
        <v>35000</v>
      </c>
      <c r="J177" s="12">
        <f t="shared" si="12"/>
        <v>46086</v>
      </c>
      <c r="K177" t="str">
        <f t="shared" si="13"/>
        <v>03:34 p. m.</v>
      </c>
      <c r="L177">
        <f t="shared" si="15"/>
        <v>0</v>
      </c>
      <c r="M177">
        <f t="shared" si="14"/>
        <v>35000</v>
      </c>
    </row>
    <row r="178" spans="1:13" x14ac:dyDescent="0.25">
      <c r="A178" s="11">
        <f>sales!A181</f>
        <v>46086.658553240741</v>
      </c>
      <c r="B178">
        <f>sales!B181</f>
        <v>127</v>
      </c>
      <c r="C178" t="str">
        <f>sales!C181</f>
        <v>parri tres carnes</v>
      </c>
      <c r="D178">
        <f>sales!D181</f>
        <v>35000</v>
      </c>
      <c r="E178" t="str">
        <f>sales!E181</f>
        <v>EFECTIVO</v>
      </c>
      <c r="F178">
        <f>sales!F181</f>
        <v>1</v>
      </c>
      <c r="G178">
        <f>sales!G181</f>
        <v>1</v>
      </c>
      <c r="H178">
        <f>sales!H181</f>
        <v>35000</v>
      </c>
      <c r="J178" s="12">
        <f t="shared" si="12"/>
        <v>46086</v>
      </c>
      <c r="K178" t="str">
        <f t="shared" si="13"/>
        <v>03:48 p. m.</v>
      </c>
      <c r="L178">
        <f t="shared" si="15"/>
        <v>35000</v>
      </c>
      <c r="M178">
        <f t="shared" si="14"/>
        <v>0</v>
      </c>
    </row>
    <row r="179" spans="1:13" x14ac:dyDescent="0.25">
      <c r="A179" s="11">
        <f>sales!A182</f>
        <v>46086.716770833336</v>
      </c>
      <c r="B179">
        <f>sales!B182</f>
        <v>128</v>
      </c>
      <c r="C179" t="str">
        <f>sales!C182</f>
        <v>Chorizo</v>
      </c>
      <c r="D179">
        <f>sales!D182</f>
        <v>8000</v>
      </c>
      <c r="E179" t="str">
        <f>sales!E182</f>
        <v>EFECTIVO</v>
      </c>
      <c r="F179">
        <f>sales!F182</f>
        <v>1</v>
      </c>
      <c r="G179">
        <f>sales!G182</f>
        <v>1</v>
      </c>
      <c r="H179">
        <f>sales!H182</f>
        <v>8000</v>
      </c>
      <c r="J179" s="12">
        <f t="shared" si="12"/>
        <v>46086</v>
      </c>
      <c r="K179" t="str">
        <f t="shared" si="13"/>
        <v>05:12 p. m.</v>
      </c>
      <c r="L179">
        <f t="shared" si="15"/>
        <v>8000</v>
      </c>
      <c r="M179">
        <f t="shared" si="14"/>
        <v>0</v>
      </c>
    </row>
    <row r="180" spans="1:13" x14ac:dyDescent="0.25">
      <c r="A180" s="11">
        <f>sales!A183</f>
        <v>46086.720509259256</v>
      </c>
      <c r="B180">
        <f>sales!B183</f>
        <v>129</v>
      </c>
      <c r="C180" t="str">
        <f>sales!C183</f>
        <v>Chorizo</v>
      </c>
      <c r="D180">
        <f>sales!D183</f>
        <v>8000</v>
      </c>
      <c r="E180" t="str">
        <f>sales!E183</f>
        <v>EFECTIVO</v>
      </c>
      <c r="F180">
        <f>sales!F183</f>
        <v>1</v>
      </c>
      <c r="G180">
        <f>sales!G183</f>
        <v>1</v>
      </c>
      <c r="H180">
        <f>sales!H183</f>
        <v>8000</v>
      </c>
      <c r="J180" s="12">
        <f t="shared" si="12"/>
        <v>46086</v>
      </c>
      <c r="K180" t="str">
        <f t="shared" si="13"/>
        <v>05:17 p. m.</v>
      </c>
      <c r="L180">
        <f t="shared" si="15"/>
        <v>8000</v>
      </c>
      <c r="M180">
        <f t="shared" si="14"/>
        <v>0</v>
      </c>
    </row>
    <row r="181" spans="1:13" x14ac:dyDescent="0.25">
      <c r="A181" s="11">
        <f>sales!A184</f>
        <v>46086.739074074074</v>
      </c>
      <c r="B181">
        <f>sales!B184</f>
        <v>130</v>
      </c>
      <c r="C181" t="str">
        <f>sales!C184</f>
        <v>Chorizo</v>
      </c>
      <c r="D181">
        <f>sales!D184</f>
        <v>8000</v>
      </c>
      <c r="E181" t="str">
        <f>sales!E184</f>
        <v>EFECTIVO</v>
      </c>
      <c r="F181">
        <f>sales!F184</f>
        <v>1</v>
      </c>
      <c r="G181">
        <f>sales!G184</f>
        <v>1</v>
      </c>
      <c r="H181">
        <f>sales!H184</f>
        <v>8000</v>
      </c>
      <c r="J181" s="12">
        <f t="shared" si="12"/>
        <v>46086</v>
      </c>
      <c r="K181" t="str">
        <f t="shared" si="13"/>
        <v>05:44 p. m.</v>
      </c>
      <c r="L181">
        <f t="shared" si="15"/>
        <v>8000</v>
      </c>
      <c r="M181">
        <f t="shared" si="14"/>
        <v>0</v>
      </c>
    </row>
    <row r="182" spans="1:13" x14ac:dyDescent="0.25">
      <c r="A182" s="11">
        <f>sales!A185</f>
        <v>46086.754618055558</v>
      </c>
      <c r="B182">
        <f>sales!B185</f>
        <v>131</v>
      </c>
      <c r="C182" t="str">
        <f>sales!C185</f>
        <v>Chorizo</v>
      </c>
      <c r="D182">
        <f>sales!D185</f>
        <v>8000</v>
      </c>
      <c r="E182" t="str">
        <f>sales!E185</f>
        <v>EFECTIVO</v>
      </c>
      <c r="F182">
        <f>sales!F185</f>
        <v>1</v>
      </c>
      <c r="G182">
        <f>sales!G185</f>
        <v>1</v>
      </c>
      <c r="H182">
        <f>sales!H185</f>
        <v>8000</v>
      </c>
      <c r="J182" s="12">
        <f t="shared" si="12"/>
        <v>46086</v>
      </c>
      <c r="K182" t="str">
        <f t="shared" si="13"/>
        <v>06:06 p. m.</v>
      </c>
      <c r="L182">
        <f t="shared" si="15"/>
        <v>8000</v>
      </c>
      <c r="M182">
        <f t="shared" si="14"/>
        <v>0</v>
      </c>
    </row>
    <row r="183" spans="1:13" x14ac:dyDescent="0.25">
      <c r="A183" s="11">
        <f>sales!A186</f>
        <v>46086.771956018521</v>
      </c>
      <c r="B183">
        <f>sales!B186</f>
        <v>132</v>
      </c>
      <c r="C183" t="str">
        <f>sales!C186</f>
        <v>Chorizo</v>
      </c>
      <c r="D183">
        <f>sales!D186</f>
        <v>8000</v>
      </c>
      <c r="E183" t="str">
        <f>sales!E186</f>
        <v>EFECTIVO</v>
      </c>
      <c r="F183">
        <f>sales!F186</f>
        <v>1</v>
      </c>
      <c r="G183">
        <f>sales!G186</f>
        <v>1</v>
      </c>
      <c r="H183">
        <f>sales!H186</f>
        <v>8000</v>
      </c>
      <c r="J183" s="12">
        <f t="shared" si="12"/>
        <v>46086</v>
      </c>
      <c r="K183" t="str">
        <f t="shared" si="13"/>
        <v>06:31 p. m.</v>
      </c>
      <c r="L183">
        <f t="shared" si="15"/>
        <v>8000</v>
      </c>
      <c r="M183">
        <f t="shared" si="14"/>
        <v>0</v>
      </c>
    </row>
    <row r="184" spans="1:13" x14ac:dyDescent="0.25">
      <c r="A184" s="11">
        <f>sales!A187</f>
        <v>46086.784814814811</v>
      </c>
      <c r="B184">
        <f>sales!B187</f>
        <v>133</v>
      </c>
      <c r="C184" t="str">
        <f>sales!C187</f>
        <v>Chorizo</v>
      </c>
      <c r="D184">
        <f>sales!D187</f>
        <v>8000</v>
      </c>
      <c r="E184" t="str">
        <f>sales!E187</f>
        <v>NEQUI</v>
      </c>
      <c r="F184">
        <f>sales!F187</f>
        <v>1</v>
      </c>
      <c r="G184">
        <f>sales!G187</f>
        <v>1</v>
      </c>
      <c r="H184">
        <f>sales!H187</f>
        <v>8000</v>
      </c>
      <c r="J184" s="12">
        <f t="shared" si="12"/>
        <v>46086</v>
      </c>
      <c r="K184" t="str">
        <f t="shared" si="13"/>
        <v>06:50 p. m.</v>
      </c>
      <c r="L184">
        <f t="shared" si="15"/>
        <v>0</v>
      </c>
      <c r="M184">
        <f t="shared" si="14"/>
        <v>8000</v>
      </c>
    </row>
    <row r="185" spans="1:13" x14ac:dyDescent="0.25">
      <c r="A185" s="11">
        <f>sales!A188</f>
        <v>46086.784814814811</v>
      </c>
      <c r="B185">
        <f>sales!B188</f>
        <v>133</v>
      </c>
      <c r="C185" t="str">
        <f>sales!C188</f>
        <v>Postobon</v>
      </c>
      <c r="D185">
        <f>sales!D188</f>
        <v>3000</v>
      </c>
      <c r="E185" t="str">
        <f>sales!E188</f>
        <v>NEQUI</v>
      </c>
      <c r="F185">
        <f>sales!F188</f>
        <v>1</v>
      </c>
      <c r="G185">
        <f>sales!G188</f>
        <v>1</v>
      </c>
      <c r="H185">
        <f>sales!H188</f>
        <v>3000</v>
      </c>
      <c r="J185" s="12">
        <f t="shared" si="12"/>
        <v>46086</v>
      </c>
      <c r="K185" t="str">
        <f t="shared" si="13"/>
        <v>06:50 p. m.</v>
      </c>
      <c r="L185">
        <f t="shared" si="15"/>
        <v>0</v>
      </c>
      <c r="M185">
        <f t="shared" si="14"/>
        <v>3000</v>
      </c>
    </row>
    <row r="186" spans="1:13" x14ac:dyDescent="0.25">
      <c r="A186" s="11">
        <f>sales!A189</f>
        <v>46086.802337962959</v>
      </c>
      <c r="B186">
        <f>sales!B189</f>
        <v>134</v>
      </c>
      <c r="C186" t="str">
        <f>sales!C189</f>
        <v>Chorizo</v>
      </c>
      <c r="D186">
        <f>sales!D189</f>
        <v>8000</v>
      </c>
      <c r="E186" t="str">
        <f>sales!E189</f>
        <v>NEQUI</v>
      </c>
      <c r="F186">
        <f>sales!F189</f>
        <v>3</v>
      </c>
      <c r="G186">
        <f>sales!G189</f>
        <v>1</v>
      </c>
      <c r="H186">
        <f>sales!H189</f>
        <v>24000</v>
      </c>
      <c r="J186" s="12">
        <f t="shared" si="12"/>
        <v>46086</v>
      </c>
      <c r="K186" t="str">
        <f t="shared" si="13"/>
        <v>07:15 p. m.</v>
      </c>
      <c r="L186">
        <f t="shared" si="15"/>
        <v>0</v>
      </c>
      <c r="M186">
        <f t="shared" si="14"/>
        <v>24000</v>
      </c>
    </row>
    <row r="187" spans="1:13" x14ac:dyDescent="0.25">
      <c r="A187" s="11">
        <f>sales!A190</f>
        <v>46086.802337962959</v>
      </c>
      <c r="B187">
        <f>sales!B190</f>
        <v>134</v>
      </c>
      <c r="C187" t="str">
        <f>sales!C190</f>
        <v>Postobon</v>
      </c>
      <c r="D187">
        <f>sales!D190</f>
        <v>3000</v>
      </c>
      <c r="E187" t="str">
        <f>sales!E190</f>
        <v>NEQUI</v>
      </c>
      <c r="F187">
        <f>sales!F190</f>
        <v>2</v>
      </c>
      <c r="G187">
        <f>sales!G190</f>
        <v>1</v>
      </c>
      <c r="H187">
        <f>sales!H190</f>
        <v>6000</v>
      </c>
      <c r="J187" s="12">
        <f t="shared" si="12"/>
        <v>46086</v>
      </c>
      <c r="K187" t="str">
        <f t="shared" si="13"/>
        <v>07:15 p. m.</v>
      </c>
      <c r="L187">
        <f t="shared" si="15"/>
        <v>0</v>
      </c>
      <c r="M187">
        <f t="shared" si="14"/>
        <v>6000</v>
      </c>
    </row>
    <row r="188" spans="1:13" x14ac:dyDescent="0.25">
      <c r="A188" s="11">
        <f>sales!A191</f>
        <v>46086.843182870369</v>
      </c>
      <c r="B188">
        <f>sales!B191</f>
        <v>135</v>
      </c>
      <c r="C188" t="str">
        <f>sales!C191</f>
        <v>Chorizo</v>
      </c>
      <c r="D188">
        <f>sales!D191</f>
        <v>8000</v>
      </c>
      <c r="E188" t="str">
        <f>sales!E191</f>
        <v>EFECTIVO</v>
      </c>
      <c r="F188">
        <f>sales!F191</f>
        <v>1</v>
      </c>
      <c r="G188">
        <f>sales!G191</f>
        <v>1</v>
      </c>
      <c r="H188">
        <f>sales!H191</f>
        <v>8000</v>
      </c>
      <c r="J188" s="12">
        <f t="shared" si="12"/>
        <v>46086</v>
      </c>
      <c r="K188" t="str">
        <f t="shared" si="13"/>
        <v>08:14 p. m.</v>
      </c>
      <c r="L188">
        <f t="shared" si="15"/>
        <v>8000</v>
      </c>
      <c r="M188">
        <f t="shared" si="14"/>
        <v>0</v>
      </c>
    </row>
    <row r="189" spans="1:13" x14ac:dyDescent="0.25">
      <c r="A189" s="11">
        <f>sales!A192</f>
        <v>46086.843182870369</v>
      </c>
      <c r="B189">
        <f>sales!B192</f>
        <v>135</v>
      </c>
      <c r="C189" t="str">
        <f>sales!C192</f>
        <v>tinto</v>
      </c>
      <c r="D189">
        <f>sales!D192</f>
        <v>2000</v>
      </c>
      <c r="E189" t="str">
        <f>sales!E192</f>
        <v>EFECTIVO</v>
      </c>
      <c r="F189">
        <f>sales!F192</f>
        <v>1</v>
      </c>
      <c r="G189">
        <f>sales!G192</f>
        <v>1</v>
      </c>
      <c r="H189">
        <f>sales!H192</f>
        <v>2000</v>
      </c>
      <c r="J189" s="12">
        <f t="shared" si="12"/>
        <v>46086</v>
      </c>
      <c r="K189" t="str">
        <f t="shared" si="13"/>
        <v>08:14 p. m.</v>
      </c>
      <c r="L189">
        <f t="shared" si="15"/>
        <v>2000</v>
      </c>
      <c r="M189">
        <f t="shared" si="14"/>
        <v>0</v>
      </c>
    </row>
    <row r="190" spans="1:13" x14ac:dyDescent="0.25">
      <c r="A190" s="11">
        <f>sales!A193</f>
        <v>46088.957627314812</v>
      </c>
      <c r="B190">
        <f>sales!B193</f>
        <v>146</v>
      </c>
      <c r="C190" t="str">
        <f>sales!C193</f>
        <v>Chorizo</v>
      </c>
      <c r="D190">
        <f>sales!D193</f>
        <v>8000</v>
      </c>
      <c r="E190" t="str">
        <f>sales!E193</f>
        <v>EFECTIVO</v>
      </c>
      <c r="F190">
        <f>sales!F193</f>
        <v>2</v>
      </c>
      <c r="G190">
        <f>sales!G193</f>
        <v>1</v>
      </c>
      <c r="H190">
        <f>sales!H193</f>
        <v>16000</v>
      </c>
      <c r="J190" s="12">
        <f t="shared" si="12"/>
        <v>46088</v>
      </c>
      <c r="K190" t="str">
        <f t="shared" si="13"/>
        <v>10:58 p. m.</v>
      </c>
      <c r="L190">
        <f t="shared" si="15"/>
        <v>16000</v>
      </c>
      <c r="M190">
        <f t="shared" si="14"/>
        <v>0</v>
      </c>
    </row>
    <row r="191" spans="1:13" x14ac:dyDescent="0.25">
      <c r="A191" s="11">
        <f>sales!A194</f>
        <v>46088.957777777781</v>
      </c>
      <c r="B191">
        <f>sales!B194</f>
        <v>147</v>
      </c>
      <c r="C191" t="str">
        <f>sales!C194</f>
        <v>Chorizo</v>
      </c>
      <c r="D191">
        <f>sales!D194</f>
        <v>8000</v>
      </c>
      <c r="E191" t="str">
        <f>sales!E194</f>
        <v>EFECTIVO</v>
      </c>
      <c r="F191">
        <f>sales!F194</f>
        <v>2</v>
      </c>
      <c r="G191">
        <f>sales!G194</f>
        <v>1</v>
      </c>
      <c r="H191">
        <f>sales!H194</f>
        <v>16000</v>
      </c>
      <c r="J191" s="12">
        <f t="shared" si="12"/>
        <v>46088</v>
      </c>
      <c r="K191" t="str">
        <f t="shared" si="13"/>
        <v>10:59 p. m.</v>
      </c>
      <c r="L191">
        <f t="shared" si="15"/>
        <v>16000</v>
      </c>
      <c r="M191">
        <f t="shared" si="14"/>
        <v>0</v>
      </c>
    </row>
    <row r="192" spans="1:13" x14ac:dyDescent="0.25">
      <c r="A192" s="11">
        <f>sales!A195</f>
        <v>46088.958321759259</v>
      </c>
      <c r="B192">
        <f>sales!B195</f>
        <v>148</v>
      </c>
      <c r="C192" t="str">
        <f>sales!C195</f>
        <v>Chorizo</v>
      </c>
      <c r="D192">
        <f>sales!D195</f>
        <v>8000</v>
      </c>
      <c r="E192" t="str">
        <f>sales!E195</f>
        <v>EFECTIVO</v>
      </c>
      <c r="F192">
        <f>sales!F195</f>
        <v>4</v>
      </c>
      <c r="G192">
        <f>sales!G195</f>
        <v>1</v>
      </c>
      <c r="H192">
        <f>sales!H195</f>
        <v>32000</v>
      </c>
      <c r="J192" s="12">
        <f t="shared" si="12"/>
        <v>46088</v>
      </c>
      <c r="K192" t="str">
        <f t="shared" si="13"/>
        <v>10:59 p. m.</v>
      </c>
      <c r="L192">
        <f t="shared" si="15"/>
        <v>32000</v>
      </c>
      <c r="M192">
        <f t="shared" si="14"/>
        <v>0</v>
      </c>
    </row>
    <row r="193" spans="1:13" x14ac:dyDescent="0.25">
      <c r="A193" s="11">
        <f>sales!A196</f>
        <v>46088.958321759259</v>
      </c>
      <c r="B193">
        <f>sales!B196</f>
        <v>148</v>
      </c>
      <c r="C193" t="str">
        <f>sales!C196</f>
        <v>Coca cola</v>
      </c>
      <c r="D193">
        <f>sales!D196</f>
        <v>3000</v>
      </c>
      <c r="E193" t="str">
        <f>sales!E196</f>
        <v>EFECTIVO</v>
      </c>
      <c r="F193">
        <f>sales!F196</f>
        <v>2</v>
      </c>
      <c r="G193">
        <f>sales!G196</f>
        <v>1</v>
      </c>
      <c r="H193">
        <f>sales!H196</f>
        <v>6000</v>
      </c>
      <c r="J193" s="12">
        <f t="shared" si="12"/>
        <v>46088</v>
      </c>
      <c r="K193" t="str">
        <f t="shared" si="13"/>
        <v>10:59 p. m.</v>
      </c>
      <c r="L193">
        <f t="shared" si="15"/>
        <v>6000</v>
      </c>
      <c r="M193">
        <f t="shared" si="14"/>
        <v>0</v>
      </c>
    </row>
    <row r="194" spans="1:13" x14ac:dyDescent="0.25">
      <c r="A194" s="11">
        <f>sales!A197</f>
        <v>46088.958923611113</v>
      </c>
      <c r="B194">
        <f>sales!B197</f>
        <v>149</v>
      </c>
      <c r="C194" t="str">
        <f>sales!C197</f>
        <v>Chorizo</v>
      </c>
      <c r="D194">
        <f>sales!D197</f>
        <v>8000</v>
      </c>
      <c r="E194" t="str">
        <f>sales!E197</f>
        <v>EFECTIVO</v>
      </c>
      <c r="F194">
        <f>sales!F197</f>
        <v>1</v>
      </c>
      <c r="G194">
        <f>sales!G197</f>
        <v>1</v>
      </c>
      <c r="H194">
        <f>sales!H197</f>
        <v>8000</v>
      </c>
      <c r="J194" s="12">
        <f t="shared" si="12"/>
        <v>46088</v>
      </c>
      <c r="K194" t="str">
        <f t="shared" si="13"/>
        <v>11:00 p. m.</v>
      </c>
      <c r="L194">
        <f t="shared" si="15"/>
        <v>8000</v>
      </c>
      <c r="M194">
        <f t="shared" si="14"/>
        <v>0</v>
      </c>
    </row>
    <row r="195" spans="1:13" x14ac:dyDescent="0.25">
      <c r="A195" s="11">
        <f>sales!A198</f>
        <v>46088.958923611113</v>
      </c>
      <c r="B195">
        <f>sales!B198</f>
        <v>149</v>
      </c>
      <c r="C195" t="str">
        <f>sales!C198</f>
        <v>Coca cola</v>
      </c>
      <c r="D195">
        <f>sales!D198</f>
        <v>3000</v>
      </c>
      <c r="E195" t="str">
        <f>sales!E198</f>
        <v>EFECTIVO</v>
      </c>
      <c r="F195">
        <f>sales!F198</f>
        <v>1</v>
      </c>
      <c r="G195">
        <f>sales!G198</f>
        <v>1</v>
      </c>
      <c r="H195">
        <f>sales!H198</f>
        <v>3000</v>
      </c>
      <c r="J195" s="12">
        <f t="shared" si="12"/>
        <v>46088</v>
      </c>
      <c r="K195" t="str">
        <f t="shared" si="13"/>
        <v>11:00 p. m.</v>
      </c>
      <c r="L195">
        <f t="shared" si="15"/>
        <v>3000</v>
      </c>
      <c r="M195">
        <f t="shared" si="14"/>
        <v>0</v>
      </c>
    </row>
    <row r="196" spans="1:13" x14ac:dyDescent="0.25">
      <c r="A196" s="11">
        <f>sales!A199</f>
        <v>46088.959155092591</v>
      </c>
      <c r="B196">
        <f>sales!B199</f>
        <v>150</v>
      </c>
      <c r="C196" t="str">
        <f>sales!C199</f>
        <v>Chorizo</v>
      </c>
      <c r="D196">
        <f>sales!D199</f>
        <v>8000</v>
      </c>
      <c r="E196" t="str">
        <f>sales!E199</f>
        <v>EFECTIVO</v>
      </c>
      <c r="F196">
        <f>sales!F199</f>
        <v>2</v>
      </c>
      <c r="G196">
        <f>sales!G199</f>
        <v>1</v>
      </c>
      <c r="H196">
        <f>sales!H199</f>
        <v>16000</v>
      </c>
      <c r="J196" s="12">
        <f t="shared" si="12"/>
        <v>46088</v>
      </c>
      <c r="K196" t="str">
        <f t="shared" si="13"/>
        <v>11:01 p. m.</v>
      </c>
      <c r="L196">
        <f t="shared" si="15"/>
        <v>16000</v>
      </c>
      <c r="M196">
        <f t="shared" si="14"/>
        <v>0</v>
      </c>
    </row>
    <row r="197" spans="1:13" x14ac:dyDescent="0.25">
      <c r="A197" s="11">
        <f>sales!A200</f>
        <v>46088.959155092591</v>
      </c>
      <c r="B197">
        <f>sales!B200</f>
        <v>150</v>
      </c>
      <c r="C197" t="str">
        <f>sales!C200</f>
        <v>Coca cola</v>
      </c>
      <c r="D197">
        <f>sales!D200</f>
        <v>3000</v>
      </c>
      <c r="E197" t="str">
        <f>sales!E200</f>
        <v>EFECTIVO</v>
      </c>
      <c r="F197">
        <f>sales!F200</f>
        <v>2</v>
      </c>
      <c r="G197">
        <f>sales!G200</f>
        <v>1</v>
      </c>
      <c r="H197">
        <f>sales!H200</f>
        <v>6000</v>
      </c>
      <c r="J197" s="12">
        <f t="shared" si="12"/>
        <v>46088</v>
      </c>
      <c r="K197" t="str">
        <f t="shared" si="13"/>
        <v>11:01 p. m.</v>
      </c>
      <c r="L197">
        <f t="shared" si="15"/>
        <v>6000</v>
      </c>
      <c r="M197">
        <f t="shared" si="14"/>
        <v>0</v>
      </c>
    </row>
    <row r="198" spans="1:13" x14ac:dyDescent="0.25">
      <c r="A198" s="11">
        <f>sales!A201</f>
        <v>46088.960428240738</v>
      </c>
      <c r="B198">
        <f>sales!B201</f>
        <v>151</v>
      </c>
      <c r="C198" t="str">
        <f>sales!C201</f>
        <v>Chorizo</v>
      </c>
      <c r="D198">
        <f>sales!D201</f>
        <v>8000</v>
      </c>
      <c r="E198" t="str">
        <f>sales!E201</f>
        <v>NEQUI</v>
      </c>
      <c r="F198">
        <f>sales!F201</f>
        <v>2</v>
      </c>
      <c r="G198">
        <f>sales!G201</f>
        <v>1</v>
      </c>
      <c r="H198">
        <f>sales!H201</f>
        <v>16000</v>
      </c>
      <c r="J198" s="12">
        <f t="shared" si="12"/>
        <v>46088</v>
      </c>
      <c r="K198" t="str">
        <f t="shared" si="13"/>
        <v>11:03 p. m.</v>
      </c>
      <c r="L198">
        <f t="shared" si="15"/>
        <v>0</v>
      </c>
      <c r="M198">
        <f t="shared" si="14"/>
        <v>16000</v>
      </c>
    </row>
    <row r="199" spans="1:13" x14ac:dyDescent="0.25">
      <c r="A199" s="11">
        <f>sales!A202</f>
        <v>46088.961412037039</v>
      </c>
      <c r="B199">
        <f>sales!B202</f>
        <v>152</v>
      </c>
      <c r="C199" t="str">
        <f>sales!C202</f>
        <v>Chorizo</v>
      </c>
      <c r="D199">
        <f>sales!D202</f>
        <v>8000</v>
      </c>
      <c r="E199" t="str">
        <f>sales!E202</f>
        <v>NEQUI</v>
      </c>
      <c r="F199">
        <f>sales!F202</f>
        <v>3</v>
      </c>
      <c r="G199">
        <f>sales!G202</f>
        <v>1</v>
      </c>
      <c r="H199">
        <f>sales!H202</f>
        <v>24000</v>
      </c>
      <c r="J199" s="12">
        <f t="shared" si="12"/>
        <v>46088</v>
      </c>
      <c r="K199" t="str">
        <f t="shared" si="13"/>
        <v>11:04 p. m.</v>
      </c>
      <c r="L199">
        <f t="shared" si="15"/>
        <v>0</v>
      </c>
      <c r="M199">
        <f t="shared" si="14"/>
        <v>24000</v>
      </c>
    </row>
    <row r="200" spans="1:13" x14ac:dyDescent="0.25">
      <c r="A200" s="11">
        <f>sales!A203</f>
        <v>46088.961412037039</v>
      </c>
      <c r="B200">
        <f>sales!B203</f>
        <v>152</v>
      </c>
      <c r="C200" t="str">
        <f>sales!C203</f>
        <v>Hit</v>
      </c>
      <c r="D200">
        <f>sales!D203</f>
        <v>4500</v>
      </c>
      <c r="E200" t="str">
        <f>sales!E203</f>
        <v>NEQUI</v>
      </c>
      <c r="F200">
        <f>sales!F203</f>
        <v>1</v>
      </c>
      <c r="G200">
        <f>sales!G203</f>
        <v>1</v>
      </c>
      <c r="H200">
        <f>sales!H203</f>
        <v>4500</v>
      </c>
      <c r="J200" s="12">
        <f t="shared" si="12"/>
        <v>46088</v>
      </c>
      <c r="K200" t="str">
        <f t="shared" si="13"/>
        <v>11:04 p. m.</v>
      </c>
      <c r="L200">
        <f t="shared" si="15"/>
        <v>0</v>
      </c>
      <c r="M200">
        <f t="shared" si="14"/>
        <v>4500</v>
      </c>
    </row>
    <row r="201" spans="1:13" x14ac:dyDescent="0.25">
      <c r="A201" s="11">
        <f>sales!A204</f>
        <v>46088.963182870371</v>
      </c>
      <c r="B201">
        <f>sales!B204</f>
        <v>153</v>
      </c>
      <c r="C201" t="str">
        <f>sales!C204</f>
        <v>OTRO: promo vecino de jenesano</v>
      </c>
      <c r="D201">
        <f>sales!D204</f>
        <v>15000</v>
      </c>
      <c r="E201" t="str">
        <f>sales!E204</f>
        <v>EFECTIVO</v>
      </c>
      <c r="F201">
        <f>sales!F204</f>
        <v>1</v>
      </c>
      <c r="G201">
        <f>sales!G204</f>
        <v>1</v>
      </c>
      <c r="H201">
        <f>sales!H204</f>
        <v>15000</v>
      </c>
      <c r="J201" s="12">
        <f t="shared" si="12"/>
        <v>46088</v>
      </c>
      <c r="K201" t="str">
        <f t="shared" si="13"/>
        <v>11:06 p. m.</v>
      </c>
      <c r="L201">
        <f t="shared" si="15"/>
        <v>15000</v>
      </c>
      <c r="M201">
        <f t="shared" si="14"/>
        <v>0</v>
      </c>
    </row>
    <row r="202" spans="1:13" x14ac:dyDescent="0.25">
      <c r="A202" s="11">
        <f>sales!A205</f>
        <v>46088.964814814812</v>
      </c>
      <c r="B202">
        <f>sales!B205</f>
        <v>154</v>
      </c>
      <c r="C202" t="str">
        <f>sales!C205</f>
        <v>Parrilla de 60.000</v>
      </c>
      <c r="D202">
        <f>sales!D205</f>
        <v>60000</v>
      </c>
      <c r="E202" t="str">
        <f>sales!E205</f>
        <v>EFECTIVO</v>
      </c>
      <c r="F202">
        <f>sales!F205</f>
        <v>1</v>
      </c>
      <c r="G202">
        <f>sales!G205</f>
        <v>1</v>
      </c>
      <c r="H202">
        <f>sales!H205</f>
        <v>60000</v>
      </c>
      <c r="J202" s="12">
        <f t="shared" si="12"/>
        <v>46088</v>
      </c>
      <c r="K202" t="str">
        <f t="shared" si="13"/>
        <v>11:09 p. m.</v>
      </c>
      <c r="L202">
        <f t="shared" si="15"/>
        <v>60000</v>
      </c>
      <c r="M202">
        <f t="shared" si="14"/>
        <v>0</v>
      </c>
    </row>
    <row r="203" spans="1:13" x14ac:dyDescent="0.25">
      <c r="A203" s="11">
        <f>sales!A206</f>
        <v>46088.965104166666</v>
      </c>
      <c r="B203">
        <f>sales!B206</f>
        <v>155</v>
      </c>
      <c r="C203" t="str">
        <f>sales!C206</f>
        <v>Chorizo</v>
      </c>
      <c r="D203">
        <f>sales!D206</f>
        <v>8000</v>
      </c>
      <c r="E203" t="str">
        <f>sales!E206</f>
        <v>EFECTIVO</v>
      </c>
      <c r="F203">
        <f>sales!F206</f>
        <v>1</v>
      </c>
      <c r="G203">
        <f>sales!G206</f>
        <v>1</v>
      </c>
      <c r="H203">
        <f>sales!H206</f>
        <v>8000</v>
      </c>
      <c r="J203" s="12">
        <f t="shared" si="12"/>
        <v>46088</v>
      </c>
      <c r="K203" t="str">
        <f t="shared" si="13"/>
        <v>11:09 p. m.</v>
      </c>
      <c r="L203">
        <f t="shared" si="15"/>
        <v>8000</v>
      </c>
      <c r="M203">
        <f t="shared" si="14"/>
        <v>0</v>
      </c>
    </row>
    <row r="204" spans="1:13" x14ac:dyDescent="0.25">
      <c r="A204" s="11">
        <f>sales!A207</f>
        <v>46088.965104166666</v>
      </c>
      <c r="B204">
        <f>sales!B207</f>
        <v>155</v>
      </c>
      <c r="C204" t="str">
        <f>sales!C207</f>
        <v>Hit</v>
      </c>
      <c r="D204">
        <f>sales!D207</f>
        <v>4500</v>
      </c>
      <c r="E204" t="str">
        <f>sales!E207</f>
        <v>EFECTIVO</v>
      </c>
      <c r="F204">
        <f>sales!F207</f>
        <v>1</v>
      </c>
      <c r="G204">
        <f>sales!G207</f>
        <v>1</v>
      </c>
      <c r="H204">
        <f>sales!H207</f>
        <v>4500</v>
      </c>
      <c r="J204" s="12">
        <f t="shared" si="12"/>
        <v>46088</v>
      </c>
      <c r="K204" t="str">
        <f t="shared" si="13"/>
        <v>11:09 p. m.</v>
      </c>
      <c r="L204">
        <f t="shared" si="15"/>
        <v>4500</v>
      </c>
      <c r="M204">
        <f t="shared" si="14"/>
        <v>0</v>
      </c>
    </row>
    <row r="205" spans="1:13" x14ac:dyDescent="0.25">
      <c r="A205" s="11">
        <f>sales!A208</f>
        <v>46088.966435185182</v>
      </c>
      <c r="B205">
        <f>sales!B208</f>
        <v>156</v>
      </c>
      <c r="C205" t="str">
        <f>sales!C208</f>
        <v>Carne Asada de 40</v>
      </c>
      <c r="D205">
        <f>sales!D208</f>
        <v>40000</v>
      </c>
      <c r="E205" t="str">
        <f>sales!E208</f>
        <v>NEQUI</v>
      </c>
      <c r="F205">
        <f>sales!F208</f>
        <v>1</v>
      </c>
      <c r="G205">
        <f>sales!G208</f>
        <v>1</v>
      </c>
      <c r="H205">
        <f>sales!H208</f>
        <v>40000</v>
      </c>
      <c r="J205" s="12">
        <f t="shared" si="12"/>
        <v>46088</v>
      </c>
      <c r="K205" t="str">
        <f t="shared" si="13"/>
        <v>11:11 p. m.</v>
      </c>
      <c r="L205">
        <f t="shared" si="15"/>
        <v>0</v>
      </c>
      <c r="M205">
        <f t="shared" si="14"/>
        <v>40000</v>
      </c>
    </row>
    <row r="206" spans="1:13" x14ac:dyDescent="0.25">
      <c r="A206" s="11">
        <f>sales!A209</f>
        <v>46088.966435185182</v>
      </c>
      <c r="B206">
        <f>sales!B209</f>
        <v>156</v>
      </c>
      <c r="C206" t="str">
        <f>sales!C209</f>
        <v>Coca cola</v>
      </c>
      <c r="D206">
        <f>sales!D209</f>
        <v>3000</v>
      </c>
      <c r="E206" t="str">
        <f>sales!E209</f>
        <v>NEQUI</v>
      </c>
      <c r="F206">
        <f>sales!F209</f>
        <v>1</v>
      </c>
      <c r="G206">
        <f>sales!G209</f>
        <v>1</v>
      </c>
      <c r="H206">
        <f>sales!H209</f>
        <v>3000</v>
      </c>
      <c r="J206" s="12">
        <f t="shared" si="12"/>
        <v>46088</v>
      </c>
      <c r="K206" t="str">
        <f t="shared" si="13"/>
        <v>11:11 p. m.</v>
      </c>
      <c r="L206">
        <f t="shared" si="15"/>
        <v>0</v>
      </c>
      <c r="M206">
        <f t="shared" si="14"/>
        <v>3000</v>
      </c>
    </row>
    <row r="207" spans="1:13" x14ac:dyDescent="0.25">
      <c r="A207" s="11">
        <f>sales!A210</f>
        <v>46088.966805555552</v>
      </c>
      <c r="B207">
        <f>sales!B210</f>
        <v>157</v>
      </c>
      <c r="C207" t="str">
        <f>sales!C210</f>
        <v>Chorizo</v>
      </c>
      <c r="D207">
        <f>sales!D210</f>
        <v>8000</v>
      </c>
      <c r="E207" t="str">
        <f>sales!E210</f>
        <v>EFECTIVO</v>
      </c>
      <c r="F207">
        <f>sales!F210</f>
        <v>2</v>
      </c>
      <c r="G207">
        <f>sales!G210</f>
        <v>1</v>
      </c>
      <c r="H207">
        <f>sales!H210</f>
        <v>16000</v>
      </c>
      <c r="J207" s="12">
        <f t="shared" si="12"/>
        <v>46088</v>
      </c>
      <c r="K207" t="str">
        <f t="shared" si="13"/>
        <v>11:12 p. m.</v>
      </c>
      <c r="L207">
        <f t="shared" si="15"/>
        <v>16000</v>
      </c>
      <c r="M207">
        <f t="shared" si="14"/>
        <v>0</v>
      </c>
    </row>
    <row r="208" spans="1:13" x14ac:dyDescent="0.25">
      <c r="A208" s="11">
        <f>sales!A211</f>
        <v>46088.966805555552</v>
      </c>
      <c r="B208">
        <f>sales!B211</f>
        <v>157</v>
      </c>
      <c r="C208" t="str">
        <f>sales!C211</f>
        <v>Hit</v>
      </c>
      <c r="D208">
        <f>sales!D211</f>
        <v>4500</v>
      </c>
      <c r="E208" t="str">
        <f>sales!E211</f>
        <v>EFECTIVO</v>
      </c>
      <c r="F208">
        <f>sales!F211</f>
        <v>1</v>
      </c>
      <c r="G208">
        <f>sales!G211</f>
        <v>1</v>
      </c>
      <c r="H208">
        <f>sales!H211</f>
        <v>4500</v>
      </c>
      <c r="J208" s="12">
        <f t="shared" si="12"/>
        <v>46088</v>
      </c>
      <c r="K208" t="str">
        <f t="shared" si="13"/>
        <v>11:12 p. m.</v>
      </c>
      <c r="L208">
        <f t="shared" si="15"/>
        <v>4500</v>
      </c>
      <c r="M208">
        <f t="shared" si="14"/>
        <v>0</v>
      </c>
    </row>
    <row r="209" spans="1:13" x14ac:dyDescent="0.25">
      <c r="A209" s="11">
        <f>sales!A212</f>
        <v>46089.590648148151</v>
      </c>
      <c r="B209">
        <f>sales!B212</f>
        <v>136</v>
      </c>
      <c r="C209" t="str">
        <f>sales!C212</f>
        <v>Chorizo</v>
      </c>
      <c r="D209">
        <f>sales!D212</f>
        <v>8000</v>
      </c>
      <c r="E209" t="str">
        <f>sales!E212</f>
        <v>NEQUI</v>
      </c>
      <c r="F209">
        <f>sales!F212</f>
        <v>3</v>
      </c>
      <c r="G209">
        <f>sales!G212</f>
        <v>1</v>
      </c>
      <c r="H209">
        <f>sales!H212</f>
        <v>24000</v>
      </c>
      <c r="J209" s="12">
        <f>+DATE(YEAR(A209),MONTH(A209),DAY(A209))</f>
        <v>46089</v>
      </c>
      <c r="K209" t="str">
        <f>TEXT(A209,"hh:mm AM/PM")</f>
        <v>02:10 p. m.</v>
      </c>
      <c r="L209">
        <f>+IF(E209="EFECTIVO",H209,0)</f>
        <v>0</v>
      </c>
      <c r="M209">
        <f t="shared" si="14"/>
        <v>24000</v>
      </c>
    </row>
    <row r="210" spans="1:13" x14ac:dyDescent="0.25">
      <c r="A210" s="11">
        <f>sales!A213</f>
        <v>46089.590648148151</v>
      </c>
      <c r="B210">
        <f>sales!B213</f>
        <v>136</v>
      </c>
      <c r="C210" t="str">
        <f>sales!C213</f>
        <v>Coca cola</v>
      </c>
      <c r="D210">
        <f>sales!D213</f>
        <v>3000</v>
      </c>
      <c r="E210" t="str">
        <f>sales!E213</f>
        <v>NEQUI</v>
      </c>
      <c r="F210">
        <f>sales!F213</f>
        <v>2</v>
      </c>
      <c r="G210">
        <f>sales!G213</f>
        <v>1</v>
      </c>
      <c r="H210">
        <f>sales!H213</f>
        <v>6000</v>
      </c>
      <c r="J210" s="12">
        <f t="shared" ref="J210:J227" si="16">+DATE(YEAR(A210),MONTH(A210),DAY(A210))</f>
        <v>46089</v>
      </c>
      <c r="K210" t="str">
        <f t="shared" ref="K210:K227" si="17">TEXT(A210,"hh:mm AM/PM")</f>
        <v>02:10 p. m.</v>
      </c>
      <c r="L210">
        <f t="shared" ref="L210:L227" si="18">+IF(E210="EFECTIVO",H210,0)</f>
        <v>0</v>
      </c>
      <c r="M210">
        <f t="shared" ref="M210:M227" si="19">+IF(OR(E210="NEQUI",E210="DAVIPLATA"),H210,0)</f>
        <v>6000</v>
      </c>
    </row>
    <row r="211" spans="1:13" x14ac:dyDescent="0.25">
      <c r="A211" s="11">
        <f>sales!A214</f>
        <v>46089.590891203705</v>
      </c>
      <c r="B211">
        <f>sales!B214</f>
        <v>137</v>
      </c>
      <c r="C211" t="str">
        <f>sales!C214</f>
        <v>Chorizo</v>
      </c>
      <c r="D211">
        <f>sales!D214</f>
        <v>8000</v>
      </c>
      <c r="E211" t="str">
        <f>sales!E214</f>
        <v>EFECTIVO</v>
      </c>
      <c r="F211">
        <f>sales!F214</f>
        <v>1</v>
      </c>
      <c r="G211">
        <f>sales!G214</f>
        <v>1</v>
      </c>
      <c r="H211">
        <f>sales!H214</f>
        <v>8000</v>
      </c>
      <c r="J211" s="12">
        <f t="shared" si="16"/>
        <v>46089</v>
      </c>
      <c r="K211" t="str">
        <f t="shared" si="17"/>
        <v>02:10 p. m.</v>
      </c>
      <c r="L211">
        <f t="shared" si="18"/>
        <v>8000</v>
      </c>
      <c r="M211">
        <f t="shared" si="19"/>
        <v>0</v>
      </c>
    </row>
    <row r="212" spans="1:13" x14ac:dyDescent="0.25">
      <c r="A212" s="11">
        <f>sales!A215</f>
        <v>46089.590891203705</v>
      </c>
      <c r="B212">
        <f>sales!B215</f>
        <v>137</v>
      </c>
      <c r="C212" t="str">
        <f>sales!C215</f>
        <v>Postobon</v>
      </c>
      <c r="D212">
        <f>sales!D215</f>
        <v>3000</v>
      </c>
      <c r="E212" t="str">
        <f>sales!E215</f>
        <v>EFECTIVO</v>
      </c>
      <c r="F212">
        <f>sales!F215</f>
        <v>1</v>
      </c>
      <c r="G212">
        <f>sales!G215</f>
        <v>1</v>
      </c>
      <c r="H212">
        <f>sales!H215</f>
        <v>3000</v>
      </c>
      <c r="J212" s="12">
        <f t="shared" si="16"/>
        <v>46089</v>
      </c>
      <c r="K212" t="str">
        <f t="shared" si="17"/>
        <v>02:10 p. m.</v>
      </c>
      <c r="L212">
        <f t="shared" si="18"/>
        <v>3000</v>
      </c>
      <c r="M212">
        <f t="shared" si="19"/>
        <v>0</v>
      </c>
    </row>
    <row r="213" spans="1:13" x14ac:dyDescent="0.25">
      <c r="A213" s="11">
        <f>sales!A216</f>
        <v>46089.597615740742</v>
      </c>
      <c r="B213">
        <f>sales!B216</f>
        <v>138</v>
      </c>
      <c r="C213" t="str">
        <f>sales!C216</f>
        <v>Carne con chorizo -30</v>
      </c>
      <c r="D213">
        <f>sales!D216</f>
        <v>30000</v>
      </c>
      <c r="E213" t="str">
        <f>sales!E216</f>
        <v>NEQUI</v>
      </c>
      <c r="F213">
        <f>sales!F216</f>
        <v>1</v>
      </c>
      <c r="G213">
        <f>sales!G216</f>
        <v>1</v>
      </c>
      <c r="H213">
        <f>sales!H216</f>
        <v>30000</v>
      </c>
      <c r="J213" s="12">
        <f t="shared" si="16"/>
        <v>46089</v>
      </c>
      <c r="K213" t="str">
        <f t="shared" si="17"/>
        <v>02:20 p. m.</v>
      </c>
      <c r="L213">
        <f t="shared" si="18"/>
        <v>0</v>
      </c>
      <c r="M213">
        <f t="shared" si="19"/>
        <v>30000</v>
      </c>
    </row>
    <row r="214" spans="1:13" x14ac:dyDescent="0.25">
      <c r="A214" s="11">
        <f>sales!A217</f>
        <v>46089.597615740742</v>
      </c>
      <c r="B214">
        <f>sales!B217</f>
        <v>138</v>
      </c>
      <c r="C214" t="str">
        <f>sales!C217</f>
        <v>Chorizo</v>
      </c>
      <c r="D214">
        <f>sales!D217</f>
        <v>8000</v>
      </c>
      <c r="E214" t="str">
        <f>sales!E217</f>
        <v>NEQUI</v>
      </c>
      <c r="F214">
        <f>sales!F217</f>
        <v>3</v>
      </c>
      <c r="G214">
        <f>sales!G217</f>
        <v>1</v>
      </c>
      <c r="H214">
        <f>sales!H217</f>
        <v>24000</v>
      </c>
      <c r="J214" s="12">
        <f t="shared" si="16"/>
        <v>46089</v>
      </c>
      <c r="K214" t="str">
        <f t="shared" si="17"/>
        <v>02:20 p. m.</v>
      </c>
      <c r="L214">
        <f t="shared" si="18"/>
        <v>0</v>
      </c>
      <c r="M214">
        <f t="shared" si="19"/>
        <v>24000</v>
      </c>
    </row>
    <row r="215" spans="1:13" x14ac:dyDescent="0.25">
      <c r="A215" s="11">
        <f>sales!A218</f>
        <v>46089.621215277781</v>
      </c>
      <c r="B215">
        <f>sales!B218</f>
        <v>139</v>
      </c>
      <c r="C215" t="str">
        <f>sales!C218</f>
        <v>Chorizo</v>
      </c>
      <c r="D215">
        <f>sales!D218</f>
        <v>8000</v>
      </c>
      <c r="E215" t="str">
        <f>sales!E218</f>
        <v>EFECTIVO</v>
      </c>
      <c r="F215">
        <f>sales!F218</f>
        <v>1</v>
      </c>
      <c r="G215">
        <f>sales!G218</f>
        <v>1</v>
      </c>
      <c r="H215">
        <f>sales!H218</f>
        <v>8000</v>
      </c>
      <c r="J215" s="12">
        <f t="shared" si="16"/>
        <v>46089</v>
      </c>
      <c r="K215" t="str">
        <f t="shared" si="17"/>
        <v>02:54 p. m.</v>
      </c>
      <c r="L215">
        <f t="shared" si="18"/>
        <v>8000</v>
      </c>
      <c r="M215">
        <f t="shared" si="19"/>
        <v>0</v>
      </c>
    </row>
    <row r="216" spans="1:13" x14ac:dyDescent="0.25">
      <c r="A216" s="11">
        <f>sales!A219</f>
        <v>46089.621215277781</v>
      </c>
      <c r="B216">
        <f>sales!B219</f>
        <v>139</v>
      </c>
      <c r="C216" t="str">
        <f>sales!C219</f>
        <v>Coca cola</v>
      </c>
      <c r="D216">
        <f>sales!D219</f>
        <v>3000</v>
      </c>
      <c r="E216" t="str">
        <f>sales!E219</f>
        <v>EFECTIVO</v>
      </c>
      <c r="F216">
        <f>sales!F219</f>
        <v>1</v>
      </c>
      <c r="G216">
        <f>sales!G219</f>
        <v>1</v>
      </c>
      <c r="H216">
        <f>sales!H219</f>
        <v>3000</v>
      </c>
      <c r="J216" s="12">
        <f t="shared" si="16"/>
        <v>46089</v>
      </c>
      <c r="K216" t="str">
        <f t="shared" si="17"/>
        <v>02:54 p. m.</v>
      </c>
      <c r="L216">
        <f t="shared" si="18"/>
        <v>3000</v>
      </c>
      <c r="M216">
        <f t="shared" si="19"/>
        <v>0</v>
      </c>
    </row>
    <row r="217" spans="1:13" x14ac:dyDescent="0.25">
      <c r="A217" s="11">
        <f>sales!A220</f>
        <v>46089.63009259259</v>
      </c>
      <c r="B217">
        <f>sales!B220</f>
        <v>140</v>
      </c>
      <c r="C217" t="str">
        <f>sales!C220</f>
        <v>Carne con chorizo - 35</v>
      </c>
      <c r="D217">
        <f>sales!D220</f>
        <v>35000</v>
      </c>
      <c r="E217" t="str">
        <f>sales!E220</f>
        <v>EFECTIVO</v>
      </c>
      <c r="F217">
        <f>sales!F220</f>
        <v>1</v>
      </c>
      <c r="G217">
        <f>sales!G220</f>
        <v>1</v>
      </c>
      <c r="H217">
        <f>sales!H220</f>
        <v>35000</v>
      </c>
      <c r="J217" s="12">
        <f t="shared" si="16"/>
        <v>46089</v>
      </c>
      <c r="K217" t="str">
        <f t="shared" si="17"/>
        <v>03:07 p. m.</v>
      </c>
      <c r="L217">
        <f t="shared" si="18"/>
        <v>35000</v>
      </c>
      <c r="M217">
        <f t="shared" si="19"/>
        <v>0</v>
      </c>
    </row>
    <row r="218" spans="1:13" x14ac:dyDescent="0.25">
      <c r="A218" s="11">
        <f>sales!A221</f>
        <v>46089.63009259259</v>
      </c>
      <c r="B218">
        <f>sales!B221</f>
        <v>140</v>
      </c>
      <c r="C218" t="str">
        <f>sales!C221</f>
        <v>Coca cola</v>
      </c>
      <c r="D218">
        <f>sales!D221</f>
        <v>3000</v>
      </c>
      <c r="E218" t="str">
        <f>sales!E221</f>
        <v>EFECTIVO</v>
      </c>
      <c r="F218">
        <f>sales!F221</f>
        <v>1</v>
      </c>
      <c r="G218">
        <f>sales!G221</f>
        <v>1</v>
      </c>
      <c r="H218">
        <f>sales!H221</f>
        <v>3000</v>
      </c>
      <c r="J218" s="12">
        <f t="shared" si="16"/>
        <v>46089</v>
      </c>
      <c r="K218" t="str">
        <f t="shared" si="17"/>
        <v>03:07 p. m.</v>
      </c>
      <c r="L218">
        <f t="shared" si="18"/>
        <v>3000</v>
      </c>
      <c r="M218">
        <f t="shared" si="19"/>
        <v>0</v>
      </c>
    </row>
    <row r="219" spans="1:13" x14ac:dyDescent="0.25">
      <c r="A219" s="11">
        <f>sales!A222</f>
        <v>46089.63009259259</v>
      </c>
      <c r="B219">
        <f>sales!B222</f>
        <v>140</v>
      </c>
      <c r="C219" t="str">
        <f>sales!C222</f>
        <v>Hit</v>
      </c>
      <c r="D219">
        <f>sales!D222</f>
        <v>4500</v>
      </c>
      <c r="E219" t="str">
        <f>sales!E222</f>
        <v>EFECTIVO</v>
      </c>
      <c r="F219">
        <f>sales!F222</f>
        <v>1</v>
      </c>
      <c r="G219">
        <f>sales!G222</f>
        <v>1</v>
      </c>
      <c r="H219">
        <f>sales!H222</f>
        <v>4500</v>
      </c>
      <c r="J219" s="12">
        <f t="shared" si="16"/>
        <v>46089</v>
      </c>
      <c r="K219" t="str">
        <f t="shared" si="17"/>
        <v>03:07 p. m.</v>
      </c>
      <c r="L219">
        <f t="shared" si="18"/>
        <v>4500</v>
      </c>
      <c r="M219">
        <f t="shared" si="19"/>
        <v>0</v>
      </c>
    </row>
    <row r="220" spans="1:13" x14ac:dyDescent="0.25">
      <c r="A220" s="11">
        <f>sales!A223</f>
        <v>46089.630787037036</v>
      </c>
      <c r="B220">
        <f>sales!B223</f>
        <v>141</v>
      </c>
      <c r="C220" t="str">
        <f>sales!C223</f>
        <v>Agua</v>
      </c>
      <c r="D220">
        <f>sales!D223</f>
        <v>3000</v>
      </c>
      <c r="E220" t="str">
        <f>sales!E223</f>
        <v>EFECTIVO</v>
      </c>
      <c r="F220">
        <f>sales!F223</f>
        <v>1</v>
      </c>
      <c r="G220">
        <f>sales!G223</f>
        <v>1</v>
      </c>
      <c r="H220">
        <f>sales!H223</f>
        <v>3000</v>
      </c>
      <c r="J220" s="12">
        <f t="shared" si="16"/>
        <v>46089</v>
      </c>
      <c r="K220" t="str">
        <f t="shared" si="17"/>
        <v>03:08 p. m.</v>
      </c>
      <c r="L220">
        <f t="shared" si="18"/>
        <v>3000</v>
      </c>
      <c r="M220">
        <f t="shared" si="19"/>
        <v>0</v>
      </c>
    </row>
    <row r="221" spans="1:13" x14ac:dyDescent="0.25">
      <c r="A221" s="11">
        <f>sales!A224</f>
        <v>46089.630787037036</v>
      </c>
      <c r="B221">
        <f>sales!B224</f>
        <v>141</v>
      </c>
      <c r="C221" t="str">
        <f>sales!C224</f>
        <v>Carne con chorizo - 35</v>
      </c>
      <c r="D221">
        <f>sales!D224</f>
        <v>35000</v>
      </c>
      <c r="E221" t="str">
        <f>sales!E224</f>
        <v>EFECTIVO</v>
      </c>
      <c r="F221">
        <f>sales!F224</f>
        <v>1</v>
      </c>
      <c r="G221">
        <f>sales!G224</f>
        <v>1</v>
      </c>
      <c r="H221">
        <f>sales!H224</f>
        <v>35000</v>
      </c>
      <c r="J221" s="12">
        <f t="shared" si="16"/>
        <v>46089</v>
      </c>
      <c r="K221" t="str">
        <f t="shared" si="17"/>
        <v>03:08 p. m.</v>
      </c>
      <c r="L221">
        <f t="shared" si="18"/>
        <v>35000</v>
      </c>
      <c r="M221">
        <f t="shared" si="19"/>
        <v>0</v>
      </c>
    </row>
    <row r="222" spans="1:13" x14ac:dyDescent="0.25">
      <c r="A222" s="11">
        <f>sales!A225</f>
        <v>46089.630787037036</v>
      </c>
      <c r="B222">
        <f>sales!B225</f>
        <v>141</v>
      </c>
      <c r="C222" t="str">
        <f>sales!C225</f>
        <v>Chorizo</v>
      </c>
      <c r="D222">
        <f>sales!D225</f>
        <v>8000</v>
      </c>
      <c r="E222" t="str">
        <f>sales!E225</f>
        <v>EFECTIVO</v>
      </c>
      <c r="F222">
        <f>sales!F225</f>
        <v>1</v>
      </c>
      <c r="G222">
        <f>sales!G225</f>
        <v>1</v>
      </c>
      <c r="H222">
        <f>sales!H225</f>
        <v>8000</v>
      </c>
      <c r="J222" s="12">
        <f t="shared" si="16"/>
        <v>46089</v>
      </c>
      <c r="K222" t="str">
        <f t="shared" si="17"/>
        <v>03:08 p. m.</v>
      </c>
      <c r="L222">
        <f t="shared" si="18"/>
        <v>8000</v>
      </c>
      <c r="M222">
        <f t="shared" si="19"/>
        <v>0</v>
      </c>
    </row>
    <row r="223" spans="1:13" x14ac:dyDescent="0.25">
      <c r="A223" s="11">
        <f>sales!A226</f>
        <v>46089.630787037036</v>
      </c>
      <c r="B223">
        <f>sales!B226</f>
        <v>141</v>
      </c>
      <c r="C223" t="str">
        <f>sales!C226</f>
        <v>Coca cola</v>
      </c>
      <c r="D223">
        <f>sales!D226</f>
        <v>3000</v>
      </c>
      <c r="E223" t="str">
        <f>sales!E226</f>
        <v>EFECTIVO</v>
      </c>
      <c r="F223">
        <f>sales!F226</f>
        <v>1</v>
      </c>
      <c r="G223">
        <f>sales!G226</f>
        <v>1</v>
      </c>
      <c r="H223">
        <f>sales!H226</f>
        <v>3000</v>
      </c>
      <c r="J223" s="12">
        <f t="shared" si="16"/>
        <v>46089</v>
      </c>
      <c r="K223" t="str">
        <f t="shared" si="17"/>
        <v>03:08 p. m.</v>
      </c>
      <c r="L223">
        <f t="shared" si="18"/>
        <v>3000</v>
      </c>
      <c r="M223">
        <f t="shared" si="19"/>
        <v>0</v>
      </c>
    </row>
    <row r="224" spans="1:13" x14ac:dyDescent="0.25">
      <c r="A224" s="11">
        <f>sales!A227</f>
        <v>46089.723726851851</v>
      </c>
      <c r="B224">
        <f>sales!B227</f>
        <v>142</v>
      </c>
      <c r="C224" t="str">
        <f>sales!C227</f>
        <v>Chorizo</v>
      </c>
      <c r="D224">
        <f>sales!D227</f>
        <v>8000</v>
      </c>
      <c r="E224" t="str">
        <f>sales!E227</f>
        <v>NEQUI</v>
      </c>
      <c r="F224">
        <f>sales!F227</f>
        <v>1</v>
      </c>
      <c r="G224">
        <f>sales!G227</f>
        <v>1</v>
      </c>
      <c r="H224">
        <f>sales!H227</f>
        <v>8000</v>
      </c>
      <c r="J224" s="12">
        <f t="shared" si="16"/>
        <v>46089</v>
      </c>
      <c r="K224" t="str">
        <f t="shared" si="17"/>
        <v>05:22 p. m.</v>
      </c>
      <c r="L224">
        <f t="shared" si="18"/>
        <v>0</v>
      </c>
      <c r="M224">
        <f t="shared" si="19"/>
        <v>8000</v>
      </c>
    </row>
    <row r="225" spans="1:13" x14ac:dyDescent="0.25">
      <c r="A225" s="11">
        <f>sales!A228</f>
        <v>46089.727361111109</v>
      </c>
      <c r="B225">
        <f>sales!B228</f>
        <v>143</v>
      </c>
      <c r="C225" t="str">
        <f>sales!C228</f>
        <v>Agua</v>
      </c>
      <c r="D225">
        <f>sales!D228</f>
        <v>3000</v>
      </c>
      <c r="E225" t="str">
        <f>sales!E228</f>
        <v>DaviPlata</v>
      </c>
      <c r="F225">
        <f>sales!F228</f>
        <v>1</v>
      </c>
      <c r="G225">
        <f>sales!G228</f>
        <v>1</v>
      </c>
      <c r="H225">
        <f>sales!H228</f>
        <v>3000</v>
      </c>
      <c r="J225" s="12">
        <f t="shared" si="16"/>
        <v>46089</v>
      </c>
      <c r="K225" t="str">
        <f t="shared" si="17"/>
        <v>05:27 p. m.</v>
      </c>
      <c r="L225">
        <f t="shared" si="18"/>
        <v>0</v>
      </c>
      <c r="M225">
        <f t="shared" si="19"/>
        <v>3000</v>
      </c>
    </row>
    <row r="226" spans="1:13" x14ac:dyDescent="0.25">
      <c r="A226" s="11">
        <f>sales!A229</f>
        <v>46089.752152777779</v>
      </c>
      <c r="B226">
        <f>sales!B229</f>
        <v>144</v>
      </c>
      <c r="C226" t="str">
        <f>sales!C229</f>
        <v>Chorizo</v>
      </c>
      <c r="D226">
        <f>sales!D229</f>
        <v>8000</v>
      </c>
      <c r="E226" t="str">
        <f>sales!E229</f>
        <v>EFECTIVO</v>
      </c>
      <c r="F226">
        <f>sales!F229</f>
        <v>1</v>
      </c>
      <c r="G226">
        <f>sales!G229</f>
        <v>1</v>
      </c>
      <c r="H226">
        <f>sales!H229</f>
        <v>8000</v>
      </c>
      <c r="J226" s="12">
        <f t="shared" si="16"/>
        <v>46089</v>
      </c>
      <c r="K226" t="str">
        <f t="shared" si="17"/>
        <v>06:03 p. m.</v>
      </c>
      <c r="L226">
        <f t="shared" si="18"/>
        <v>8000</v>
      </c>
      <c r="M226">
        <f t="shared" si="19"/>
        <v>0</v>
      </c>
    </row>
    <row r="227" spans="1:13" x14ac:dyDescent="0.25">
      <c r="A227" s="11">
        <f>sales!A230</f>
        <v>46089.752152777779</v>
      </c>
      <c r="B227">
        <f>sales!B230</f>
        <v>144</v>
      </c>
      <c r="C227" t="str">
        <f>sales!C230</f>
        <v>OTROS: pedazo de carne</v>
      </c>
      <c r="D227">
        <f>sales!D230</f>
        <v>2000</v>
      </c>
      <c r="E227" t="str">
        <f>sales!E230</f>
        <v>EFECTIVO</v>
      </c>
      <c r="F227">
        <f>sales!F230</f>
        <v>1</v>
      </c>
      <c r="G227">
        <f>sales!G230</f>
        <v>1</v>
      </c>
      <c r="H227">
        <f>sales!H230</f>
        <v>2000</v>
      </c>
      <c r="J227" s="12">
        <f t="shared" si="16"/>
        <v>46089</v>
      </c>
      <c r="K227" t="str">
        <f t="shared" si="17"/>
        <v>06:03 p. m.</v>
      </c>
      <c r="L227">
        <f t="shared" si="18"/>
        <v>2000</v>
      </c>
      <c r="M227">
        <f t="shared" si="19"/>
        <v>0</v>
      </c>
    </row>
    <row r="228" spans="1:13" x14ac:dyDescent="0.25">
      <c r="A228" s="11"/>
    </row>
  </sheetData>
  <autoFilter ref="A1:M121" xr:uid="{00000000-0009-0000-0000-000001000000}"/>
  <pageMargins left="0.7" right="0.7" top="0.75" bottom="0.75" header="0.3" footer="0.3"/>
  <pageSetup paperSize="119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67300-531F-45E6-A07B-E2A8D979763D}">
  <sheetPr>
    <tabColor rgb="FFFFFF00"/>
  </sheetPr>
  <dimension ref="D9:F16"/>
  <sheetViews>
    <sheetView workbookViewId="0">
      <selection activeCell="E16" sqref="E16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5">
        <f>+E10*D12</f>
        <v>1750000</v>
      </c>
    </row>
    <row r="12" spans="4:6" x14ac:dyDescent="0.25">
      <c r="D12" s="6">
        <v>500</v>
      </c>
      <c r="E12" t="s">
        <v>51</v>
      </c>
    </row>
    <row r="14" spans="4:6" x14ac:dyDescent="0.25">
      <c r="E14" t="s">
        <v>52</v>
      </c>
    </row>
    <row r="16" spans="4:6" x14ac:dyDescent="0.25">
      <c r="E16" s="6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17"/>
  <sheetViews>
    <sheetView workbookViewId="0">
      <selection activeCell="J23" sqref="J23"/>
    </sheetView>
  </sheetViews>
  <sheetFormatPr baseColWidth="10" defaultRowHeight="15" x14ac:dyDescent="0.25"/>
  <cols>
    <col min="1" max="1" width="15.85546875" bestFit="1" customWidth="1"/>
    <col min="2" max="2" width="19.140625" bestFit="1" customWidth="1"/>
    <col min="3" max="3" width="12" bestFit="1" customWidth="1"/>
    <col min="4" max="4" width="9.42578125" bestFit="1" customWidth="1"/>
    <col min="5" max="5" width="10.42578125" bestFit="1" customWidth="1"/>
    <col min="6" max="6" width="12.5703125" bestFit="1" customWidth="1"/>
    <col min="7" max="7" width="2.28515625" customWidth="1"/>
    <col min="8" max="8" width="15" bestFit="1" customWidth="1"/>
    <col min="9" max="9" width="21.42578125" bestFit="1" customWidth="1"/>
    <col min="10" max="10" width="12" bestFit="1" customWidth="1"/>
    <col min="11" max="11" width="10.42578125" bestFit="1" customWidth="1"/>
    <col min="12" max="12" width="7" bestFit="1" customWidth="1"/>
    <col min="13" max="13" width="12.5703125" bestFit="1" customWidth="1"/>
    <col min="14" max="14" width="2.5703125" customWidth="1"/>
    <col min="15" max="17" width="10.42578125" bestFit="1" customWidth="1"/>
  </cols>
  <sheetData>
    <row r="2" spans="1:17" x14ac:dyDescent="0.25">
      <c r="A2" s="1" t="s">
        <v>6</v>
      </c>
      <c r="B2" s="1" t="s">
        <v>25</v>
      </c>
      <c r="C2" s="1" t="s">
        <v>13</v>
      </c>
    </row>
    <row r="3" spans="1:17" x14ac:dyDescent="0.25">
      <c r="B3" t="s">
        <v>9</v>
      </c>
      <c r="C3" t="s">
        <v>0</v>
      </c>
      <c r="D3" t="s">
        <v>0</v>
      </c>
      <c r="E3" t="s">
        <v>0</v>
      </c>
      <c r="F3" t="s">
        <v>1</v>
      </c>
      <c r="H3" s="1" t="s">
        <v>68</v>
      </c>
      <c r="I3" s="1" t="s">
        <v>25</v>
      </c>
    </row>
    <row r="4" spans="1:17" x14ac:dyDescent="0.25">
      <c r="A4" s="1" t="s">
        <v>12</v>
      </c>
      <c r="B4" t="s">
        <v>7</v>
      </c>
      <c r="C4" t="s">
        <v>7</v>
      </c>
      <c r="D4" t="s">
        <v>35</v>
      </c>
      <c r="E4" t="s">
        <v>8</v>
      </c>
      <c r="H4" s="1" t="s">
        <v>12</v>
      </c>
      <c r="I4" t="s">
        <v>9</v>
      </c>
      <c r="J4" t="s">
        <v>10</v>
      </c>
      <c r="K4" t="s">
        <v>11</v>
      </c>
      <c r="L4" t="s">
        <v>0</v>
      </c>
      <c r="M4" t="s">
        <v>1</v>
      </c>
      <c r="O4" s="6" t="s">
        <v>7</v>
      </c>
    </row>
    <row r="5" spans="1:17" x14ac:dyDescent="0.25">
      <c r="A5" t="s">
        <v>2</v>
      </c>
      <c r="B5" s="3">
        <v>73700</v>
      </c>
      <c r="C5" s="3">
        <v>192000</v>
      </c>
      <c r="D5" s="3"/>
      <c r="E5" s="3">
        <v>32000</v>
      </c>
      <c r="F5" s="3">
        <v>297700</v>
      </c>
      <c r="H5" t="s">
        <v>2</v>
      </c>
      <c r="I5" s="3">
        <v>0</v>
      </c>
      <c r="J5" s="3">
        <v>60000</v>
      </c>
      <c r="K5" s="3">
        <v>100</v>
      </c>
      <c r="L5" s="3">
        <v>0</v>
      </c>
      <c r="M5" s="3">
        <v>60100</v>
      </c>
      <c r="O5" s="4">
        <f>+SUM(B5:C5)-M5</f>
        <v>205600</v>
      </c>
    </row>
    <row r="6" spans="1:17" x14ac:dyDescent="0.25">
      <c r="A6" t="s">
        <v>3</v>
      </c>
      <c r="B6" s="3">
        <v>205600</v>
      </c>
      <c r="C6" s="3">
        <v>213000</v>
      </c>
      <c r="D6" s="3"/>
      <c r="E6" s="3">
        <v>8000</v>
      </c>
      <c r="F6" s="3">
        <v>426600</v>
      </c>
      <c r="H6" t="s">
        <v>3</v>
      </c>
      <c r="I6" s="3">
        <v>0</v>
      </c>
      <c r="J6" s="3">
        <v>103000</v>
      </c>
      <c r="K6" s="3"/>
      <c r="L6" s="3">
        <v>0</v>
      </c>
      <c r="M6" s="3">
        <v>103000</v>
      </c>
      <c r="O6" s="4">
        <f>+SUM(B6:C6)-M6</f>
        <v>315600</v>
      </c>
      <c r="P6" s="3"/>
    </row>
    <row r="7" spans="1:17" x14ac:dyDescent="0.25">
      <c r="A7" t="s">
        <v>4</v>
      </c>
      <c r="B7" s="3"/>
      <c r="C7" s="3">
        <v>344000</v>
      </c>
      <c r="D7" s="3"/>
      <c r="E7" s="3">
        <v>46500</v>
      </c>
      <c r="F7" s="3">
        <v>390500</v>
      </c>
      <c r="H7" t="s">
        <v>4</v>
      </c>
      <c r="I7" s="3"/>
      <c r="J7" s="3">
        <v>226700</v>
      </c>
      <c r="K7" s="3"/>
      <c r="L7" s="3">
        <v>0</v>
      </c>
      <c r="M7" s="3">
        <v>226700</v>
      </c>
      <c r="O7" s="4">
        <f>+SUM(B7:C7)-M7</f>
        <v>117300</v>
      </c>
      <c r="P7" s="3">
        <f>+SUM(O6:O7)</f>
        <v>432900</v>
      </c>
    </row>
    <row r="8" spans="1:17" x14ac:dyDescent="0.25">
      <c r="A8" t="s">
        <v>5</v>
      </c>
      <c r="B8" s="3"/>
      <c r="C8" s="3">
        <v>84000</v>
      </c>
      <c r="D8" s="3"/>
      <c r="E8" s="3">
        <v>125000</v>
      </c>
      <c r="F8" s="3">
        <v>209000</v>
      </c>
      <c r="H8" t="s">
        <v>5</v>
      </c>
      <c r="I8" s="3"/>
      <c r="J8" s="3">
        <v>84000</v>
      </c>
      <c r="K8" s="3"/>
      <c r="L8" s="3">
        <v>0</v>
      </c>
      <c r="M8" s="3">
        <v>84000</v>
      </c>
      <c r="O8" s="4">
        <f>+SUM(B8:C8)-M8</f>
        <v>0</v>
      </c>
      <c r="P8" s="3">
        <f>$P$7-20000-7900</f>
        <v>405000</v>
      </c>
    </row>
    <row r="9" spans="1:17" x14ac:dyDescent="0.25">
      <c r="A9" t="s">
        <v>32</v>
      </c>
      <c r="B9" s="3">
        <v>405000</v>
      </c>
      <c r="C9" s="3">
        <v>186000</v>
      </c>
      <c r="D9" s="3">
        <v>11000</v>
      </c>
      <c r="E9" s="3">
        <v>51000</v>
      </c>
      <c r="F9" s="3">
        <v>653000</v>
      </c>
      <c r="H9" t="s">
        <v>32</v>
      </c>
      <c r="I9" s="3">
        <v>0</v>
      </c>
      <c r="J9" s="3">
        <v>240000</v>
      </c>
      <c r="K9" s="3">
        <v>307900</v>
      </c>
      <c r="L9" s="3">
        <v>0</v>
      </c>
      <c r="M9" s="3">
        <v>547900</v>
      </c>
      <c r="O9" s="4">
        <f>+SUM(B9:C9)-M9</f>
        <v>43100</v>
      </c>
      <c r="P9" s="3">
        <f>+O9-20000-10000</f>
        <v>13100</v>
      </c>
    </row>
    <row r="10" spans="1:17" x14ac:dyDescent="0.25">
      <c r="A10" t="s">
        <v>39</v>
      </c>
      <c r="B10" s="3">
        <v>125000</v>
      </c>
      <c r="C10" s="3">
        <v>456500</v>
      </c>
      <c r="D10" s="3"/>
      <c r="E10" s="3">
        <v>47000</v>
      </c>
      <c r="F10" s="3">
        <v>628500</v>
      </c>
      <c r="H10" t="s">
        <v>39</v>
      </c>
      <c r="I10" s="3">
        <v>0</v>
      </c>
      <c r="J10" s="3">
        <v>96400</v>
      </c>
      <c r="K10" s="3">
        <v>350000</v>
      </c>
      <c r="L10" s="3">
        <v>0</v>
      </c>
      <c r="M10" s="3">
        <v>446400</v>
      </c>
      <c r="O10" s="4">
        <f>+SUM(B10:C10)-M10</f>
        <v>135100</v>
      </c>
    </row>
    <row r="11" spans="1:17" x14ac:dyDescent="0.25">
      <c r="A11" t="s">
        <v>48</v>
      </c>
      <c r="B11" s="3">
        <v>141400</v>
      </c>
      <c r="C11" s="3">
        <v>60000</v>
      </c>
      <c r="D11" s="3"/>
      <c r="E11" s="3"/>
      <c r="F11" s="3">
        <v>201400</v>
      </c>
      <c r="H11" t="s">
        <v>48</v>
      </c>
      <c r="I11" s="3">
        <v>0</v>
      </c>
      <c r="J11" s="3"/>
      <c r="K11" s="3"/>
      <c r="L11" s="3">
        <v>0</v>
      </c>
      <c r="M11" s="3">
        <v>0</v>
      </c>
      <c r="O11" s="4">
        <f>+SUM(B11:C11)-M11</f>
        <v>201400</v>
      </c>
      <c r="P11" s="5"/>
      <c r="Q11" s="5"/>
    </row>
    <row r="12" spans="1:17" x14ac:dyDescent="0.25">
      <c r="A12" t="s">
        <v>49</v>
      </c>
      <c r="B12" s="3">
        <v>191900</v>
      </c>
      <c r="C12" s="3">
        <v>105000</v>
      </c>
      <c r="D12" s="3">
        <v>11000</v>
      </c>
      <c r="E12" s="3">
        <v>53000</v>
      </c>
      <c r="F12" s="3">
        <v>360900</v>
      </c>
      <c r="H12" t="s">
        <v>49</v>
      </c>
      <c r="I12" s="3">
        <v>0</v>
      </c>
      <c r="J12" s="3">
        <v>58700</v>
      </c>
      <c r="K12" s="3"/>
      <c r="L12" s="3">
        <v>0</v>
      </c>
      <c r="M12" s="3">
        <v>58700</v>
      </c>
      <c r="O12" s="4">
        <f t="shared" ref="O12:O16" si="0">+SUM(B12:C12)-M12</f>
        <v>238200</v>
      </c>
      <c r="P12" s="5">
        <v>50000</v>
      </c>
      <c r="Q12" s="5">
        <f>+O12-P12</f>
        <v>188200</v>
      </c>
    </row>
    <row r="13" spans="1:17" x14ac:dyDescent="0.25">
      <c r="A13" t="s">
        <v>54</v>
      </c>
      <c r="B13" s="3">
        <v>252000</v>
      </c>
      <c r="C13" s="3">
        <v>260000</v>
      </c>
      <c r="D13" s="3"/>
      <c r="E13" s="3">
        <v>83000</v>
      </c>
      <c r="F13" s="3">
        <v>595000</v>
      </c>
      <c r="H13" t="s">
        <v>54</v>
      </c>
      <c r="I13" s="3">
        <v>0</v>
      </c>
      <c r="J13" s="3">
        <v>285750</v>
      </c>
      <c r="K13" s="3">
        <v>122700</v>
      </c>
      <c r="L13" s="3">
        <v>0</v>
      </c>
      <c r="M13" s="3">
        <v>408450</v>
      </c>
      <c r="O13" s="4">
        <f t="shared" si="0"/>
        <v>103550</v>
      </c>
      <c r="P13" s="5"/>
      <c r="Q13" s="5"/>
    </row>
    <row r="14" spans="1:17" x14ac:dyDescent="0.25">
      <c r="A14" t="s">
        <v>55</v>
      </c>
      <c r="B14" s="3">
        <v>120900</v>
      </c>
      <c r="C14" s="3">
        <v>143500</v>
      </c>
      <c r="D14" s="3"/>
      <c r="E14" s="3">
        <v>115500</v>
      </c>
      <c r="F14" s="3">
        <v>379900</v>
      </c>
      <c r="H14" t="s">
        <v>55</v>
      </c>
      <c r="I14" s="3">
        <v>0</v>
      </c>
      <c r="J14" s="3">
        <v>84900</v>
      </c>
      <c r="K14" s="3">
        <v>500</v>
      </c>
      <c r="L14" s="3">
        <v>0</v>
      </c>
      <c r="M14" s="3">
        <v>85400</v>
      </c>
      <c r="O14" s="4">
        <f t="shared" si="0"/>
        <v>179000</v>
      </c>
    </row>
    <row r="15" spans="1:17" x14ac:dyDescent="0.25">
      <c r="A15" t="s">
        <v>64</v>
      </c>
      <c r="B15" s="3">
        <v>93000</v>
      </c>
      <c r="C15" s="3">
        <v>211000</v>
      </c>
      <c r="D15" s="3"/>
      <c r="E15" s="3">
        <v>87500</v>
      </c>
      <c r="F15" s="3">
        <v>391500</v>
      </c>
      <c r="H15" t="s">
        <v>64</v>
      </c>
      <c r="I15" s="3">
        <v>0</v>
      </c>
      <c r="J15" s="3">
        <v>213300</v>
      </c>
      <c r="K15" s="3">
        <v>1500</v>
      </c>
      <c r="L15" s="3">
        <v>0</v>
      </c>
      <c r="M15" s="3">
        <v>214800</v>
      </c>
      <c r="O15" s="4">
        <f t="shared" si="0"/>
        <v>89200</v>
      </c>
      <c r="P15" s="5"/>
      <c r="Q15" s="5"/>
    </row>
    <row r="16" spans="1:17" x14ac:dyDescent="0.25">
      <c r="A16" t="s">
        <v>56</v>
      </c>
      <c r="B16" s="3">
        <v>161050</v>
      </c>
      <c r="C16" s="3">
        <v>123500</v>
      </c>
      <c r="D16" s="3">
        <v>3000</v>
      </c>
      <c r="E16" s="3">
        <v>92000</v>
      </c>
      <c r="F16" s="3">
        <v>379550</v>
      </c>
      <c r="H16" t="s">
        <v>56</v>
      </c>
      <c r="I16" s="3">
        <v>0</v>
      </c>
      <c r="J16" s="3">
        <v>156850</v>
      </c>
      <c r="K16" s="3"/>
      <c r="L16" s="3">
        <v>0</v>
      </c>
      <c r="M16" s="3">
        <v>156850</v>
      </c>
      <c r="O16" s="4">
        <f t="shared" si="0"/>
        <v>127700</v>
      </c>
    </row>
    <row r="17" spans="1:13" x14ac:dyDescent="0.25">
      <c r="A17" t="s">
        <v>1</v>
      </c>
      <c r="B17" s="3">
        <v>1769550</v>
      </c>
      <c r="C17" s="3">
        <v>2378500</v>
      </c>
      <c r="D17" s="3">
        <v>25000</v>
      </c>
      <c r="E17" s="3">
        <v>740500</v>
      </c>
      <c r="F17" s="3">
        <v>4913550</v>
      </c>
      <c r="H17" t="s">
        <v>1</v>
      </c>
      <c r="I17" s="3">
        <v>0</v>
      </c>
      <c r="J17" s="3">
        <v>1609600</v>
      </c>
      <c r="K17" s="3">
        <v>782700</v>
      </c>
      <c r="L17" s="3">
        <v>0</v>
      </c>
      <c r="M17" s="3">
        <v>2392300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231"/>
  <sheetViews>
    <sheetView zoomScale="85" zoomScaleNormal="85" workbookViewId="0">
      <selection activeCell="E1" sqref="E1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2" spans="1:18" x14ac:dyDescent="0.25">
      <c r="A2" s="1" t="s">
        <v>25</v>
      </c>
      <c r="B2" t="s" vm="1">
        <v>0</v>
      </c>
      <c r="H2" s="3"/>
      <c r="K2" s="1" t="s">
        <v>25</v>
      </c>
      <c r="L2" t="s" vm="1">
        <v>0</v>
      </c>
      <c r="R2" s="3"/>
    </row>
    <row r="4" spans="1:18" x14ac:dyDescent="0.25">
      <c r="A4" s="1" t="s">
        <v>12</v>
      </c>
      <c r="B4" s="1" t="s">
        <v>14</v>
      </c>
      <c r="C4" s="1" t="s">
        <v>36</v>
      </c>
      <c r="D4" s="1" t="s">
        <v>16</v>
      </c>
      <c r="E4" s="1" t="s">
        <v>24</v>
      </c>
      <c r="F4" s="1" t="s">
        <v>13</v>
      </c>
      <c r="G4" s="1" t="s">
        <v>23</v>
      </c>
      <c r="H4" t="s">
        <v>15</v>
      </c>
      <c r="I4" s="8" t="s">
        <v>38</v>
      </c>
      <c r="K4" s="1" t="s">
        <v>37</v>
      </c>
      <c r="L4" s="1" t="s">
        <v>13</v>
      </c>
      <c r="Q4"/>
    </row>
    <row r="5" spans="1:18" x14ac:dyDescent="0.25">
      <c r="A5" t="s">
        <v>2</v>
      </c>
      <c r="B5" s="2">
        <v>46076.692083333335</v>
      </c>
      <c r="C5">
        <v>2</v>
      </c>
      <c r="D5" t="s">
        <v>19</v>
      </c>
      <c r="E5">
        <v>8000</v>
      </c>
      <c r="F5" t="s">
        <v>7</v>
      </c>
      <c r="G5">
        <v>2</v>
      </c>
      <c r="H5" s="3">
        <v>1</v>
      </c>
      <c r="I5" s="9">
        <f>+E5*G5</f>
        <v>16000</v>
      </c>
      <c r="K5" s="1" t="s">
        <v>12</v>
      </c>
      <c r="L5" t="s">
        <v>35</v>
      </c>
      <c r="M5" t="s">
        <v>7</v>
      </c>
      <c r="N5" t="s">
        <v>8</v>
      </c>
      <c r="O5" t="s">
        <v>1</v>
      </c>
      <c r="Q5"/>
    </row>
    <row r="6" spans="1:18" x14ac:dyDescent="0.25">
      <c r="A6" t="s">
        <v>2</v>
      </c>
      <c r="B6" s="2">
        <v>46076.709675925929</v>
      </c>
      <c r="C6">
        <v>3</v>
      </c>
      <c r="D6" t="s">
        <v>19</v>
      </c>
      <c r="E6">
        <v>8000</v>
      </c>
      <c r="F6" t="s">
        <v>8</v>
      </c>
      <c r="G6">
        <v>1</v>
      </c>
      <c r="H6" s="3">
        <v>1</v>
      </c>
      <c r="I6" s="9">
        <f t="shared" ref="I6:I69" si="0">+E6*G6</f>
        <v>8000</v>
      </c>
      <c r="K6" t="s">
        <v>2</v>
      </c>
      <c r="L6" s="3"/>
      <c r="M6" s="3">
        <v>192000</v>
      </c>
      <c r="N6" s="3">
        <v>32000</v>
      </c>
      <c r="O6" s="3">
        <v>224000</v>
      </c>
      <c r="Q6"/>
    </row>
    <row r="7" spans="1:18" x14ac:dyDescent="0.25">
      <c r="A7" t="s">
        <v>2</v>
      </c>
      <c r="B7" s="2">
        <v>46076.717372685183</v>
      </c>
      <c r="C7">
        <v>4</v>
      </c>
      <c r="D7" t="s">
        <v>19</v>
      </c>
      <c r="E7">
        <v>8000</v>
      </c>
      <c r="F7" t="s">
        <v>7</v>
      </c>
      <c r="G7">
        <v>2</v>
      </c>
      <c r="H7" s="3">
        <v>1</v>
      </c>
      <c r="I7" s="9">
        <f t="shared" si="0"/>
        <v>16000</v>
      </c>
      <c r="K7" t="s">
        <v>3</v>
      </c>
      <c r="L7" s="3"/>
      <c r="M7" s="3">
        <v>213000</v>
      </c>
      <c r="N7" s="3">
        <v>8000</v>
      </c>
      <c r="O7" s="3">
        <v>221000</v>
      </c>
      <c r="Q7"/>
    </row>
    <row r="8" spans="1:18" x14ac:dyDescent="0.25">
      <c r="A8" t="s">
        <v>2</v>
      </c>
      <c r="D8" t="s">
        <v>20</v>
      </c>
      <c r="E8">
        <v>3000</v>
      </c>
      <c r="F8" t="s">
        <v>7</v>
      </c>
      <c r="G8">
        <v>2</v>
      </c>
      <c r="H8" s="3">
        <v>1</v>
      </c>
      <c r="I8" s="9">
        <f t="shared" si="0"/>
        <v>6000</v>
      </c>
      <c r="K8" t="s">
        <v>4</v>
      </c>
      <c r="L8" s="3"/>
      <c r="M8" s="3">
        <v>344000</v>
      </c>
      <c r="N8" s="3">
        <v>46500</v>
      </c>
      <c r="O8" s="3">
        <v>390500</v>
      </c>
      <c r="Q8"/>
    </row>
    <row r="9" spans="1:18" x14ac:dyDescent="0.25">
      <c r="A9" t="s">
        <v>2</v>
      </c>
      <c r="B9" s="2">
        <v>46076.72047453704</v>
      </c>
      <c r="C9">
        <v>5</v>
      </c>
      <c r="D9" t="s">
        <v>19</v>
      </c>
      <c r="E9">
        <v>8000</v>
      </c>
      <c r="F9" t="s">
        <v>8</v>
      </c>
      <c r="G9">
        <v>3</v>
      </c>
      <c r="H9" s="3">
        <v>1</v>
      </c>
      <c r="I9" s="9">
        <f t="shared" si="0"/>
        <v>24000</v>
      </c>
      <c r="K9" t="s">
        <v>5</v>
      </c>
      <c r="L9" s="3"/>
      <c r="M9" s="3">
        <v>84000</v>
      </c>
      <c r="N9" s="3">
        <v>125000</v>
      </c>
      <c r="O9" s="3">
        <v>209000</v>
      </c>
      <c r="Q9"/>
    </row>
    <row r="10" spans="1:18" x14ac:dyDescent="0.25">
      <c r="A10" t="s">
        <v>2</v>
      </c>
      <c r="B10" s="2">
        <v>46076.750289351854</v>
      </c>
      <c r="C10">
        <v>6</v>
      </c>
      <c r="D10" t="s">
        <v>17</v>
      </c>
      <c r="E10">
        <v>3000</v>
      </c>
      <c r="F10" t="s">
        <v>7</v>
      </c>
      <c r="G10">
        <v>2</v>
      </c>
      <c r="H10" s="3">
        <v>1</v>
      </c>
      <c r="I10" s="9">
        <f t="shared" si="0"/>
        <v>6000</v>
      </c>
      <c r="K10" t="s">
        <v>32</v>
      </c>
      <c r="L10" s="3">
        <v>11000</v>
      </c>
      <c r="M10" s="3">
        <v>186000</v>
      </c>
      <c r="N10" s="3">
        <v>51000</v>
      </c>
      <c r="O10" s="3">
        <v>248000</v>
      </c>
      <c r="Q10"/>
    </row>
    <row r="11" spans="1:18" x14ac:dyDescent="0.25">
      <c r="A11" t="s">
        <v>2</v>
      </c>
      <c r="D11" t="s">
        <v>19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39</v>
      </c>
      <c r="L11" s="3"/>
      <c r="M11" s="3">
        <v>456500</v>
      </c>
      <c r="N11" s="3">
        <v>47000</v>
      </c>
      <c r="O11" s="3">
        <v>503500</v>
      </c>
      <c r="Q11"/>
    </row>
    <row r="12" spans="1:18" x14ac:dyDescent="0.25">
      <c r="A12" t="s">
        <v>2</v>
      </c>
      <c r="B12" s="2">
        <v>46076.751967592594</v>
      </c>
      <c r="C12">
        <v>7</v>
      </c>
      <c r="D12" t="s">
        <v>19</v>
      </c>
      <c r="E12">
        <v>8000</v>
      </c>
      <c r="F12" t="s">
        <v>7</v>
      </c>
      <c r="G12">
        <v>2</v>
      </c>
      <c r="H12" s="3">
        <v>1</v>
      </c>
      <c r="I12" s="9">
        <f t="shared" si="0"/>
        <v>16000</v>
      </c>
      <c r="K12" t="s">
        <v>48</v>
      </c>
      <c r="L12" s="3"/>
      <c r="M12" s="3">
        <v>60000</v>
      </c>
      <c r="N12" s="3"/>
      <c r="O12" s="3">
        <v>60000</v>
      </c>
      <c r="Q12"/>
    </row>
    <row r="13" spans="1:18" x14ac:dyDescent="0.25">
      <c r="A13" t="s">
        <v>2</v>
      </c>
      <c r="D13" t="s">
        <v>22</v>
      </c>
      <c r="E13">
        <v>3000</v>
      </c>
      <c r="F13" t="s">
        <v>7</v>
      </c>
      <c r="G13">
        <v>1</v>
      </c>
      <c r="H13" s="3">
        <v>1</v>
      </c>
      <c r="I13" s="9">
        <f t="shared" si="0"/>
        <v>3000</v>
      </c>
      <c r="K13" t="s">
        <v>49</v>
      </c>
      <c r="L13" s="3">
        <v>11000</v>
      </c>
      <c r="M13" s="3">
        <v>105000</v>
      </c>
      <c r="N13" s="3">
        <v>53000</v>
      </c>
      <c r="O13" s="3">
        <v>169000</v>
      </c>
      <c r="Q13"/>
    </row>
    <row r="14" spans="1:18" x14ac:dyDescent="0.25">
      <c r="A14" t="s">
        <v>2</v>
      </c>
      <c r="B14" s="2">
        <v>46076.787222222221</v>
      </c>
      <c r="C14">
        <v>8</v>
      </c>
      <c r="D14" t="s">
        <v>19</v>
      </c>
      <c r="E14">
        <v>8000</v>
      </c>
      <c r="F14" t="s">
        <v>7</v>
      </c>
      <c r="G14">
        <v>1</v>
      </c>
      <c r="H14" s="3">
        <v>1</v>
      </c>
      <c r="I14" s="9">
        <f t="shared" si="0"/>
        <v>8000</v>
      </c>
      <c r="K14" t="s">
        <v>54</v>
      </c>
      <c r="L14" s="3"/>
      <c r="M14" s="3">
        <v>260000</v>
      </c>
      <c r="N14" s="3">
        <v>83000</v>
      </c>
      <c r="O14" s="3">
        <v>343000</v>
      </c>
      <c r="Q14"/>
    </row>
    <row r="15" spans="1:18" x14ac:dyDescent="0.25">
      <c r="A15" t="s">
        <v>2</v>
      </c>
      <c r="B15" s="2">
        <v>46076.795474537037</v>
      </c>
      <c r="C15">
        <v>9</v>
      </c>
      <c r="D15" t="s">
        <v>19</v>
      </c>
      <c r="E15">
        <v>8000</v>
      </c>
      <c r="F15" t="s">
        <v>7</v>
      </c>
      <c r="G15">
        <v>2</v>
      </c>
      <c r="H15" s="3">
        <v>1</v>
      </c>
      <c r="I15" s="9">
        <f t="shared" si="0"/>
        <v>16000</v>
      </c>
      <c r="K15" t="s">
        <v>55</v>
      </c>
      <c r="L15" s="3"/>
      <c r="M15" s="3">
        <v>143500</v>
      </c>
      <c r="N15" s="3">
        <v>115500</v>
      </c>
      <c r="O15" s="3">
        <v>259000</v>
      </c>
      <c r="Q15"/>
    </row>
    <row r="16" spans="1:18" x14ac:dyDescent="0.25">
      <c r="A16" t="s">
        <v>2</v>
      </c>
      <c r="D16" t="s">
        <v>20</v>
      </c>
      <c r="E16">
        <v>3000</v>
      </c>
      <c r="F16" t="s">
        <v>7</v>
      </c>
      <c r="G16">
        <v>2</v>
      </c>
      <c r="H16" s="3">
        <v>1</v>
      </c>
      <c r="I16" s="9">
        <f t="shared" si="0"/>
        <v>6000</v>
      </c>
      <c r="K16" t="s">
        <v>64</v>
      </c>
      <c r="L16" s="3"/>
      <c r="M16" s="3">
        <v>211000</v>
      </c>
      <c r="N16" s="3">
        <v>87500</v>
      </c>
      <c r="O16" s="3">
        <v>298500</v>
      </c>
      <c r="Q16"/>
    </row>
    <row r="17" spans="1:17" x14ac:dyDescent="0.25">
      <c r="A17" t="s">
        <v>2</v>
      </c>
      <c r="B17" s="2">
        <v>46076.818287037036</v>
      </c>
      <c r="C17">
        <v>10</v>
      </c>
      <c r="D17" t="s">
        <v>19</v>
      </c>
      <c r="E17">
        <v>8000</v>
      </c>
      <c r="F17" t="s">
        <v>7</v>
      </c>
      <c r="G17">
        <v>3</v>
      </c>
      <c r="H17" s="3">
        <v>1</v>
      </c>
      <c r="I17" s="9">
        <f t="shared" si="0"/>
        <v>24000</v>
      </c>
      <c r="K17" t="s">
        <v>56</v>
      </c>
      <c r="L17" s="3">
        <v>3000</v>
      </c>
      <c r="M17" s="3">
        <v>123500</v>
      </c>
      <c r="N17" s="3">
        <v>92000</v>
      </c>
      <c r="O17" s="3">
        <v>218500</v>
      </c>
      <c r="Q17"/>
    </row>
    <row r="18" spans="1:17" x14ac:dyDescent="0.25">
      <c r="A18" t="s">
        <v>2</v>
      </c>
      <c r="B18" s="2">
        <v>46076.841643518521</v>
      </c>
      <c r="C18">
        <v>11</v>
      </c>
      <c r="D18" t="s">
        <v>19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1</v>
      </c>
      <c r="L18" s="3">
        <v>25000</v>
      </c>
      <c r="M18" s="3">
        <v>2378500</v>
      </c>
      <c r="N18" s="3">
        <v>740500</v>
      </c>
      <c r="O18" s="3">
        <v>3144000</v>
      </c>
      <c r="Q18"/>
    </row>
    <row r="19" spans="1:17" x14ac:dyDescent="0.25">
      <c r="A19" t="s">
        <v>2</v>
      </c>
      <c r="B19" s="2">
        <v>46076.843854166669</v>
      </c>
      <c r="C19">
        <v>12</v>
      </c>
      <c r="D19" t="s">
        <v>19</v>
      </c>
      <c r="E19">
        <v>8000</v>
      </c>
      <c r="F19" t="s">
        <v>7</v>
      </c>
      <c r="G19">
        <v>1</v>
      </c>
      <c r="H19" s="3">
        <v>1</v>
      </c>
      <c r="I19" s="9">
        <f t="shared" si="0"/>
        <v>8000</v>
      </c>
      <c r="Q19"/>
    </row>
    <row r="20" spans="1:17" x14ac:dyDescent="0.25">
      <c r="A20" t="s">
        <v>2</v>
      </c>
      <c r="B20" s="2">
        <v>46076.845659722225</v>
      </c>
      <c r="C20">
        <v>13</v>
      </c>
      <c r="D20" t="s">
        <v>19</v>
      </c>
      <c r="E20">
        <v>8000</v>
      </c>
      <c r="F20" t="s">
        <v>7</v>
      </c>
      <c r="G20">
        <v>1</v>
      </c>
      <c r="H20" s="3">
        <v>1</v>
      </c>
      <c r="I20" s="9">
        <f t="shared" si="0"/>
        <v>8000</v>
      </c>
      <c r="Q20"/>
    </row>
    <row r="21" spans="1:17" x14ac:dyDescent="0.25">
      <c r="A21" t="s">
        <v>2</v>
      </c>
      <c r="D21" t="s">
        <v>22</v>
      </c>
      <c r="E21">
        <v>3000</v>
      </c>
      <c r="F21" t="s">
        <v>7</v>
      </c>
      <c r="G21">
        <v>1</v>
      </c>
      <c r="H21" s="3">
        <v>1</v>
      </c>
      <c r="I21" s="9">
        <f t="shared" si="0"/>
        <v>3000</v>
      </c>
      <c r="Q21"/>
    </row>
    <row r="22" spans="1:17" x14ac:dyDescent="0.25">
      <c r="A22" t="s">
        <v>2</v>
      </c>
      <c r="B22" s="2">
        <v>46076.850243055553</v>
      </c>
      <c r="C22">
        <v>14</v>
      </c>
      <c r="D22" t="s">
        <v>19</v>
      </c>
      <c r="E22">
        <v>8000</v>
      </c>
      <c r="F22" t="s">
        <v>7</v>
      </c>
      <c r="G22">
        <v>3</v>
      </c>
      <c r="H22" s="3">
        <v>1</v>
      </c>
      <c r="I22" s="9">
        <f t="shared" si="0"/>
        <v>24000</v>
      </c>
      <c r="Q22"/>
    </row>
    <row r="23" spans="1:17" x14ac:dyDescent="0.25">
      <c r="A23" t="s">
        <v>2</v>
      </c>
      <c r="B23" s="2">
        <v>46076.852650462963</v>
      </c>
      <c r="C23">
        <v>15</v>
      </c>
      <c r="D23" t="s">
        <v>19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Q23"/>
    </row>
    <row r="24" spans="1:17" x14ac:dyDescent="0.25">
      <c r="A24" t="s">
        <v>3</v>
      </c>
      <c r="B24" s="2">
        <v>46077.648680555554</v>
      </c>
      <c r="C24">
        <v>16</v>
      </c>
      <c r="D24" t="s">
        <v>19</v>
      </c>
      <c r="E24">
        <v>8000</v>
      </c>
      <c r="F24" t="s">
        <v>7</v>
      </c>
      <c r="G24">
        <v>5</v>
      </c>
      <c r="H24" s="3">
        <v>1</v>
      </c>
      <c r="I24" s="9">
        <f t="shared" si="0"/>
        <v>40000</v>
      </c>
      <c r="Q24"/>
    </row>
    <row r="25" spans="1:17" x14ac:dyDescent="0.25">
      <c r="A25" t="s">
        <v>3</v>
      </c>
      <c r="B25" s="2">
        <v>46077.649351851855</v>
      </c>
      <c r="C25">
        <v>17</v>
      </c>
      <c r="D25" t="s">
        <v>19</v>
      </c>
      <c r="E25">
        <v>8000</v>
      </c>
      <c r="F25" t="s">
        <v>7</v>
      </c>
      <c r="G25">
        <v>3</v>
      </c>
      <c r="H25" s="3">
        <v>1</v>
      </c>
      <c r="I25" s="9">
        <f t="shared" si="0"/>
        <v>24000</v>
      </c>
      <c r="Q25"/>
    </row>
    <row r="26" spans="1:17" x14ac:dyDescent="0.25">
      <c r="A26" t="s">
        <v>3</v>
      </c>
      <c r="B26" s="2">
        <v>46077.740034722221</v>
      </c>
      <c r="C26">
        <v>18</v>
      </c>
      <c r="D26" t="s">
        <v>19</v>
      </c>
      <c r="E26">
        <v>8000</v>
      </c>
      <c r="F26" t="s">
        <v>7</v>
      </c>
      <c r="G26">
        <v>1</v>
      </c>
      <c r="H26" s="3">
        <v>1</v>
      </c>
      <c r="I26" s="9">
        <f t="shared" si="0"/>
        <v>8000</v>
      </c>
      <c r="Q26"/>
    </row>
    <row r="27" spans="1:17" x14ac:dyDescent="0.25">
      <c r="A27" t="s">
        <v>3</v>
      </c>
      <c r="B27" s="2">
        <v>46077.759606481479</v>
      </c>
      <c r="C27">
        <v>19</v>
      </c>
      <c r="D27" t="s">
        <v>19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Q27"/>
    </row>
    <row r="28" spans="1:17" x14ac:dyDescent="0.25">
      <c r="A28" t="s">
        <v>3</v>
      </c>
      <c r="B28" s="2">
        <v>46077.774178240739</v>
      </c>
      <c r="C28">
        <v>20</v>
      </c>
      <c r="D28" t="s">
        <v>19</v>
      </c>
      <c r="E28">
        <v>8000</v>
      </c>
      <c r="F28" t="s">
        <v>7</v>
      </c>
      <c r="G28">
        <v>2</v>
      </c>
      <c r="H28" s="3">
        <v>1</v>
      </c>
      <c r="I28" s="9">
        <f t="shared" si="0"/>
        <v>16000</v>
      </c>
      <c r="Q28"/>
    </row>
    <row r="29" spans="1:17" x14ac:dyDescent="0.25">
      <c r="A29" t="s">
        <v>3</v>
      </c>
      <c r="B29" s="2">
        <v>46077.775185185186</v>
      </c>
      <c r="C29">
        <v>21</v>
      </c>
      <c r="D29" t="s">
        <v>19</v>
      </c>
      <c r="E29">
        <v>8000</v>
      </c>
      <c r="F29" t="s">
        <v>7</v>
      </c>
      <c r="G29">
        <v>1</v>
      </c>
      <c r="H29" s="3">
        <v>1</v>
      </c>
      <c r="I29" s="9">
        <f t="shared" si="0"/>
        <v>8000</v>
      </c>
      <c r="Q29"/>
    </row>
    <row r="30" spans="1:17" x14ac:dyDescent="0.25">
      <c r="A30" t="s">
        <v>3</v>
      </c>
      <c r="B30" s="2">
        <v>46077.77952546296</v>
      </c>
      <c r="C30">
        <v>22</v>
      </c>
      <c r="D30" t="s">
        <v>18</v>
      </c>
      <c r="E30">
        <v>4500</v>
      </c>
      <c r="F30" t="s">
        <v>7</v>
      </c>
      <c r="G30">
        <v>2</v>
      </c>
      <c r="H30" s="3">
        <v>1</v>
      </c>
      <c r="I30" s="9">
        <f t="shared" si="0"/>
        <v>9000</v>
      </c>
      <c r="Q30"/>
    </row>
    <row r="31" spans="1:17" x14ac:dyDescent="0.25">
      <c r="A31" t="s">
        <v>3</v>
      </c>
      <c r="D31" t="s">
        <v>19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Q31"/>
    </row>
    <row r="32" spans="1:17" x14ac:dyDescent="0.25">
      <c r="A32" t="s">
        <v>3</v>
      </c>
      <c r="B32" s="2">
        <v>46077.797152777777</v>
      </c>
      <c r="C32">
        <v>23</v>
      </c>
      <c r="D32" t="s">
        <v>19</v>
      </c>
      <c r="E32">
        <v>8000</v>
      </c>
      <c r="F32" t="s">
        <v>7</v>
      </c>
      <c r="G32">
        <v>1</v>
      </c>
      <c r="H32" s="3">
        <v>1</v>
      </c>
      <c r="I32" s="9">
        <f t="shared" si="0"/>
        <v>8000</v>
      </c>
      <c r="Q32"/>
    </row>
    <row r="33" spans="1:17" x14ac:dyDescent="0.25">
      <c r="A33" t="s">
        <v>3</v>
      </c>
      <c r="B33" s="2">
        <v>46077.834386574075</v>
      </c>
      <c r="C33">
        <v>24</v>
      </c>
      <c r="D33" t="s">
        <v>19</v>
      </c>
      <c r="E33">
        <v>8000</v>
      </c>
      <c r="F33" t="s">
        <v>8</v>
      </c>
      <c r="G33">
        <v>1</v>
      </c>
      <c r="H33" s="3">
        <v>1</v>
      </c>
      <c r="I33" s="9">
        <f t="shared" si="0"/>
        <v>8000</v>
      </c>
      <c r="Q33"/>
    </row>
    <row r="34" spans="1:17" x14ac:dyDescent="0.25">
      <c r="A34" t="s">
        <v>3</v>
      </c>
      <c r="B34" s="2">
        <v>46077.836875000001</v>
      </c>
      <c r="C34">
        <v>25</v>
      </c>
      <c r="D34" t="s">
        <v>19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Q34"/>
    </row>
    <row r="35" spans="1:17" x14ac:dyDescent="0.25">
      <c r="A35" t="s">
        <v>3</v>
      </c>
      <c r="B35" s="2">
        <v>46077.847013888888</v>
      </c>
      <c r="C35">
        <v>26</v>
      </c>
      <c r="D35" t="s">
        <v>17</v>
      </c>
      <c r="E35">
        <v>3000</v>
      </c>
      <c r="F35" t="s">
        <v>7</v>
      </c>
      <c r="G35">
        <v>1</v>
      </c>
      <c r="H35" s="3">
        <v>1</v>
      </c>
      <c r="I35" s="9">
        <f t="shared" si="0"/>
        <v>3000</v>
      </c>
      <c r="Q35"/>
    </row>
    <row r="36" spans="1:17" x14ac:dyDescent="0.25">
      <c r="A36" t="s">
        <v>3</v>
      </c>
      <c r="D36" t="s">
        <v>19</v>
      </c>
      <c r="E36">
        <v>8000</v>
      </c>
      <c r="F36" t="s">
        <v>7</v>
      </c>
      <c r="G36">
        <v>3</v>
      </c>
      <c r="H36" s="3">
        <v>1</v>
      </c>
      <c r="I36" s="9">
        <f t="shared" si="0"/>
        <v>24000</v>
      </c>
      <c r="Q36"/>
    </row>
    <row r="37" spans="1:17" x14ac:dyDescent="0.25">
      <c r="A37" t="s">
        <v>3</v>
      </c>
      <c r="D37" t="s">
        <v>22</v>
      </c>
      <c r="E37">
        <v>3000</v>
      </c>
      <c r="F37" t="s">
        <v>7</v>
      </c>
      <c r="G37">
        <v>1</v>
      </c>
      <c r="H37" s="3">
        <v>1</v>
      </c>
      <c r="I37" s="9">
        <f t="shared" si="0"/>
        <v>3000</v>
      </c>
      <c r="Q37"/>
    </row>
    <row r="38" spans="1:17" x14ac:dyDescent="0.25">
      <c r="A38" t="s">
        <v>3</v>
      </c>
      <c r="B38" s="2">
        <v>46077.849872685183</v>
      </c>
      <c r="C38">
        <v>27</v>
      </c>
      <c r="D38" t="s">
        <v>19</v>
      </c>
      <c r="E38">
        <v>8000</v>
      </c>
      <c r="F38" t="s">
        <v>7</v>
      </c>
      <c r="G38">
        <v>4</v>
      </c>
      <c r="H38" s="3">
        <v>1</v>
      </c>
      <c r="I38" s="9">
        <f t="shared" si="0"/>
        <v>32000</v>
      </c>
      <c r="Q38"/>
    </row>
    <row r="39" spans="1:17" x14ac:dyDescent="0.25">
      <c r="A39" t="s">
        <v>3</v>
      </c>
      <c r="D39" t="s">
        <v>20</v>
      </c>
      <c r="E39">
        <v>3000</v>
      </c>
      <c r="F39" t="s">
        <v>7</v>
      </c>
      <c r="G39">
        <v>2</v>
      </c>
      <c r="H39" s="3">
        <v>1</v>
      </c>
      <c r="I39" s="9">
        <f t="shared" si="0"/>
        <v>6000</v>
      </c>
      <c r="Q39"/>
    </row>
    <row r="40" spans="1:17" x14ac:dyDescent="0.25">
      <c r="A40" t="s">
        <v>3</v>
      </c>
      <c r="B40" s="2">
        <v>46077.867604166669</v>
      </c>
      <c r="C40">
        <v>28</v>
      </c>
      <c r="D40" t="s">
        <v>19</v>
      </c>
      <c r="E40">
        <v>8000</v>
      </c>
      <c r="F40" t="s">
        <v>7</v>
      </c>
      <c r="G40">
        <v>1</v>
      </c>
      <c r="H40" s="3">
        <v>1</v>
      </c>
      <c r="I40" s="9">
        <f t="shared" si="0"/>
        <v>8000</v>
      </c>
      <c r="Q40"/>
    </row>
    <row r="41" spans="1:17" x14ac:dyDescent="0.25">
      <c r="A41" t="s">
        <v>4</v>
      </c>
      <c r="B41" s="2">
        <v>46078.578043981484</v>
      </c>
      <c r="C41">
        <v>29</v>
      </c>
      <c r="D41" t="s">
        <v>19</v>
      </c>
      <c r="E41">
        <v>8000</v>
      </c>
      <c r="F41" t="s">
        <v>7</v>
      </c>
      <c r="G41">
        <v>1</v>
      </c>
      <c r="H41" s="3">
        <v>1</v>
      </c>
      <c r="I41" s="9">
        <f t="shared" si="0"/>
        <v>8000</v>
      </c>
      <c r="Q41"/>
    </row>
    <row r="42" spans="1:17" x14ac:dyDescent="0.25">
      <c r="A42" t="s">
        <v>4</v>
      </c>
      <c r="B42" s="2">
        <v>46078.579907407409</v>
      </c>
      <c r="C42">
        <v>30</v>
      </c>
      <c r="D42" t="s">
        <v>19</v>
      </c>
      <c r="E42">
        <v>8000</v>
      </c>
      <c r="F42" t="s">
        <v>7</v>
      </c>
      <c r="G42">
        <v>1</v>
      </c>
      <c r="H42" s="3">
        <v>1</v>
      </c>
      <c r="I42" s="9">
        <f t="shared" si="0"/>
        <v>8000</v>
      </c>
      <c r="Q42"/>
    </row>
    <row r="43" spans="1:17" x14ac:dyDescent="0.25">
      <c r="A43" t="s">
        <v>4</v>
      </c>
      <c r="B43" s="2">
        <v>46078.58693287037</v>
      </c>
      <c r="C43">
        <v>31</v>
      </c>
      <c r="D43" t="s">
        <v>19</v>
      </c>
      <c r="E43">
        <v>8000</v>
      </c>
      <c r="F43" t="s">
        <v>7</v>
      </c>
      <c r="G43">
        <v>1</v>
      </c>
      <c r="H43" s="3">
        <v>1</v>
      </c>
      <c r="I43" s="9">
        <f t="shared" si="0"/>
        <v>8000</v>
      </c>
      <c r="Q43"/>
    </row>
    <row r="44" spans="1:17" x14ac:dyDescent="0.25">
      <c r="A44" t="s">
        <v>4</v>
      </c>
      <c r="B44" s="2">
        <v>46078.59138888889</v>
      </c>
      <c r="C44">
        <v>32</v>
      </c>
      <c r="D44" t="s">
        <v>21</v>
      </c>
      <c r="E44">
        <v>35000</v>
      </c>
      <c r="F44" t="s">
        <v>7</v>
      </c>
      <c r="G44">
        <v>1</v>
      </c>
      <c r="H44" s="3">
        <v>1</v>
      </c>
      <c r="I44" s="9">
        <f t="shared" si="0"/>
        <v>35000</v>
      </c>
      <c r="Q44"/>
    </row>
    <row r="45" spans="1:17" x14ac:dyDescent="0.25">
      <c r="A45" t="s">
        <v>4</v>
      </c>
      <c r="B45" s="2">
        <v>46078.600636574076</v>
      </c>
      <c r="C45">
        <v>34</v>
      </c>
      <c r="D45" t="s">
        <v>21</v>
      </c>
      <c r="E45">
        <v>35000</v>
      </c>
      <c r="F45" t="s">
        <v>7</v>
      </c>
      <c r="G45">
        <v>1</v>
      </c>
      <c r="H45" s="3">
        <v>1</v>
      </c>
      <c r="I45" s="9">
        <f t="shared" si="0"/>
        <v>35000</v>
      </c>
      <c r="Q45"/>
    </row>
    <row r="46" spans="1:17" x14ac:dyDescent="0.25">
      <c r="A46" t="s">
        <v>4</v>
      </c>
      <c r="B46" s="2">
        <v>46078.601261574076</v>
      </c>
      <c r="C46">
        <v>35</v>
      </c>
      <c r="D46" t="s">
        <v>19</v>
      </c>
      <c r="E46">
        <v>8000</v>
      </c>
      <c r="F46" t="s">
        <v>7</v>
      </c>
      <c r="G46">
        <v>2</v>
      </c>
      <c r="H46" s="3">
        <v>1</v>
      </c>
      <c r="I46" s="9">
        <f t="shared" si="0"/>
        <v>16000</v>
      </c>
      <c r="Q46"/>
    </row>
    <row r="47" spans="1:17" x14ac:dyDescent="0.25">
      <c r="A47" t="s">
        <v>4</v>
      </c>
      <c r="B47" s="2">
        <v>46078.694513888891</v>
      </c>
      <c r="C47">
        <v>36</v>
      </c>
      <c r="D47" t="s">
        <v>19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B48" s="2">
        <v>46078.695300925923</v>
      </c>
      <c r="C48">
        <v>37</v>
      </c>
      <c r="D48" t="s">
        <v>19</v>
      </c>
      <c r="E48">
        <v>8000</v>
      </c>
      <c r="F48" t="s">
        <v>8</v>
      </c>
      <c r="G48">
        <v>1</v>
      </c>
      <c r="H48" s="3">
        <v>1</v>
      </c>
      <c r="I48" s="9">
        <f t="shared" si="0"/>
        <v>8000</v>
      </c>
      <c r="Q48"/>
    </row>
    <row r="49" spans="1:17" x14ac:dyDescent="0.25">
      <c r="A49" t="s">
        <v>4</v>
      </c>
      <c r="B49" s="2">
        <v>46078.762141203704</v>
      </c>
      <c r="C49">
        <v>38</v>
      </c>
      <c r="D49" t="s">
        <v>19</v>
      </c>
      <c r="E49">
        <v>8000</v>
      </c>
      <c r="F49" t="s">
        <v>7</v>
      </c>
      <c r="G49">
        <v>1</v>
      </c>
      <c r="H49" s="3">
        <v>1</v>
      </c>
      <c r="I49" s="9">
        <f t="shared" si="0"/>
        <v>8000</v>
      </c>
      <c r="Q49"/>
    </row>
    <row r="50" spans="1:17" x14ac:dyDescent="0.25">
      <c r="A50" t="s">
        <v>4</v>
      </c>
      <c r="B50" s="2">
        <v>46078.764027777775</v>
      </c>
      <c r="C50">
        <v>39</v>
      </c>
      <c r="D50" t="s">
        <v>19</v>
      </c>
      <c r="E50">
        <v>8000</v>
      </c>
      <c r="F50" t="s">
        <v>7</v>
      </c>
      <c r="G50">
        <v>1</v>
      </c>
      <c r="H50" s="3">
        <v>1</v>
      </c>
      <c r="I50" s="9">
        <f t="shared" si="0"/>
        <v>8000</v>
      </c>
      <c r="Q50"/>
    </row>
    <row r="51" spans="1:17" x14ac:dyDescent="0.25">
      <c r="A51" t="s">
        <v>4</v>
      </c>
      <c r="B51" s="2">
        <v>46078.768379629626</v>
      </c>
      <c r="C51">
        <v>41</v>
      </c>
      <c r="D51" t="s">
        <v>19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B52" s="2">
        <v>46078.77375</v>
      </c>
      <c r="C52">
        <v>42</v>
      </c>
      <c r="D52" t="s">
        <v>19</v>
      </c>
      <c r="E52">
        <v>8000</v>
      </c>
      <c r="F52" t="s">
        <v>7</v>
      </c>
      <c r="G52">
        <v>5</v>
      </c>
      <c r="H52" s="3">
        <v>1</v>
      </c>
      <c r="I52" s="9">
        <f t="shared" si="0"/>
        <v>40000</v>
      </c>
      <c r="Q52"/>
    </row>
    <row r="53" spans="1:17" x14ac:dyDescent="0.25">
      <c r="A53" t="s">
        <v>4</v>
      </c>
      <c r="B53" s="2">
        <v>46078.774247685185</v>
      </c>
      <c r="C53">
        <v>43</v>
      </c>
      <c r="D53" t="s">
        <v>20</v>
      </c>
      <c r="E53">
        <v>3000</v>
      </c>
      <c r="F53" t="s">
        <v>7</v>
      </c>
      <c r="G53">
        <v>2</v>
      </c>
      <c r="H53" s="3">
        <v>1</v>
      </c>
      <c r="I53" s="9">
        <f t="shared" si="0"/>
        <v>6000</v>
      </c>
      <c r="Q53"/>
    </row>
    <row r="54" spans="1:17" x14ac:dyDescent="0.25">
      <c r="A54" t="s">
        <v>4</v>
      </c>
      <c r="D54" t="s">
        <v>22</v>
      </c>
      <c r="E54">
        <v>3000</v>
      </c>
      <c r="F54" t="s">
        <v>7</v>
      </c>
      <c r="G54">
        <v>1</v>
      </c>
      <c r="H54" s="3">
        <v>1</v>
      </c>
      <c r="I54" s="9">
        <f t="shared" si="0"/>
        <v>3000</v>
      </c>
      <c r="Q54"/>
    </row>
    <row r="55" spans="1:17" x14ac:dyDescent="0.25">
      <c r="A55" t="s">
        <v>4</v>
      </c>
      <c r="B55" s="2">
        <v>46078.777766203704</v>
      </c>
      <c r="C55">
        <v>44</v>
      </c>
      <c r="D55" t="s">
        <v>19</v>
      </c>
      <c r="E55">
        <v>8000</v>
      </c>
      <c r="F55" t="s">
        <v>7</v>
      </c>
      <c r="G55">
        <v>3</v>
      </c>
      <c r="H55" s="3">
        <v>1</v>
      </c>
      <c r="I55" s="9">
        <f t="shared" si="0"/>
        <v>24000</v>
      </c>
      <c r="Q55"/>
    </row>
    <row r="56" spans="1:17" x14ac:dyDescent="0.25">
      <c r="A56" t="s">
        <v>4</v>
      </c>
      <c r="B56" s="2">
        <v>46078.799016203702</v>
      </c>
      <c r="C56">
        <v>45</v>
      </c>
      <c r="D56" t="s">
        <v>19</v>
      </c>
      <c r="E56">
        <v>8000</v>
      </c>
      <c r="F56" t="s">
        <v>8</v>
      </c>
      <c r="G56">
        <v>1</v>
      </c>
      <c r="H56" s="3">
        <v>1</v>
      </c>
      <c r="I56" s="9">
        <f t="shared" si="0"/>
        <v>8000</v>
      </c>
      <c r="Q56"/>
    </row>
    <row r="57" spans="1:17" x14ac:dyDescent="0.25">
      <c r="A57" t="s">
        <v>4</v>
      </c>
      <c r="B57" s="2">
        <v>46078.800497685188</v>
      </c>
      <c r="C57">
        <v>46</v>
      </c>
      <c r="D57" t="s">
        <v>19</v>
      </c>
      <c r="E57">
        <v>8000</v>
      </c>
      <c r="F57" t="s">
        <v>7</v>
      </c>
      <c r="G57">
        <v>1</v>
      </c>
      <c r="H57" s="3">
        <v>1</v>
      </c>
      <c r="I57" s="9">
        <f t="shared" si="0"/>
        <v>8000</v>
      </c>
      <c r="Q57"/>
    </row>
    <row r="58" spans="1:17" x14ac:dyDescent="0.25">
      <c r="A58" t="s">
        <v>4</v>
      </c>
      <c r="D58" t="s">
        <v>20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B59" s="2">
        <v>46078.806875000002</v>
      </c>
      <c r="C59">
        <v>47</v>
      </c>
      <c r="D59" t="s">
        <v>18</v>
      </c>
      <c r="E59">
        <v>4500</v>
      </c>
      <c r="F59" t="s">
        <v>8</v>
      </c>
      <c r="G59">
        <v>5</v>
      </c>
      <c r="H59" s="3">
        <v>1</v>
      </c>
      <c r="I59" s="9">
        <f t="shared" si="0"/>
        <v>22500</v>
      </c>
      <c r="Q59"/>
    </row>
    <row r="60" spans="1:17" x14ac:dyDescent="0.25">
      <c r="A60" t="s">
        <v>4</v>
      </c>
      <c r="B60" s="2">
        <v>46078.81894675926</v>
      </c>
      <c r="C60">
        <v>48</v>
      </c>
      <c r="D60" t="s">
        <v>21</v>
      </c>
      <c r="E60">
        <v>35000</v>
      </c>
      <c r="F60" t="s">
        <v>7</v>
      </c>
      <c r="G60">
        <v>1</v>
      </c>
      <c r="H60" s="3">
        <v>1</v>
      </c>
      <c r="I60" s="9">
        <f t="shared" si="0"/>
        <v>35000</v>
      </c>
      <c r="Q60"/>
    </row>
    <row r="61" spans="1:17" x14ac:dyDescent="0.25">
      <c r="A61" t="s">
        <v>4</v>
      </c>
      <c r="D61" t="s">
        <v>22</v>
      </c>
      <c r="E61">
        <v>3000</v>
      </c>
      <c r="F61" t="s">
        <v>7</v>
      </c>
      <c r="G61">
        <v>1</v>
      </c>
      <c r="H61" s="3">
        <v>1</v>
      </c>
      <c r="I61" s="9">
        <f t="shared" si="0"/>
        <v>3000</v>
      </c>
      <c r="Q61"/>
    </row>
    <row r="62" spans="1:17" x14ac:dyDescent="0.25">
      <c r="A62" t="s">
        <v>4</v>
      </c>
      <c r="B62" s="2">
        <v>46078.819791666669</v>
      </c>
      <c r="C62">
        <v>49</v>
      </c>
      <c r="D62" t="s">
        <v>19</v>
      </c>
      <c r="E62">
        <v>8000</v>
      </c>
      <c r="F62" t="s">
        <v>7</v>
      </c>
      <c r="G62">
        <v>2</v>
      </c>
      <c r="H62" s="3">
        <v>1</v>
      </c>
      <c r="I62" s="9">
        <f t="shared" si="0"/>
        <v>16000</v>
      </c>
      <c r="Q62"/>
    </row>
    <row r="63" spans="1:17" x14ac:dyDescent="0.25">
      <c r="A63" t="s">
        <v>4</v>
      </c>
      <c r="B63" s="2">
        <v>46078.83253472222</v>
      </c>
      <c r="C63">
        <v>50</v>
      </c>
      <c r="D63" t="s">
        <v>19</v>
      </c>
      <c r="E63">
        <v>8000</v>
      </c>
      <c r="F63" t="s">
        <v>7</v>
      </c>
      <c r="G63">
        <v>2</v>
      </c>
      <c r="H63" s="3">
        <v>1</v>
      </c>
      <c r="I63" s="9">
        <f t="shared" si="0"/>
        <v>16000</v>
      </c>
      <c r="Q63"/>
    </row>
    <row r="64" spans="1:17" x14ac:dyDescent="0.25">
      <c r="A64" t="s">
        <v>4</v>
      </c>
      <c r="B64" s="2">
        <v>46078.838090277779</v>
      </c>
      <c r="C64">
        <v>51</v>
      </c>
      <c r="D64" t="s">
        <v>19</v>
      </c>
      <c r="E64">
        <v>8000</v>
      </c>
      <c r="F64" t="s">
        <v>7</v>
      </c>
      <c r="G64">
        <v>4</v>
      </c>
      <c r="H64" s="3">
        <v>1</v>
      </c>
      <c r="I64" s="9">
        <f t="shared" si="0"/>
        <v>32000</v>
      </c>
      <c r="Q64"/>
    </row>
    <row r="65" spans="1:17" x14ac:dyDescent="0.25">
      <c r="A65" t="s">
        <v>4</v>
      </c>
      <c r="B65" s="2">
        <v>46078.841678240744</v>
      </c>
      <c r="C65">
        <v>52</v>
      </c>
      <c r="D65" t="s">
        <v>19</v>
      </c>
      <c r="E65">
        <v>8000</v>
      </c>
      <c r="F65" t="s">
        <v>8</v>
      </c>
      <c r="G65">
        <v>1</v>
      </c>
      <c r="H65" s="3">
        <v>1</v>
      </c>
      <c r="I65" s="9">
        <f t="shared" si="0"/>
        <v>8000</v>
      </c>
      <c r="Q65"/>
    </row>
    <row r="66" spans="1:17" x14ac:dyDescent="0.25">
      <c r="A66" t="s">
        <v>4</v>
      </c>
      <c r="B66" s="2">
        <v>46078.848043981481</v>
      </c>
      <c r="C66">
        <v>53</v>
      </c>
      <c r="D66" t="s">
        <v>19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5</v>
      </c>
      <c r="B67" s="2">
        <v>46079.557025462964</v>
      </c>
      <c r="C67">
        <v>54</v>
      </c>
      <c r="D67" t="s">
        <v>18</v>
      </c>
      <c r="E67">
        <v>4500</v>
      </c>
      <c r="F67" t="s">
        <v>7</v>
      </c>
      <c r="G67">
        <v>2</v>
      </c>
      <c r="H67" s="3">
        <v>1</v>
      </c>
      <c r="I67" s="9">
        <f t="shared" si="0"/>
        <v>9000</v>
      </c>
      <c r="Q67"/>
    </row>
    <row r="68" spans="1:17" x14ac:dyDescent="0.25">
      <c r="A68" t="s">
        <v>5</v>
      </c>
      <c r="B68" s="2">
        <v>46079.560671296298</v>
      </c>
      <c r="C68">
        <v>55</v>
      </c>
      <c r="D68" t="s">
        <v>19</v>
      </c>
      <c r="E68">
        <v>8000</v>
      </c>
      <c r="F68" t="s">
        <v>7</v>
      </c>
      <c r="G68">
        <v>2</v>
      </c>
      <c r="H68" s="3">
        <v>1</v>
      </c>
      <c r="I68" s="9">
        <f t="shared" si="0"/>
        <v>16000</v>
      </c>
      <c r="Q68"/>
    </row>
    <row r="69" spans="1:17" x14ac:dyDescent="0.25">
      <c r="A69" t="s">
        <v>5</v>
      </c>
      <c r="B69" s="2">
        <v>46079.634108796294</v>
      </c>
      <c r="C69">
        <v>56</v>
      </c>
      <c r="D69" t="s">
        <v>34</v>
      </c>
      <c r="E69">
        <v>25000</v>
      </c>
      <c r="F69" t="s">
        <v>8</v>
      </c>
      <c r="G69">
        <v>1</v>
      </c>
      <c r="H69" s="3">
        <v>1</v>
      </c>
      <c r="I69" s="9">
        <f t="shared" si="0"/>
        <v>25000</v>
      </c>
      <c r="Q69"/>
    </row>
    <row r="70" spans="1:17" x14ac:dyDescent="0.25">
      <c r="A70" t="s">
        <v>5</v>
      </c>
      <c r="B70" s="2">
        <v>46079.72755787037</v>
      </c>
      <c r="C70">
        <v>57</v>
      </c>
      <c r="D70" t="s">
        <v>19</v>
      </c>
      <c r="E70">
        <v>8000</v>
      </c>
      <c r="F70" t="s">
        <v>8</v>
      </c>
      <c r="G70">
        <v>5</v>
      </c>
      <c r="H70" s="3">
        <v>1</v>
      </c>
      <c r="I70" s="9">
        <f t="shared" ref="I70:I125" si="1">+E70*G70</f>
        <v>40000</v>
      </c>
      <c r="Q70"/>
    </row>
    <row r="71" spans="1:17" x14ac:dyDescent="0.25">
      <c r="A71" t="s">
        <v>5</v>
      </c>
      <c r="D71" t="s">
        <v>22</v>
      </c>
      <c r="E71">
        <v>3000</v>
      </c>
      <c r="F71" t="s">
        <v>8</v>
      </c>
      <c r="G71">
        <v>3</v>
      </c>
      <c r="H71" s="3">
        <v>1</v>
      </c>
      <c r="I71" s="9">
        <f t="shared" si="1"/>
        <v>9000</v>
      </c>
      <c r="Q71"/>
    </row>
    <row r="72" spans="1:17" x14ac:dyDescent="0.25">
      <c r="A72" t="s">
        <v>5</v>
      </c>
      <c r="B72" s="2">
        <v>46079.752893518518</v>
      </c>
      <c r="C72">
        <v>58</v>
      </c>
      <c r="D72" t="s">
        <v>19</v>
      </c>
      <c r="E72">
        <v>8000</v>
      </c>
      <c r="F72" t="s">
        <v>7</v>
      </c>
      <c r="G72">
        <v>1</v>
      </c>
      <c r="H72" s="3">
        <v>1</v>
      </c>
      <c r="I72" s="9">
        <f t="shared" si="1"/>
        <v>8000</v>
      </c>
      <c r="Q72"/>
    </row>
    <row r="73" spans="1:17" x14ac:dyDescent="0.25">
      <c r="A73" t="s">
        <v>5</v>
      </c>
      <c r="B73" s="2">
        <v>46079.763055555559</v>
      </c>
      <c r="C73">
        <v>59</v>
      </c>
      <c r="D73" t="s">
        <v>19</v>
      </c>
      <c r="E73">
        <v>8000</v>
      </c>
      <c r="F73" t="s">
        <v>8</v>
      </c>
      <c r="G73">
        <v>1</v>
      </c>
      <c r="H73" s="3">
        <v>1</v>
      </c>
      <c r="I73" s="9">
        <f t="shared" si="1"/>
        <v>8000</v>
      </c>
      <c r="Q73"/>
    </row>
    <row r="74" spans="1:17" x14ac:dyDescent="0.25">
      <c r="A74" t="s">
        <v>5</v>
      </c>
      <c r="B74" s="2">
        <v>46079.764050925929</v>
      </c>
      <c r="C74">
        <v>60</v>
      </c>
      <c r="D74" t="s">
        <v>19</v>
      </c>
      <c r="E74">
        <v>8000</v>
      </c>
      <c r="F74" t="s">
        <v>7</v>
      </c>
      <c r="G74">
        <v>1</v>
      </c>
      <c r="H74" s="3">
        <v>1</v>
      </c>
      <c r="I74" s="9">
        <f t="shared" si="1"/>
        <v>8000</v>
      </c>
      <c r="Q74"/>
    </row>
    <row r="75" spans="1:17" x14ac:dyDescent="0.25">
      <c r="A75" t="s">
        <v>5</v>
      </c>
      <c r="B75" s="2">
        <v>46079.773599537039</v>
      </c>
      <c r="C75">
        <v>61</v>
      </c>
      <c r="D75" t="s">
        <v>19</v>
      </c>
      <c r="E75">
        <v>8000</v>
      </c>
      <c r="F75" t="s">
        <v>8</v>
      </c>
      <c r="G75">
        <v>1</v>
      </c>
      <c r="H75" s="3">
        <v>1</v>
      </c>
      <c r="I75" s="9">
        <f t="shared" si="1"/>
        <v>8000</v>
      </c>
      <c r="Q75"/>
    </row>
    <row r="76" spans="1:17" x14ac:dyDescent="0.25">
      <c r="A76" t="s">
        <v>5</v>
      </c>
      <c r="B76" s="2">
        <v>46079.794652777775</v>
      </c>
      <c r="C76">
        <v>62</v>
      </c>
      <c r="D76" t="s">
        <v>19</v>
      </c>
      <c r="E76">
        <v>8000</v>
      </c>
      <c r="F76" t="s">
        <v>7</v>
      </c>
      <c r="G76">
        <v>2</v>
      </c>
      <c r="H76" s="3">
        <v>1</v>
      </c>
      <c r="I76" s="9">
        <f t="shared" si="1"/>
        <v>16000</v>
      </c>
      <c r="Q76"/>
    </row>
    <row r="77" spans="1:17" x14ac:dyDescent="0.25">
      <c r="A77" t="s">
        <v>5</v>
      </c>
      <c r="B77" s="2">
        <v>46079.812418981484</v>
      </c>
      <c r="C77">
        <v>63</v>
      </c>
      <c r="D77" t="s">
        <v>19</v>
      </c>
      <c r="E77">
        <v>8000</v>
      </c>
      <c r="F77" t="s">
        <v>8</v>
      </c>
      <c r="G77">
        <v>2</v>
      </c>
      <c r="H77" s="3">
        <v>1</v>
      </c>
      <c r="I77" s="9">
        <f t="shared" si="1"/>
        <v>16000</v>
      </c>
      <c r="Q77"/>
    </row>
    <row r="78" spans="1:17" x14ac:dyDescent="0.25">
      <c r="A78" t="s">
        <v>5</v>
      </c>
      <c r="D78" t="s">
        <v>20</v>
      </c>
      <c r="E78">
        <v>3000</v>
      </c>
      <c r="F78" t="s">
        <v>8</v>
      </c>
      <c r="G78">
        <v>1</v>
      </c>
      <c r="H78" s="3">
        <v>1</v>
      </c>
      <c r="I78" s="9">
        <f t="shared" si="1"/>
        <v>3000</v>
      </c>
      <c r="Q78"/>
    </row>
    <row r="79" spans="1:17" x14ac:dyDescent="0.25">
      <c r="A79" t="s">
        <v>5</v>
      </c>
      <c r="B79" s="2">
        <v>46079.81355324074</v>
      </c>
      <c r="C79">
        <v>64</v>
      </c>
      <c r="D79" t="s">
        <v>19</v>
      </c>
      <c r="E79">
        <v>8000</v>
      </c>
      <c r="F79" t="s">
        <v>7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B80" s="2">
        <v>46079.814722222225</v>
      </c>
      <c r="C80">
        <v>65</v>
      </c>
      <c r="D80" t="s">
        <v>19</v>
      </c>
      <c r="E80">
        <v>8000</v>
      </c>
      <c r="F80" t="s">
        <v>7</v>
      </c>
      <c r="G80">
        <v>1</v>
      </c>
      <c r="H80" s="3">
        <v>1</v>
      </c>
      <c r="I80" s="9">
        <f t="shared" si="1"/>
        <v>8000</v>
      </c>
      <c r="Q80"/>
    </row>
    <row r="81" spans="1:17" x14ac:dyDescent="0.25">
      <c r="A81" t="s">
        <v>5</v>
      </c>
      <c r="B81" s="2">
        <v>46079.84375</v>
      </c>
      <c r="C81">
        <v>66</v>
      </c>
      <c r="D81" t="s">
        <v>19</v>
      </c>
      <c r="E81">
        <v>8000</v>
      </c>
      <c r="F81" t="s">
        <v>7</v>
      </c>
      <c r="G81">
        <v>1</v>
      </c>
      <c r="H81" s="3">
        <v>1</v>
      </c>
      <c r="I81" s="9">
        <f t="shared" si="1"/>
        <v>8000</v>
      </c>
      <c r="Q81"/>
    </row>
    <row r="82" spans="1:17" x14ac:dyDescent="0.25">
      <c r="A82" t="s">
        <v>5</v>
      </c>
      <c r="D82" t="s">
        <v>22</v>
      </c>
      <c r="E82">
        <v>3000</v>
      </c>
      <c r="F82" t="s">
        <v>7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B83" s="2">
        <v>46079.843946759262</v>
      </c>
      <c r="C83">
        <v>67</v>
      </c>
      <c r="D83" t="s">
        <v>19</v>
      </c>
      <c r="E83">
        <v>8000</v>
      </c>
      <c r="F83" t="s">
        <v>8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B84" s="2">
        <v>46079.844108796293</v>
      </c>
      <c r="C84">
        <v>68</v>
      </c>
      <c r="D84" t="s">
        <v>19</v>
      </c>
      <c r="E84">
        <v>8000</v>
      </c>
      <c r="F84" t="s">
        <v>8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32</v>
      </c>
      <c r="B85" s="2">
        <v>46080.630173611113</v>
      </c>
      <c r="C85">
        <v>69</v>
      </c>
      <c r="D85" t="s">
        <v>19</v>
      </c>
      <c r="E85">
        <v>8000</v>
      </c>
      <c r="F85" t="s">
        <v>8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32</v>
      </c>
      <c r="D86" t="s">
        <v>22</v>
      </c>
      <c r="E86">
        <v>3000</v>
      </c>
      <c r="F86" t="s">
        <v>8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32</v>
      </c>
      <c r="B87" s="2">
        <v>46080.631249999999</v>
      </c>
      <c r="C87">
        <v>70</v>
      </c>
      <c r="D87" t="s">
        <v>19</v>
      </c>
      <c r="E87">
        <v>8000</v>
      </c>
      <c r="F87" t="s">
        <v>7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32</v>
      </c>
      <c r="B88" s="2">
        <v>46080.715798611112</v>
      </c>
      <c r="C88">
        <v>71</v>
      </c>
      <c r="D88" t="s">
        <v>19</v>
      </c>
      <c r="E88">
        <v>8000</v>
      </c>
      <c r="F88" t="s">
        <v>7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32</v>
      </c>
      <c r="D89" t="s">
        <v>21</v>
      </c>
      <c r="E89">
        <v>35000</v>
      </c>
      <c r="F89" t="s">
        <v>7</v>
      </c>
      <c r="G89">
        <v>1</v>
      </c>
      <c r="H89" s="3">
        <v>1</v>
      </c>
      <c r="I89" s="9">
        <f t="shared" si="1"/>
        <v>35000</v>
      </c>
      <c r="Q89"/>
    </row>
    <row r="90" spans="1:17" x14ac:dyDescent="0.25">
      <c r="A90" t="s">
        <v>32</v>
      </c>
      <c r="D90" t="s">
        <v>33</v>
      </c>
      <c r="E90">
        <v>2000</v>
      </c>
      <c r="F90" t="s">
        <v>7</v>
      </c>
      <c r="G90">
        <v>1</v>
      </c>
      <c r="H90" s="3">
        <v>1</v>
      </c>
      <c r="I90" s="9">
        <f t="shared" si="1"/>
        <v>2000</v>
      </c>
      <c r="Q90"/>
    </row>
    <row r="91" spans="1:17" x14ac:dyDescent="0.25">
      <c r="A91" t="s">
        <v>32</v>
      </c>
      <c r="B91" s="2">
        <v>46080.725428240738</v>
      </c>
      <c r="C91">
        <v>72</v>
      </c>
      <c r="D91" t="s">
        <v>19</v>
      </c>
      <c r="E91">
        <v>8000</v>
      </c>
      <c r="F91" t="s">
        <v>7</v>
      </c>
      <c r="G91">
        <v>3</v>
      </c>
      <c r="H91" s="3">
        <v>1</v>
      </c>
      <c r="I91" s="9">
        <f t="shared" si="1"/>
        <v>24000</v>
      </c>
      <c r="Q91"/>
    </row>
    <row r="92" spans="1:17" x14ac:dyDescent="0.25">
      <c r="A92" t="s">
        <v>32</v>
      </c>
      <c r="D92" t="s">
        <v>20</v>
      </c>
      <c r="E92">
        <v>3000</v>
      </c>
      <c r="F92" t="s">
        <v>7</v>
      </c>
      <c r="G92">
        <v>2</v>
      </c>
      <c r="H92" s="3">
        <v>1</v>
      </c>
      <c r="I92" s="9">
        <f t="shared" si="1"/>
        <v>6000</v>
      </c>
      <c r="Q92"/>
    </row>
    <row r="93" spans="1:17" x14ac:dyDescent="0.25">
      <c r="A93" t="s">
        <v>32</v>
      </c>
      <c r="D93" t="s">
        <v>21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32</v>
      </c>
      <c r="B94" s="2">
        <v>46080.742268518516</v>
      </c>
      <c r="C94">
        <v>73</v>
      </c>
      <c r="D94" t="s">
        <v>19</v>
      </c>
      <c r="E94">
        <v>8000</v>
      </c>
      <c r="F94" t="s">
        <v>7</v>
      </c>
      <c r="G94">
        <v>2</v>
      </c>
      <c r="H94" s="3">
        <v>1</v>
      </c>
      <c r="I94" s="9">
        <f t="shared" si="1"/>
        <v>16000</v>
      </c>
      <c r="Q94"/>
    </row>
    <row r="95" spans="1:17" x14ac:dyDescent="0.25">
      <c r="A95" t="s">
        <v>32</v>
      </c>
      <c r="D95" t="s">
        <v>20</v>
      </c>
      <c r="E95">
        <v>3000</v>
      </c>
      <c r="F95" t="s">
        <v>7</v>
      </c>
      <c r="G95">
        <v>1</v>
      </c>
      <c r="H95" s="3">
        <v>1</v>
      </c>
      <c r="I95" s="9">
        <f t="shared" si="1"/>
        <v>3000</v>
      </c>
      <c r="Q95"/>
    </row>
    <row r="96" spans="1:17" x14ac:dyDescent="0.25">
      <c r="A96" t="s">
        <v>32</v>
      </c>
      <c r="B96" s="2">
        <v>46080.761412037034</v>
      </c>
      <c r="C96">
        <v>74</v>
      </c>
      <c r="D96" t="s">
        <v>19</v>
      </c>
      <c r="E96">
        <v>8000</v>
      </c>
      <c r="F96" t="s">
        <v>8</v>
      </c>
      <c r="G96">
        <v>3</v>
      </c>
      <c r="H96" s="3">
        <v>1</v>
      </c>
      <c r="I96" s="9">
        <f t="shared" si="1"/>
        <v>24000</v>
      </c>
      <c r="Q96"/>
    </row>
    <row r="97" spans="1:17" x14ac:dyDescent="0.25">
      <c r="A97" t="s">
        <v>32</v>
      </c>
      <c r="B97" s="2">
        <v>46080.824016203704</v>
      </c>
      <c r="C97">
        <v>75</v>
      </c>
      <c r="D97" t="s">
        <v>17</v>
      </c>
      <c r="E97">
        <v>3000</v>
      </c>
      <c r="F97" t="s">
        <v>35</v>
      </c>
      <c r="G97">
        <v>1</v>
      </c>
      <c r="H97" s="3">
        <v>1</v>
      </c>
      <c r="I97" s="9">
        <f t="shared" si="1"/>
        <v>3000</v>
      </c>
      <c r="Q97"/>
    </row>
    <row r="98" spans="1:17" x14ac:dyDescent="0.25">
      <c r="A98" t="s">
        <v>32</v>
      </c>
      <c r="D98" t="s">
        <v>19</v>
      </c>
      <c r="E98">
        <v>8000</v>
      </c>
      <c r="F98" t="s">
        <v>35</v>
      </c>
      <c r="G98">
        <v>1</v>
      </c>
      <c r="H98" s="3">
        <v>1</v>
      </c>
      <c r="I98" s="9">
        <f t="shared" si="1"/>
        <v>8000</v>
      </c>
      <c r="Q98"/>
    </row>
    <row r="99" spans="1:17" x14ac:dyDescent="0.25">
      <c r="A99" t="s">
        <v>32</v>
      </c>
      <c r="B99" s="2">
        <v>46080.836365740739</v>
      </c>
      <c r="C99">
        <v>76</v>
      </c>
      <c r="D99" t="s">
        <v>19</v>
      </c>
      <c r="E99">
        <v>8000</v>
      </c>
      <c r="F99" t="s">
        <v>8</v>
      </c>
      <c r="G99">
        <v>2</v>
      </c>
      <c r="H99" s="3">
        <v>1</v>
      </c>
      <c r="I99" s="9">
        <f t="shared" si="1"/>
        <v>16000</v>
      </c>
      <c r="Q99"/>
    </row>
    <row r="100" spans="1:17" x14ac:dyDescent="0.25">
      <c r="A100" t="s">
        <v>32</v>
      </c>
      <c r="B100" s="2">
        <v>46080.837210648147</v>
      </c>
      <c r="C100">
        <v>77</v>
      </c>
      <c r="D100" t="s">
        <v>19</v>
      </c>
      <c r="E100">
        <v>8000</v>
      </c>
      <c r="F100" t="s">
        <v>7</v>
      </c>
      <c r="G100">
        <v>4</v>
      </c>
      <c r="H100" s="3">
        <v>1</v>
      </c>
      <c r="I100" s="9">
        <f t="shared" si="1"/>
        <v>32000</v>
      </c>
      <c r="Q100"/>
    </row>
    <row r="101" spans="1:17" x14ac:dyDescent="0.25">
      <c r="A101" t="s">
        <v>32</v>
      </c>
      <c r="D101" t="s">
        <v>20</v>
      </c>
      <c r="E101">
        <v>3000</v>
      </c>
      <c r="F101" t="s">
        <v>7</v>
      </c>
      <c r="G101">
        <v>3</v>
      </c>
      <c r="H101" s="3">
        <v>1</v>
      </c>
      <c r="I101" s="9">
        <f t="shared" si="1"/>
        <v>9000</v>
      </c>
      <c r="Q101"/>
    </row>
    <row r="102" spans="1:17" x14ac:dyDescent="0.25">
      <c r="A102" t="s">
        <v>32</v>
      </c>
      <c r="B102" s="2">
        <v>46080.83902777778</v>
      </c>
      <c r="C102">
        <v>78</v>
      </c>
      <c r="D102" t="s">
        <v>19</v>
      </c>
      <c r="E102">
        <v>8000</v>
      </c>
      <c r="F102" t="s">
        <v>7</v>
      </c>
      <c r="G102">
        <v>1</v>
      </c>
      <c r="H102" s="3">
        <v>1</v>
      </c>
      <c r="I102" s="9">
        <f t="shared" si="1"/>
        <v>8000</v>
      </c>
      <c r="Q102"/>
    </row>
    <row r="103" spans="1:17" x14ac:dyDescent="0.25">
      <c r="A103" t="s">
        <v>39</v>
      </c>
      <c r="B103" s="2">
        <v>46081.78979166667</v>
      </c>
      <c r="C103">
        <v>79</v>
      </c>
      <c r="D103" t="s">
        <v>18</v>
      </c>
      <c r="E103">
        <v>4500</v>
      </c>
      <c r="F103" t="s">
        <v>7</v>
      </c>
      <c r="G103">
        <v>6</v>
      </c>
      <c r="H103" s="3">
        <v>1</v>
      </c>
      <c r="I103" s="9">
        <f t="shared" si="1"/>
        <v>27000</v>
      </c>
      <c r="Q103"/>
    </row>
    <row r="104" spans="1:17" x14ac:dyDescent="0.25">
      <c r="A104" t="s">
        <v>39</v>
      </c>
      <c r="B104" s="2">
        <v>46081.790231481478</v>
      </c>
      <c r="C104">
        <v>80</v>
      </c>
      <c r="D104" t="s">
        <v>19</v>
      </c>
      <c r="E104">
        <v>8000</v>
      </c>
      <c r="F104" t="s">
        <v>8</v>
      </c>
      <c r="G104">
        <v>2</v>
      </c>
      <c r="H104" s="3">
        <v>1</v>
      </c>
      <c r="I104" s="9">
        <f t="shared" si="1"/>
        <v>16000</v>
      </c>
    </row>
    <row r="105" spans="1:17" x14ac:dyDescent="0.25">
      <c r="A105" t="s">
        <v>39</v>
      </c>
      <c r="B105" s="2">
        <v>46081.790960648148</v>
      </c>
      <c r="C105">
        <v>81</v>
      </c>
      <c r="D105" t="s">
        <v>17</v>
      </c>
      <c r="E105">
        <v>3000</v>
      </c>
      <c r="F105" t="s">
        <v>8</v>
      </c>
      <c r="G105">
        <v>1</v>
      </c>
      <c r="H105" s="3">
        <v>1</v>
      </c>
      <c r="I105" s="9">
        <f t="shared" si="1"/>
        <v>3000</v>
      </c>
    </row>
    <row r="106" spans="1:17" x14ac:dyDescent="0.25">
      <c r="A106" t="s">
        <v>39</v>
      </c>
      <c r="D106" t="s">
        <v>19</v>
      </c>
      <c r="E106">
        <v>8000</v>
      </c>
      <c r="F106" t="s">
        <v>8</v>
      </c>
      <c r="G106">
        <v>1</v>
      </c>
      <c r="H106" s="3">
        <v>1</v>
      </c>
      <c r="I106" s="9">
        <f t="shared" si="1"/>
        <v>8000</v>
      </c>
    </row>
    <row r="107" spans="1:17" x14ac:dyDescent="0.25">
      <c r="A107" t="s">
        <v>39</v>
      </c>
      <c r="D107" t="s">
        <v>33</v>
      </c>
      <c r="E107">
        <v>2000</v>
      </c>
      <c r="F107" t="s">
        <v>8</v>
      </c>
      <c r="G107">
        <v>1</v>
      </c>
      <c r="H107" s="3">
        <v>1</v>
      </c>
      <c r="I107" s="9">
        <f t="shared" si="1"/>
        <v>2000</v>
      </c>
    </row>
    <row r="108" spans="1:17" x14ac:dyDescent="0.25">
      <c r="A108" t="s">
        <v>39</v>
      </c>
      <c r="B108" s="2">
        <v>46081.792407407411</v>
      </c>
      <c r="C108">
        <v>82</v>
      </c>
      <c r="D108" t="s">
        <v>19</v>
      </c>
      <c r="E108">
        <v>8000</v>
      </c>
      <c r="F108" t="s">
        <v>7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39</v>
      </c>
      <c r="D109" t="s">
        <v>20</v>
      </c>
      <c r="E109">
        <v>3000</v>
      </c>
      <c r="F109" t="s">
        <v>7</v>
      </c>
      <c r="G109">
        <v>1</v>
      </c>
      <c r="H109" s="3">
        <v>1</v>
      </c>
      <c r="I109" s="9">
        <f t="shared" si="1"/>
        <v>3000</v>
      </c>
    </row>
    <row r="110" spans="1:17" x14ac:dyDescent="0.25">
      <c r="A110" t="s">
        <v>39</v>
      </c>
      <c r="B110" s="2">
        <v>46081.793206018519</v>
      </c>
      <c r="C110">
        <v>83</v>
      </c>
      <c r="D110" t="s">
        <v>19</v>
      </c>
      <c r="E110">
        <v>8000</v>
      </c>
      <c r="F110" t="s">
        <v>7</v>
      </c>
      <c r="G110">
        <v>2</v>
      </c>
      <c r="H110" s="3">
        <v>1</v>
      </c>
      <c r="I110" s="9">
        <f t="shared" si="1"/>
        <v>16000</v>
      </c>
    </row>
    <row r="111" spans="1:17" x14ac:dyDescent="0.25">
      <c r="A111" t="s">
        <v>39</v>
      </c>
      <c r="D111" t="s">
        <v>20</v>
      </c>
      <c r="E111">
        <v>3000</v>
      </c>
      <c r="F111" t="s">
        <v>7</v>
      </c>
      <c r="G111">
        <v>1</v>
      </c>
      <c r="H111" s="3">
        <v>1</v>
      </c>
      <c r="I111" s="9">
        <f t="shared" si="1"/>
        <v>3000</v>
      </c>
    </row>
    <row r="112" spans="1:17" x14ac:dyDescent="0.25">
      <c r="A112" t="s">
        <v>39</v>
      </c>
      <c r="B112" s="2">
        <v>46081.793865740743</v>
      </c>
      <c r="C112">
        <v>84</v>
      </c>
      <c r="D112" t="s">
        <v>19</v>
      </c>
      <c r="E112">
        <v>8000</v>
      </c>
      <c r="F112" t="s">
        <v>7</v>
      </c>
      <c r="G112">
        <v>1</v>
      </c>
      <c r="H112" s="3">
        <v>1</v>
      </c>
      <c r="I112" s="9">
        <f t="shared" si="1"/>
        <v>8000</v>
      </c>
    </row>
    <row r="113" spans="1:9" x14ac:dyDescent="0.25">
      <c r="A113" t="s">
        <v>39</v>
      </c>
      <c r="D113" t="s">
        <v>20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39</v>
      </c>
      <c r="B114" s="2">
        <v>46081.794421296298</v>
      </c>
      <c r="C114">
        <v>85</v>
      </c>
      <c r="D114" t="s">
        <v>19</v>
      </c>
      <c r="E114">
        <v>8000</v>
      </c>
      <c r="F114" t="s">
        <v>7</v>
      </c>
      <c r="G114">
        <v>4</v>
      </c>
      <c r="H114" s="3">
        <v>1</v>
      </c>
      <c r="I114" s="9">
        <f t="shared" si="1"/>
        <v>32000</v>
      </c>
    </row>
    <row r="115" spans="1:9" x14ac:dyDescent="0.25">
      <c r="A115" t="s">
        <v>39</v>
      </c>
      <c r="D115" t="s">
        <v>20</v>
      </c>
      <c r="E115">
        <v>3000</v>
      </c>
      <c r="F115" t="s">
        <v>7</v>
      </c>
      <c r="G115">
        <v>2</v>
      </c>
      <c r="H115" s="3">
        <v>1</v>
      </c>
      <c r="I115" s="9">
        <f t="shared" si="1"/>
        <v>6000</v>
      </c>
    </row>
    <row r="116" spans="1:9" x14ac:dyDescent="0.25">
      <c r="A116" t="s">
        <v>39</v>
      </c>
      <c r="B116" s="2">
        <v>46081.794652777775</v>
      </c>
      <c r="C116">
        <v>86</v>
      </c>
      <c r="D116" t="s">
        <v>19</v>
      </c>
      <c r="E116">
        <v>8000</v>
      </c>
      <c r="F116" t="s">
        <v>7</v>
      </c>
      <c r="G116">
        <v>2</v>
      </c>
      <c r="H116" s="3">
        <v>1</v>
      </c>
      <c r="I116" s="9">
        <f t="shared" si="1"/>
        <v>16000</v>
      </c>
    </row>
    <row r="117" spans="1:9" x14ac:dyDescent="0.25">
      <c r="A117" t="s">
        <v>39</v>
      </c>
      <c r="B117" s="2">
        <v>46081.795092592591</v>
      </c>
      <c r="C117">
        <v>87</v>
      </c>
      <c r="D117" t="s">
        <v>19</v>
      </c>
      <c r="E117">
        <v>8000</v>
      </c>
      <c r="F117" t="s">
        <v>7</v>
      </c>
      <c r="G117">
        <v>3</v>
      </c>
      <c r="H117" s="3">
        <v>1</v>
      </c>
      <c r="I117" s="9">
        <f t="shared" si="1"/>
        <v>24000</v>
      </c>
    </row>
    <row r="118" spans="1:9" x14ac:dyDescent="0.25">
      <c r="A118" t="s">
        <v>39</v>
      </c>
      <c r="D118" t="s">
        <v>40</v>
      </c>
      <c r="E118">
        <v>4500</v>
      </c>
      <c r="F118" t="s">
        <v>7</v>
      </c>
      <c r="G118">
        <v>1</v>
      </c>
      <c r="H118" s="3">
        <v>1</v>
      </c>
      <c r="I118" s="9">
        <f t="shared" si="1"/>
        <v>4500</v>
      </c>
    </row>
    <row r="119" spans="1:9" x14ac:dyDescent="0.25">
      <c r="A119" t="s">
        <v>39</v>
      </c>
      <c r="B119" s="2">
        <v>46081.795497685183</v>
      </c>
      <c r="C119">
        <v>88</v>
      </c>
      <c r="D119" t="s">
        <v>21</v>
      </c>
      <c r="E119">
        <v>35000</v>
      </c>
      <c r="F119" t="s">
        <v>7</v>
      </c>
      <c r="G119">
        <v>1</v>
      </c>
      <c r="H119" s="3">
        <v>1</v>
      </c>
      <c r="I119" s="9">
        <f t="shared" si="1"/>
        <v>35000</v>
      </c>
    </row>
    <row r="120" spans="1:9" x14ac:dyDescent="0.25">
      <c r="A120" t="s">
        <v>39</v>
      </c>
      <c r="B120" s="2">
        <v>46081.795729166668</v>
      </c>
      <c r="C120">
        <v>89</v>
      </c>
      <c r="D120" t="s">
        <v>21</v>
      </c>
      <c r="E120">
        <v>35000</v>
      </c>
      <c r="F120" t="s">
        <v>7</v>
      </c>
      <c r="G120">
        <v>1</v>
      </c>
      <c r="H120" s="3">
        <v>1</v>
      </c>
      <c r="I120" s="9">
        <f t="shared" si="1"/>
        <v>35000</v>
      </c>
    </row>
    <row r="121" spans="1:9" x14ac:dyDescent="0.25">
      <c r="A121" t="s">
        <v>39</v>
      </c>
      <c r="B121" s="2">
        <v>46081.7971875</v>
      </c>
      <c r="C121">
        <v>90</v>
      </c>
      <c r="D121" t="s">
        <v>41</v>
      </c>
      <c r="E121">
        <v>48000</v>
      </c>
      <c r="F121" t="s">
        <v>7</v>
      </c>
      <c r="G121">
        <v>1</v>
      </c>
      <c r="H121" s="3">
        <v>1</v>
      </c>
      <c r="I121" s="9">
        <f t="shared" si="1"/>
        <v>48000</v>
      </c>
    </row>
    <row r="122" spans="1:9" x14ac:dyDescent="0.25">
      <c r="A122" t="s">
        <v>39</v>
      </c>
      <c r="B122" s="2">
        <v>46081.797511574077</v>
      </c>
      <c r="C122">
        <v>91</v>
      </c>
      <c r="D122" t="s">
        <v>42</v>
      </c>
      <c r="E122">
        <v>70000</v>
      </c>
      <c r="F122" t="s">
        <v>7</v>
      </c>
      <c r="G122">
        <v>2</v>
      </c>
      <c r="H122" s="3">
        <v>1</v>
      </c>
      <c r="I122" s="9">
        <f t="shared" si="1"/>
        <v>140000</v>
      </c>
    </row>
    <row r="123" spans="1:9" x14ac:dyDescent="0.25">
      <c r="A123" t="s">
        <v>39</v>
      </c>
      <c r="B123" s="2">
        <v>46081.797662037039</v>
      </c>
      <c r="C123">
        <v>92</v>
      </c>
      <c r="D123" t="s">
        <v>43</v>
      </c>
      <c r="E123">
        <v>40000</v>
      </c>
      <c r="F123" t="s">
        <v>7</v>
      </c>
      <c r="G123">
        <v>1</v>
      </c>
      <c r="H123" s="3">
        <v>1</v>
      </c>
      <c r="I123" s="9">
        <f t="shared" si="1"/>
        <v>40000</v>
      </c>
    </row>
    <row r="124" spans="1:9" x14ac:dyDescent="0.25">
      <c r="A124" t="s">
        <v>39</v>
      </c>
      <c r="B124" s="2">
        <v>46081.799027777779</v>
      </c>
      <c r="C124">
        <v>93</v>
      </c>
      <c r="D124" t="s">
        <v>18</v>
      </c>
      <c r="E124">
        <v>4500</v>
      </c>
      <c r="F124" t="s">
        <v>8</v>
      </c>
      <c r="G124">
        <v>4</v>
      </c>
      <c r="H124" s="3">
        <v>1</v>
      </c>
      <c r="I124" s="9">
        <f t="shared" si="1"/>
        <v>18000</v>
      </c>
    </row>
    <row r="125" spans="1:9" x14ac:dyDescent="0.25">
      <c r="A125" t="s">
        <v>48</v>
      </c>
      <c r="B125" s="2">
        <v>46083.511145833334</v>
      </c>
      <c r="C125">
        <v>95</v>
      </c>
      <c r="D125" t="s">
        <v>19</v>
      </c>
      <c r="E125">
        <v>8000</v>
      </c>
      <c r="F125" t="s">
        <v>7</v>
      </c>
      <c r="G125">
        <v>1</v>
      </c>
      <c r="H125" s="3">
        <v>1</v>
      </c>
      <c r="I125" s="9">
        <f t="shared" si="1"/>
        <v>8000</v>
      </c>
    </row>
    <row r="126" spans="1:9" x14ac:dyDescent="0.25">
      <c r="A126" t="s">
        <v>48</v>
      </c>
      <c r="D126" t="s">
        <v>20</v>
      </c>
      <c r="E126">
        <v>3000</v>
      </c>
      <c r="F126" t="s">
        <v>7</v>
      </c>
      <c r="G126">
        <v>1</v>
      </c>
      <c r="H126" s="3">
        <v>1</v>
      </c>
    </row>
    <row r="127" spans="1:9" x14ac:dyDescent="0.25">
      <c r="A127" t="s">
        <v>48</v>
      </c>
      <c r="B127" s="2">
        <v>46083.720312500001</v>
      </c>
      <c r="C127">
        <v>96</v>
      </c>
      <c r="D127" t="s">
        <v>19</v>
      </c>
      <c r="E127">
        <v>8000</v>
      </c>
      <c r="F127" t="s">
        <v>7</v>
      </c>
      <c r="G127">
        <v>1</v>
      </c>
      <c r="H127" s="3">
        <v>1</v>
      </c>
    </row>
    <row r="128" spans="1:9" x14ac:dyDescent="0.25">
      <c r="A128" t="s">
        <v>48</v>
      </c>
      <c r="B128" s="2">
        <v>46083.735949074071</v>
      </c>
      <c r="C128">
        <v>97</v>
      </c>
      <c r="D128" t="s">
        <v>19</v>
      </c>
      <c r="E128">
        <v>8000</v>
      </c>
      <c r="F128" t="s">
        <v>7</v>
      </c>
      <c r="G128">
        <v>1</v>
      </c>
      <c r="H128" s="3">
        <v>1</v>
      </c>
    </row>
    <row r="129" spans="1:8" x14ac:dyDescent="0.25">
      <c r="A129" t="s">
        <v>48</v>
      </c>
      <c r="B129" s="2">
        <v>46083.825416666667</v>
      </c>
      <c r="C129">
        <v>98</v>
      </c>
      <c r="D129" t="s">
        <v>19</v>
      </c>
      <c r="E129">
        <v>8000</v>
      </c>
      <c r="F129" t="s">
        <v>7</v>
      </c>
      <c r="G129">
        <v>3</v>
      </c>
      <c r="H129" s="3">
        <v>1</v>
      </c>
    </row>
    <row r="130" spans="1:8" x14ac:dyDescent="0.25">
      <c r="A130" t="s">
        <v>48</v>
      </c>
      <c r="D130" t="s">
        <v>20</v>
      </c>
      <c r="E130">
        <v>3000</v>
      </c>
      <c r="F130" t="s">
        <v>7</v>
      </c>
      <c r="G130">
        <v>1</v>
      </c>
      <c r="H130" s="3">
        <v>1</v>
      </c>
    </row>
    <row r="131" spans="1:8" x14ac:dyDescent="0.25">
      <c r="A131" t="s">
        <v>48</v>
      </c>
      <c r="D131" t="s">
        <v>22</v>
      </c>
      <c r="E131">
        <v>3000</v>
      </c>
      <c r="F131" t="s">
        <v>7</v>
      </c>
      <c r="G131">
        <v>2</v>
      </c>
      <c r="H131" s="3">
        <v>1</v>
      </c>
    </row>
    <row r="132" spans="1:8" x14ac:dyDescent="0.25">
      <c r="A132" t="s">
        <v>49</v>
      </c>
      <c r="B132" s="2">
        <v>46084.491736111115</v>
      </c>
      <c r="C132">
        <v>99</v>
      </c>
      <c r="D132" t="s">
        <v>20</v>
      </c>
      <c r="E132">
        <v>3000</v>
      </c>
      <c r="F132" t="s">
        <v>7</v>
      </c>
      <c r="G132">
        <v>2</v>
      </c>
      <c r="H132" s="3">
        <v>1</v>
      </c>
    </row>
    <row r="133" spans="1:8" x14ac:dyDescent="0.25">
      <c r="A133" t="s">
        <v>49</v>
      </c>
      <c r="B133" s="2">
        <v>46084.551840277774</v>
      </c>
      <c r="C133">
        <v>100</v>
      </c>
      <c r="D133" t="s">
        <v>19</v>
      </c>
      <c r="E133">
        <v>8000</v>
      </c>
      <c r="F133" t="s">
        <v>7</v>
      </c>
      <c r="G133">
        <v>1</v>
      </c>
      <c r="H133" s="3">
        <v>1</v>
      </c>
    </row>
    <row r="134" spans="1:8" x14ac:dyDescent="0.25">
      <c r="A134" t="s">
        <v>49</v>
      </c>
      <c r="B134" s="2">
        <v>46084.618692129632</v>
      </c>
      <c r="C134">
        <v>101</v>
      </c>
      <c r="D134" t="s">
        <v>19</v>
      </c>
      <c r="E134">
        <v>8000</v>
      </c>
      <c r="F134" t="s">
        <v>7</v>
      </c>
      <c r="G134">
        <v>1</v>
      </c>
      <c r="H134" s="3">
        <v>1</v>
      </c>
    </row>
    <row r="135" spans="1:8" x14ac:dyDescent="0.25">
      <c r="A135" t="s">
        <v>49</v>
      </c>
      <c r="B135" s="2">
        <v>46084.665879629632</v>
      </c>
      <c r="C135">
        <v>102</v>
      </c>
      <c r="D135" t="s">
        <v>19</v>
      </c>
      <c r="E135">
        <v>8000</v>
      </c>
      <c r="F135" t="s">
        <v>7</v>
      </c>
      <c r="G135">
        <v>1</v>
      </c>
      <c r="H135" s="3">
        <v>1</v>
      </c>
    </row>
    <row r="136" spans="1:8" x14ac:dyDescent="0.25">
      <c r="A136" t="s">
        <v>49</v>
      </c>
      <c r="D136" t="s">
        <v>40</v>
      </c>
      <c r="E136">
        <v>4500</v>
      </c>
      <c r="F136" t="s">
        <v>7</v>
      </c>
      <c r="G136">
        <v>1</v>
      </c>
      <c r="H136" s="3">
        <v>1</v>
      </c>
    </row>
    <row r="137" spans="1:8" x14ac:dyDescent="0.25">
      <c r="A137" t="s">
        <v>49</v>
      </c>
      <c r="B137" s="2">
        <v>46084.667233796295</v>
      </c>
      <c r="C137">
        <v>103</v>
      </c>
      <c r="D137" t="s">
        <v>19</v>
      </c>
      <c r="E137">
        <v>8000</v>
      </c>
      <c r="F137" t="s">
        <v>7</v>
      </c>
      <c r="G137">
        <v>1</v>
      </c>
      <c r="H137" s="3">
        <v>1</v>
      </c>
    </row>
    <row r="138" spans="1:8" x14ac:dyDescent="0.25">
      <c r="A138" t="s">
        <v>49</v>
      </c>
      <c r="B138" s="2">
        <v>46084.70716435185</v>
      </c>
      <c r="C138">
        <v>104</v>
      </c>
      <c r="D138" t="s">
        <v>59</v>
      </c>
      <c r="E138">
        <v>30000</v>
      </c>
      <c r="F138" t="s">
        <v>8</v>
      </c>
      <c r="G138">
        <v>1</v>
      </c>
      <c r="H138" s="3">
        <v>1</v>
      </c>
    </row>
    <row r="139" spans="1:8" x14ac:dyDescent="0.25">
      <c r="A139" t="s">
        <v>49</v>
      </c>
      <c r="D139" t="s">
        <v>20</v>
      </c>
      <c r="E139">
        <v>3000</v>
      </c>
      <c r="F139" t="s">
        <v>8</v>
      </c>
      <c r="G139">
        <v>1</v>
      </c>
      <c r="H139" s="3">
        <v>1</v>
      </c>
    </row>
    <row r="140" spans="1:8" x14ac:dyDescent="0.25">
      <c r="A140" t="s">
        <v>49</v>
      </c>
      <c r="B140" s="2">
        <v>46084.729108796295</v>
      </c>
      <c r="C140">
        <v>105</v>
      </c>
      <c r="D140" t="s">
        <v>19</v>
      </c>
      <c r="E140">
        <v>8000</v>
      </c>
      <c r="F140" t="s">
        <v>7</v>
      </c>
      <c r="G140">
        <v>1</v>
      </c>
      <c r="H140" s="3">
        <v>1</v>
      </c>
    </row>
    <row r="141" spans="1:8" x14ac:dyDescent="0.25">
      <c r="A141" t="s">
        <v>49</v>
      </c>
      <c r="B141" s="2">
        <v>46084.741284722222</v>
      </c>
      <c r="C141">
        <v>106</v>
      </c>
      <c r="D141" t="s">
        <v>18</v>
      </c>
      <c r="E141">
        <v>4500</v>
      </c>
      <c r="F141" t="s">
        <v>7</v>
      </c>
      <c r="G141">
        <v>2</v>
      </c>
      <c r="H141" s="3">
        <v>1</v>
      </c>
    </row>
    <row r="142" spans="1:8" x14ac:dyDescent="0.25">
      <c r="A142" t="s">
        <v>49</v>
      </c>
      <c r="D142" t="s">
        <v>19</v>
      </c>
      <c r="E142">
        <v>8000</v>
      </c>
      <c r="F142" t="s">
        <v>7</v>
      </c>
      <c r="G142">
        <v>1</v>
      </c>
      <c r="H142" s="3">
        <v>1</v>
      </c>
    </row>
    <row r="143" spans="1:8" x14ac:dyDescent="0.25">
      <c r="A143" t="s">
        <v>49</v>
      </c>
      <c r="B143" s="2">
        <v>46084.754699074074</v>
      </c>
      <c r="C143">
        <v>107</v>
      </c>
      <c r="D143" t="s">
        <v>19</v>
      </c>
      <c r="E143">
        <v>8000</v>
      </c>
      <c r="F143" t="s">
        <v>7</v>
      </c>
      <c r="G143">
        <v>1</v>
      </c>
      <c r="H143" s="3">
        <v>1</v>
      </c>
    </row>
    <row r="144" spans="1:8" x14ac:dyDescent="0.25">
      <c r="A144" t="s">
        <v>49</v>
      </c>
      <c r="D144" t="s">
        <v>20</v>
      </c>
      <c r="E144">
        <v>3000</v>
      </c>
      <c r="F144" t="s">
        <v>7</v>
      </c>
      <c r="G144">
        <v>1</v>
      </c>
      <c r="H144" s="3">
        <v>1</v>
      </c>
    </row>
    <row r="145" spans="1:8" x14ac:dyDescent="0.25">
      <c r="A145" t="s">
        <v>49</v>
      </c>
      <c r="B145" s="2">
        <v>46084.76284722222</v>
      </c>
      <c r="C145">
        <v>108</v>
      </c>
      <c r="D145" t="s">
        <v>40</v>
      </c>
      <c r="E145">
        <v>4500</v>
      </c>
      <c r="F145" t="s">
        <v>7</v>
      </c>
      <c r="G145">
        <v>1</v>
      </c>
      <c r="H145" s="3">
        <v>1</v>
      </c>
    </row>
    <row r="146" spans="1:8" x14ac:dyDescent="0.25">
      <c r="A146" t="s">
        <v>49</v>
      </c>
      <c r="B146" s="2">
        <v>46084.765185185184</v>
      </c>
      <c r="C146">
        <v>109</v>
      </c>
      <c r="D146" t="s">
        <v>19</v>
      </c>
      <c r="E146">
        <v>8000</v>
      </c>
      <c r="F146" t="s">
        <v>35</v>
      </c>
      <c r="G146">
        <v>1</v>
      </c>
      <c r="H146" s="3">
        <v>1</v>
      </c>
    </row>
    <row r="147" spans="1:8" x14ac:dyDescent="0.25">
      <c r="A147" t="s">
        <v>49</v>
      </c>
      <c r="D147" t="s">
        <v>20</v>
      </c>
      <c r="E147">
        <v>3000</v>
      </c>
      <c r="F147" t="s">
        <v>35</v>
      </c>
      <c r="G147">
        <v>1</v>
      </c>
      <c r="H147" s="3">
        <v>1</v>
      </c>
    </row>
    <row r="148" spans="1:8" x14ac:dyDescent="0.25">
      <c r="A148" t="s">
        <v>49</v>
      </c>
      <c r="B148" s="2">
        <v>46084.771307870367</v>
      </c>
      <c r="C148">
        <v>110</v>
      </c>
      <c r="D148" t="s">
        <v>50</v>
      </c>
      <c r="E148">
        <v>5000</v>
      </c>
      <c r="F148" t="s">
        <v>8</v>
      </c>
      <c r="G148">
        <v>4</v>
      </c>
      <c r="H148" s="3">
        <v>1</v>
      </c>
    </row>
    <row r="149" spans="1:8" x14ac:dyDescent="0.25">
      <c r="A149" t="s">
        <v>49</v>
      </c>
      <c r="B149" s="2">
        <v>46084.852488425924</v>
      </c>
      <c r="C149">
        <v>111</v>
      </c>
      <c r="D149" t="s">
        <v>19</v>
      </c>
      <c r="E149">
        <v>8000</v>
      </c>
      <c r="F149" t="s">
        <v>7</v>
      </c>
      <c r="G149">
        <v>2</v>
      </c>
      <c r="H149" s="3">
        <v>1</v>
      </c>
    </row>
    <row r="150" spans="1:8" x14ac:dyDescent="0.25">
      <c r="A150" t="s">
        <v>49</v>
      </c>
      <c r="D150" t="s">
        <v>20</v>
      </c>
      <c r="E150">
        <v>3000</v>
      </c>
      <c r="F150" t="s">
        <v>7</v>
      </c>
      <c r="G150">
        <v>2</v>
      </c>
      <c r="H150" s="3">
        <v>1</v>
      </c>
    </row>
    <row r="151" spans="1:8" x14ac:dyDescent="0.25">
      <c r="A151" t="s">
        <v>54</v>
      </c>
      <c r="B151" s="2">
        <v>46085.630706018521</v>
      </c>
      <c r="C151">
        <v>112</v>
      </c>
      <c r="D151" t="s">
        <v>19</v>
      </c>
      <c r="E151">
        <v>8000</v>
      </c>
      <c r="F151" t="s">
        <v>7</v>
      </c>
      <c r="G151">
        <v>1</v>
      </c>
      <c r="H151" s="3">
        <v>1</v>
      </c>
    </row>
    <row r="152" spans="1:8" x14ac:dyDescent="0.25">
      <c r="A152" t="s">
        <v>54</v>
      </c>
      <c r="D152" t="s">
        <v>20</v>
      </c>
      <c r="E152">
        <v>3000</v>
      </c>
      <c r="F152" t="s">
        <v>7</v>
      </c>
      <c r="G152">
        <v>1</v>
      </c>
      <c r="H152" s="3">
        <v>1</v>
      </c>
    </row>
    <row r="153" spans="1:8" x14ac:dyDescent="0.25">
      <c r="A153" t="s">
        <v>54</v>
      </c>
      <c r="D153" t="s">
        <v>57</v>
      </c>
      <c r="E153">
        <v>22000</v>
      </c>
      <c r="F153" t="s">
        <v>7</v>
      </c>
      <c r="G153">
        <v>1</v>
      </c>
      <c r="H153" s="3">
        <v>1</v>
      </c>
    </row>
    <row r="154" spans="1:8" x14ac:dyDescent="0.25">
      <c r="A154" t="s">
        <v>54</v>
      </c>
      <c r="B154" s="2">
        <v>46085.633634259262</v>
      </c>
      <c r="C154">
        <v>113</v>
      </c>
      <c r="D154" t="s">
        <v>19</v>
      </c>
      <c r="E154">
        <v>8000</v>
      </c>
      <c r="F154" t="s">
        <v>7</v>
      </c>
      <c r="G154">
        <v>1</v>
      </c>
      <c r="H154" s="3">
        <v>1</v>
      </c>
    </row>
    <row r="155" spans="1:8" x14ac:dyDescent="0.25">
      <c r="A155" t="s">
        <v>54</v>
      </c>
      <c r="B155" s="2">
        <v>46085.666388888887</v>
      </c>
      <c r="C155">
        <v>114</v>
      </c>
      <c r="D155" t="s">
        <v>19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54</v>
      </c>
      <c r="B156" s="2">
        <v>46085.690694444442</v>
      </c>
      <c r="C156">
        <v>115</v>
      </c>
      <c r="D156" t="s">
        <v>19</v>
      </c>
      <c r="E156">
        <v>8000</v>
      </c>
      <c r="F156" t="s">
        <v>7</v>
      </c>
      <c r="G156">
        <v>1</v>
      </c>
      <c r="H156" s="3">
        <v>1</v>
      </c>
    </row>
    <row r="157" spans="1:8" x14ac:dyDescent="0.25">
      <c r="A157" t="s">
        <v>54</v>
      </c>
      <c r="D157" t="s">
        <v>20</v>
      </c>
      <c r="E157">
        <v>3000</v>
      </c>
      <c r="F157" t="s">
        <v>7</v>
      </c>
      <c r="G157">
        <v>1</v>
      </c>
      <c r="H157" s="3">
        <v>1</v>
      </c>
    </row>
    <row r="158" spans="1:8" x14ac:dyDescent="0.25">
      <c r="A158" t="s">
        <v>54</v>
      </c>
      <c r="B158" s="2">
        <v>46085.690879629627</v>
      </c>
      <c r="C158">
        <v>116</v>
      </c>
      <c r="D158" t="s">
        <v>17</v>
      </c>
      <c r="E158">
        <v>3000</v>
      </c>
      <c r="F158" t="s">
        <v>7</v>
      </c>
      <c r="G158">
        <v>2</v>
      </c>
      <c r="H158" s="3">
        <v>1</v>
      </c>
    </row>
    <row r="159" spans="1:8" x14ac:dyDescent="0.25">
      <c r="A159" t="s">
        <v>54</v>
      </c>
      <c r="B159" s="2">
        <v>46085.692164351851</v>
      </c>
      <c r="C159">
        <v>117</v>
      </c>
      <c r="D159" t="s">
        <v>57</v>
      </c>
      <c r="E159">
        <v>22000</v>
      </c>
      <c r="F159" t="s">
        <v>7</v>
      </c>
      <c r="G159">
        <v>1</v>
      </c>
      <c r="H159" s="3">
        <v>1</v>
      </c>
    </row>
    <row r="160" spans="1:8" x14ac:dyDescent="0.25">
      <c r="A160" t="s">
        <v>54</v>
      </c>
      <c r="D160" t="s">
        <v>58</v>
      </c>
      <c r="E160">
        <v>17000</v>
      </c>
      <c r="F160" t="s">
        <v>7</v>
      </c>
      <c r="G160">
        <v>1</v>
      </c>
      <c r="H160" s="3">
        <v>1</v>
      </c>
    </row>
    <row r="161" spans="1:8" x14ac:dyDescent="0.25">
      <c r="A161" t="s">
        <v>54</v>
      </c>
      <c r="B161" s="2">
        <v>46085.701921296299</v>
      </c>
      <c r="C161">
        <v>118</v>
      </c>
      <c r="D161" t="s">
        <v>34</v>
      </c>
      <c r="E161">
        <v>25000</v>
      </c>
      <c r="F161" t="s">
        <v>8</v>
      </c>
      <c r="G161">
        <v>1</v>
      </c>
      <c r="H161" s="3">
        <v>1</v>
      </c>
    </row>
    <row r="162" spans="1:8" x14ac:dyDescent="0.25">
      <c r="A162" t="s">
        <v>54</v>
      </c>
      <c r="D162" t="s">
        <v>19</v>
      </c>
      <c r="E162">
        <v>8000</v>
      </c>
      <c r="F162" t="s">
        <v>8</v>
      </c>
      <c r="G162">
        <v>3</v>
      </c>
      <c r="H162" s="3">
        <v>1</v>
      </c>
    </row>
    <row r="163" spans="1:8" x14ac:dyDescent="0.25">
      <c r="A163" t="s">
        <v>54</v>
      </c>
      <c r="D163" t="s">
        <v>20</v>
      </c>
      <c r="E163">
        <v>3000</v>
      </c>
      <c r="F163" t="s">
        <v>8</v>
      </c>
      <c r="G163">
        <v>2</v>
      </c>
      <c r="H163" s="3">
        <v>1</v>
      </c>
    </row>
    <row r="164" spans="1:8" x14ac:dyDescent="0.25">
      <c r="A164" t="s">
        <v>54</v>
      </c>
      <c r="D164" t="s">
        <v>22</v>
      </c>
      <c r="E164">
        <v>3000</v>
      </c>
      <c r="F164" t="s">
        <v>8</v>
      </c>
      <c r="G164">
        <v>3</v>
      </c>
      <c r="H164" s="3">
        <v>1</v>
      </c>
    </row>
    <row r="165" spans="1:8" x14ac:dyDescent="0.25">
      <c r="A165" t="s">
        <v>54</v>
      </c>
      <c r="B165" s="2">
        <v>46085.783217592594</v>
      </c>
      <c r="C165">
        <v>119</v>
      </c>
      <c r="D165" t="s">
        <v>18</v>
      </c>
      <c r="E165">
        <v>4500</v>
      </c>
      <c r="F165" t="s">
        <v>7</v>
      </c>
      <c r="G165">
        <v>4</v>
      </c>
      <c r="H165" s="3">
        <v>1</v>
      </c>
    </row>
    <row r="166" spans="1:8" x14ac:dyDescent="0.25">
      <c r="A166" t="s">
        <v>54</v>
      </c>
      <c r="B166" s="2">
        <v>46085.804606481484</v>
      </c>
      <c r="C166">
        <v>120</v>
      </c>
      <c r="D166" t="s">
        <v>19</v>
      </c>
      <c r="E166">
        <v>8000</v>
      </c>
      <c r="F166" t="s">
        <v>7</v>
      </c>
      <c r="G166">
        <v>4</v>
      </c>
      <c r="H166" s="3">
        <v>1</v>
      </c>
    </row>
    <row r="167" spans="1:8" x14ac:dyDescent="0.25">
      <c r="A167" t="s">
        <v>54</v>
      </c>
      <c r="B167" s="2">
        <v>46085.810763888891</v>
      </c>
      <c r="C167">
        <v>121</v>
      </c>
      <c r="D167" t="s">
        <v>19</v>
      </c>
      <c r="E167">
        <v>8000</v>
      </c>
      <c r="F167" t="s">
        <v>8</v>
      </c>
      <c r="G167">
        <v>2</v>
      </c>
      <c r="H167" s="3">
        <v>1</v>
      </c>
    </row>
    <row r="168" spans="1:8" x14ac:dyDescent="0.25">
      <c r="A168" t="s">
        <v>54</v>
      </c>
      <c r="D168" t="s">
        <v>20</v>
      </c>
      <c r="E168">
        <v>3000</v>
      </c>
      <c r="F168" t="s">
        <v>8</v>
      </c>
      <c r="G168">
        <v>1</v>
      </c>
      <c r="H168" s="3">
        <v>1</v>
      </c>
    </row>
    <row r="169" spans="1:8" x14ac:dyDescent="0.25">
      <c r="A169" t="s">
        <v>54</v>
      </c>
      <c r="B169" s="2">
        <v>46085.831319444442</v>
      </c>
      <c r="C169">
        <v>122</v>
      </c>
      <c r="D169" t="s">
        <v>19</v>
      </c>
      <c r="E169">
        <v>8000</v>
      </c>
      <c r="F169" t="s">
        <v>7</v>
      </c>
      <c r="G169">
        <v>5</v>
      </c>
      <c r="H169" s="3">
        <v>1</v>
      </c>
    </row>
    <row r="170" spans="1:8" x14ac:dyDescent="0.25">
      <c r="A170" t="s">
        <v>54</v>
      </c>
      <c r="D170" t="s">
        <v>20</v>
      </c>
      <c r="E170">
        <v>3000</v>
      </c>
      <c r="F170" t="s">
        <v>7</v>
      </c>
      <c r="G170">
        <v>2</v>
      </c>
      <c r="H170" s="3">
        <v>1</v>
      </c>
    </row>
    <row r="171" spans="1:8" x14ac:dyDescent="0.25">
      <c r="A171" t="s">
        <v>54</v>
      </c>
      <c r="D171" t="s">
        <v>22</v>
      </c>
      <c r="E171">
        <v>3000</v>
      </c>
      <c r="F171" t="s">
        <v>7</v>
      </c>
      <c r="G171">
        <v>3</v>
      </c>
      <c r="H171" s="3">
        <v>1</v>
      </c>
    </row>
    <row r="172" spans="1:8" x14ac:dyDescent="0.25">
      <c r="A172" t="s">
        <v>54</v>
      </c>
      <c r="D172" t="s">
        <v>60</v>
      </c>
      <c r="E172">
        <v>50000</v>
      </c>
      <c r="F172" t="s">
        <v>7</v>
      </c>
      <c r="G172">
        <v>1</v>
      </c>
      <c r="H172" s="3">
        <v>1</v>
      </c>
    </row>
    <row r="173" spans="1:8" x14ac:dyDescent="0.25">
      <c r="A173" t="s">
        <v>55</v>
      </c>
      <c r="B173" s="2">
        <v>46086.58488425926</v>
      </c>
      <c r="C173">
        <v>123</v>
      </c>
      <c r="D173" t="s">
        <v>59</v>
      </c>
      <c r="E173">
        <v>30000</v>
      </c>
      <c r="F173" t="s">
        <v>8</v>
      </c>
      <c r="G173">
        <v>1</v>
      </c>
      <c r="H173" s="3">
        <v>1</v>
      </c>
    </row>
    <row r="174" spans="1:8" x14ac:dyDescent="0.25">
      <c r="A174" t="s">
        <v>55</v>
      </c>
      <c r="D174" t="s">
        <v>61</v>
      </c>
      <c r="E174">
        <v>5000</v>
      </c>
      <c r="F174" t="s">
        <v>8</v>
      </c>
      <c r="G174">
        <v>1</v>
      </c>
      <c r="H174" s="3">
        <v>1</v>
      </c>
    </row>
    <row r="175" spans="1:8" x14ac:dyDescent="0.25">
      <c r="A175" t="s">
        <v>55</v>
      </c>
      <c r="B175" s="2">
        <v>46086.627349537041</v>
      </c>
      <c r="C175">
        <v>124</v>
      </c>
      <c r="D175" t="s">
        <v>19</v>
      </c>
      <c r="E175">
        <v>8000</v>
      </c>
      <c r="F175" t="s">
        <v>7</v>
      </c>
      <c r="G175">
        <v>2</v>
      </c>
      <c r="H175" s="3">
        <v>1</v>
      </c>
    </row>
    <row r="176" spans="1:8" x14ac:dyDescent="0.25">
      <c r="A176" t="s">
        <v>55</v>
      </c>
      <c r="D176" t="s">
        <v>20</v>
      </c>
      <c r="E176">
        <v>3000</v>
      </c>
      <c r="F176" t="s">
        <v>7</v>
      </c>
      <c r="G176">
        <v>2</v>
      </c>
      <c r="H176" s="3">
        <v>1</v>
      </c>
    </row>
    <row r="177" spans="1:8" x14ac:dyDescent="0.25">
      <c r="A177" t="s">
        <v>55</v>
      </c>
      <c r="B177" s="2">
        <v>46086.639016203706</v>
      </c>
      <c r="C177">
        <v>125</v>
      </c>
      <c r="D177" t="s">
        <v>19</v>
      </c>
      <c r="E177">
        <v>8000</v>
      </c>
      <c r="F177" t="s">
        <v>7</v>
      </c>
      <c r="G177">
        <v>4</v>
      </c>
      <c r="H177" s="3">
        <v>1</v>
      </c>
    </row>
    <row r="178" spans="1:8" x14ac:dyDescent="0.25">
      <c r="A178" t="s">
        <v>55</v>
      </c>
      <c r="D178" t="s">
        <v>40</v>
      </c>
      <c r="E178">
        <v>4500</v>
      </c>
      <c r="F178" t="s">
        <v>7</v>
      </c>
      <c r="G178">
        <v>1</v>
      </c>
      <c r="H178" s="3">
        <v>1</v>
      </c>
    </row>
    <row r="179" spans="1:8" x14ac:dyDescent="0.25">
      <c r="A179" t="s">
        <v>55</v>
      </c>
      <c r="B179" s="2">
        <v>46086.649016203701</v>
      </c>
      <c r="C179">
        <v>126</v>
      </c>
      <c r="D179" t="s">
        <v>40</v>
      </c>
      <c r="E179">
        <v>4500</v>
      </c>
      <c r="F179" t="s">
        <v>8</v>
      </c>
      <c r="G179">
        <v>1</v>
      </c>
      <c r="H179" s="3">
        <v>1</v>
      </c>
    </row>
    <row r="180" spans="1:8" x14ac:dyDescent="0.25">
      <c r="A180" t="s">
        <v>55</v>
      </c>
      <c r="D180" t="s">
        <v>21</v>
      </c>
      <c r="E180">
        <v>35000</v>
      </c>
      <c r="F180" t="s">
        <v>8</v>
      </c>
      <c r="G180">
        <v>1</v>
      </c>
      <c r="H180" s="3">
        <v>1</v>
      </c>
    </row>
    <row r="181" spans="1:8" x14ac:dyDescent="0.25">
      <c r="A181" t="s">
        <v>55</v>
      </c>
      <c r="B181" s="2">
        <v>46086.658553240741</v>
      </c>
      <c r="C181">
        <v>127</v>
      </c>
      <c r="D181" t="s">
        <v>21</v>
      </c>
      <c r="E181">
        <v>35000</v>
      </c>
      <c r="F181" t="s">
        <v>7</v>
      </c>
      <c r="G181">
        <v>1</v>
      </c>
      <c r="H181" s="3">
        <v>1</v>
      </c>
    </row>
    <row r="182" spans="1:8" x14ac:dyDescent="0.25">
      <c r="A182" t="s">
        <v>55</v>
      </c>
      <c r="B182" s="2">
        <v>46086.716770833336</v>
      </c>
      <c r="C182">
        <v>128</v>
      </c>
      <c r="D182" t="s">
        <v>19</v>
      </c>
      <c r="E182">
        <v>8000</v>
      </c>
      <c r="F182" t="s">
        <v>7</v>
      </c>
      <c r="G182">
        <v>1</v>
      </c>
      <c r="H182" s="3">
        <v>1</v>
      </c>
    </row>
    <row r="183" spans="1:8" x14ac:dyDescent="0.25">
      <c r="A183" t="s">
        <v>55</v>
      </c>
      <c r="B183" s="2">
        <v>46086.720509259256</v>
      </c>
      <c r="C183">
        <v>129</v>
      </c>
      <c r="D183" t="s">
        <v>19</v>
      </c>
      <c r="E183">
        <v>8000</v>
      </c>
      <c r="F183" t="s">
        <v>7</v>
      </c>
      <c r="G183">
        <v>1</v>
      </c>
      <c r="H183" s="3">
        <v>1</v>
      </c>
    </row>
    <row r="184" spans="1:8" x14ac:dyDescent="0.25">
      <c r="A184" t="s">
        <v>55</v>
      </c>
      <c r="B184" s="2">
        <v>46086.739074074074</v>
      </c>
      <c r="C184">
        <v>130</v>
      </c>
      <c r="D184" t="s">
        <v>19</v>
      </c>
      <c r="E184">
        <v>8000</v>
      </c>
      <c r="F184" t="s">
        <v>7</v>
      </c>
      <c r="G184">
        <v>1</v>
      </c>
      <c r="H184" s="3">
        <v>1</v>
      </c>
    </row>
    <row r="185" spans="1:8" x14ac:dyDescent="0.25">
      <c r="A185" t="s">
        <v>55</v>
      </c>
      <c r="B185" s="2">
        <v>46086.754618055558</v>
      </c>
      <c r="C185">
        <v>131</v>
      </c>
      <c r="D185" t="s">
        <v>19</v>
      </c>
      <c r="E185">
        <v>8000</v>
      </c>
      <c r="F185" t="s">
        <v>7</v>
      </c>
      <c r="G185">
        <v>1</v>
      </c>
      <c r="H185" s="3">
        <v>1</v>
      </c>
    </row>
    <row r="186" spans="1:8" x14ac:dyDescent="0.25">
      <c r="A186" t="s">
        <v>55</v>
      </c>
      <c r="B186" s="2">
        <v>46086.771956018521</v>
      </c>
      <c r="C186">
        <v>132</v>
      </c>
      <c r="D186" t="s">
        <v>19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55</v>
      </c>
      <c r="B187" s="2">
        <v>46086.784814814811</v>
      </c>
      <c r="C187">
        <v>133</v>
      </c>
      <c r="D187" t="s">
        <v>19</v>
      </c>
      <c r="E187">
        <v>8000</v>
      </c>
      <c r="F187" t="s">
        <v>8</v>
      </c>
      <c r="G187">
        <v>1</v>
      </c>
      <c r="H187" s="3">
        <v>1</v>
      </c>
    </row>
    <row r="188" spans="1:8" x14ac:dyDescent="0.25">
      <c r="A188" t="s">
        <v>55</v>
      </c>
      <c r="D188" t="s">
        <v>22</v>
      </c>
      <c r="E188">
        <v>3000</v>
      </c>
      <c r="F188" t="s">
        <v>8</v>
      </c>
      <c r="G188">
        <v>1</v>
      </c>
      <c r="H188" s="3">
        <v>1</v>
      </c>
    </row>
    <row r="189" spans="1:8" x14ac:dyDescent="0.25">
      <c r="A189" t="s">
        <v>55</v>
      </c>
      <c r="B189" s="2">
        <v>46086.802337962959</v>
      </c>
      <c r="C189">
        <v>134</v>
      </c>
      <c r="D189" t="s">
        <v>19</v>
      </c>
      <c r="E189">
        <v>8000</v>
      </c>
      <c r="F189" t="s">
        <v>8</v>
      </c>
      <c r="G189">
        <v>3</v>
      </c>
      <c r="H189" s="3">
        <v>1</v>
      </c>
    </row>
    <row r="190" spans="1:8" x14ac:dyDescent="0.25">
      <c r="A190" t="s">
        <v>55</v>
      </c>
      <c r="D190" t="s">
        <v>22</v>
      </c>
      <c r="E190">
        <v>3000</v>
      </c>
      <c r="F190" t="s">
        <v>8</v>
      </c>
      <c r="G190">
        <v>2</v>
      </c>
      <c r="H190" s="3">
        <v>1</v>
      </c>
    </row>
    <row r="191" spans="1:8" x14ac:dyDescent="0.25">
      <c r="A191" t="s">
        <v>55</v>
      </c>
      <c r="B191" s="2">
        <v>46086.843182870369</v>
      </c>
      <c r="C191">
        <v>135</v>
      </c>
      <c r="D191" t="s">
        <v>19</v>
      </c>
      <c r="E191">
        <v>8000</v>
      </c>
      <c r="F191" t="s">
        <v>7</v>
      </c>
      <c r="G191">
        <v>1</v>
      </c>
      <c r="H191" s="3">
        <v>1</v>
      </c>
    </row>
    <row r="192" spans="1:8" x14ac:dyDescent="0.25">
      <c r="A192" t="s">
        <v>55</v>
      </c>
      <c r="D192" t="s">
        <v>33</v>
      </c>
      <c r="E192">
        <v>2000</v>
      </c>
      <c r="F192" t="s">
        <v>7</v>
      </c>
      <c r="G192">
        <v>1</v>
      </c>
      <c r="H192" s="3">
        <v>1</v>
      </c>
    </row>
    <row r="193" spans="1:8" x14ac:dyDescent="0.25">
      <c r="A193" t="s">
        <v>64</v>
      </c>
      <c r="B193" s="2">
        <v>46088.957627314812</v>
      </c>
      <c r="C193">
        <v>146</v>
      </c>
      <c r="D193" t="s">
        <v>19</v>
      </c>
      <c r="E193">
        <v>8000</v>
      </c>
      <c r="F193" t="s">
        <v>7</v>
      </c>
      <c r="G193">
        <v>2</v>
      </c>
      <c r="H193" s="3">
        <v>1</v>
      </c>
    </row>
    <row r="194" spans="1:8" x14ac:dyDescent="0.25">
      <c r="A194" t="s">
        <v>64</v>
      </c>
      <c r="B194" s="2">
        <v>46088.957777777781</v>
      </c>
      <c r="C194">
        <v>147</v>
      </c>
      <c r="D194" t="s">
        <v>19</v>
      </c>
      <c r="E194">
        <v>8000</v>
      </c>
      <c r="F194" t="s">
        <v>7</v>
      </c>
      <c r="G194">
        <v>2</v>
      </c>
      <c r="H194" s="3">
        <v>1</v>
      </c>
    </row>
    <row r="195" spans="1:8" x14ac:dyDescent="0.25">
      <c r="A195" t="s">
        <v>64</v>
      </c>
      <c r="B195" s="2">
        <v>46088.958321759259</v>
      </c>
      <c r="C195">
        <v>148</v>
      </c>
      <c r="D195" t="s">
        <v>19</v>
      </c>
      <c r="E195">
        <v>8000</v>
      </c>
      <c r="F195" t="s">
        <v>7</v>
      </c>
      <c r="G195">
        <v>4</v>
      </c>
      <c r="H195" s="3">
        <v>1</v>
      </c>
    </row>
    <row r="196" spans="1:8" x14ac:dyDescent="0.25">
      <c r="A196" t="s">
        <v>64</v>
      </c>
      <c r="D196" t="s">
        <v>20</v>
      </c>
      <c r="E196">
        <v>3000</v>
      </c>
      <c r="F196" t="s">
        <v>7</v>
      </c>
      <c r="G196">
        <v>2</v>
      </c>
      <c r="H196" s="3">
        <v>1</v>
      </c>
    </row>
    <row r="197" spans="1:8" x14ac:dyDescent="0.25">
      <c r="A197" t="s">
        <v>64</v>
      </c>
      <c r="B197" s="2">
        <v>46088.958923611113</v>
      </c>
      <c r="C197">
        <v>149</v>
      </c>
      <c r="D197" t="s">
        <v>19</v>
      </c>
      <c r="E197">
        <v>8000</v>
      </c>
      <c r="F197" t="s">
        <v>7</v>
      </c>
      <c r="G197">
        <v>1</v>
      </c>
      <c r="H197" s="3">
        <v>1</v>
      </c>
    </row>
    <row r="198" spans="1:8" x14ac:dyDescent="0.25">
      <c r="A198" t="s">
        <v>64</v>
      </c>
      <c r="D198" t="s">
        <v>20</v>
      </c>
      <c r="E198">
        <v>3000</v>
      </c>
      <c r="F198" t="s">
        <v>7</v>
      </c>
      <c r="G198">
        <v>1</v>
      </c>
      <c r="H198" s="3">
        <v>1</v>
      </c>
    </row>
    <row r="199" spans="1:8" x14ac:dyDescent="0.25">
      <c r="A199" t="s">
        <v>64</v>
      </c>
      <c r="B199" s="2">
        <v>46088.959155092591</v>
      </c>
      <c r="C199">
        <v>150</v>
      </c>
      <c r="D199" t="s">
        <v>19</v>
      </c>
      <c r="E199">
        <v>8000</v>
      </c>
      <c r="F199" t="s">
        <v>7</v>
      </c>
      <c r="G199">
        <v>2</v>
      </c>
      <c r="H199" s="3">
        <v>1</v>
      </c>
    </row>
    <row r="200" spans="1:8" x14ac:dyDescent="0.25">
      <c r="A200" t="s">
        <v>64</v>
      </c>
      <c r="D200" t="s">
        <v>20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64</v>
      </c>
      <c r="B201" s="2">
        <v>46088.960428240738</v>
      </c>
      <c r="C201">
        <v>151</v>
      </c>
      <c r="D201" t="s">
        <v>19</v>
      </c>
      <c r="E201">
        <v>8000</v>
      </c>
      <c r="F201" t="s">
        <v>8</v>
      </c>
      <c r="G201">
        <v>2</v>
      </c>
      <c r="H201" s="3">
        <v>1</v>
      </c>
    </row>
    <row r="202" spans="1:8" x14ac:dyDescent="0.25">
      <c r="A202" t="s">
        <v>64</v>
      </c>
      <c r="B202" s="2">
        <v>46088.961412037039</v>
      </c>
      <c r="C202">
        <v>152</v>
      </c>
      <c r="D202" t="s">
        <v>19</v>
      </c>
      <c r="E202">
        <v>8000</v>
      </c>
      <c r="F202" t="s">
        <v>8</v>
      </c>
      <c r="G202">
        <v>3</v>
      </c>
      <c r="H202" s="3">
        <v>1</v>
      </c>
    </row>
    <row r="203" spans="1:8" x14ac:dyDescent="0.25">
      <c r="A203" t="s">
        <v>64</v>
      </c>
      <c r="D203" t="s">
        <v>40</v>
      </c>
      <c r="E203">
        <v>4500</v>
      </c>
      <c r="F203" t="s">
        <v>8</v>
      </c>
      <c r="G203">
        <v>1</v>
      </c>
      <c r="H203" s="3">
        <v>1</v>
      </c>
    </row>
    <row r="204" spans="1:8" x14ac:dyDescent="0.25">
      <c r="A204" t="s">
        <v>64</v>
      </c>
      <c r="B204" s="2">
        <v>46088.963182870371</v>
      </c>
      <c r="C204">
        <v>153</v>
      </c>
      <c r="D204" t="s">
        <v>65</v>
      </c>
      <c r="E204">
        <v>15000</v>
      </c>
      <c r="F204" t="s">
        <v>7</v>
      </c>
      <c r="G204">
        <v>1</v>
      </c>
      <c r="H204" s="3">
        <v>1</v>
      </c>
    </row>
    <row r="205" spans="1:8" x14ac:dyDescent="0.25">
      <c r="A205" t="s">
        <v>64</v>
      </c>
      <c r="B205" s="2">
        <v>46088.964814814812</v>
      </c>
      <c r="C205">
        <v>154</v>
      </c>
      <c r="D205" t="s">
        <v>66</v>
      </c>
      <c r="E205">
        <v>60000</v>
      </c>
      <c r="F205" t="s">
        <v>7</v>
      </c>
      <c r="G205">
        <v>1</v>
      </c>
      <c r="H205" s="3">
        <v>1</v>
      </c>
    </row>
    <row r="206" spans="1:8" x14ac:dyDescent="0.25">
      <c r="A206" t="s">
        <v>64</v>
      </c>
      <c r="B206" s="2">
        <v>46088.965104166666</v>
      </c>
      <c r="C206">
        <v>155</v>
      </c>
      <c r="D206" t="s">
        <v>19</v>
      </c>
      <c r="E206">
        <v>8000</v>
      </c>
      <c r="F206" t="s">
        <v>7</v>
      </c>
      <c r="G206">
        <v>1</v>
      </c>
      <c r="H206" s="3">
        <v>1</v>
      </c>
    </row>
    <row r="207" spans="1:8" x14ac:dyDescent="0.25">
      <c r="A207" t="s">
        <v>64</v>
      </c>
      <c r="D207" t="s">
        <v>40</v>
      </c>
      <c r="E207">
        <v>4500</v>
      </c>
      <c r="F207" t="s">
        <v>7</v>
      </c>
      <c r="G207">
        <v>1</v>
      </c>
      <c r="H207" s="3">
        <v>1</v>
      </c>
    </row>
    <row r="208" spans="1:8" x14ac:dyDescent="0.25">
      <c r="A208" t="s">
        <v>64</v>
      </c>
      <c r="B208" s="2">
        <v>46088.966435185182</v>
      </c>
      <c r="C208">
        <v>156</v>
      </c>
      <c r="D208" t="s">
        <v>67</v>
      </c>
      <c r="E208">
        <v>40000</v>
      </c>
      <c r="F208" t="s">
        <v>8</v>
      </c>
      <c r="G208">
        <v>1</v>
      </c>
      <c r="H208" s="3">
        <v>1</v>
      </c>
    </row>
    <row r="209" spans="1:8" x14ac:dyDescent="0.25">
      <c r="A209" t="s">
        <v>64</v>
      </c>
      <c r="D209" t="s">
        <v>20</v>
      </c>
      <c r="E209">
        <v>3000</v>
      </c>
      <c r="F209" t="s">
        <v>8</v>
      </c>
      <c r="G209">
        <v>1</v>
      </c>
      <c r="H209" s="3">
        <v>1</v>
      </c>
    </row>
    <row r="210" spans="1:8" x14ac:dyDescent="0.25">
      <c r="A210" t="s">
        <v>64</v>
      </c>
      <c r="B210" s="2">
        <v>46088.966805555552</v>
      </c>
      <c r="C210">
        <v>157</v>
      </c>
      <c r="D210" t="s">
        <v>19</v>
      </c>
      <c r="E210">
        <v>8000</v>
      </c>
      <c r="F210" t="s">
        <v>7</v>
      </c>
      <c r="G210">
        <v>2</v>
      </c>
      <c r="H210" s="3">
        <v>1</v>
      </c>
    </row>
    <row r="211" spans="1:8" x14ac:dyDescent="0.25">
      <c r="A211" t="s">
        <v>64</v>
      </c>
      <c r="D211" t="s">
        <v>40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56</v>
      </c>
      <c r="B212" s="2">
        <v>46089.590648148151</v>
      </c>
      <c r="C212">
        <v>136</v>
      </c>
      <c r="D212" t="s">
        <v>19</v>
      </c>
      <c r="E212">
        <v>8000</v>
      </c>
      <c r="F212" t="s">
        <v>8</v>
      </c>
      <c r="G212">
        <v>3</v>
      </c>
      <c r="H212" s="3">
        <v>1</v>
      </c>
    </row>
    <row r="213" spans="1:8" x14ac:dyDescent="0.25">
      <c r="A213" t="s">
        <v>56</v>
      </c>
      <c r="D213" t="s">
        <v>20</v>
      </c>
      <c r="E213">
        <v>3000</v>
      </c>
      <c r="F213" t="s">
        <v>8</v>
      </c>
      <c r="G213">
        <v>2</v>
      </c>
      <c r="H213" s="3">
        <v>1</v>
      </c>
    </row>
    <row r="214" spans="1:8" x14ac:dyDescent="0.25">
      <c r="A214" t="s">
        <v>56</v>
      </c>
      <c r="B214" s="2">
        <v>46089.590891203705</v>
      </c>
      <c r="C214">
        <v>137</v>
      </c>
      <c r="D214" t="s">
        <v>19</v>
      </c>
      <c r="E214">
        <v>8000</v>
      </c>
      <c r="F214" t="s">
        <v>7</v>
      </c>
      <c r="G214">
        <v>1</v>
      </c>
      <c r="H214" s="3">
        <v>1</v>
      </c>
    </row>
    <row r="215" spans="1:8" x14ac:dyDescent="0.25">
      <c r="A215" t="s">
        <v>56</v>
      </c>
      <c r="D215" t="s">
        <v>22</v>
      </c>
      <c r="E215">
        <v>3000</v>
      </c>
      <c r="F215" t="s">
        <v>7</v>
      </c>
      <c r="G215">
        <v>1</v>
      </c>
      <c r="H215" s="3">
        <v>1</v>
      </c>
    </row>
    <row r="216" spans="1:8" x14ac:dyDescent="0.25">
      <c r="A216" t="s">
        <v>56</v>
      </c>
      <c r="B216" s="2">
        <v>46089.597615740742</v>
      </c>
      <c r="C216">
        <v>138</v>
      </c>
      <c r="D216" t="s">
        <v>59</v>
      </c>
      <c r="E216">
        <v>30000</v>
      </c>
      <c r="F216" t="s">
        <v>8</v>
      </c>
      <c r="G216">
        <v>1</v>
      </c>
      <c r="H216" s="3">
        <v>1</v>
      </c>
    </row>
    <row r="217" spans="1:8" x14ac:dyDescent="0.25">
      <c r="A217" t="s">
        <v>56</v>
      </c>
      <c r="D217" t="s">
        <v>19</v>
      </c>
      <c r="E217">
        <v>8000</v>
      </c>
      <c r="F217" t="s">
        <v>8</v>
      </c>
      <c r="G217">
        <v>3</v>
      </c>
      <c r="H217" s="3">
        <v>1</v>
      </c>
    </row>
    <row r="218" spans="1:8" x14ac:dyDescent="0.25">
      <c r="A218" t="s">
        <v>56</v>
      </c>
      <c r="B218" s="2">
        <v>46089.621215277781</v>
      </c>
      <c r="C218">
        <v>139</v>
      </c>
      <c r="D218" t="s">
        <v>19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56</v>
      </c>
      <c r="D219" t="s">
        <v>20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56</v>
      </c>
      <c r="B220" s="2">
        <v>46089.63009259259</v>
      </c>
      <c r="C220">
        <v>140</v>
      </c>
      <c r="D220" t="s">
        <v>62</v>
      </c>
      <c r="E220">
        <v>35000</v>
      </c>
      <c r="F220" t="s">
        <v>7</v>
      </c>
      <c r="G220">
        <v>1</v>
      </c>
      <c r="H220" s="3">
        <v>1</v>
      </c>
    </row>
    <row r="221" spans="1:8" x14ac:dyDescent="0.25">
      <c r="A221" t="s">
        <v>56</v>
      </c>
      <c r="D221" t="s">
        <v>20</v>
      </c>
      <c r="E221">
        <v>3000</v>
      </c>
      <c r="F221" t="s">
        <v>7</v>
      </c>
      <c r="G221">
        <v>1</v>
      </c>
      <c r="H221" s="3">
        <v>1</v>
      </c>
    </row>
    <row r="222" spans="1:8" x14ac:dyDescent="0.25">
      <c r="A222" t="s">
        <v>56</v>
      </c>
      <c r="D222" t="s">
        <v>40</v>
      </c>
      <c r="E222">
        <v>4500</v>
      </c>
      <c r="F222" t="s">
        <v>7</v>
      </c>
      <c r="G222">
        <v>1</v>
      </c>
      <c r="H222" s="3">
        <v>1</v>
      </c>
    </row>
    <row r="223" spans="1:8" x14ac:dyDescent="0.25">
      <c r="A223" t="s">
        <v>56</v>
      </c>
      <c r="B223" s="2">
        <v>46089.630787037036</v>
      </c>
      <c r="C223">
        <v>141</v>
      </c>
      <c r="D223" t="s">
        <v>17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56</v>
      </c>
      <c r="D224" t="s">
        <v>62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56</v>
      </c>
      <c r="D225" t="s">
        <v>19</v>
      </c>
      <c r="E225">
        <v>8000</v>
      </c>
      <c r="F225" t="s">
        <v>7</v>
      </c>
      <c r="G225">
        <v>1</v>
      </c>
      <c r="H225" s="3">
        <v>1</v>
      </c>
    </row>
    <row r="226" spans="1:8" x14ac:dyDescent="0.25">
      <c r="A226" t="s">
        <v>56</v>
      </c>
      <c r="D226" t="s">
        <v>20</v>
      </c>
      <c r="E226">
        <v>3000</v>
      </c>
      <c r="F226" t="s">
        <v>7</v>
      </c>
      <c r="G226">
        <v>1</v>
      </c>
      <c r="H226" s="3">
        <v>1</v>
      </c>
    </row>
    <row r="227" spans="1:8" x14ac:dyDescent="0.25">
      <c r="A227" t="s">
        <v>56</v>
      </c>
      <c r="B227" s="2">
        <v>46089.723726851851</v>
      </c>
      <c r="C227">
        <v>142</v>
      </c>
      <c r="D227" t="s">
        <v>19</v>
      </c>
      <c r="E227">
        <v>8000</v>
      </c>
      <c r="F227" t="s">
        <v>8</v>
      </c>
      <c r="G227">
        <v>1</v>
      </c>
      <c r="H227" s="3">
        <v>1</v>
      </c>
    </row>
    <row r="228" spans="1:8" x14ac:dyDescent="0.25">
      <c r="A228" t="s">
        <v>56</v>
      </c>
      <c r="B228" s="2">
        <v>46089.727361111109</v>
      </c>
      <c r="C228">
        <v>143</v>
      </c>
      <c r="D228" t="s">
        <v>17</v>
      </c>
      <c r="E228">
        <v>3000</v>
      </c>
      <c r="F228" t="s">
        <v>35</v>
      </c>
      <c r="G228">
        <v>1</v>
      </c>
      <c r="H228" s="3">
        <v>1</v>
      </c>
    </row>
    <row r="229" spans="1:8" x14ac:dyDescent="0.25">
      <c r="A229" t="s">
        <v>56</v>
      </c>
      <c r="B229" s="2">
        <v>46089.752152777779</v>
      </c>
      <c r="C229">
        <v>144</v>
      </c>
      <c r="D229" t="s">
        <v>19</v>
      </c>
      <c r="E229">
        <v>8000</v>
      </c>
      <c r="F229" t="s">
        <v>7</v>
      </c>
      <c r="G229">
        <v>1</v>
      </c>
      <c r="H229" s="3">
        <v>1</v>
      </c>
    </row>
    <row r="230" spans="1:8" x14ac:dyDescent="0.25">
      <c r="A230" t="s">
        <v>56</v>
      </c>
      <c r="D230" t="s">
        <v>63</v>
      </c>
      <c r="E230">
        <v>2000</v>
      </c>
      <c r="F230" t="s">
        <v>7</v>
      </c>
      <c r="G230">
        <v>1</v>
      </c>
      <c r="H230" s="3">
        <v>1</v>
      </c>
    </row>
    <row r="231" spans="1:8" x14ac:dyDescent="0.25">
      <c r="A231" t="s">
        <v>1</v>
      </c>
      <c r="G231"/>
      <c r="H231" s="3">
        <v>226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29</v>
      </c>
      <c r="B1" s="7" t="s">
        <v>26</v>
      </c>
    </row>
    <row r="2" spans="1:2" x14ac:dyDescent="0.25">
      <c r="A2" t="s">
        <v>30</v>
      </c>
      <c r="B2" s="7" t="s">
        <v>27</v>
      </c>
    </row>
    <row r="3" spans="1:2" x14ac:dyDescent="0.25">
      <c r="A3" t="s">
        <v>31</v>
      </c>
      <c r="B3" s="7" t="s">
        <v>28</v>
      </c>
    </row>
  </sheetData>
  <hyperlinks>
    <hyperlink ref="B1" r:id="rId1" xr:uid="{00000000-0004-0000-0400-000000000000}"/>
    <hyperlink ref="B2" r:id="rId2" xr:uid="{00000000-0004-0000-0400-000001000000}"/>
    <hyperlink ref="B3" r:id="rId3" xr:uid="{00000000-0004-0000-04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91E5C76-40E7-4996-8584-0118F04FBEF4}">
  <ds:schemaRefs/>
</ds:datastoreItem>
</file>

<file path=customXml/itemProps2.xml><?xml version="1.0" encoding="utf-8"?>
<ds:datastoreItem xmlns:ds="http://schemas.openxmlformats.org/officeDocument/2006/customXml" ds:itemID="{BACC00BD-3502-47AC-941E-7A1E8D4D2542}">
  <ds:schemaRefs/>
</ds:datastoreItem>
</file>

<file path=customXml/itemProps3.xml><?xml version="1.0" encoding="utf-8"?>
<ds:datastoreItem xmlns:ds="http://schemas.openxmlformats.org/officeDocument/2006/customXml" ds:itemID="{0923900A-484E-4754-B4CA-7CD7455B29F8}">
  <ds:schemaRefs/>
</ds:datastoreItem>
</file>

<file path=customXml/itemProps4.xml><?xml version="1.0" encoding="utf-8"?>
<ds:datastoreItem xmlns:ds="http://schemas.openxmlformats.org/officeDocument/2006/customXml" ds:itemID="{FB1D0CD9-7ED3-48D8-A3AB-0AA528A1780A}">
  <ds:schemaRefs/>
</ds:datastoreItem>
</file>

<file path=customXml/itemProps5.xml><?xml version="1.0" encoding="utf-8"?>
<ds:datastoreItem xmlns:ds="http://schemas.openxmlformats.org/officeDocument/2006/customXml" ds:itemID="{AFCE4F4F-8B07-4A23-9CE3-B3362828CA16}">
  <ds:schemaRefs/>
</ds:datastoreItem>
</file>

<file path=customXml/itemProps6.xml><?xml version="1.0" encoding="utf-8"?>
<ds:datastoreItem xmlns:ds="http://schemas.openxmlformats.org/officeDocument/2006/customXml" ds:itemID="{098E4327-974B-4B0D-91F5-162E9D75323A}">
  <ds:schemaRefs/>
</ds:datastoreItem>
</file>

<file path=customXml/itemProps7.xml><?xml version="1.0" encoding="utf-8"?>
<ds:datastoreItem xmlns:ds="http://schemas.openxmlformats.org/officeDocument/2006/customXml" ds:itemID="{D7FE6DC1-B767-470D-8489-3CAA60CF0C5D}">
  <ds:schemaRefs/>
</ds:datastoreItem>
</file>

<file path=customXml/itemProps8.xml><?xml version="1.0" encoding="utf-8"?>
<ds:datastoreItem xmlns:ds="http://schemas.openxmlformats.org/officeDocument/2006/customXml" ds:itemID="{3EC34395-E632-4875-8B6F-C2A8A996A5BE}">
  <ds:schemaRefs/>
</ds:datastoreItem>
</file>

<file path=customXml/itemProps9.xml><?xml version="1.0" encoding="utf-8"?>
<ds:datastoreItem xmlns:ds="http://schemas.openxmlformats.org/officeDocument/2006/customXml" ds:itemID="{BB25C675-0142-46C0-B119-B964A69C36F7}">
  <ds:schemaRefs/>
</ds:datastoreItem>
</file>

<file path=customXml/itemProps10.xml><?xml version="1.0" encoding="utf-8"?>
<ds:datastoreItem xmlns:ds="http://schemas.openxmlformats.org/officeDocument/2006/customXml" ds:itemID="{B63E7085-228C-46D5-BA95-D5BD8D46D3BC}">
  <ds:schemaRefs/>
</ds:datastoreItem>
</file>

<file path=customXml/itemProps11.xml><?xml version="1.0" encoding="utf-8"?>
<ds:datastoreItem xmlns:ds="http://schemas.openxmlformats.org/officeDocument/2006/customXml" ds:itemID="{A8C41FBF-174E-45B2-B0BA-73A832AA7326}">
  <ds:schemaRefs/>
</ds:datastoreItem>
</file>

<file path=customXml/itemProps12.xml><?xml version="1.0" encoding="utf-8"?>
<ds:datastoreItem xmlns:ds="http://schemas.openxmlformats.org/officeDocument/2006/customXml" ds:itemID="{39D61B41-5A67-43EE-9419-C185D49D9134}">
  <ds:schemaRefs/>
</ds:datastoreItem>
</file>

<file path=customXml/itemProps13.xml><?xml version="1.0" encoding="utf-8"?>
<ds:datastoreItem xmlns:ds="http://schemas.openxmlformats.org/officeDocument/2006/customXml" ds:itemID="{FC409827-E32F-4F48-9FF4-3818E929E424}">
  <ds:schemaRefs/>
</ds:datastoreItem>
</file>

<file path=customXml/itemProps14.xml><?xml version="1.0" encoding="utf-8"?>
<ds:datastoreItem xmlns:ds="http://schemas.openxmlformats.org/officeDocument/2006/customXml" ds:itemID="{537CA801-B62F-4F55-B4C0-348E472E09E8}">
  <ds:schemaRefs/>
</ds:datastoreItem>
</file>

<file path=customXml/itemProps15.xml><?xml version="1.0" encoding="utf-8"?>
<ds:datastoreItem xmlns:ds="http://schemas.openxmlformats.org/officeDocument/2006/customXml" ds:itemID="{29466B21-50A0-4711-8C3B-BA3D21363A53}">
  <ds:schemaRefs/>
</ds:datastoreItem>
</file>

<file path=customXml/itemProps16.xml><?xml version="1.0" encoding="utf-8"?>
<ds:datastoreItem xmlns:ds="http://schemas.openxmlformats.org/officeDocument/2006/customXml" ds:itemID="{F948004D-76CA-46D7-9E0F-4E5D474F9C46}">
  <ds:schemaRefs/>
</ds:datastoreItem>
</file>

<file path=customXml/itemProps17.xml><?xml version="1.0" encoding="utf-8"?>
<ds:datastoreItem xmlns:ds="http://schemas.openxmlformats.org/officeDocument/2006/customXml" ds:itemID="{45FC6974-0190-4FD5-8A3E-E2BFFBF9BA06}">
  <ds:schemaRefs/>
</ds:datastoreItem>
</file>

<file path=customXml/itemProps18.xml><?xml version="1.0" encoding="utf-8"?>
<ds:datastoreItem xmlns:ds="http://schemas.openxmlformats.org/officeDocument/2006/customXml" ds:itemID="{63D48641-18DD-40CE-9EE1-4A67630B95CD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sales</vt:lpstr>
      <vt:lpstr>sales_BI</vt:lpstr>
      <vt:lpstr>entradas</vt:lpstr>
      <vt:lpstr>Informe</vt:lpstr>
      <vt:lpstr>historial de venta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2026-03-09T05:01:40Z</dcterms:modified>
</cp:coreProperties>
</file>