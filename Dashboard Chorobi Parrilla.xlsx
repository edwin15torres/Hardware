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cuments\Fabrica\"/>
    </mc:Choice>
  </mc:AlternateContent>
  <bookViews>
    <workbookView xWindow="20370" yWindow="-2070" windowWidth="21840" windowHeight="13140" tabRatio="810" activeTab="4"/>
  </bookViews>
  <sheets>
    <sheet name="sales" sheetId="25" r:id="rId1"/>
    <sheet name="entradas" sheetId="27" r:id="rId2"/>
    <sheet name="Informe" sheetId="14" r:id="rId3"/>
    <sheet name="historial de venta" sheetId="20" r:id="rId4"/>
    <sheet name="Informe (2)" sheetId="28" r:id="rId5"/>
    <sheet name="urls" sheetId="24" state="hidden" r:id="rId6"/>
  </sheets>
  <calcPr calcId="162913"/>
  <pivotCaches>
    <pivotCache cacheId="14" r:id="rId7"/>
    <pivotCache cacheId="15" r:id="rId8"/>
    <pivotCache cacheId="16" r:id="rId9"/>
    <pivotCache cacheId="17" r:id="rId10"/>
    <pivotCache cacheId="18" r:id="rId11"/>
    <pivotCache cacheId="2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ciones_e81c23be-ac9a-47e5-9c4a-fc6d6e506fa2" name="transacciones" connection="Consulta - transacciones"/>
          <x15:modelTable id="items_1a8fc6bc-3545-41d3-93cf-b8d0c3b2a3af" name="items" connection="Consulta - items"/>
          <x15:modelTable id="usuarios_9e17b93f-edfc-43bf-937b-7ef1695ccc38" name="usuarios" connection="Consulta - usuarios"/>
          <x15:modelTable id="productos_f25bf975-1adf-4d63-8648-0fd5058d7f5a" name="productos" connection="Consulta - productos"/>
        </x15:modelTables>
        <x15:modelRelationships>
          <x15:modelRelationship fromTable="transacciones" fromColumn="id_usuario" toTable="usuarios" toColumn="id_usuario"/>
          <x15:modelRelationship fromTable="items" fromColumn="id_transaccion" toTable="transacciones" toColumn="id_transaccion"/>
          <x15:modelRelationship fromTable="items" fromColumn="id_producto" toTable="productos" toColumn="id_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ransacciones" columnName="fecha" columnId="fecha"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  <x16:calculatedTimeColumn columnName="fecha (índice de días)" columnId="fecha (índice de días)" contentType="daysindex" isSelected="1"/>
                <x16:calculatedTimeColumn columnName="fecha (día)" columnId="fecha (día)" contentType="days" isSelected="1"/>
                <x16:calculatedTimeColumn columnName="fecha (hora)" columnId="fecha (hora)" contentType="hours" isSelected="0"/>
                <x16:calculatedTimeColumn columnName="fecha (minuto)" columnId="fecha (minuto)" contentType="minutes" isSelected="0"/>
                <x16:calculatedTimeColumn columnName="fecha (segundo)" columnId="fecha (segundo)" contentType="seconds" isSelected="0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8" l="1"/>
  <c r="F6" i="28"/>
  <c r="F7" i="28"/>
  <c r="F8" i="28"/>
  <c r="F9" i="28"/>
  <c r="F10" i="28"/>
  <c r="F11" i="28"/>
  <c r="F12" i="28"/>
  <c r="F13" i="28"/>
  <c r="F14" i="28"/>
  <c r="F15" i="28"/>
  <c r="F4" i="28"/>
  <c r="H11" i="28"/>
  <c r="I4" i="20" l="1"/>
  <c r="O24" i="14" l="1"/>
  <c r="O23" i="14"/>
  <c r="O22" i="14"/>
  <c r="O21" i="14"/>
  <c r="O20" i="14"/>
  <c r="O19" i="14"/>
  <c r="O18" i="14"/>
  <c r="O17" i="14"/>
  <c r="O16" i="14"/>
  <c r="O15" i="14"/>
  <c r="O14" i="14"/>
  <c r="O13" i="14"/>
  <c r="F10" i="27" l="1"/>
  <c r="Q20" i="14" l="1"/>
  <c r="P17" i="14" l="1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P15" i="14" l="1"/>
  <c r="P16" i="14" s="1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9" i="20"/>
</calcChain>
</file>

<file path=xl/connections.xml><?xml version="1.0" encoding="utf-8"?>
<connections xmlns="http://schemas.openxmlformats.org/spreadsheetml/2006/main">
  <connection id="1" keepAlive="1" name="Consulta - AuthToken" description="Conexión a la consulta 'AuthToken' en el libro." type="5" refreshedVersion="0" background="1">
    <dbPr connection="Provider=Microsoft.Mashup.OleDb.1;Data Source=$Workbook$;Location=AuthToken;Extended Properties=&quot;&quot;" command="SELECT * FROM [AuthToken]"/>
  </connection>
  <connection id="2" name="Consulta - items" description="Conexión a la consulta 'items' en el libro." type="100" refreshedVersion="8" minRefreshableVersion="5">
    <extLst>
      <ext xmlns:x15="http://schemas.microsoft.com/office/spreadsheetml/2010/11/main" uri="{DE250136-89BD-433C-8126-D09CA5730AF9}">
        <x15:connection id="e4c09917-b788-4ef8-aaf1-6a80fe2025eb"/>
      </ext>
    </extLst>
  </connection>
  <connection id="3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bccac5d7-8490-4d01-832b-0ef911dda3a8"/>
      </ext>
    </extLst>
  </connection>
  <connection id="4" name="Consulta - transacciones" description="Conexión a la consulta 'transacciones' en el libro." type="100" refreshedVersion="8" minRefreshableVersion="5">
    <extLst>
      <ext xmlns:x15="http://schemas.microsoft.com/office/spreadsheetml/2010/11/main" uri="{DE250136-89BD-433C-8126-D09CA5730AF9}">
        <x15:connection id="bd43570e-7a7d-4980-9952-d180e9dfaf3d"/>
      </ext>
    </extLst>
  </connection>
  <connection id="5" keepAlive="1" name="Consulta - url" description="Conexión a la consulta 'url' en el libro." type="5" refreshedVersion="0" background="1">
    <dbPr connection="Provider=Microsoft.Mashup.OleDb.1;Data Source=$Workbook$;Location=url;Extended Properties=&quot;&quot;" command="SELECT * FROM [url]"/>
  </connection>
  <connection id="6" name="Consulta - usuarios" description="Conexión a la consulta 'usuarios' en el libro." type="100" refreshedVersion="8" minRefreshableVersion="5">
    <extLst>
      <ext xmlns:x15="http://schemas.microsoft.com/office/spreadsheetml/2010/11/main" uri="{DE250136-89BD-433C-8126-D09CA5730AF9}">
        <x15:connection id="843ffab8-a391-4821-b8c6-b7af28fd53f7"/>
      </ext>
    </extLst>
  </connection>
  <connection id="7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ransacciones].[nombre_transaccion].&amp;[VENTA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<sst xmlns="http://schemas.openxmlformats.org/spreadsheetml/2006/main" count="1310" uniqueCount="69">
  <si>
    <t>VENTA</t>
  </si>
  <si>
    <t>Total general</t>
  </si>
  <si>
    <t>23-feb</t>
  </si>
  <si>
    <t>24-feb</t>
  </si>
  <si>
    <t>25-feb</t>
  </si>
  <si>
    <t>26-feb</t>
  </si>
  <si>
    <t>Suma de entrada</t>
  </si>
  <si>
    <t>EFECTIVO</t>
  </si>
  <si>
    <t>NEQUI</t>
  </si>
  <si>
    <t>BASE</t>
  </si>
  <si>
    <t>GASTO</t>
  </si>
  <si>
    <t>RETIRO</t>
  </si>
  <si>
    <t>fecha (día)</t>
  </si>
  <si>
    <t>tipo_cuenta</t>
  </si>
  <si>
    <t>fecha</t>
  </si>
  <si>
    <t>Recuento de id_item</t>
  </si>
  <si>
    <t>nombre_producto</t>
  </si>
  <si>
    <t>Agua</t>
  </si>
  <si>
    <t>Chori- CRUDO</t>
  </si>
  <si>
    <t>Chorizo</t>
  </si>
  <si>
    <t>Coca cola</t>
  </si>
  <si>
    <t>parri tres carnes</t>
  </si>
  <si>
    <t>Postobon</t>
  </si>
  <si>
    <t>cantidad</t>
  </si>
  <si>
    <t>precio_producto</t>
  </si>
  <si>
    <t>nombre_transaccion</t>
  </si>
  <si>
    <t>https://argentina-infrasonic-halina.ngrok-free.dev</t>
  </si>
  <si>
    <t>https://subformative-marylee-solvently.ngrok-free.dev</t>
  </si>
  <si>
    <t>http://localhost:5000</t>
  </si>
  <si>
    <t>url_DigiLivo</t>
  </si>
  <si>
    <t>url_Choriboni</t>
  </si>
  <si>
    <t>url_Local</t>
  </si>
  <si>
    <t>27-feb</t>
  </si>
  <si>
    <t>tinto</t>
  </si>
  <si>
    <t>carne + chorizo</t>
  </si>
  <si>
    <t>DaviPlata</t>
  </si>
  <si>
    <t>id_factura</t>
  </si>
  <si>
    <t>Suma de valor_total</t>
  </si>
  <si>
    <t>Valor venta</t>
  </si>
  <si>
    <t>28-feb</t>
  </si>
  <si>
    <t>Hit</t>
  </si>
  <si>
    <t>parri 48</t>
  </si>
  <si>
    <t>parri 70</t>
  </si>
  <si>
    <t>parri 40</t>
  </si>
  <si>
    <t>hora</t>
  </si>
  <si>
    <t>2-mar</t>
  </si>
  <si>
    <t>3-mar</t>
  </si>
  <si>
    <t>Hamb. CRUDA</t>
  </si>
  <si>
    <t>hoy entro</t>
  </si>
  <si>
    <t>gasesa</t>
  </si>
  <si>
    <t>complejo</t>
  </si>
  <si>
    <t>4-mar</t>
  </si>
  <si>
    <t>5-mar</t>
  </si>
  <si>
    <t>8-mar</t>
  </si>
  <si>
    <t>Ham. combo</t>
  </si>
  <si>
    <t>Ham. sencilla</t>
  </si>
  <si>
    <t>Carne con chorizo -30</t>
  </si>
  <si>
    <t>VARIOS: Costillas BBQ</t>
  </si>
  <si>
    <t>Propina - Gustavo</t>
  </si>
  <si>
    <t>Carne con chorizo - 35</t>
  </si>
  <si>
    <t>OTROS: pedazo de carne</t>
  </si>
  <si>
    <t>7-mar</t>
  </si>
  <si>
    <t>OTRO: promo vecino de jenesano</t>
  </si>
  <si>
    <t>Parrilla de 60.000</t>
  </si>
  <si>
    <t>Carne Asada de 40</t>
  </si>
  <si>
    <t>Suma de egreso</t>
  </si>
  <si>
    <t>transacciones.tipo_cuenta</t>
  </si>
  <si>
    <t>Suma de caja</t>
  </si>
  <si>
    <t>Suma de bancos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</si>
</sst>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22" fontId="0" fillId="0" borderId="0" xfId="0" applyNumberFormat="1"/>
    <xf numFmtId="164" fontId="0" fillId="0" borderId="0" xfId="0" applyNumberFormat="1"/>
    <xf numFmtId="164" fontId="1" fillId="2" borderId="0" xfId="1" applyNumberFormat="1"/>
    <xf numFmtId="164" fontId="0" fillId="0" borderId="0" xfId="2" applyNumberFormat="1" applyFont="1"/>
    <xf numFmtId="0" fontId="0" fillId="3" borderId="0" xfId="0" applyFill="1"/>
    <xf numFmtId="0" fontId="3" fillId="0" borderId="0" xfId="3"/>
    <xf numFmtId="0" fontId="0" fillId="4" borderId="0" xfId="0" applyFill="1"/>
    <xf numFmtId="164" fontId="0" fillId="5" borderId="0" xfId="2" applyNumberFormat="1" applyFont="1" applyFill="1"/>
    <xf numFmtId="14" fontId="0" fillId="0" borderId="0" xfId="0" applyNumberFormat="1"/>
    <xf numFmtId="165" fontId="0" fillId="0" borderId="0" xfId="4" applyNumberFormat="1" applyFont="1"/>
    <xf numFmtId="0" fontId="0" fillId="6" borderId="1" xfId="0" applyFill="1" applyBorder="1"/>
    <xf numFmtId="0" fontId="4" fillId="6" borderId="1" xfId="0" applyFont="1" applyFill="1" applyBorder="1"/>
    <xf numFmtId="0" fontId="4" fillId="6" borderId="0" xfId="0" applyFont="1" applyFill="1" applyBorder="1"/>
    <xf numFmtId="19" fontId="0" fillId="0" borderId="0" xfId="0" applyNumberFormat="1"/>
  </cellXfs>
  <cellStyles count="5">
    <cellStyle name="Bueno" xfId="1" builtinId="26"/>
    <cellStyle name="Hipervínculo" xfId="3" builtinId="8"/>
    <cellStyle name="Millares" xfId="4" builtinId="3"/>
    <cellStyle name="Moneda" xfId="2" builtinId="4"/>
    <cellStyle name="Normal" xfId="0" builtinId="0"/>
  </cellStyles>
  <dxfs count="8"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4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DMIN" refreshedDate="46090.45264664352" backgroundQuery="1" createdVersion="8" refreshedVersion="8" minRefreshableVersion="3" recordCount="0" supportSubquery="1" supportAdvancedDrill="1">
  <cacheSource type="external" connectionId="7"/>
  <cacheFields count="4">
    <cacheField name="[transacciones].[nombre_transaccion].[nombre_transaccion]" caption="nombre_transaccion" numFmtId="0" hierarchy="15" level="1">
      <sharedItems count="4">
        <s v="BASE"/>
        <s v="GASTO"/>
        <s v="RETIRO"/>
        <s v="VENTA"/>
      </sharedItems>
    </cacheField>
    <cacheField name="[transacciones].[tipo_cuenta].[tipo_cuenta]" caption="tipo_cuenta" numFmtId="0" hierarchy="16" level="1">
      <sharedItems count="3">
        <s v="DaviPlata"/>
        <s v="EFECTIVO"/>
        <s v="NEQUI"/>
      </sharedItems>
    </cacheField>
    <cacheField name="[transacciones].[fecha (día)].[fecha (día)]" caption="fecha (día)" numFmtId="0" hierarchy="24" level="1">
      <sharedItems count="12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</sharedItems>
    </cacheField>
    <cacheField name="[Measures].[Suma de egreso]" caption="Suma de egreso" numFmtId="0" hierarchy="42" level="32767"/>
  </cacheFields>
  <cacheHierarchies count="5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greso]" caption="Suma de egreso" measure="1" displayFolder="" measureGroup="transaccion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DMIN" refreshedDate="46090.452645138888" backgroundQuery="1" createdVersion="8" refreshedVersion="8" minRefreshableVersion="3" recordCount="0" supportSubquery="1" supportAdvancedDrill="1">
  <cacheSource type="external" connectionId="7"/>
  <cacheFields count="4">
    <cacheField name="[transacciones].[nombre_transaccion].[nombre_transaccion]" caption="nombre_transaccion" numFmtId="0" hierarchy="15" level="1">
      <sharedItems count="2">
        <s v="BASE"/>
        <s v="VENTA"/>
      </sharedItems>
    </cacheField>
    <cacheField name="[transacciones].[tipo_cuenta].[tipo_cuenta]" caption="tipo_cuenta" numFmtId="0" hierarchy="16" level="1">
      <sharedItems count="3">
        <s v="EFECTIVO"/>
        <s v="DaviPlata"/>
        <s v="NEQUI"/>
      </sharedItems>
    </cacheField>
    <cacheField name="[Measures].[Suma de entrada]" caption="Suma de entrada" numFmtId="0" hierarchy="40" level="32767"/>
    <cacheField name="[transacciones].[fecha (día)].[fecha (día)]" caption="fecha (día)" numFmtId="0" hierarchy="24" level="1">
      <sharedItems count="12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</sharedItems>
    </cacheField>
  </cacheFields>
  <cacheHierarchies count="5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DMIN" refreshedDate="46090.452641782409" backgroundQuery="1" createdVersion="8" refreshedVersion="8" minRefreshableVersion="3" recordCount="0" supportSubquery="1" supportAdvancedDrill="1">
  <cacheSource type="external" connectionId="7"/>
  <cacheFields count="4">
    <cacheField name="[transacciones].[nombre_transaccion].[nombre_transaccion]" caption="nombre_transaccion" numFmtId="0" hierarchy="15" level="1">
      <sharedItems count="1">
        <s v="VENTA"/>
      </sharedItems>
    </cacheField>
    <cacheField name="[transacciones].[tipo_cuenta].[tipo_cuenta]" caption="tipo_cuenta" numFmtId="0" hierarchy="16" level="1">
      <sharedItems count="3">
        <s v="DaviPlata"/>
        <s v="EFECTIVO"/>
        <s v="NEQUI"/>
      </sharedItems>
    </cacheField>
    <cacheField name="[transacciones].[fecha (día)].[fecha (día)]" caption="fecha (día)" numFmtId="0" hierarchy="24" level="1">
      <sharedItems count="12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</sharedItems>
    </cacheField>
    <cacheField name="[Measures].[Suma de valor_total]" caption="Suma de valor_total" numFmtId="0" hierarchy="50" level="32767"/>
  </cacheFields>
  <cacheHierarchies count="5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2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ADMIN" refreshedDate="46090.452643634257" backgroundQuery="1" createdVersion="8" refreshedVersion="8" minRefreshableVersion="3" recordCount="0" supportSubquery="1" supportAdvancedDrill="1">
  <cacheSource type="external" connectionId="7"/>
  <cacheFields count="9">
    <cacheField name="[transacciones].[nombre_transaccion].[nombre_transaccion]" caption="nombre_transaccion" numFmtId="0" hierarchy="15" level="1">
      <sharedItems count="1">
        <s v="VENTA"/>
      </sharedItems>
    </cacheField>
    <cacheField name="[transacciones].[tipo_cuenta].[tipo_cuenta]" caption="tipo_cuenta" numFmtId="0" hierarchy="16" level="1">
      <sharedItems count="3">
        <s v="EFECTIVO"/>
        <s v="NEQUI"/>
        <s v="DaviPlata"/>
      </sharedItems>
    </cacheField>
    <cacheField name="[Measures].[Recuento de id_item]" caption="Recuento de id_item" numFmtId="0" hierarchy="49" level="32767"/>
    <cacheField name="[transacciones].[fecha].[fecha]" caption="fecha" numFmtId="0" hierarchy="19" level="1">
      <sharedItems containsSemiMixedTypes="0" containsNonDate="0" containsDate="1" containsString="0" minDate="2026-02-23T00:00:00" maxDate="2026-03-09T00:00:00" count="12"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7T00:00:00"/>
        <d v="2026-03-08T00:00:00"/>
      </sharedItems>
    </cacheField>
    <cacheField name="[productos].[nombre_producto].[nombre_producto]" caption="nombre_producto" numFmtId="0" hierarchy="11" level="1">
      <sharedItems count="23">
        <s v="Chorizo"/>
        <s v="Coca cola"/>
        <s v="Agua"/>
        <s v="Postobon"/>
        <s v="Chori- CRUDO"/>
        <s v="parri tres carnes"/>
        <s v="carne + chorizo"/>
        <s v="tinto"/>
        <s v="Hit"/>
        <s v="parri 48"/>
        <s v="parri 70"/>
        <s v="parri 40"/>
        <s v="Carne con chorizo -30"/>
        <s v="Hamb. CRUDA"/>
        <s v="Ham. combo"/>
        <s v="Ham. sencilla"/>
        <s v="VARIOS: Costillas BBQ"/>
        <s v="Propina - Gustavo"/>
        <s v="OTRO: promo vecino de jenesano"/>
        <s v="Parrilla de 60.000"/>
        <s v="Carne Asada de 40"/>
        <s v="Carne con chorizo - 35"/>
        <s v="OTROS: pedazo de carne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6" count="6">
        <n v="2"/>
        <n v="1"/>
        <n v="3"/>
        <n v="5"/>
        <n v="4"/>
        <n v="6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  <x15:cachedUniqueName index="5" name="[items].[cantidad].&amp;[6]"/>
          </x15:cachedUniqueNames>
        </ext>
      </extLst>
    </cacheField>
    <cacheField name="[items].[precio_producto].[precio_producto]" caption="precio_producto" numFmtId="0" hierarchy="5" level="1">
      <sharedItems containsSemiMixedTypes="0" containsString="0" containsNumber="1" containsInteger="1" minValue="2000" maxValue="70000" count="16">
        <n v="8000"/>
        <n v="3000"/>
        <n v="4500"/>
        <n v="35000"/>
        <n v="25000"/>
        <n v="2000"/>
        <n v="48000"/>
        <n v="70000"/>
        <n v="40000"/>
        <n v="30000"/>
        <n v="5000"/>
        <n v="22000"/>
        <n v="17000"/>
        <n v="50000"/>
        <n v="15000"/>
        <n v="60000"/>
      </sharedItems>
    </cacheField>
    <cacheField name="[transacciones].[fecha (día)].[fecha (día)]" caption="fecha (día)" numFmtId="0" hierarchy="24" level="1">
      <sharedItems count="12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</sharedItems>
    </cacheField>
    <cacheField name="[transacciones].[id_factura].[id_factura]" caption="id_factura" numFmtId="0" hierarchy="17" level="1">
      <sharedItems containsSemiMixedTypes="0" containsString="0" containsNumber="1" containsInteger="1" minValue="2" maxValue="157" count="15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46"/>
        <n v="147"/>
        <n v="148"/>
        <n v="149"/>
        <n v="150"/>
        <n v="151"/>
        <n v="152"/>
        <n v="153"/>
        <n v="154"/>
        <n v="155"/>
        <n v="156"/>
        <n v="157"/>
        <n v="136"/>
        <n v="137"/>
        <n v="138"/>
        <n v="139"/>
        <n v="140"/>
        <n v="141"/>
        <n v="142"/>
        <n v="143"/>
        <n v="144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48]"/>
            <x15:cachedUniqueName index="45" name="[transacciones].[id_factura].&amp;[49]"/>
            <x15:cachedUniqueName index="46" name="[transacciones].[id_factura].&amp;[50]"/>
            <x15:cachedUniqueName index="47" name="[transacciones].[id_factura].&amp;[51]"/>
            <x15:cachedUniqueName index="48" name="[transacciones].[id_factura].&amp;[52]"/>
            <x15:cachedUniqueName index="49" name="[transacciones].[id_factura].&amp;[53]"/>
            <x15:cachedUniqueName index="50" name="[transacciones].[id_factura].&amp;[54]"/>
            <x15:cachedUniqueName index="51" name="[transacciones].[id_factura].&amp;[55]"/>
            <x15:cachedUniqueName index="52" name="[transacciones].[id_factura].&amp;[56]"/>
            <x15:cachedUniqueName index="53" name="[transacciones].[id_factura].&amp;[57]"/>
            <x15:cachedUniqueName index="54" name="[transacciones].[id_factura].&amp;[58]"/>
            <x15:cachedUniqueName index="55" name="[transacciones].[id_factura].&amp;[59]"/>
            <x15:cachedUniqueName index="56" name="[transacciones].[id_factura].&amp;[60]"/>
            <x15:cachedUniqueName index="57" name="[transacciones].[id_factura].&amp;[61]"/>
            <x15:cachedUniqueName index="58" name="[transacciones].[id_factura].&amp;[62]"/>
            <x15:cachedUniqueName index="59" name="[transacciones].[id_factura].&amp;[63]"/>
            <x15:cachedUniqueName index="60" name="[transacciones].[id_factura].&amp;[64]"/>
            <x15:cachedUniqueName index="61" name="[transacciones].[id_factura].&amp;[65]"/>
            <x15:cachedUniqueName index="62" name="[transacciones].[id_factura].&amp;[66]"/>
            <x15:cachedUniqueName index="63" name="[transacciones].[id_factura].&amp;[67]"/>
            <x15:cachedUniqueName index="64" name="[transacciones].[id_factura].&amp;[68]"/>
            <x15:cachedUniqueName index="65" name="[transacciones].[id_factura].&amp;[69]"/>
            <x15:cachedUniqueName index="66" name="[transacciones].[id_factura].&amp;[70]"/>
            <x15:cachedUniqueName index="67" name="[transacciones].[id_factura].&amp;[71]"/>
            <x15:cachedUniqueName index="68" name="[transacciones].[id_factura].&amp;[72]"/>
            <x15:cachedUniqueName index="69" name="[transacciones].[id_factura].&amp;[73]"/>
            <x15:cachedUniqueName index="70" name="[transacciones].[id_factura].&amp;[74]"/>
            <x15:cachedUniqueName index="71" name="[transacciones].[id_factura].&amp;[75]"/>
            <x15:cachedUniqueName index="72" name="[transacciones].[id_factura].&amp;[76]"/>
            <x15:cachedUniqueName index="73" name="[transacciones].[id_factura].&amp;[77]"/>
            <x15:cachedUniqueName index="74" name="[transacciones].[id_factura].&amp;[78]"/>
            <x15:cachedUniqueName index="75" name="[transacciones].[id_factura].&amp;[79]"/>
            <x15:cachedUniqueName index="76" name="[transacciones].[id_factura].&amp;[80]"/>
            <x15:cachedUniqueName index="77" name="[transacciones].[id_factura].&amp;[81]"/>
            <x15:cachedUniqueName index="78" name="[transacciones].[id_factura].&amp;[82]"/>
            <x15:cachedUniqueName index="79" name="[transacciones].[id_factura].&amp;[83]"/>
            <x15:cachedUniqueName index="80" name="[transacciones].[id_factura].&amp;[84]"/>
            <x15:cachedUniqueName index="81" name="[transacciones].[id_factura].&amp;[85]"/>
            <x15:cachedUniqueName index="82" name="[transacciones].[id_factura].&amp;[86]"/>
            <x15:cachedUniqueName index="83" name="[transacciones].[id_factura].&amp;[87]"/>
            <x15:cachedUniqueName index="84" name="[transacciones].[id_factura].&amp;[88]"/>
            <x15:cachedUniqueName index="85" name="[transacciones].[id_factura].&amp;[89]"/>
            <x15:cachedUniqueName index="86" name="[transacciones].[id_factura].&amp;[90]"/>
            <x15:cachedUniqueName index="87" name="[transacciones].[id_factura].&amp;[91]"/>
            <x15:cachedUniqueName index="88" name="[transacciones].[id_factura].&amp;[92]"/>
            <x15:cachedUniqueName index="89" name="[transacciones].[id_factura].&amp;[93]"/>
            <x15:cachedUniqueName index="90" name="[transacciones].[id_factura].&amp;[95]"/>
            <x15:cachedUniqueName index="91" name="[transacciones].[id_factura].&amp;[96]"/>
            <x15:cachedUniqueName index="92" name="[transacciones].[id_factura].&amp;[97]"/>
            <x15:cachedUniqueName index="93" name="[transacciones].[id_factura].&amp;[98]"/>
            <x15:cachedUniqueName index="94" name="[transacciones].[id_factura].&amp;[99]"/>
            <x15:cachedUniqueName index="95" name="[transacciones].[id_factura].&amp;[100]"/>
            <x15:cachedUniqueName index="96" name="[transacciones].[id_factura].&amp;[101]"/>
            <x15:cachedUniqueName index="97" name="[transacciones].[id_factura].&amp;[102]"/>
            <x15:cachedUniqueName index="98" name="[transacciones].[id_factura].&amp;[103]"/>
            <x15:cachedUniqueName index="99" name="[transacciones].[id_factura].&amp;[104]"/>
            <x15:cachedUniqueName index="100" name="[transacciones].[id_factura].&amp;[105]"/>
            <x15:cachedUniqueName index="101" name="[transacciones].[id_factura].&amp;[106]"/>
            <x15:cachedUniqueName index="102" name="[transacciones].[id_factura].&amp;[107]"/>
            <x15:cachedUniqueName index="103" name="[transacciones].[id_factura].&amp;[108]"/>
            <x15:cachedUniqueName index="104" name="[transacciones].[id_factura].&amp;[109]"/>
            <x15:cachedUniqueName index="105" name="[transacciones].[id_factura].&amp;[110]"/>
            <x15:cachedUniqueName index="106" name="[transacciones].[id_factura].&amp;[111]"/>
            <x15:cachedUniqueName index="107" name="[transacciones].[id_factura].&amp;[112]"/>
            <x15:cachedUniqueName index="108" name="[transacciones].[id_factura].&amp;[113]"/>
            <x15:cachedUniqueName index="109" name="[transacciones].[id_factura].&amp;[114]"/>
            <x15:cachedUniqueName index="110" name="[transacciones].[id_factura].&amp;[115]"/>
            <x15:cachedUniqueName index="111" name="[transacciones].[id_factura].&amp;[116]"/>
            <x15:cachedUniqueName index="112" name="[transacciones].[id_factura].&amp;[117]"/>
            <x15:cachedUniqueName index="113" name="[transacciones].[id_factura].&amp;[118]"/>
            <x15:cachedUniqueName index="114" name="[transacciones].[id_factura].&amp;[119]"/>
            <x15:cachedUniqueName index="115" name="[transacciones].[id_factura].&amp;[120]"/>
            <x15:cachedUniqueName index="116" name="[transacciones].[id_factura].&amp;[121]"/>
            <x15:cachedUniqueName index="117" name="[transacciones].[id_factura].&amp;[122]"/>
            <x15:cachedUniqueName index="118" name="[transacciones].[id_factura].&amp;[123]"/>
            <x15:cachedUniqueName index="119" name="[transacciones].[id_factura].&amp;[124]"/>
            <x15:cachedUniqueName index="120" name="[transacciones].[id_factura].&amp;[125]"/>
            <x15:cachedUniqueName index="121" name="[transacciones].[id_factura].&amp;[126]"/>
            <x15:cachedUniqueName index="122" name="[transacciones].[id_factura].&amp;[127]"/>
            <x15:cachedUniqueName index="123" name="[transacciones].[id_factura].&amp;[128]"/>
            <x15:cachedUniqueName index="124" name="[transacciones].[id_factura].&amp;[129]"/>
            <x15:cachedUniqueName index="125" name="[transacciones].[id_factura].&amp;[130]"/>
            <x15:cachedUniqueName index="126" name="[transacciones].[id_factura].&amp;[131]"/>
            <x15:cachedUniqueName index="127" name="[transacciones].[id_factura].&amp;[132]"/>
            <x15:cachedUniqueName index="128" name="[transacciones].[id_factura].&amp;[133]"/>
            <x15:cachedUniqueName index="129" name="[transacciones].[id_factura].&amp;[134]"/>
            <x15:cachedUniqueName index="130" name="[transacciones].[id_factura].&amp;[135]"/>
            <x15:cachedUniqueName index="131" name="[transacciones].[id_factura].&amp;[146]"/>
            <x15:cachedUniqueName index="132" name="[transacciones].[id_factura].&amp;[147]"/>
            <x15:cachedUniqueName index="133" name="[transacciones].[id_factura].&amp;[148]"/>
            <x15:cachedUniqueName index="134" name="[transacciones].[id_factura].&amp;[149]"/>
            <x15:cachedUniqueName index="135" name="[transacciones].[id_factura].&amp;[150]"/>
            <x15:cachedUniqueName index="136" name="[transacciones].[id_factura].&amp;[151]"/>
            <x15:cachedUniqueName index="137" name="[transacciones].[id_factura].&amp;[152]"/>
            <x15:cachedUniqueName index="138" name="[transacciones].[id_factura].&amp;[153]"/>
            <x15:cachedUniqueName index="139" name="[transacciones].[id_factura].&amp;[154]"/>
            <x15:cachedUniqueName index="140" name="[transacciones].[id_factura].&amp;[155]"/>
            <x15:cachedUniqueName index="141" name="[transacciones].[id_factura].&amp;[156]"/>
            <x15:cachedUniqueName index="142" name="[transacciones].[id_factura].&amp;[157]"/>
            <x15:cachedUniqueName index="143" name="[transacciones].[id_factura].&amp;[136]"/>
            <x15:cachedUniqueName index="144" name="[transacciones].[id_factura].&amp;[137]"/>
            <x15:cachedUniqueName index="145" name="[transacciones].[id_factura].&amp;[138]"/>
            <x15:cachedUniqueName index="146" name="[transacciones].[id_factura].&amp;[139]"/>
            <x15:cachedUniqueName index="147" name="[transacciones].[id_factura].&amp;[140]"/>
            <x15:cachedUniqueName index="148" name="[transacciones].[id_factura].&amp;[141]"/>
            <x15:cachedUniqueName index="149" name="[transacciones].[id_factura].&amp;[142]"/>
            <x15:cachedUniqueName index="150" name="[transacciones].[id_factura].&amp;[143]"/>
            <x15:cachedUniqueName index="151" name="[transacciones].[id_factura].&amp;[144]"/>
          </x15:cachedUniqueNames>
        </ext>
      </extLst>
    </cacheField>
  </cacheFields>
  <cacheHierarchies count="5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5"/>
      </fieldsUsage>
    </cacheHierarchy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6"/>
      </fieldsUsage>
    </cacheHierarchy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4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8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3"/>
      </fieldsUsage>
    </cacheHierarchy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7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ADMIN" refreshedDate="46090.454719791669" backgroundQuery="1" createdVersion="8" refreshedVersion="8" minRefreshableVersion="3" recordCount="0" supportSubquery="1" supportAdvancedDrill="1">
  <cacheSource type="external" connectionId="7"/>
  <cacheFields count="12">
    <cacheField name="[transacciones].[nombre_transaccion].[nombre_transaccion]" caption="nombre_transaccion" numFmtId="0" hierarchy="15" level="1">
      <sharedItems count="1">
        <s v="VENTA"/>
      </sharedItems>
    </cacheField>
    <cacheField name="[Measures].[Recuento de id_item]" caption="Recuento de id_item" numFmtId="0" hierarchy="49" level="32767"/>
    <cacheField name="[transacciones].[fecha].[fecha]" caption="fecha" numFmtId="0" hierarchy="19" level="1">
      <sharedItems containsSemiMixedTypes="0" containsNonDate="0" containsDate="1" containsString="0" minDate="2026-02-23T00:00:00" maxDate="2026-03-09T00:00:00" count="12"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7T00:00:00"/>
        <d v="2026-03-08T00:00:00"/>
      </sharedItems>
    </cacheField>
    <cacheField name="[productos].[nombre_producto].[nombre_producto]" caption="nombre_producto" numFmtId="0" hierarchy="11" level="1">
      <sharedItems count="23">
        <s v="Chorizo"/>
        <s v="Coca cola"/>
        <s v="Agua"/>
        <s v="Postobon"/>
        <s v="Chori- CRUDO"/>
        <s v="parri tres carnes"/>
        <s v="carne + chorizo"/>
        <s v="tinto"/>
        <s v="Hit"/>
        <s v="parri 48"/>
        <s v="parri 70"/>
        <s v="parri 40"/>
        <s v="Carne con chorizo -30"/>
        <s v="Hamb. CRUDA"/>
        <s v="Ham. combo"/>
        <s v="Ham. sencilla"/>
        <s v="VARIOS: Costillas BBQ"/>
        <s v="Propina - Gustavo"/>
        <s v="OTRO: promo vecino de jenesano"/>
        <s v="Parrilla de 60.000"/>
        <s v="Carne Asada de 40"/>
        <s v="Carne con chorizo - 35"/>
        <s v="OTROS: pedazo de carne"/>
      </sharedItems>
    </cacheField>
    <cacheField name="[items].[cantidad].[cantidad]" caption="cantidad" numFmtId="0" hierarchy="1" level="1">
      <sharedItems containsSemiMixedTypes="0" containsString="0" containsNumber="1" containsInteger="1" minValue="1" maxValue="6" count="6">
        <n v="2"/>
        <n v="1"/>
        <n v="3"/>
        <n v="5"/>
        <n v="4"/>
        <n v="6"/>
      </sharedItems>
      <extLst>
        <ext xmlns:x15="http://schemas.microsoft.com/office/spreadsheetml/2010/11/main" uri="{4F2E5C28-24EA-4eb8-9CBF-B6C8F9C3D259}">
          <x15:cachedUniqueNames>
            <x15:cachedUniqueName index="0" name="[items].[cantidad].&amp;[2]"/>
            <x15:cachedUniqueName index="1" name="[items].[cantidad].&amp;[1]"/>
            <x15:cachedUniqueName index="2" name="[items].[cantidad].&amp;[3]"/>
            <x15:cachedUniqueName index="3" name="[items].[cantidad].&amp;[5]"/>
            <x15:cachedUniqueName index="4" name="[items].[cantidad].&amp;[4]"/>
            <x15:cachedUniqueName index="5" name="[items].[cantidad].&amp;[6]"/>
          </x15:cachedUniqueNames>
        </ext>
      </extLst>
    </cacheField>
    <cacheField name="[items].[precio_producto].[precio_producto]" caption="precio_producto" numFmtId="0" hierarchy="5" level="1">
      <sharedItems containsSemiMixedTypes="0" containsString="0" containsNumber="1" containsInteger="1" minValue="2000" maxValue="70000" count="16">
        <n v="8000"/>
        <n v="3000"/>
        <n v="4500"/>
        <n v="35000"/>
        <n v="25000"/>
        <n v="2000"/>
        <n v="48000"/>
        <n v="70000"/>
        <n v="40000"/>
        <n v="30000"/>
        <n v="5000"/>
        <n v="22000"/>
        <n v="17000"/>
        <n v="50000"/>
        <n v="15000"/>
        <n v="60000"/>
      </sharedItems>
    </cacheField>
    <cacheField name="[transacciones].[id_factura].[id_factura]" caption="id_factura" numFmtId="0" hierarchy="17" level="1">
      <sharedItems containsSemiMixedTypes="0" containsString="0" containsNumber="1" containsInteger="1" minValue="2" maxValue="157" count="152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4"/>
        <n v="35"/>
        <n v="36"/>
        <n v="37"/>
        <n v="38"/>
        <n v="39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46"/>
        <n v="147"/>
        <n v="148"/>
        <n v="149"/>
        <n v="150"/>
        <n v="151"/>
        <n v="152"/>
        <n v="153"/>
        <n v="154"/>
        <n v="155"/>
        <n v="156"/>
        <n v="157"/>
        <n v="136"/>
        <n v="137"/>
        <n v="138"/>
        <n v="139"/>
        <n v="140"/>
        <n v="141"/>
        <n v="142"/>
        <n v="143"/>
        <n v="144"/>
      </sharedItems>
      <extLst>
        <ext xmlns:x15="http://schemas.microsoft.com/office/spreadsheetml/2010/11/main" uri="{4F2E5C28-24EA-4eb8-9CBF-B6C8F9C3D259}">
          <x15:cachedUniqueNames>
            <x15:cachedUniqueName index="0" name="[transacciones].[id_factura].&amp;[2]"/>
            <x15:cachedUniqueName index="1" name="[transacciones].[id_factura].&amp;[3]"/>
            <x15:cachedUniqueName index="2" name="[transacciones].[id_factura].&amp;[4]"/>
            <x15:cachedUniqueName index="3" name="[transacciones].[id_factura].&amp;[5]"/>
            <x15:cachedUniqueName index="4" name="[transacciones].[id_factura].&amp;[6]"/>
            <x15:cachedUniqueName index="5" name="[transacciones].[id_factura].&amp;[7]"/>
            <x15:cachedUniqueName index="6" name="[transacciones].[id_factura].&amp;[8]"/>
            <x15:cachedUniqueName index="7" name="[transacciones].[id_factura].&amp;[9]"/>
            <x15:cachedUniqueName index="8" name="[transacciones].[id_factura].&amp;[10]"/>
            <x15:cachedUniqueName index="9" name="[transacciones].[id_factura].&amp;[11]"/>
            <x15:cachedUniqueName index="10" name="[transacciones].[id_factura].&amp;[12]"/>
            <x15:cachedUniqueName index="11" name="[transacciones].[id_factura].&amp;[13]"/>
            <x15:cachedUniqueName index="12" name="[transacciones].[id_factura].&amp;[14]"/>
            <x15:cachedUniqueName index="13" name="[transacciones].[id_factura].&amp;[15]"/>
            <x15:cachedUniqueName index="14" name="[transacciones].[id_factura].&amp;[16]"/>
            <x15:cachedUniqueName index="15" name="[transacciones].[id_factura].&amp;[17]"/>
            <x15:cachedUniqueName index="16" name="[transacciones].[id_factura].&amp;[18]"/>
            <x15:cachedUniqueName index="17" name="[transacciones].[id_factura].&amp;[19]"/>
            <x15:cachedUniqueName index="18" name="[transacciones].[id_factura].&amp;[20]"/>
            <x15:cachedUniqueName index="19" name="[transacciones].[id_factura].&amp;[21]"/>
            <x15:cachedUniqueName index="20" name="[transacciones].[id_factura].&amp;[22]"/>
            <x15:cachedUniqueName index="21" name="[transacciones].[id_factura].&amp;[23]"/>
            <x15:cachedUniqueName index="22" name="[transacciones].[id_factura].&amp;[24]"/>
            <x15:cachedUniqueName index="23" name="[transacciones].[id_factura].&amp;[25]"/>
            <x15:cachedUniqueName index="24" name="[transacciones].[id_factura].&amp;[26]"/>
            <x15:cachedUniqueName index="25" name="[transacciones].[id_factura].&amp;[27]"/>
            <x15:cachedUniqueName index="26" name="[transacciones].[id_factura].&amp;[28]"/>
            <x15:cachedUniqueName index="27" name="[transacciones].[id_factura].&amp;[29]"/>
            <x15:cachedUniqueName index="28" name="[transacciones].[id_factura].&amp;[30]"/>
            <x15:cachedUniqueName index="29" name="[transacciones].[id_factura].&amp;[31]"/>
            <x15:cachedUniqueName index="30" name="[transacciones].[id_factura].&amp;[32]"/>
            <x15:cachedUniqueName index="31" name="[transacciones].[id_factura].&amp;[34]"/>
            <x15:cachedUniqueName index="32" name="[transacciones].[id_factura].&amp;[35]"/>
            <x15:cachedUniqueName index="33" name="[transacciones].[id_factura].&amp;[36]"/>
            <x15:cachedUniqueName index="34" name="[transacciones].[id_factura].&amp;[37]"/>
            <x15:cachedUniqueName index="35" name="[transacciones].[id_factura].&amp;[38]"/>
            <x15:cachedUniqueName index="36" name="[transacciones].[id_factura].&amp;[39]"/>
            <x15:cachedUniqueName index="37" name="[transacciones].[id_factura].&amp;[41]"/>
            <x15:cachedUniqueName index="38" name="[transacciones].[id_factura].&amp;[42]"/>
            <x15:cachedUniqueName index="39" name="[transacciones].[id_factura].&amp;[43]"/>
            <x15:cachedUniqueName index="40" name="[transacciones].[id_factura].&amp;[44]"/>
            <x15:cachedUniqueName index="41" name="[transacciones].[id_factura].&amp;[45]"/>
            <x15:cachedUniqueName index="42" name="[transacciones].[id_factura].&amp;[46]"/>
            <x15:cachedUniqueName index="43" name="[transacciones].[id_factura].&amp;[47]"/>
            <x15:cachedUniqueName index="44" name="[transacciones].[id_factura].&amp;[48]"/>
            <x15:cachedUniqueName index="45" name="[transacciones].[id_factura].&amp;[49]"/>
            <x15:cachedUniqueName index="46" name="[transacciones].[id_factura].&amp;[50]"/>
            <x15:cachedUniqueName index="47" name="[transacciones].[id_factura].&amp;[51]"/>
            <x15:cachedUniqueName index="48" name="[transacciones].[id_factura].&amp;[52]"/>
            <x15:cachedUniqueName index="49" name="[transacciones].[id_factura].&amp;[53]"/>
            <x15:cachedUniqueName index="50" name="[transacciones].[id_factura].&amp;[54]"/>
            <x15:cachedUniqueName index="51" name="[transacciones].[id_factura].&amp;[55]"/>
            <x15:cachedUniqueName index="52" name="[transacciones].[id_factura].&amp;[56]"/>
            <x15:cachedUniqueName index="53" name="[transacciones].[id_factura].&amp;[57]"/>
            <x15:cachedUniqueName index="54" name="[transacciones].[id_factura].&amp;[58]"/>
            <x15:cachedUniqueName index="55" name="[transacciones].[id_factura].&amp;[59]"/>
            <x15:cachedUniqueName index="56" name="[transacciones].[id_factura].&amp;[60]"/>
            <x15:cachedUniqueName index="57" name="[transacciones].[id_factura].&amp;[61]"/>
            <x15:cachedUniqueName index="58" name="[transacciones].[id_factura].&amp;[62]"/>
            <x15:cachedUniqueName index="59" name="[transacciones].[id_factura].&amp;[63]"/>
            <x15:cachedUniqueName index="60" name="[transacciones].[id_factura].&amp;[64]"/>
            <x15:cachedUniqueName index="61" name="[transacciones].[id_factura].&amp;[65]"/>
            <x15:cachedUniqueName index="62" name="[transacciones].[id_factura].&amp;[66]"/>
            <x15:cachedUniqueName index="63" name="[transacciones].[id_factura].&amp;[67]"/>
            <x15:cachedUniqueName index="64" name="[transacciones].[id_factura].&amp;[68]"/>
            <x15:cachedUniqueName index="65" name="[transacciones].[id_factura].&amp;[69]"/>
            <x15:cachedUniqueName index="66" name="[transacciones].[id_factura].&amp;[70]"/>
            <x15:cachedUniqueName index="67" name="[transacciones].[id_factura].&amp;[71]"/>
            <x15:cachedUniqueName index="68" name="[transacciones].[id_factura].&amp;[72]"/>
            <x15:cachedUniqueName index="69" name="[transacciones].[id_factura].&amp;[73]"/>
            <x15:cachedUniqueName index="70" name="[transacciones].[id_factura].&amp;[74]"/>
            <x15:cachedUniqueName index="71" name="[transacciones].[id_factura].&amp;[75]"/>
            <x15:cachedUniqueName index="72" name="[transacciones].[id_factura].&amp;[76]"/>
            <x15:cachedUniqueName index="73" name="[transacciones].[id_factura].&amp;[77]"/>
            <x15:cachedUniqueName index="74" name="[transacciones].[id_factura].&amp;[78]"/>
            <x15:cachedUniqueName index="75" name="[transacciones].[id_factura].&amp;[79]"/>
            <x15:cachedUniqueName index="76" name="[transacciones].[id_factura].&amp;[80]"/>
            <x15:cachedUniqueName index="77" name="[transacciones].[id_factura].&amp;[81]"/>
            <x15:cachedUniqueName index="78" name="[transacciones].[id_factura].&amp;[82]"/>
            <x15:cachedUniqueName index="79" name="[transacciones].[id_factura].&amp;[83]"/>
            <x15:cachedUniqueName index="80" name="[transacciones].[id_factura].&amp;[84]"/>
            <x15:cachedUniqueName index="81" name="[transacciones].[id_factura].&amp;[85]"/>
            <x15:cachedUniqueName index="82" name="[transacciones].[id_factura].&amp;[86]"/>
            <x15:cachedUniqueName index="83" name="[transacciones].[id_factura].&amp;[87]"/>
            <x15:cachedUniqueName index="84" name="[transacciones].[id_factura].&amp;[88]"/>
            <x15:cachedUniqueName index="85" name="[transacciones].[id_factura].&amp;[89]"/>
            <x15:cachedUniqueName index="86" name="[transacciones].[id_factura].&amp;[90]"/>
            <x15:cachedUniqueName index="87" name="[transacciones].[id_factura].&amp;[91]"/>
            <x15:cachedUniqueName index="88" name="[transacciones].[id_factura].&amp;[92]"/>
            <x15:cachedUniqueName index="89" name="[transacciones].[id_factura].&amp;[93]"/>
            <x15:cachedUniqueName index="90" name="[transacciones].[id_factura].&amp;[95]"/>
            <x15:cachedUniqueName index="91" name="[transacciones].[id_factura].&amp;[96]"/>
            <x15:cachedUniqueName index="92" name="[transacciones].[id_factura].&amp;[97]"/>
            <x15:cachedUniqueName index="93" name="[transacciones].[id_factura].&amp;[98]"/>
            <x15:cachedUniqueName index="94" name="[transacciones].[id_factura].&amp;[99]"/>
            <x15:cachedUniqueName index="95" name="[transacciones].[id_factura].&amp;[100]"/>
            <x15:cachedUniqueName index="96" name="[transacciones].[id_factura].&amp;[101]"/>
            <x15:cachedUniqueName index="97" name="[transacciones].[id_factura].&amp;[102]"/>
            <x15:cachedUniqueName index="98" name="[transacciones].[id_factura].&amp;[103]"/>
            <x15:cachedUniqueName index="99" name="[transacciones].[id_factura].&amp;[104]"/>
            <x15:cachedUniqueName index="100" name="[transacciones].[id_factura].&amp;[105]"/>
            <x15:cachedUniqueName index="101" name="[transacciones].[id_factura].&amp;[106]"/>
            <x15:cachedUniqueName index="102" name="[transacciones].[id_factura].&amp;[107]"/>
            <x15:cachedUniqueName index="103" name="[transacciones].[id_factura].&amp;[108]"/>
            <x15:cachedUniqueName index="104" name="[transacciones].[id_factura].&amp;[109]"/>
            <x15:cachedUniqueName index="105" name="[transacciones].[id_factura].&amp;[110]"/>
            <x15:cachedUniqueName index="106" name="[transacciones].[id_factura].&amp;[111]"/>
            <x15:cachedUniqueName index="107" name="[transacciones].[id_factura].&amp;[112]"/>
            <x15:cachedUniqueName index="108" name="[transacciones].[id_factura].&amp;[113]"/>
            <x15:cachedUniqueName index="109" name="[transacciones].[id_factura].&amp;[114]"/>
            <x15:cachedUniqueName index="110" name="[transacciones].[id_factura].&amp;[115]"/>
            <x15:cachedUniqueName index="111" name="[transacciones].[id_factura].&amp;[116]"/>
            <x15:cachedUniqueName index="112" name="[transacciones].[id_factura].&amp;[117]"/>
            <x15:cachedUniqueName index="113" name="[transacciones].[id_factura].&amp;[118]"/>
            <x15:cachedUniqueName index="114" name="[transacciones].[id_factura].&amp;[119]"/>
            <x15:cachedUniqueName index="115" name="[transacciones].[id_factura].&amp;[120]"/>
            <x15:cachedUniqueName index="116" name="[transacciones].[id_factura].&amp;[121]"/>
            <x15:cachedUniqueName index="117" name="[transacciones].[id_factura].&amp;[122]"/>
            <x15:cachedUniqueName index="118" name="[transacciones].[id_factura].&amp;[123]"/>
            <x15:cachedUniqueName index="119" name="[transacciones].[id_factura].&amp;[124]"/>
            <x15:cachedUniqueName index="120" name="[transacciones].[id_factura].&amp;[125]"/>
            <x15:cachedUniqueName index="121" name="[transacciones].[id_factura].&amp;[126]"/>
            <x15:cachedUniqueName index="122" name="[transacciones].[id_factura].&amp;[127]"/>
            <x15:cachedUniqueName index="123" name="[transacciones].[id_factura].&amp;[128]"/>
            <x15:cachedUniqueName index="124" name="[transacciones].[id_factura].&amp;[129]"/>
            <x15:cachedUniqueName index="125" name="[transacciones].[id_factura].&amp;[130]"/>
            <x15:cachedUniqueName index="126" name="[transacciones].[id_factura].&amp;[131]"/>
            <x15:cachedUniqueName index="127" name="[transacciones].[id_factura].&amp;[132]"/>
            <x15:cachedUniqueName index="128" name="[transacciones].[id_factura].&amp;[133]"/>
            <x15:cachedUniqueName index="129" name="[transacciones].[id_factura].&amp;[134]"/>
            <x15:cachedUniqueName index="130" name="[transacciones].[id_factura].&amp;[135]"/>
            <x15:cachedUniqueName index="131" name="[transacciones].[id_factura].&amp;[146]"/>
            <x15:cachedUniqueName index="132" name="[transacciones].[id_factura].&amp;[147]"/>
            <x15:cachedUniqueName index="133" name="[transacciones].[id_factura].&amp;[148]"/>
            <x15:cachedUniqueName index="134" name="[transacciones].[id_factura].&amp;[149]"/>
            <x15:cachedUniqueName index="135" name="[transacciones].[id_factura].&amp;[150]"/>
            <x15:cachedUniqueName index="136" name="[transacciones].[id_factura].&amp;[151]"/>
            <x15:cachedUniqueName index="137" name="[transacciones].[id_factura].&amp;[152]"/>
            <x15:cachedUniqueName index="138" name="[transacciones].[id_factura].&amp;[153]"/>
            <x15:cachedUniqueName index="139" name="[transacciones].[id_factura].&amp;[154]"/>
            <x15:cachedUniqueName index="140" name="[transacciones].[id_factura].&amp;[155]"/>
            <x15:cachedUniqueName index="141" name="[transacciones].[id_factura].&amp;[156]"/>
            <x15:cachedUniqueName index="142" name="[transacciones].[id_factura].&amp;[157]"/>
            <x15:cachedUniqueName index="143" name="[transacciones].[id_factura].&amp;[136]"/>
            <x15:cachedUniqueName index="144" name="[transacciones].[id_factura].&amp;[137]"/>
            <x15:cachedUniqueName index="145" name="[transacciones].[id_factura].&amp;[138]"/>
            <x15:cachedUniqueName index="146" name="[transacciones].[id_factura].&amp;[139]"/>
            <x15:cachedUniqueName index="147" name="[transacciones].[id_factura].&amp;[140]"/>
            <x15:cachedUniqueName index="148" name="[transacciones].[id_factura].&amp;[141]"/>
            <x15:cachedUniqueName index="149" name="[transacciones].[id_factura].&amp;[142]"/>
            <x15:cachedUniqueName index="150" name="[transacciones].[id_factura].&amp;[143]"/>
            <x15:cachedUniqueName index="151" name="[transacciones].[id_factura].&amp;[144]"/>
          </x15:cachedUniqueNames>
        </ext>
      </extLst>
    </cacheField>
    <cacheField name="[Measures].[Suma de valor_total]" caption="Suma de valor_total" numFmtId="0" hierarchy="50" level="32767"/>
    <cacheField name="[items].[transacciones.tipo_cuenta].[transacciones.tipo_cuenta]" caption="transacciones.tipo_cuenta" numFmtId="0" hierarchy="7" level="1">
      <sharedItems count="3">
        <s v="EFECTIVO"/>
        <s v="NEQUI"/>
        <s v="DaviPlata"/>
      </sharedItems>
    </cacheField>
    <cacheField name="[Measures].[Suma de caja]" caption="Suma de caja" numFmtId="0" hierarchy="52" level="32767"/>
    <cacheField name="[Measures].[Suma de bancos]" caption="Suma de bancos" numFmtId="0" hierarchy="53" level="32767"/>
    <cacheField name="[transacciones].[hora].[hora]" caption="hora" numFmtId="0" hierarchy="20" level="1">
      <sharedItems containsSemiMixedTypes="0" containsNonDate="0" containsDate="1" containsString="0" minDate="1899-12-30T11:48:06" maxDate="1899-12-30T23:12:12" count="152">
        <d v="1899-12-30T16:36:36"/>
        <d v="1899-12-30T17:01:56"/>
        <d v="1899-12-30T17:13:01"/>
        <d v="1899-12-30T17:17:29"/>
        <d v="1899-12-30T18:00:25"/>
        <d v="1899-12-30T18:02:50"/>
        <d v="1899-12-30T18:53:36"/>
        <d v="1899-12-30T19:05:29"/>
        <d v="1899-12-30T19:38:20"/>
        <d v="1899-12-30T20:11:58"/>
        <d v="1899-12-30T20:15:09"/>
        <d v="1899-12-30T20:17:45"/>
        <d v="1899-12-30T20:24:21"/>
        <d v="1899-12-30T20:27:49"/>
        <d v="1899-12-30T15:34:06"/>
        <d v="1899-12-30T15:35:04"/>
        <d v="1899-12-30T17:45:39"/>
        <d v="1899-12-30T18:13:50"/>
        <d v="1899-12-30T18:34:49"/>
        <d v="1899-12-30T18:36:16"/>
        <d v="1899-12-30T18:42:31"/>
        <d v="1899-12-30T19:07:54"/>
        <d v="1899-12-30T20:01:31"/>
        <d v="1899-12-30T20:05:06"/>
        <d v="1899-12-30T20:19:42"/>
        <d v="1899-12-30T20:23:49"/>
        <d v="1899-12-30T20:49:21"/>
        <d v="1899-12-30T13:52:23"/>
        <d v="1899-12-30T13:55:04"/>
        <d v="1899-12-30T14:05:11"/>
        <d v="1899-12-30T14:11:36"/>
        <d v="1899-12-30T14:24:55"/>
        <d v="1899-12-30T14:25:49"/>
        <d v="1899-12-30T16:40:06"/>
        <d v="1899-12-30T16:41:14"/>
        <d v="1899-12-30T18:17:29"/>
        <d v="1899-12-30T18:20:12"/>
        <d v="1899-12-30T18:26:28"/>
        <d v="1899-12-30T18:34:12"/>
        <d v="1899-12-30T18:34:55"/>
        <d v="1899-12-30T18:39:59"/>
        <d v="1899-12-30T19:10:35"/>
        <d v="1899-12-30T19:12:43"/>
        <d v="1899-12-30T19:21:54"/>
        <d v="1899-12-30T19:39:17"/>
        <d v="1899-12-30T19:40:30"/>
        <d v="1899-12-30T19:58:51"/>
        <d v="1899-12-30T20:06:51"/>
        <d v="1899-12-30T20:12:01"/>
        <d v="1899-12-30T20:21:11"/>
        <d v="1899-12-30T13:22:07"/>
        <d v="1899-12-30T13:27:22"/>
        <d v="1899-12-30T15:13:07"/>
        <d v="1899-12-30T17:27:41"/>
        <d v="1899-12-30T18:04:10"/>
        <d v="1899-12-30T18:18:48"/>
        <d v="1899-12-30T18:20:14"/>
        <d v="1899-12-30T18:33:59"/>
        <d v="1899-12-30T19:04:18"/>
        <d v="1899-12-30T19:29:53"/>
        <d v="1899-12-30T19:31:31"/>
        <d v="1899-12-30T19:33:12"/>
        <d v="1899-12-30T20:15:00"/>
        <d v="1899-12-30T20:15:17"/>
        <d v="1899-12-30T20:15:31"/>
        <d v="1899-12-30T15:07:27"/>
        <d v="1899-12-30T15:09:00"/>
        <d v="1899-12-30T17:10:45"/>
        <d v="1899-12-30T17:24:37"/>
        <d v="1899-12-30T17:48:52"/>
        <d v="1899-12-30T18:16:26"/>
        <d v="1899-12-30T19:46:35"/>
        <d v="1899-12-30T20:04:22"/>
        <d v="1899-12-30T20:05:35"/>
        <d v="1899-12-30T20:08:12"/>
        <d v="1899-12-30T18:57:18"/>
        <d v="1899-12-30T18:57:56"/>
        <d v="1899-12-30T18:58:59"/>
        <d v="1899-12-30T19:01:04"/>
        <d v="1899-12-30T19:02:13"/>
        <d v="1899-12-30T19:03:10"/>
        <d v="1899-12-30T19:03:58"/>
        <d v="1899-12-30T19:04:18"/>
        <d v="1899-12-30T19:04:56"/>
        <d v="1899-12-30T19:05:31"/>
        <d v="1899-12-30T19:05:51"/>
        <d v="1899-12-30T19:07:57"/>
        <d v="1899-12-30T19:08:25"/>
        <d v="1899-12-30T19:08:38"/>
        <d v="1899-12-30T19:10:36"/>
        <d v="1899-12-30T12:16:03"/>
        <d v="1899-12-30T17:17:15"/>
        <d v="1899-12-30T17:39:46"/>
        <d v="1899-12-30T19:48:36"/>
        <d v="1899-12-30T11:48:06"/>
        <d v="1899-12-30T13:14:39"/>
        <d v="1899-12-30T14:50:55"/>
        <d v="1899-12-30T15:58:52"/>
        <d v="1899-12-30T16:00:49"/>
        <d v="1899-12-30T16:58:19"/>
        <d v="1899-12-30T17:29:55"/>
        <d v="1899-12-30T17:47:27"/>
        <d v="1899-12-30T18:06:46"/>
        <d v="1899-12-30T18:18:30"/>
        <d v="1899-12-30T18:21:52"/>
        <d v="1899-12-30T18:30:41"/>
        <d v="1899-12-30T20:27:35"/>
        <d v="1899-12-30T15:08:13"/>
        <d v="1899-12-30T15:12:26"/>
        <d v="1899-12-30T15:59:36"/>
        <d v="1899-12-30T16:34:36"/>
        <d v="1899-12-30T16:34:52"/>
        <d v="1899-12-30T16:36:43"/>
        <d v="1899-12-30T16:50:46"/>
        <d v="1899-12-30T18:47:50"/>
        <d v="1899-12-30T19:18:38"/>
        <d v="1899-12-30T19:27:30"/>
        <d v="1899-12-30T19:57:06"/>
        <d v="1899-12-30T14:02:14"/>
        <d v="1899-12-30T15:03:23"/>
        <d v="1899-12-30T15:20:11"/>
        <d v="1899-12-30T15:34:35"/>
        <d v="1899-12-30T15:48:19"/>
        <d v="1899-12-30T17:12:09"/>
        <d v="1899-12-30T17:17:32"/>
        <d v="1899-12-30T17:44:16"/>
        <d v="1899-12-30T18:06:39"/>
        <d v="1899-12-30T18:31:37"/>
        <d v="1899-12-30T18:50:08"/>
        <d v="1899-12-30T19:15:22"/>
        <d v="1899-12-30T20:14:11"/>
        <d v="1899-12-30T22:58:59"/>
        <d v="1899-12-30T22:59:12"/>
        <d v="1899-12-30T22:59:59"/>
        <d v="1899-12-30T23:00:51"/>
        <d v="1899-12-30T23:01:11"/>
        <d v="1899-12-30T23:03:01"/>
        <d v="1899-12-30T23:04:26"/>
        <d v="1899-12-30T23:06:59"/>
        <d v="1899-12-30T23:09:20"/>
        <d v="1899-12-30T23:09:45"/>
        <d v="1899-12-30T23:11:40"/>
        <d v="1899-12-30T23:12:12"/>
        <d v="1899-12-30T14:10:32"/>
        <d v="1899-12-30T14:10:53"/>
        <d v="1899-12-30T14:20:34"/>
        <d v="1899-12-30T14:54:33"/>
        <d v="1899-12-30T15:07:20"/>
        <d v="1899-12-30T15:08:20"/>
        <d v="1899-12-30T17:22:10"/>
        <d v="1899-12-30T17:27:24"/>
        <d v="1899-12-30T18:03:06"/>
      </sharedItems>
      <extLst>
        <ext xmlns:x15="http://schemas.microsoft.com/office/spreadsheetml/2010/11/main" uri="{4F2E5C28-24EA-4eb8-9CBF-B6C8F9C3D259}">
          <x15:cachedUniqueNames>
            <x15:cachedUniqueName index="0" name="[transacciones].[hora].&amp;[1899-12-30T16:36:35.866667]"/>
            <x15:cachedUniqueName index="1" name="[transacciones].[hora].&amp;[1899-12-30T17:01:55.816667]"/>
            <x15:cachedUniqueName index="2" name="[transacciones].[hora].&amp;[1899-12-30T17:13:00.56]"/>
            <x15:cachedUniqueName index="3" name="[transacciones].[hora].&amp;[1899-12-30T17:17:29.47]"/>
            <x15:cachedUniqueName index="4" name="[transacciones].[hora].&amp;[1899-12-30T18:00:25.3]"/>
            <x15:cachedUniqueName index="5" name="[transacciones].[hora].&amp;[1899-12-30T18:02:50.156667]"/>
            <x15:cachedUniqueName index="6" name="[transacciones].[hora].&amp;[1899-12-30T18:53:36.25]"/>
            <x15:cachedUniqueName index="7" name="[transacciones].[hora].&amp;[1899-12-30T19:05:29.056667]"/>
            <x15:cachedUniqueName index="8" name="[transacciones].[hora].&amp;[1899-12-30T19:38:19.863333]"/>
            <x15:cachedUniqueName index="9" name="[transacciones].[hora].&amp;[1899-12-30T20:11:57.673333]"/>
            <x15:cachedUniqueName index="10" name="[transacciones].[hora].&amp;[1899-12-30T20:15:09.25]"/>
            <x15:cachedUniqueName index="11" name="[transacciones].[hora].&amp;[1899-12-30T20:17:44.503333]"/>
            <x15:cachedUniqueName index="12" name="[transacciones].[hora].&amp;[1899-12-30T20:24:20.71]"/>
            <x15:cachedUniqueName index="13" name="[transacciones].[hora].&amp;[1899-12-30T20:27:48.963333]"/>
            <x15:cachedUniqueName index="14" name="[transacciones].[hora].&amp;[1899-12-30T15:34:06.146667]"/>
            <x15:cachedUniqueName index="15" name="[transacciones].[hora].&amp;[1899-12-30T15:35:03.62]"/>
            <x15:cachedUniqueName index="16" name="[transacciones].[hora].&amp;[1899-12-30T17:45:39.456667]"/>
            <x15:cachedUniqueName index="17" name="[transacciones].[hora].&amp;[1899-12-30T18:13:50.206667]"/>
            <x15:cachedUniqueName index="18" name="[transacciones].[hora].&amp;[1899-12-30T18:34:48.72]"/>
            <x15:cachedUniqueName index="19" name="[transacciones].[hora].&amp;[1899-12-30T18:36:15.693333]"/>
            <x15:cachedUniqueName index="20" name="[transacciones].[hora].&amp;[1899-12-30T18:42:30.96]"/>
            <x15:cachedUniqueName index="21" name="[transacciones].[hora].&amp;[1899-12-30T19:07:53.706667]"/>
            <x15:cachedUniqueName index="22" name="[transacciones].[hora].&amp;[1899-12-30T20:01:30.643333]"/>
            <x15:cachedUniqueName index="23" name="[transacciones].[hora].&amp;[1899-12-30T20:05:05.64]"/>
            <x15:cachedUniqueName index="24" name="[transacciones].[hora].&amp;[1899-12-30T20:19:41.79]"/>
            <x15:cachedUniqueName index="25" name="[transacciones].[hora].&amp;[1899-12-30T20:23:48.643333]"/>
            <x15:cachedUniqueName index="26" name="[transacciones].[hora].&amp;[1899-12-30T20:49:21.27]"/>
            <x15:cachedUniqueName index="27" name="[transacciones].[hora].&amp;[1899-12-30T13:52:22.706667]"/>
            <x15:cachedUniqueName index="28" name="[transacciones].[hora].&amp;[1899-12-30T13:55:03.656667]"/>
            <x15:cachedUniqueName index="29" name="[transacciones].[hora].&amp;[1899-12-30T14:05:11.346667]"/>
            <x15:cachedUniqueName index="30" name="[transacciones].[hora].&amp;[1899-12-30T14:11:36.293333]"/>
            <x15:cachedUniqueName index="31" name="[transacciones].[hora].&amp;[1899-12-30T14:24:54.563333]"/>
            <x15:cachedUniqueName index="32" name="[transacciones].[hora].&amp;[1899-12-30T14:25:49.376667]"/>
            <x15:cachedUniqueName index="33" name="[transacciones].[hora].&amp;[1899-12-30T16:40:06.296667]"/>
            <x15:cachedUniqueName index="34" name="[transacciones].[hora].&amp;[1899-12-30T16:41:14.16]"/>
            <x15:cachedUniqueName index="35" name="[transacciones].[hora].&amp;[1899-12-30T18:17:29.126667]"/>
            <x15:cachedUniqueName index="36" name="[transacciones].[hora].&amp;[1899-12-30T18:20:11.623333]"/>
            <x15:cachedUniqueName index="37" name="[transacciones].[hora].&amp;[1899-12-30T18:26:27.92]"/>
            <x15:cachedUniqueName index="38" name="[transacciones].[hora].&amp;[1899-12-30T18:34:11.786667]"/>
            <x15:cachedUniqueName index="39" name="[transacciones].[hora].&amp;[1899-12-30T18:34:55.243333]"/>
            <x15:cachedUniqueName index="40" name="[transacciones].[hora].&amp;[1899-12-30T18:39:59.116667]"/>
            <x15:cachedUniqueName index="41" name="[transacciones].[hora].&amp;[1899-12-30T19:10:34.886667]"/>
            <x15:cachedUniqueName index="42" name="[transacciones].[hora].&amp;[1899-12-30T19:12:42.98]"/>
            <x15:cachedUniqueName index="43" name="[transacciones].[hora].&amp;[1899-12-30T19:21:53.8]"/>
            <x15:cachedUniqueName index="44" name="[transacciones].[hora].&amp;[1899-12-30T19:39:17.01]"/>
            <x15:cachedUniqueName index="45" name="[transacciones].[hora].&amp;[1899-12-30T19:40:29.633333]"/>
            <x15:cachedUniqueName index="46" name="[transacciones].[hora].&amp;[1899-12-30T19:58:50.843333]"/>
            <x15:cachedUniqueName index="47" name="[transacciones].[hora].&amp;[1899-12-30T20:06:51.046667]"/>
            <x15:cachedUniqueName index="48" name="[transacciones].[hora].&amp;[1899-12-30T20:12:00.843333]"/>
            <x15:cachedUniqueName index="49" name="[transacciones].[hora].&amp;[1899-12-30T20:21:11.203333]"/>
            <x15:cachedUniqueName index="50" name="[transacciones].[hora].&amp;[1899-12-30T13:22:07.446667]"/>
            <x15:cachedUniqueName index="51" name="[transacciones].[hora].&amp;[1899-12-30T13:27:21.903333]"/>
            <x15:cachedUniqueName index="52" name="[transacciones].[hora].&amp;[1899-12-30T15:13:06.77]"/>
            <x15:cachedUniqueName index="53" name="[transacciones].[hora].&amp;[1899-12-30T17:27:40.78]"/>
            <x15:cachedUniqueName index="54" name="[transacciones].[hora].&amp;[1899-12-30T18:04:10.47]"/>
            <x15:cachedUniqueName index="55" name="[transacciones].[hora].&amp;[1899-12-30T18:18:47.97]"/>
            <x15:cachedUniqueName index="56" name="[transacciones].[hora].&amp;[1899-12-30T18:20:13.746667]"/>
            <x15:cachedUniqueName index="57" name="[transacciones].[hora].&amp;[1899-12-30T18:33:58.626667]"/>
            <x15:cachedUniqueName index="58" name="[transacciones].[hora].&amp;[1899-12-30T19:04:18.39]"/>
            <x15:cachedUniqueName index="59" name="[transacciones].[hora].&amp;[1899-12-30T19:29:52.633333]"/>
            <x15:cachedUniqueName index="60" name="[transacciones].[hora].&amp;[1899-12-30T19:31:30.646667]"/>
            <x15:cachedUniqueName index="61" name="[transacciones].[hora].&amp;[1899-12-30T19:33:11.836667]"/>
            <x15:cachedUniqueName index="62" name="[transacciones].[hora].&amp;[1899-12-30T20:14:59.84]"/>
            <x15:cachedUniqueName index="63" name="[transacciones].[hora].&amp;[1899-12-30T20:15:17.336667]"/>
            <x15:cachedUniqueName index="64" name="[transacciones].[hora].&amp;[1899-12-30T20:15:31.096667]"/>
            <x15:cachedUniqueName index="65" name="[transacciones].[hora].&amp;[1899-12-30T15:07:26.95]"/>
            <x15:cachedUniqueName index="66" name="[transacciones].[hora].&amp;[1899-12-30T15:08:59.923333]"/>
            <x15:cachedUniqueName index="67" name="[transacciones].[hora].&amp;[1899-12-30T17:10:44.966667]"/>
            <x15:cachedUniqueName index="68" name="[transacciones].[hora].&amp;[1899-12-30T17:24:37.173333]"/>
            <x15:cachedUniqueName index="69" name="[transacciones].[hora].&amp;[1899-12-30T17:48:51.64]"/>
            <x15:cachedUniqueName index="70" name="[transacciones].[hora].&amp;[1899-12-30T18:16:26.25]"/>
            <x15:cachedUniqueName index="71" name="[transacciones].[hora].&amp;[1899-12-30T19:46:35.44]"/>
            <x15:cachedUniqueName index="72" name="[transacciones].[hora].&amp;[1899-12-30T20:04:22.24]"/>
            <x15:cachedUniqueName index="73" name="[transacciones].[hora].&amp;[1899-12-30T20:05:35.29]"/>
            <x15:cachedUniqueName index="74" name="[transacciones].[hora].&amp;[1899-12-30T20:08:11.523333]"/>
            <x15:cachedUniqueName index="75" name="[transacciones].[hora].&amp;[1899-12-30T18:57:18.233333]"/>
            <x15:cachedUniqueName index="76" name="[transacciones].[hora].&amp;[1899-12-30T18:57:55.983333]"/>
            <x15:cachedUniqueName index="77" name="[transacciones].[hora].&amp;[1899-12-30T18:58:58.8]"/>
            <x15:cachedUniqueName index="78" name="[transacciones].[hora].&amp;[1899-12-30T19:01:04.256667]"/>
            <x15:cachedUniqueName index="79" name="[transacciones].[hora].&amp;[1899-12-30T19:02:13.486667]"/>
            <x15:cachedUniqueName index="80" name="[transacciones].[hora].&amp;[1899-12-30T19:03:10.083333]"/>
            <x15:cachedUniqueName index="81" name="[transacciones].[hora].&amp;[1899-12-30T19:03:57.723333]"/>
            <x15:cachedUniqueName index="82" name="[transacciones].[hora].&amp;[1899-12-30T19:04:18.356667]"/>
            <x15:cachedUniqueName index="83" name="[transacciones].[hora].&amp;[1899-12-30T19:04:56.256667]"/>
            <x15:cachedUniqueName index="84" name="[transacciones].[hora].&amp;[1899-12-30T19:05:31.006667]"/>
            <x15:cachedUniqueName index="85" name="[transacciones].[hora].&amp;[1899-12-30T19:05:51.39]"/>
            <x15:cachedUniqueName index="86" name="[transacciones].[hora].&amp;[1899-12-30T19:07:57.083333]"/>
            <x15:cachedUniqueName index="87" name="[transacciones].[hora].&amp;[1899-12-30T19:08:25.05]"/>
            <x15:cachedUniqueName index="88" name="[transacciones].[hora].&amp;[1899-12-30T19:08:37.606667]"/>
            <x15:cachedUniqueName index="89" name="[transacciones].[hora].&amp;[1899-12-30T19:10:35.983333]"/>
            <x15:cachedUniqueName index="90" name="[transacciones].[hora].&amp;[1899-12-30T12:16:02.88]"/>
            <x15:cachedUniqueName index="91" name="[transacciones].[hora].&amp;[1899-12-30T17:17:15.143333]"/>
            <x15:cachedUniqueName index="92" name="[transacciones].[hora].&amp;[1899-12-30T17:39:45.74]"/>
            <x15:cachedUniqueName index="93" name="[transacciones].[hora].&amp;[1899-12-30T19:48:36.1]"/>
            <x15:cachedUniqueName index="94" name="[transacciones].[hora].&amp;[1899-12-30T11:48:05.906667]"/>
            <x15:cachedUniqueName index="95" name="[transacciones].[hora].&amp;[1899-12-30T13:14:38.643333]"/>
            <x15:cachedUniqueName index="96" name="[transacciones].[hora].&amp;[1899-12-30T14:50:55.053333]"/>
            <x15:cachedUniqueName index="97" name="[transacciones].[hora].&amp;[1899-12-30T15:58:51.913333]"/>
            <x15:cachedUniqueName index="98" name="[transacciones].[hora].&amp;[1899-12-30T16:00:48.563333]"/>
            <x15:cachedUniqueName index="99" name="[transacciones].[hora].&amp;[1899-12-30T16:58:19.123333]"/>
            <x15:cachedUniqueName index="100" name="[transacciones].[hora].&amp;[1899-12-30T17:29:55.08]"/>
            <x15:cachedUniqueName index="101" name="[transacciones].[hora].&amp;[1899-12-30T17:47:27.25]"/>
            <x15:cachedUniqueName index="102" name="[transacciones].[hora].&amp;[1899-12-30T18:06:45.756667]"/>
            <x15:cachedUniqueName index="103" name="[transacciones].[hora].&amp;[1899-12-30T18:18:29.76]"/>
            <x15:cachedUniqueName index="104" name="[transacciones].[hora].&amp;[1899-12-30T18:21:52.263333]"/>
            <x15:cachedUniqueName index="105" name="[transacciones].[hora].&amp;[1899-12-30T18:30:41.093333]"/>
            <x15:cachedUniqueName index="106" name="[transacciones].[hora].&amp;[1899-12-30T20:27:35.1]"/>
            <x15:cachedUniqueName index="107" name="[transacciones].[hora].&amp;[1899-12-30T15:08:13.32]"/>
            <x15:cachedUniqueName index="108" name="[transacciones].[hora].&amp;[1899-12-30T15:12:25.776667]"/>
            <x15:cachedUniqueName index="109" name="[transacciones].[hora].&amp;[1899-12-30T15:59:35.606667]"/>
            <x15:cachedUniqueName index="110" name="[transacciones].[hora].&amp;[1899-12-30T16:34:36.42]"/>
            <x15:cachedUniqueName index="111" name="[transacciones].[hora].&amp;[1899-12-30T16:34:51.71]"/>
            <x15:cachedUniqueName index="112" name="[transacciones].[hora].&amp;[1899-12-30T16:36:43.016667]"/>
            <x15:cachedUniqueName index="113" name="[transacciones].[hora].&amp;[1899-12-30T16:50:45.613333]"/>
            <x15:cachedUniqueName index="114" name="[transacciones].[hora].&amp;[1899-12-30T18:47:49.793333]"/>
            <x15:cachedUniqueName index="115" name="[transacciones].[hora].&amp;[1899-12-30T19:18:38.126667]"/>
            <x15:cachedUniqueName index="116" name="[transacciones].[hora].&amp;[1899-12-30T19:27:29.676667]"/>
            <x15:cachedUniqueName index="117" name="[transacciones].[hora].&amp;[1899-12-30T19:57:06.266667]"/>
            <x15:cachedUniqueName index="118" name="[transacciones].[hora].&amp;[1899-12-30T14:02:14.06]"/>
            <x15:cachedUniqueName index="119" name="[transacciones].[hora].&amp;[1899-12-30T15:03:23.333333]"/>
            <x15:cachedUniqueName index="120" name="[transacciones].[hora].&amp;[1899-12-30T15:20:10.733333]"/>
            <x15:cachedUniqueName index="121" name="[transacciones].[hora].&amp;[1899-12-30T15:34:35.176667]"/>
            <x15:cachedUniqueName index="122" name="[transacciones].[hora].&amp;[1899-12-30T15:48:19.453333]"/>
            <x15:cachedUniqueName index="123" name="[transacciones].[hora].&amp;[1899-12-30T17:12:09.196667]"/>
            <x15:cachedUniqueName index="124" name="[transacciones].[hora].&amp;[1899-12-30T17:17:32.22]"/>
            <x15:cachedUniqueName index="125" name="[transacciones].[hora].&amp;[1899-12-30T17:44:15.853333]"/>
            <x15:cachedUniqueName index="126" name="[transacciones].[hora].&amp;[1899-12-30T18:06:38.936667]"/>
            <x15:cachedUniqueName index="127" name="[transacciones].[hora].&amp;[1899-12-30T18:31:37.056667]"/>
            <x15:cachedUniqueName index="128" name="[transacciones].[hora].&amp;[1899-12-30T18:50:07.533333]"/>
            <x15:cachedUniqueName index="129" name="[transacciones].[hora].&amp;[1899-12-30T19:15:22.323333]"/>
            <x15:cachedUniqueName index="130" name="[transacciones].[hora].&amp;[1899-12-30T20:14:11.01]"/>
            <x15:cachedUniqueName index="131" name="[transacciones].[hora].&amp;[1899-12-30T22:58:59]"/>
            <x15:cachedUniqueName index="132" name="[transacciones].[hora].&amp;[1899-12-30T22:59:12]"/>
            <x15:cachedUniqueName index="133" name="[transacciones].[hora].&amp;[1899-12-30T22:59:59]"/>
            <x15:cachedUniqueName index="134" name="[transacciones].[hora].&amp;[1899-12-30T23:00:51]"/>
            <x15:cachedUniqueName index="135" name="[transacciones].[hora].&amp;[1899-12-30T23:01:11]"/>
            <x15:cachedUniqueName index="136" name="[transacciones].[hora].&amp;[1899-12-30T23:03:01]"/>
            <x15:cachedUniqueName index="137" name="[transacciones].[hora].&amp;[1899-12-30T23:04:26]"/>
            <x15:cachedUniqueName index="138" name="[transacciones].[hora].&amp;[1899-12-30T23:06:59]"/>
            <x15:cachedUniqueName index="139" name="[transacciones].[hora].&amp;[1899-12-30T23:09:20]"/>
            <x15:cachedUniqueName index="140" name="[transacciones].[hora].&amp;[1899-12-30T23:09:45]"/>
            <x15:cachedUniqueName index="141" name="[transacciones].[hora].&amp;[1899-12-30T23:11:40]"/>
            <x15:cachedUniqueName index="142" name="[transacciones].[hora].&amp;[1899-12-30T23:12:12]"/>
            <x15:cachedUniqueName index="143" name="[transacciones].[hora].&amp;[1899-12-30T14:10:32.093333]"/>
            <x15:cachedUniqueName index="144" name="[transacciones].[hora].&amp;[1899-12-30T14:10:52.596667]"/>
            <x15:cachedUniqueName index="145" name="[transacciones].[hora].&amp;[1899-12-30T14:20:34.346667]"/>
            <x15:cachedUniqueName index="146" name="[transacciones].[hora].&amp;[1899-12-30T14:54:32.713333]"/>
            <x15:cachedUniqueName index="147" name="[transacciones].[hora].&amp;[1899-12-30T15:07:19.646667]"/>
            <x15:cachedUniqueName index="148" name="[transacciones].[hora].&amp;[1899-12-30T15:08:19.86]"/>
            <x15:cachedUniqueName index="149" name="[transacciones].[hora].&amp;[1899-12-30T17:22:09.946667]"/>
            <x15:cachedUniqueName index="150" name="[transacciones].[hora].&amp;[1899-12-30T17:27:23.96]"/>
            <x15:cachedUniqueName index="151" name="[transacciones].[hora].&amp;[1899-12-30T18:03:05.876667]"/>
          </x15:cachedUniqueNames>
        </ext>
      </extLst>
    </cacheField>
  </cacheFields>
  <cacheHierarchies count="5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2" memberValueDatatype="20" unbalanced="0">
      <fieldsUsage count="2">
        <fieldUsage x="-1"/>
        <fieldUsage x="4"/>
      </fieldsUsage>
    </cacheHierarchy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2" memberValueDatatype="5" unbalanced="0">
      <fieldsUsage count="2">
        <fieldUsage x="-1"/>
        <fieldUsage x="5"/>
      </fieldsUsage>
    </cacheHierarchy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2" memberValueDatatype="130" unbalanced="0">
      <fieldsUsage count="2">
        <fieldUsage x="-1"/>
        <fieldUsage x="8"/>
      </fieldsUsage>
    </cacheHierarchy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2" memberValueDatatype="130" unbalanced="0">
      <fieldsUsage count="2">
        <fieldUsage x="-1"/>
        <fieldUsage x="3"/>
      </fieldsUsage>
    </cacheHierarchy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0" memberValueDatatype="130" unbalanced="0"/>
    <cacheHierarchy uniqueName="[transacciones].[id_factura]" caption="id_factura" attribute="1" defaultMemberUniqueName="[transacciones].[id_factura].[All]" allUniqueName="[transacciones].[id_factura].[All]" dimensionUniqueName="[transacciones]" displayFolder="" count="2" memberValueDatatype="20" unbalanced="0">
      <fieldsUsage count="2">
        <fieldUsage x="-1"/>
        <fieldUsage x="6"/>
      </fieldsUsage>
    </cacheHierarchy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2" memberValueDatatype="7" unbalanced="0">
      <fieldsUsage count="2">
        <fieldUsage x="-1"/>
        <fieldUsage x="2"/>
      </fieldsUsage>
    </cacheHierarchy>
    <cacheHierarchy uniqueName="[transacciones].[hora]" caption="hora" attribute="1" time="1" defaultMemberUniqueName="[transacciones].[hora].[All]" allUniqueName="[transacciones].[hora].[All]" dimensionUniqueName="[transacciones]" displayFolder="" count="2" memberValueDatatype="7" unbalanced="0">
      <fieldsUsage count="2">
        <fieldUsage x="-1"/>
        <fieldUsage x="11"/>
      </fieldsUsage>
    </cacheHierarchy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0" memberValueDatatype="130" unbalanced="0"/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id_item]" caption="Recuento de id_item" measure="1" displayFolder="" measureGroup="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ancos]" caption="Suma de bancos" measure="1" displayFolder="" measureGroup="items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PC" refreshedDate="46091.792279629626" backgroundQuery="1" createdVersion="8" refreshedVersion="6" minRefreshableVersion="3" recordCount="0" supportSubquery="1" supportAdvancedDrill="1">
  <cacheSource type="external" connectionId="7"/>
  <cacheFields count="4">
    <cacheField name="[transacciones].[nombre_transaccion].[nombre_transaccion]" caption="nombre_transaccion" numFmtId="0" hierarchy="15" level="1">
      <sharedItems count="1">
        <s v="VENTA"/>
      </sharedItems>
    </cacheField>
    <cacheField name="[transacciones].[tipo_cuenta].[tipo_cuenta]" caption="tipo_cuenta" numFmtId="0" hierarchy="16" level="1">
      <sharedItems count="3">
        <s v="DaviPlata"/>
        <s v="EFECTIVO"/>
        <s v="NEQUI"/>
      </sharedItems>
    </cacheField>
    <cacheField name="[Measures].[Suma de entrada]" caption="Suma de entrada" numFmtId="0" hierarchy="40" level="32767"/>
    <cacheField name="[transacciones].[fecha (día)].[fecha (día)]" caption="fecha (día)" numFmtId="0" hierarchy="24" level="1">
      <sharedItems count="12">
        <s v="23-feb"/>
        <s v="24-feb"/>
        <s v="25-feb"/>
        <s v="26-feb"/>
        <s v="27-feb"/>
        <s v="28-feb"/>
        <s v="2-mar"/>
        <s v="3-mar"/>
        <s v="4-mar"/>
        <s v="5-mar"/>
        <s v="7-mar"/>
        <s v="8-mar"/>
      </sharedItems>
    </cacheField>
  </cacheFields>
  <cacheHierarchies count="54">
    <cacheHierarchy uniqueName="[items].[id_item]" caption="id_item" attribute="1" defaultMemberUniqueName="[items].[id_item].[All]" allUniqueName="[items].[id_item].[All]" dimensionUniqueName="[items]" displayFolder="" count="0" memberValueDatatype="20" unbalanced="0"/>
    <cacheHierarchy uniqueName="[items].[cantidad]" caption="cantidad" attribute="1" defaultMemberUniqueName="[items].[cantidad].[All]" allUniqueName="[items].[cantidad].[All]" dimensionUniqueName="[items]" displayFolder="" count="0" memberValueDatatype="20" unbalanced="0"/>
    <cacheHierarchy uniqueName="[items].[id_producto]" caption="id_producto" attribute="1" defaultMemberUniqueName="[items].[id_producto].[All]" allUniqueName="[items].[id_producto].[All]" dimensionUniqueName="[items]" displayFolder="" count="0" memberValueDatatype="20" unbalanced="0"/>
    <cacheHierarchy uniqueName="[items].[id_transaccion]" caption="id_transaccion" attribute="1" defaultMemberUniqueName="[items].[id_transaccion].[All]" allUniqueName="[items].[id_transaccion].[All]" dimensionUniqueName="[items]" displayFolder="" count="0" memberValueDatatype="20" unbalanced="0"/>
    <cacheHierarchy uniqueName="[items].[nombre_producto]" caption="nombre_producto" attribute="1" defaultMemberUniqueName="[items].[nombre_producto].[All]" allUniqueName="[items].[nombre_producto].[All]" dimensionUniqueName="[items]" displayFolder="" count="0" memberValueDatatype="130" unbalanced="0"/>
    <cacheHierarchy uniqueName="[items].[precio_producto]" caption="precio_producto" attribute="1" defaultMemberUniqueName="[items].[precio_producto].[All]" allUniqueName="[items].[precio_producto].[All]" dimensionUniqueName="[items]" displayFolder="" count="0" memberValueDatatype="5" unbalanced="0"/>
    <cacheHierarchy uniqueName="[items].[valor_total]" caption="valor_total" attribute="1" defaultMemberUniqueName="[items].[valor_total].[All]" allUniqueName="[items].[valor_total].[All]" dimensionUniqueName="[items]" displayFolder="" count="0" memberValueDatatype="5" unbalanced="0"/>
    <cacheHierarchy uniqueName="[items].[transacciones.tipo_cuenta]" caption="transacciones.tipo_cuenta" attribute="1" defaultMemberUniqueName="[items].[transacciones.tipo_cuenta].[All]" allUniqueName="[items].[transacciones.tipo_cuenta].[All]" dimensionUniqueName="[items]" displayFolder="" count="0" memberValueDatatype="130" unbalanced="0"/>
    <cacheHierarchy uniqueName="[items].[caja]" caption="caja" attribute="1" defaultMemberUniqueName="[items].[caja].[All]" allUniqueName="[items].[caja].[All]" dimensionUniqueName="[items]" displayFolder="" count="0" memberValueDatatype="5" unbalanced="0"/>
    <cacheHierarchy uniqueName="[items].[bancos]" caption="bancos" attribute="1" defaultMemberUniqueName="[items].[bancos].[All]" allUniqueName="[items].[bancos].[All]" dimensionUniqueName="[items]" displayFolder="" count="0" memberValueDatatype="5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20" unbalanced="0"/>
    <cacheHierarchy uniqueName="[productos].[nombre_producto]" caption="nombre_producto" attribute="1" defaultMemberUniqueName="[productos].[nombre_producto].[All]" allUniqueName="[productos].[nombre_producto].[All]" dimensionUniqueName="[productos]" displayFolder="" count="0" memberValueDatatype="130" unbalanced="0"/>
    <cacheHierarchy uniqueName="[productos].[precio]" caption="precio" attribute="1" defaultMemberUniqueName="[productos].[precio].[All]" allUniqueName="[productos].[precio].[All]" dimensionUniqueName="[productos]" displayFolder="" count="0" memberValueDatatype="20" unbalanced="0"/>
    <cacheHierarchy uniqueName="[productos].[id_usuario]" caption="id_usuario" attribute="1" defaultMemberUniqueName="[productos].[id_usuario].[All]" allUniqueName="[productos].[id_usuario].[All]" dimensionUniqueName="[productos]" displayFolder="" count="0" memberValueDatatype="20" unbalanced="0"/>
    <cacheHierarchy uniqueName="[transacciones].[id_transaccion]" caption="id_transaccion" attribute="1" defaultMemberUniqueName="[transacciones].[id_transaccion].[All]" allUniqueName="[transacciones].[id_transaccion].[All]" dimensionUniqueName="[transacciones]" displayFolder="" count="0" memberValueDatatype="20" unbalanced="0"/>
    <cacheHierarchy uniqueName="[transacciones].[nombre_transaccion]" caption="nombre_transaccion" attribute="1" defaultMemberUniqueName="[transacciones].[nombre_transaccion].[All]" allUniqueName="[transacciones].[nombre_transaccion].[All]" dimensionUniqueName="[transacciones]" displayFolder="" count="2" memberValueDatatype="130" unbalanced="0">
      <fieldsUsage count="2">
        <fieldUsage x="-1"/>
        <fieldUsage x="0"/>
      </fieldsUsage>
    </cacheHierarchy>
    <cacheHierarchy uniqueName="[transacciones].[tipo_cuenta]" caption="tipo_cuenta" attribute="1" defaultMemberUniqueName="[transacciones].[tipo_cuenta].[All]" allUniqueName="[transacciones].[tipo_cuenta].[All]" dimensionUniqueName="[transacciones]" displayFolder="" count="2" memberValueDatatype="130" unbalanced="0">
      <fieldsUsage count="2">
        <fieldUsage x="-1"/>
        <fieldUsage x="1"/>
      </fieldsUsage>
    </cacheHierarchy>
    <cacheHierarchy uniqueName="[transacciones].[id_factura]" caption="id_factura" attribute="1" defaultMemberUniqueName="[transacciones].[id_factura].[All]" allUniqueName="[transacciones].[id_factura].[All]" dimensionUniqueName="[transacciones]" displayFolder="" count="0" memberValueDatatype="20" unbalanced="0"/>
    <cacheHierarchy uniqueName="[transacciones].[detalle_transaccion]" caption="detalle_transaccion" attribute="1" defaultMemberUniqueName="[transacciones].[detalle_transaccion].[All]" allUniqueName="[transacciones].[detalle_transaccion].[All]" dimensionUniqueName="[transacciones]" displayFolder="" count="0" memberValueDatatype="130" unbalanced="0"/>
    <cacheHierarchy uniqueName="[transacciones].[fecha]" caption="fecha" attribute="1" time="1" defaultMemberUniqueName="[transacciones].[fecha].[All]" allUniqueName="[transacciones].[fecha].[All]" dimensionUniqueName="[transacciones]" displayFolder="" count="0" memberValueDatatype="7" unbalanced="0"/>
    <cacheHierarchy uniqueName="[transacciones].[hora]" caption="hora" attribute="1" time="1" defaultMemberUniqueName="[transacciones].[hora].[All]" allUniqueName="[transacciones].[hora].[All]" dimensionUniqueName="[transacciones]" displayFolder="" count="0" memberValueDatatype="7" unbalanced="0"/>
    <cacheHierarchy uniqueName="[transacciones].[entrada]" caption="entrada" attribute="1" defaultMemberUniqueName="[transacciones].[entrada].[All]" allUniqueName="[transacciones].[entrada].[All]" dimensionUniqueName="[transacciones]" displayFolder="" count="0" memberValueDatatype="5" unbalanced="0"/>
    <cacheHierarchy uniqueName="[transacciones].[egreso]" caption="egreso" attribute="1" defaultMemberUniqueName="[transacciones].[egreso].[All]" allUniqueName="[transacciones].[egreso].[All]" dimensionUniqueName="[transacciones]" displayFolder="" count="0" memberValueDatatype="5" unbalanced="0"/>
    <cacheHierarchy uniqueName="[transacciones].[id_usuario]" caption="id_usuario" attribute="1" defaultMemberUniqueName="[transacciones].[id_usuario].[All]" allUniqueName="[transacciones].[id_usuario].[All]" dimensionUniqueName="[transacciones]" displayFolder="" count="0" memberValueDatatype="5" unbalanced="0"/>
    <cacheHierarchy uniqueName="[transacciones].[fecha (día)]" caption="fecha (día)" attribute="1" defaultMemberUniqueName="[transacciones].[fecha (día)].[All]" allUniqueName="[transacciones].[fecha (día)].[All]" dimensionUniqueName="[transacciones]" displayFolder="" count="2" memberValueDatatype="130" unbalanced="0">
      <fieldsUsage count="2">
        <fieldUsage x="-1"/>
        <fieldUsage x="3"/>
      </fieldsUsage>
    </cacheHierarchy>
    <cacheHierarchy uniqueName="[transacciones].[fecha (hora)]" caption="fecha (hora)" attribute="1" defaultMemberUniqueName="[transacciones].[fecha (hora)].[All]" allUniqueName="[transacciones].[fecha (hora)].[All]" dimensionUniqueName="[transacciones]" displayFolder="" count="0" memberValueDatatype="130" unbalanced="0"/>
    <cacheHierarchy uniqueName="[transacciones].[fecha (minuto)]" caption="fecha (minuto)" attribute="1" defaultMemberUniqueName="[transacciones].[fecha (minuto)].[All]" allUniqueName="[transacciones].[fecha (minuto)].[All]" dimensionUniqueName="[transacciones]" displayFolder="" count="0" memberValueDatatype="130" unbalanced="0"/>
    <cacheHierarchy uniqueName="[transacciones].[fecha (segundo)]" caption="fecha (segundo)" attribute="1" defaultMemberUniqueName="[transacciones].[fecha (segundo)].[All]" allUniqueName="[transacciones].[fecha (segundo)].[All]" dimensionUniqueName="[transacciones]" displayFolder="" count="0" memberValueDatatype="130" unbalanced="0"/>
    <cacheHierarchy uniqueName="[transacciones].[nombre_usuario]" caption="nombre_usuario" attribute="1" defaultMemberUniqueName="[transacciones].[nombre_usuario].[All]" allUniqueName="[transacciones].[nombre_usuario].[All]" dimensionUniqueName="[transacciones]" displayFolder="" count="0" memberValueDatatype="130" unbalanced="0"/>
    <cacheHierarchy uniqueName="[transacciones].[fecha (mes)]" caption="fecha (mes)" attribute="1" defaultMemberUniqueName="[transacciones].[fecha (mes)].[All]" allUniqueName="[transacciones].[fecha (mes)].[All]" dimensionUniqueName="[transacciones]" displayFolder="" count="0" memberValueDatatype="130" unbalanced="0"/>
    <cacheHierarchy uniqueName="[usuarios].[id_usuario]" caption="id_usuario" attribute="1" defaultMemberUniqueName="[usuarios].[id_usuario].[All]" allUniqueName="[usuarios].[id_usuario].[All]" dimensionUniqueName="[usuarios]" displayFolder="" count="0" memberValueDatatype="20" unbalanced="0"/>
    <cacheHierarchy uniqueName="[usuarios].[nombre_usuario]" caption="nombre_usuario" attribute="1" defaultMemberUniqueName="[usuarios].[nombre_usuario].[All]" allUniqueName="[usuarios].[nombre_usuario].[All]" dimensionUniqueName="[usuarios]" displayFolder="" count="0" memberValueDatatype="130" unbalanced="0"/>
    <cacheHierarchy uniqueName="[usuarios].[rol]" caption="rol" attribute="1" defaultMemberUniqueName="[usuarios].[rol].[All]" allUniqueName="[usuarios].[rol].[All]" dimensionUniqueName="[usuarios]" displayFolder="" count="0" memberValueDatatype="130" unbalanced="0"/>
    <cacheHierarchy uniqueName="[transacciones].[fecha (índice de días)]" caption="fecha (índice de días)" attribute="1" defaultMemberUniqueName="[transacciones].[fecha (índice de días)].[All]" allUniqueName="[transacciones].[fecha (índice de días)].[All]" dimensionUniqueName="[transacciones]" displayFolder="" count="0" memberValueDatatype="5" unbalanced="0" hidden="1"/>
    <cacheHierarchy uniqueName="[transacciones].[fecha (índice de meses)]" caption="fecha (índice de meses)" attribute="1" defaultMemberUniqueName="[transacciones].[fecha (índice de meses)].[All]" allUniqueName="[transacciones].[fecha (índice de meses)].[All]" dimensionUniqueName="[transacciones]" displayFolder="" count="0" memberValueDatatype="20" unbalanced="0" hidden="1"/>
    <cacheHierarchy uniqueName="[Measures].[__XL_Count transacciones]" caption="__XL_Count transacciones" measure="1" displayFolder="" measureGroup="transacciones" count="0" hidden="1"/>
    <cacheHierarchy uniqueName="[Measures].[__XL_Count items]" caption="__XL_Count items" measure="1" displayFolder="" measureGroup="items" count="0" hidden="1"/>
    <cacheHierarchy uniqueName="[Measures].[__XL_Count usuarios]" caption="__XL_Count usuarios" measure="1" displayFolder="" measureGroup="usuarios" count="0" hidden="1"/>
    <cacheHierarchy uniqueName="[Measures].[__XL_Count productos]" caption="__XL_Count productos" measure="1" displayFolder="" measureGroup="productos" count="0" hidden="1"/>
    <cacheHierarchy uniqueName="[Measures].[__No measures defined]" caption="__No measures defined" measure="1" displayFolder="" count="0" hidden="1"/>
    <cacheHierarchy uniqueName="[Measures].[Suma de entrada]" caption="Suma de entrada" measure="1" displayFolder="" measureGroup="transaccion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tipo_cuenta]" caption="Recuento de tipo_cuent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a de egreso]" caption="Suma de egreso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d_item]" caption="Suma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id_transaccion]" caption="Suma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id_transaccion]" caption="Recuento de id_transaccion" measure="1" displayFolder="" measureGroup="transaccione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id_transaccion 2]" caption="Suma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id_transaccion 2]" caption="Recuento de id_transaccion 2" measure="1" displayFolder="" measureGroup="items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Recuento de entrada]" caption="Recuento de entrada" measure="1" displayFolder="" measureGroup="transaccione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Recuento de id_item]" caption="Recuento de id_item" measure="1" displayFolder="" measureGroup="item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a de valor_total]" caption="Suma de valor_total" measure="1" displayFolder="" measureGroup="item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e transacciones.tipo_cuenta]" caption="Recuento de transacciones.tipo_cuenta" measure="1" displayFolder="" measureGroup="item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caja]" caption="Suma de caja" measure="1" displayFolder="" measureGroup="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bancos]" caption="Suma de bancos" measure="1" displayFolder="" measureGroup="item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name="items" uniqueName="[items]" caption="items"/>
    <dimension measure="1" name="Measures" uniqueName="[Measures]" caption="Measures"/>
    <dimension name="productos" uniqueName="[productos]" caption="productos"/>
    <dimension name="transacciones" uniqueName="[transacciones]" caption="transacciones"/>
    <dimension name="usuarios" uniqueName="[usuarios]" caption="usuarios"/>
  </dimensions>
  <measureGroups count="4">
    <measureGroup name="items" caption="items"/>
    <measureGroup name="productos" caption="productos"/>
    <measureGroup name="transacciones" caption="transacciones"/>
    <measureGroup name="usuarios" caption="usuarios"/>
  </measureGroups>
  <maps count="8">
    <map measureGroup="0" dimension="0"/>
    <map measureGroup="0" dimension="2"/>
    <map measureGroup="0" dimension="3"/>
    <map measureGroup="0" dimension="4"/>
    <map measureGroup="1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TablaDinámica3" cacheId="18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rowGrandTotals="0" colGrandTotals="0" itemPrintTitles="1" createdVersion="8" indent="0" compact="0" compactData="0" multipleFieldFilters="0">
  <location ref="A6:K232" firstHeaderRow="0" firstDataRow="1" firstDataCol="7" rowPageCount="1" colPageCount="1"/>
  <pivotFields count="12">
    <pivotField name="nombre_transaccion" axis="axisPage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2"/>
    <field x="11"/>
    <field x="6"/>
    <field x="3"/>
    <field x="5"/>
    <field x="8"/>
    <field x="4"/>
  </rowFields>
  <rowItems count="226">
    <i>
      <x/>
      <x/>
      <x/>
      <x/>
      <x/>
      <x/>
      <x/>
    </i>
    <i r="1">
      <x v="1"/>
      <x v="1"/>
      <x/>
      <x/>
      <x v="1"/>
      <x v="1"/>
    </i>
    <i r="1">
      <x v="2"/>
      <x v="2"/>
      <x/>
      <x/>
      <x/>
      <x/>
    </i>
    <i r="3">
      <x v="1"/>
      <x v="1"/>
      <x/>
      <x/>
    </i>
    <i r="1">
      <x v="3"/>
      <x v="3"/>
      <x/>
      <x/>
      <x v="1"/>
      <x v="2"/>
    </i>
    <i r="1">
      <x v="4"/>
      <x v="4"/>
      <x v="2"/>
      <x v="1"/>
      <x/>
      <x/>
    </i>
    <i r="3">
      <x/>
      <x/>
      <x/>
      <x/>
    </i>
    <i r="1">
      <x v="5"/>
      <x v="5"/>
      <x/>
      <x/>
      <x/>
      <x/>
    </i>
    <i r="3">
      <x v="3"/>
      <x v="1"/>
      <x/>
      <x v="1"/>
    </i>
    <i r="1">
      <x v="6"/>
      <x v="6"/>
      <x/>
      <x/>
      <x/>
      <x v="1"/>
    </i>
    <i r="1">
      <x v="7"/>
      <x v="7"/>
      <x/>
      <x/>
      <x/>
      <x/>
    </i>
    <i r="3">
      <x v="1"/>
      <x v="1"/>
      <x/>
      <x/>
    </i>
    <i r="1">
      <x v="8"/>
      <x v="8"/>
      <x/>
      <x/>
      <x/>
      <x v="2"/>
    </i>
    <i r="1">
      <x v="9"/>
      <x v="9"/>
      <x/>
      <x/>
      <x/>
      <x v="1"/>
    </i>
    <i r="1">
      <x v="10"/>
      <x v="10"/>
      <x/>
      <x/>
      <x/>
      <x v="1"/>
    </i>
    <i r="1">
      <x v="11"/>
      <x v="11"/>
      <x/>
      <x/>
      <x/>
      <x v="1"/>
    </i>
    <i r="3">
      <x v="3"/>
      <x v="1"/>
      <x/>
      <x v="1"/>
    </i>
    <i r="1">
      <x v="12"/>
      <x v="12"/>
      <x/>
      <x/>
      <x/>
      <x v="2"/>
    </i>
    <i r="1">
      <x v="13"/>
      <x v="13"/>
      <x/>
      <x/>
      <x/>
      <x v="1"/>
    </i>
    <i>
      <x v="1"/>
      <x v="14"/>
      <x v="14"/>
      <x/>
      <x/>
      <x/>
      <x v="3"/>
    </i>
    <i r="1">
      <x v="15"/>
      <x v="15"/>
      <x/>
      <x/>
      <x/>
      <x v="2"/>
    </i>
    <i r="1">
      <x v="16"/>
      <x v="16"/>
      <x/>
      <x/>
      <x/>
      <x v="1"/>
    </i>
    <i r="1">
      <x v="17"/>
      <x v="17"/>
      <x/>
      <x/>
      <x/>
      <x v="1"/>
    </i>
    <i r="1">
      <x v="18"/>
      <x v="18"/>
      <x/>
      <x/>
      <x/>
      <x/>
    </i>
    <i r="1">
      <x v="19"/>
      <x v="19"/>
      <x/>
      <x/>
      <x/>
      <x v="1"/>
    </i>
    <i r="1">
      <x v="20"/>
      <x v="20"/>
      <x v="4"/>
      <x v="2"/>
      <x/>
      <x/>
    </i>
    <i r="3">
      <x/>
      <x/>
      <x/>
      <x v="1"/>
    </i>
    <i r="1">
      <x v="21"/>
      <x v="21"/>
      <x/>
      <x/>
      <x/>
      <x v="1"/>
    </i>
    <i r="1">
      <x v="22"/>
      <x v="22"/>
      <x/>
      <x/>
      <x v="1"/>
      <x v="1"/>
    </i>
    <i r="1">
      <x v="23"/>
      <x v="23"/>
      <x/>
      <x/>
      <x/>
      <x v="1"/>
    </i>
    <i r="1">
      <x v="24"/>
      <x v="24"/>
      <x v="2"/>
      <x v="1"/>
      <x/>
      <x v="1"/>
    </i>
    <i r="3">
      <x/>
      <x/>
      <x/>
      <x v="2"/>
    </i>
    <i r="3">
      <x v="3"/>
      <x v="1"/>
      <x/>
      <x v="1"/>
    </i>
    <i r="1">
      <x v="25"/>
      <x v="25"/>
      <x/>
      <x/>
      <x/>
      <x v="4"/>
    </i>
    <i r="3">
      <x v="1"/>
      <x v="1"/>
      <x/>
      <x/>
    </i>
    <i r="1">
      <x v="26"/>
      <x v="26"/>
      <x/>
      <x/>
      <x/>
      <x v="1"/>
    </i>
    <i>
      <x v="2"/>
      <x v="27"/>
      <x v="27"/>
      <x/>
      <x/>
      <x/>
      <x v="1"/>
    </i>
    <i r="1">
      <x v="28"/>
      <x v="28"/>
      <x/>
      <x/>
      <x/>
      <x v="1"/>
    </i>
    <i r="1">
      <x v="29"/>
      <x v="29"/>
      <x/>
      <x/>
      <x/>
      <x v="1"/>
    </i>
    <i r="1">
      <x v="30"/>
      <x v="30"/>
      <x v="5"/>
      <x v="3"/>
      <x/>
      <x v="1"/>
    </i>
    <i r="1">
      <x v="31"/>
      <x v="31"/>
      <x v="5"/>
      <x v="3"/>
      <x/>
      <x v="1"/>
    </i>
    <i r="1">
      <x v="32"/>
      <x v="32"/>
      <x/>
      <x/>
      <x/>
      <x/>
    </i>
    <i r="1">
      <x v="33"/>
      <x v="33"/>
      <x/>
      <x/>
      <x/>
      <x v="1"/>
    </i>
    <i r="1">
      <x v="34"/>
      <x v="34"/>
      <x/>
      <x/>
      <x v="1"/>
      <x v="1"/>
    </i>
    <i r="1">
      <x v="35"/>
      <x v="35"/>
      <x/>
      <x/>
      <x/>
      <x v="1"/>
    </i>
    <i r="1">
      <x v="36"/>
      <x v="36"/>
      <x/>
      <x/>
      <x/>
      <x v="1"/>
    </i>
    <i r="1">
      <x v="37"/>
      <x v="37"/>
      <x/>
      <x/>
      <x/>
      <x v="1"/>
    </i>
    <i r="1">
      <x v="38"/>
      <x v="38"/>
      <x/>
      <x/>
      <x/>
      <x v="3"/>
    </i>
    <i r="1">
      <x v="39"/>
      <x v="39"/>
      <x v="1"/>
      <x v="1"/>
      <x/>
      <x/>
    </i>
    <i r="3">
      <x v="3"/>
      <x v="1"/>
      <x/>
      <x v="1"/>
    </i>
    <i r="1">
      <x v="40"/>
      <x v="40"/>
      <x/>
      <x/>
      <x/>
      <x v="2"/>
    </i>
    <i r="1">
      <x v="41"/>
      <x v="41"/>
      <x/>
      <x/>
      <x v="1"/>
      <x v="1"/>
    </i>
    <i r="1">
      <x v="42"/>
      <x v="42"/>
      <x/>
      <x/>
      <x/>
      <x v="1"/>
    </i>
    <i r="3">
      <x v="1"/>
      <x v="1"/>
      <x/>
      <x v="1"/>
    </i>
    <i r="1">
      <x v="43"/>
      <x v="43"/>
      <x v="4"/>
      <x v="2"/>
      <x v="1"/>
      <x v="3"/>
    </i>
    <i r="1">
      <x v="44"/>
      <x v="44"/>
      <x v="5"/>
      <x v="3"/>
      <x/>
      <x v="1"/>
    </i>
    <i r="3">
      <x v="3"/>
      <x v="1"/>
      <x/>
      <x v="1"/>
    </i>
    <i r="1">
      <x v="45"/>
      <x v="45"/>
      <x/>
      <x/>
      <x/>
      <x/>
    </i>
    <i r="1">
      <x v="46"/>
      <x v="46"/>
      <x/>
      <x/>
      <x/>
      <x/>
    </i>
    <i r="1">
      <x v="47"/>
      <x v="47"/>
      <x/>
      <x/>
      <x/>
      <x v="4"/>
    </i>
    <i r="1">
      <x v="48"/>
      <x v="48"/>
      <x/>
      <x/>
      <x v="1"/>
      <x v="1"/>
    </i>
    <i r="1">
      <x v="49"/>
      <x v="49"/>
      <x/>
      <x/>
      <x/>
      <x/>
    </i>
    <i>
      <x v="3"/>
      <x v="50"/>
      <x v="50"/>
      <x v="4"/>
      <x v="2"/>
      <x/>
      <x/>
    </i>
    <i r="1">
      <x v="51"/>
      <x v="51"/>
      <x/>
      <x/>
      <x/>
      <x/>
    </i>
    <i r="1">
      <x v="52"/>
      <x v="52"/>
      <x v="6"/>
      <x v="4"/>
      <x v="1"/>
      <x v="1"/>
    </i>
    <i r="1">
      <x v="53"/>
      <x v="53"/>
      <x/>
      <x/>
      <x v="1"/>
      <x v="3"/>
    </i>
    <i r="3">
      <x v="3"/>
      <x v="1"/>
      <x v="1"/>
      <x v="2"/>
    </i>
    <i r="1">
      <x v="54"/>
      <x v="54"/>
      <x/>
      <x/>
      <x/>
      <x v="1"/>
    </i>
    <i r="1">
      <x v="55"/>
      <x v="55"/>
      <x/>
      <x/>
      <x v="1"/>
      <x v="1"/>
    </i>
    <i r="1">
      <x v="56"/>
      <x v="56"/>
      <x/>
      <x/>
      <x/>
      <x v="1"/>
    </i>
    <i r="1">
      <x v="57"/>
      <x v="57"/>
      <x/>
      <x/>
      <x v="1"/>
      <x v="1"/>
    </i>
    <i r="1">
      <x v="58"/>
      <x v="58"/>
      <x/>
      <x/>
      <x/>
      <x/>
    </i>
    <i r="1">
      <x v="59"/>
      <x v="59"/>
      <x/>
      <x/>
      <x v="1"/>
      <x/>
    </i>
    <i r="3">
      <x v="1"/>
      <x v="1"/>
      <x v="1"/>
      <x v="1"/>
    </i>
    <i r="1">
      <x v="60"/>
      <x v="60"/>
      <x/>
      <x/>
      <x/>
      <x v="1"/>
    </i>
    <i r="1">
      <x v="61"/>
      <x v="61"/>
      <x/>
      <x/>
      <x/>
      <x v="1"/>
    </i>
    <i r="1">
      <x v="62"/>
      <x v="62"/>
      <x/>
      <x/>
      <x/>
      <x v="1"/>
    </i>
    <i r="3">
      <x v="3"/>
      <x v="1"/>
      <x/>
      <x v="1"/>
    </i>
    <i r="1">
      <x v="63"/>
      <x v="63"/>
      <x/>
      <x/>
      <x v="1"/>
      <x v="1"/>
    </i>
    <i r="1">
      <x v="64"/>
      <x v="64"/>
      <x/>
      <x/>
      <x v="1"/>
      <x v="1"/>
    </i>
    <i>
      <x v="4"/>
      <x v="65"/>
      <x v="65"/>
      <x/>
      <x/>
      <x v="1"/>
      <x v="1"/>
    </i>
    <i r="3">
      <x v="3"/>
      <x v="1"/>
      <x v="1"/>
      <x v="1"/>
    </i>
    <i r="1">
      <x v="66"/>
      <x v="66"/>
      <x/>
      <x/>
      <x/>
      <x v="1"/>
    </i>
    <i r="1">
      <x v="67"/>
      <x v="67"/>
      <x/>
      <x/>
      <x/>
      <x v="1"/>
    </i>
    <i r="3">
      <x v="5"/>
      <x v="3"/>
      <x/>
      <x v="1"/>
    </i>
    <i r="3">
      <x v="7"/>
      <x v="5"/>
      <x/>
      <x v="1"/>
    </i>
    <i r="1">
      <x v="68"/>
      <x v="68"/>
      <x/>
      <x/>
      <x/>
      <x v="2"/>
    </i>
    <i r="3">
      <x v="1"/>
      <x v="1"/>
      <x/>
      <x/>
    </i>
    <i r="3">
      <x v="5"/>
      <x v="3"/>
      <x/>
      <x v="1"/>
    </i>
    <i r="1">
      <x v="69"/>
      <x v="69"/>
      <x/>
      <x/>
      <x/>
      <x/>
    </i>
    <i r="3">
      <x v="1"/>
      <x v="1"/>
      <x/>
      <x v="1"/>
    </i>
    <i r="1">
      <x v="70"/>
      <x v="70"/>
      <x/>
      <x/>
      <x v="1"/>
      <x v="2"/>
    </i>
    <i r="1">
      <x v="71"/>
      <x v="71"/>
      <x v="2"/>
      <x v="1"/>
      <x v="2"/>
      <x v="1"/>
    </i>
    <i r="3">
      <x/>
      <x/>
      <x v="2"/>
      <x v="1"/>
    </i>
    <i r="1">
      <x v="72"/>
      <x v="72"/>
      <x/>
      <x/>
      <x v="1"/>
      <x/>
    </i>
    <i r="1">
      <x v="73"/>
      <x v="73"/>
      <x/>
      <x/>
      <x/>
      <x v="4"/>
    </i>
    <i r="3">
      <x v="1"/>
      <x v="1"/>
      <x/>
      <x v="2"/>
    </i>
    <i r="1">
      <x v="74"/>
      <x v="74"/>
      <x/>
      <x/>
      <x/>
      <x v="1"/>
    </i>
    <i>
      <x v="5"/>
      <x v="75"/>
      <x v="75"/>
      <x v="4"/>
      <x v="2"/>
      <x/>
      <x v="5"/>
    </i>
    <i r="1">
      <x v="76"/>
      <x v="76"/>
      <x/>
      <x/>
      <x v="1"/>
      <x/>
    </i>
    <i r="1">
      <x v="77"/>
      <x v="77"/>
      <x v="2"/>
      <x v="1"/>
      <x v="1"/>
      <x v="1"/>
    </i>
    <i r="3">
      <x/>
      <x/>
      <x v="1"/>
      <x v="1"/>
    </i>
    <i r="3">
      <x v="7"/>
      <x v="5"/>
      <x v="1"/>
      <x v="1"/>
    </i>
    <i r="1">
      <x v="78"/>
      <x v="78"/>
      <x/>
      <x/>
      <x/>
      <x/>
    </i>
    <i r="3">
      <x v="1"/>
      <x v="1"/>
      <x/>
      <x v="1"/>
    </i>
    <i r="1">
      <x v="79"/>
      <x v="79"/>
      <x/>
      <x/>
      <x/>
      <x/>
    </i>
    <i r="3">
      <x v="1"/>
      <x v="1"/>
      <x/>
      <x v="1"/>
    </i>
    <i r="1">
      <x v="80"/>
      <x v="80"/>
      <x/>
      <x/>
      <x/>
      <x v="1"/>
    </i>
    <i r="3">
      <x v="1"/>
      <x v="1"/>
      <x/>
      <x v="1"/>
    </i>
    <i r="1">
      <x v="81"/>
      <x v="81"/>
      <x/>
      <x/>
      <x/>
      <x v="4"/>
    </i>
    <i r="3">
      <x v="1"/>
      <x v="1"/>
      <x/>
      <x/>
    </i>
    <i r="1">
      <x v="82"/>
      <x v="82"/>
      <x/>
      <x/>
      <x/>
      <x/>
    </i>
    <i r="1">
      <x v="83"/>
      <x v="83"/>
      <x/>
      <x/>
      <x/>
      <x v="2"/>
    </i>
    <i r="3">
      <x v="8"/>
      <x v="2"/>
      <x/>
      <x v="1"/>
    </i>
    <i r="1">
      <x v="84"/>
      <x v="84"/>
      <x v="5"/>
      <x v="3"/>
      <x/>
      <x v="1"/>
    </i>
    <i r="1">
      <x v="85"/>
      <x v="85"/>
      <x v="5"/>
      <x v="3"/>
      <x/>
      <x v="1"/>
    </i>
    <i r="1">
      <x v="86"/>
      <x v="86"/>
      <x v="9"/>
      <x v="6"/>
      <x/>
      <x v="1"/>
    </i>
    <i r="1">
      <x v="87"/>
      <x v="87"/>
      <x v="10"/>
      <x v="7"/>
      <x/>
      <x/>
    </i>
    <i r="1">
      <x v="88"/>
      <x v="88"/>
      <x v="11"/>
      <x v="8"/>
      <x/>
      <x v="1"/>
    </i>
    <i r="1">
      <x v="89"/>
      <x v="89"/>
      <x v="4"/>
      <x v="2"/>
      <x v="1"/>
      <x v="4"/>
    </i>
    <i>
      <x v="6"/>
      <x v="90"/>
      <x v="90"/>
      <x/>
      <x/>
      <x/>
      <x v="1"/>
    </i>
    <i r="3">
      <x v="1"/>
      <x v="1"/>
      <x/>
      <x v="1"/>
    </i>
    <i r="1">
      <x v="91"/>
      <x v="91"/>
      <x/>
      <x/>
      <x/>
      <x v="1"/>
    </i>
    <i r="1">
      <x v="92"/>
      <x v="92"/>
      <x/>
      <x/>
      <x/>
      <x v="1"/>
    </i>
    <i r="1">
      <x v="93"/>
      <x v="93"/>
      <x/>
      <x/>
      <x/>
      <x v="2"/>
    </i>
    <i r="3">
      <x v="1"/>
      <x v="1"/>
      <x/>
      <x v="1"/>
    </i>
    <i r="3">
      <x v="3"/>
      <x v="1"/>
      <x/>
      <x/>
    </i>
    <i>
      <x v="7"/>
      <x v="94"/>
      <x v="94"/>
      <x v="1"/>
      <x v="1"/>
      <x/>
      <x/>
    </i>
    <i r="1">
      <x v="95"/>
      <x v="95"/>
      <x/>
      <x/>
      <x/>
      <x v="1"/>
    </i>
    <i r="1">
      <x v="96"/>
      <x v="96"/>
      <x/>
      <x/>
      <x/>
      <x v="1"/>
    </i>
    <i r="1">
      <x v="97"/>
      <x v="97"/>
      <x/>
      <x/>
      <x/>
      <x v="1"/>
    </i>
    <i r="3">
      <x v="8"/>
      <x v="2"/>
      <x/>
      <x v="1"/>
    </i>
    <i r="1">
      <x v="98"/>
      <x v="98"/>
      <x/>
      <x/>
      <x/>
      <x v="1"/>
    </i>
    <i r="1">
      <x v="99"/>
      <x v="99"/>
      <x v="12"/>
      <x v="9"/>
      <x v="1"/>
      <x v="1"/>
    </i>
    <i r="3">
      <x v="1"/>
      <x v="1"/>
      <x v="1"/>
      <x v="1"/>
    </i>
    <i r="1">
      <x v="100"/>
      <x v="100"/>
      <x/>
      <x/>
      <x/>
      <x v="1"/>
    </i>
    <i r="1">
      <x v="101"/>
      <x v="101"/>
      <x v="4"/>
      <x v="2"/>
      <x/>
      <x/>
    </i>
    <i r="3">
      <x/>
      <x/>
      <x/>
      <x v="1"/>
    </i>
    <i r="1">
      <x v="102"/>
      <x v="102"/>
      <x/>
      <x/>
      <x/>
      <x v="1"/>
    </i>
    <i r="3">
      <x v="1"/>
      <x v="1"/>
      <x/>
      <x v="1"/>
    </i>
    <i r="1">
      <x v="103"/>
      <x v="103"/>
      <x v="8"/>
      <x v="2"/>
      <x/>
      <x v="1"/>
    </i>
    <i r="1">
      <x v="104"/>
      <x v="104"/>
      <x/>
      <x/>
      <x v="2"/>
      <x v="1"/>
    </i>
    <i r="3">
      <x v="1"/>
      <x v="1"/>
      <x v="2"/>
      <x v="1"/>
    </i>
    <i r="1">
      <x v="105"/>
      <x v="105"/>
      <x v="13"/>
      <x v="10"/>
      <x v="1"/>
      <x v="4"/>
    </i>
    <i r="1">
      <x v="106"/>
      <x v="106"/>
      <x/>
      <x/>
      <x/>
      <x/>
    </i>
    <i r="3">
      <x v="1"/>
      <x v="1"/>
      <x/>
      <x/>
    </i>
    <i>
      <x v="8"/>
      <x v="107"/>
      <x v="107"/>
      <x/>
      <x/>
      <x/>
      <x v="1"/>
    </i>
    <i r="3">
      <x v="1"/>
      <x v="1"/>
      <x/>
      <x v="1"/>
    </i>
    <i r="3">
      <x v="14"/>
      <x v="11"/>
      <x/>
      <x v="1"/>
    </i>
    <i r="1">
      <x v="108"/>
      <x v="108"/>
      <x/>
      <x/>
      <x/>
      <x v="1"/>
    </i>
    <i r="1">
      <x v="109"/>
      <x v="109"/>
      <x/>
      <x/>
      <x/>
      <x v="1"/>
    </i>
    <i r="1">
      <x v="110"/>
      <x v="110"/>
      <x/>
      <x/>
      <x/>
      <x v="1"/>
    </i>
    <i r="3">
      <x v="1"/>
      <x v="1"/>
      <x/>
      <x v="1"/>
    </i>
    <i r="1">
      <x v="111"/>
      <x v="111"/>
      <x v="2"/>
      <x v="1"/>
      <x/>
      <x/>
    </i>
    <i r="1">
      <x v="112"/>
      <x v="112"/>
      <x v="14"/>
      <x v="11"/>
      <x/>
      <x v="1"/>
    </i>
    <i r="3">
      <x v="15"/>
      <x v="12"/>
      <x/>
      <x v="1"/>
    </i>
    <i r="1">
      <x v="113"/>
      <x v="113"/>
      <x v="6"/>
      <x v="4"/>
      <x v="1"/>
      <x v="1"/>
    </i>
    <i r="3">
      <x/>
      <x/>
      <x v="1"/>
      <x v="2"/>
    </i>
    <i r="3">
      <x v="1"/>
      <x v="1"/>
      <x v="1"/>
      <x/>
    </i>
    <i r="3">
      <x v="3"/>
      <x v="1"/>
      <x v="1"/>
      <x v="2"/>
    </i>
    <i r="1">
      <x v="114"/>
      <x v="114"/>
      <x v="4"/>
      <x v="2"/>
      <x/>
      <x v="4"/>
    </i>
    <i r="1">
      <x v="115"/>
      <x v="115"/>
      <x/>
      <x/>
      <x/>
      <x v="4"/>
    </i>
    <i r="1">
      <x v="116"/>
      <x v="116"/>
      <x/>
      <x/>
      <x v="1"/>
      <x/>
    </i>
    <i r="3">
      <x v="1"/>
      <x v="1"/>
      <x v="1"/>
      <x v="1"/>
    </i>
    <i r="1">
      <x v="117"/>
      <x v="117"/>
      <x/>
      <x/>
      <x/>
      <x v="3"/>
    </i>
    <i r="3">
      <x v="1"/>
      <x v="1"/>
      <x/>
      <x/>
    </i>
    <i r="3">
      <x v="3"/>
      <x v="1"/>
      <x/>
      <x v="2"/>
    </i>
    <i r="3">
      <x v="16"/>
      <x v="13"/>
      <x/>
      <x v="1"/>
    </i>
    <i>
      <x v="9"/>
      <x v="118"/>
      <x v="118"/>
      <x v="12"/>
      <x v="9"/>
      <x v="1"/>
      <x v="1"/>
    </i>
    <i r="3">
      <x v="17"/>
      <x v="10"/>
      <x v="1"/>
      <x v="1"/>
    </i>
    <i r="1">
      <x v="119"/>
      <x v="119"/>
      <x/>
      <x/>
      <x/>
      <x/>
    </i>
    <i r="3">
      <x v="1"/>
      <x v="1"/>
      <x/>
      <x/>
    </i>
    <i r="1">
      <x v="120"/>
      <x v="120"/>
      <x/>
      <x/>
      <x/>
      <x v="4"/>
    </i>
    <i r="3">
      <x v="8"/>
      <x v="2"/>
      <x/>
      <x v="1"/>
    </i>
    <i r="1">
      <x v="121"/>
      <x v="121"/>
      <x v="8"/>
      <x v="2"/>
      <x v="1"/>
      <x v="1"/>
    </i>
    <i r="3">
      <x v="5"/>
      <x v="3"/>
      <x v="1"/>
      <x v="1"/>
    </i>
    <i r="1">
      <x v="122"/>
      <x v="122"/>
      <x v="5"/>
      <x v="3"/>
      <x/>
      <x v="1"/>
    </i>
    <i r="1">
      <x v="123"/>
      <x v="123"/>
      <x/>
      <x/>
      <x/>
      <x v="1"/>
    </i>
    <i r="1">
      <x v="124"/>
      <x v="124"/>
      <x/>
      <x/>
      <x/>
      <x v="1"/>
    </i>
    <i r="1">
      <x v="125"/>
      <x v="125"/>
      <x/>
      <x/>
      <x/>
      <x v="1"/>
    </i>
    <i r="1">
      <x v="126"/>
      <x v="126"/>
      <x/>
      <x/>
      <x/>
      <x v="1"/>
    </i>
    <i r="1">
      <x v="127"/>
      <x v="127"/>
      <x/>
      <x/>
      <x/>
      <x v="1"/>
    </i>
    <i r="1">
      <x v="128"/>
      <x v="128"/>
      <x/>
      <x/>
      <x v="1"/>
      <x v="1"/>
    </i>
    <i r="3">
      <x v="3"/>
      <x v="1"/>
      <x v="1"/>
      <x v="1"/>
    </i>
    <i r="1">
      <x v="129"/>
      <x v="129"/>
      <x/>
      <x/>
      <x v="1"/>
      <x v="2"/>
    </i>
    <i r="3">
      <x v="3"/>
      <x v="1"/>
      <x v="1"/>
      <x/>
    </i>
    <i r="1">
      <x v="130"/>
      <x v="130"/>
      <x/>
      <x/>
      <x/>
      <x v="1"/>
    </i>
    <i r="3">
      <x v="7"/>
      <x v="5"/>
      <x/>
      <x v="1"/>
    </i>
    <i>
      <x v="10"/>
      <x v="131"/>
      <x v="131"/>
      <x/>
      <x/>
      <x/>
      <x/>
    </i>
    <i r="1">
      <x v="132"/>
      <x v="132"/>
      <x/>
      <x/>
      <x/>
      <x/>
    </i>
    <i r="1">
      <x v="133"/>
      <x v="133"/>
      <x/>
      <x/>
      <x/>
      <x v="4"/>
    </i>
    <i r="3">
      <x v="1"/>
      <x v="1"/>
      <x/>
      <x/>
    </i>
    <i r="1">
      <x v="134"/>
      <x v="134"/>
      <x/>
      <x/>
      <x/>
      <x v="1"/>
    </i>
    <i r="3">
      <x v="1"/>
      <x v="1"/>
      <x/>
      <x v="1"/>
    </i>
    <i r="1">
      <x v="135"/>
      <x v="135"/>
      <x/>
      <x/>
      <x/>
      <x/>
    </i>
    <i r="3">
      <x v="1"/>
      <x v="1"/>
      <x/>
      <x/>
    </i>
    <i r="1">
      <x v="136"/>
      <x v="136"/>
      <x/>
      <x/>
      <x v="1"/>
      <x/>
    </i>
    <i r="1">
      <x v="137"/>
      <x v="137"/>
      <x/>
      <x/>
      <x v="1"/>
      <x v="2"/>
    </i>
    <i r="3">
      <x v="8"/>
      <x v="2"/>
      <x v="1"/>
      <x v="1"/>
    </i>
    <i r="1">
      <x v="138"/>
      <x v="138"/>
      <x v="18"/>
      <x v="14"/>
      <x/>
      <x v="1"/>
    </i>
    <i r="1">
      <x v="139"/>
      <x v="139"/>
      <x v="19"/>
      <x v="15"/>
      <x/>
      <x v="1"/>
    </i>
    <i r="1">
      <x v="140"/>
      <x v="140"/>
      <x/>
      <x/>
      <x/>
      <x v="1"/>
    </i>
    <i r="3">
      <x v="8"/>
      <x v="2"/>
      <x/>
      <x v="1"/>
    </i>
    <i r="1">
      <x v="141"/>
      <x v="141"/>
      <x v="20"/>
      <x v="8"/>
      <x v="1"/>
      <x v="1"/>
    </i>
    <i r="3">
      <x v="1"/>
      <x v="1"/>
      <x v="1"/>
      <x v="1"/>
    </i>
    <i r="1">
      <x v="142"/>
      <x v="142"/>
      <x/>
      <x/>
      <x/>
      <x/>
    </i>
    <i r="3">
      <x v="8"/>
      <x v="2"/>
      <x/>
      <x v="1"/>
    </i>
    <i>
      <x v="11"/>
      <x v="143"/>
      <x v="143"/>
      <x/>
      <x/>
      <x v="1"/>
      <x v="2"/>
    </i>
    <i r="3">
      <x v="1"/>
      <x v="1"/>
      <x v="1"/>
      <x/>
    </i>
    <i r="1">
      <x v="144"/>
      <x v="144"/>
      <x/>
      <x/>
      <x/>
      <x v="1"/>
    </i>
    <i r="3">
      <x v="3"/>
      <x v="1"/>
      <x/>
      <x v="1"/>
    </i>
    <i r="1">
      <x v="145"/>
      <x v="145"/>
      <x v="12"/>
      <x v="9"/>
      <x v="1"/>
      <x v="1"/>
    </i>
    <i r="3">
      <x/>
      <x/>
      <x v="1"/>
      <x v="2"/>
    </i>
    <i r="1">
      <x v="146"/>
      <x v="146"/>
      <x/>
      <x/>
      <x/>
      <x v="1"/>
    </i>
    <i r="3">
      <x v="1"/>
      <x v="1"/>
      <x/>
      <x v="1"/>
    </i>
    <i r="1">
      <x v="147"/>
      <x v="147"/>
      <x v="21"/>
      <x v="3"/>
      <x/>
      <x v="1"/>
    </i>
    <i r="3">
      <x v="1"/>
      <x v="1"/>
      <x/>
      <x v="1"/>
    </i>
    <i r="3">
      <x v="8"/>
      <x v="2"/>
      <x/>
      <x v="1"/>
    </i>
    <i r="1">
      <x v="148"/>
      <x v="148"/>
      <x v="2"/>
      <x v="1"/>
      <x/>
      <x v="1"/>
    </i>
    <i r="3">
      <x v="21"/>
      <x v="3"/>
      <x/>
      <x v="1"/>
    </i>
    <i r="3">
      <x/>
      <x/>
      <x/>
      <x v="1"/>
    </i>
    <i r="3">
      <x v="1"/>
      <x v="1"/>
      <x/>
      <x v="1"/>
    </i>
    <i r="1">
      <x v="149"/>
      <x v="149"/>
      <x/>
      <x/>
      <x v="1"/>
      <x v="1"/>
    </i>
    <i r="1">
      <x v="150"/>
      <x v="150"/>
      <x v="2"/>
      <x v="1"/>
      <x v="2"/>
      <x v="1"/>
    </i>
    <i r="1">
      <x v="151"/>
      <x v="151"/>
      <x/>
      <x/>
      <x/>
      <x v="1"/>
    </i>
    <i r="3">
      <x v="22"/>
      <x v="5"/>
      <x/>
      <x v="1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15" name="[transacciones].[nombre_transaccion].&amp;[VENTA]" cap="VENTA"/>
  </pageFields>
  <dataFields count="4">
    <dataField name="Recuento de id_item" fld="1" subtotal="count" baseField="0" baseItem="0"/>
    <dataField name="Suma de caja" fld="9" baseField="0" baseItem="0"/>
    <dataField name="Suma de bancos" fld="10" baseField="0" baseItem="0"/>
    <dataField name="Suma de valor_total" fld="7" baseField="0" baseItem="0"/>
  </dataFields>
  <formats count="1">
    <format dxfId="7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19"/>
    <rowHierarchyUsage hierarchyUsage="20"/>
    <rowHierarchyUsage hierarchyUsage="17"/>
    <rowHierarchyUsage hierarchyUsage="11"/>
    <rowHierarchyUsage hierarchyUsage="5"/>
    <rowHierarchyUsage hierarchyUsage="7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laDinámica5" cacheId="14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H11:M25" firstHeaderRow="1" firstDataRow="2" firstDataCol="1"/>
  <pivotFields count="4">
    <pivotField name="nombre_transaccion" axis="axisCol" compact="0" allDrilled="1" outline="0" subtotalTop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a de egreso" fld="3" baseField="0" baseItem="0"/>
  </dataFields>
  <formats count="1">
    <format dxfId="5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TablaDinámica1" cacheId="15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A10:F25" firstHeaderRow="1" firstDataRow="3" firstDataCol="1"/>
  <pivotFields count="4">
    <pivotField name="nombre_transaccion" axis="axisCol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0"/>
        <item s="1" x="1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1"/>
  </colFields>
  <colItems count="5">
    <i>
      <x/>
      <x/>
    </i>
    <i>
      <x v="1"/>
      <x/>
    </i>
    <i r="1">
      <x v="1"/>
    </i>
    <i r="1">
      <x v="2"/>
    </i>
    <i t="grand">
      <x/>
    </i>
  </colItems>
  <dataFields count="1">
    <dataField name="Suma de entrada" fld="2" baseField="0" baseItem="0"/>
  </dataFields>
  <formats count="1">
    <format dxfId="6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2">
    <colHierarchyUsage hierarchyUsage="15"/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TablaDinámica3" cacheId="17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colGrandTotals="0" itemPrintTitles="1" createdVersion="8" indent="0" compact="0" compactData="0" multipleFieldFilters="0">
  <location ref="A8:H235" firstHeaderRow="1" firstDataRow="1" firstDataCol="7" rowPageCount="1" colPageCount="1"/>
  <pivotFields count="9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3">
        <item s="1" x="0"/>
        <item s="1" x="1"/>
        <item s="1" x="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compact="0" allDrilled="1" outline="0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</items>
    </pivotField>
  </pivotFields>
  <rowFields count="7">
    <field x="7"/>
    <field x="3"/>
    <field x="8"/>
    <field x="4"/>
    <field x="6"/>
    <field x="1"/>
    <field x="5"/>
  </rowFields>
  <rowItems count="227">
    <i>
      <x/>
      <x/>
      <x/>
      <x/>
      <x/>
      <x/>
      <x/>
    </i>
    <i r="2">
      <x v="1"/>
      <x/>
      <x/>
      <x v="1"/>
      <x v="1"/>
    </i>
    <i r="2">
      <x v="2"/>
      <x/>
      <x/>
      <x/>
      <x/>
    </i>
    <i r="3">
      <x v="1"/>
      <x v="1"/>
      <x/>
      <x/>
    </i>
    <i r="2">
      <x v="3"/>
      <x/>
      <x/>
      <x v="1"/>
      <x v="2"/>
    </i>
    <i r="2">
      <x v="4"/>
      <x v="2"/>
      <x v="1"/>
      <x/>
      <x/>
    </i>
    <i r="3">
      <x/>
      <x/>
      <x/>
      <x/>
    </i>
    <i r="2">
      <x v="5"/>
      <x/>
      <x/>
      <x/>
      <x/>
    </i>
    <i r="3">
      <x v="3"/>
      <x v="1"/>
      <x/>
      <x v="1"/>
    </i>
    <i r="2">
      <x v="6"/>
      <x/>
      <x/>
      <x/>
      <x v="1"/>
    </i>
    <i r="2">
      <x v="7"/>
      <x/>
      <x/>
      <x/>
      <x/>
    </i>
    <i r="3">
      <x v="1"/>
      <x v="1"/>
      <x/>
      <x/>
    </i>
    <i r="2">
      <x v="8"/>
      <x/>
      <x/>
      <x/>
      <x v="2"/>
    </i>
    <i r="2">
      <x v="9"/>
      <x/>
      <x/>
      <x/>
      <x v="1"/>
    </i>
    <i r="2">
      <x v="10"/>
      <x/>
      <x/>
      <x/>
      <x v="1"/>
    </i>
    <i r="2">
      <x v="11"/>
      <x/>
      <x/>
      <x/>
      <x v="1"/>
    </i>
    <i r="3">
      <x v="3"/>
      <x v="1"/>
      <x/>
      <x v="1"/>
    </i>
    <i r="2">
      <x v="12"/>
      <x/>
      <x/>
      <x/>
      <x v="2"/>
    </i>
    <i r="2">
      <x v="13"/>
      <x/>
      <x/>
      <x/>
      <x v="1"/>
    </i>
    <i>
      <x v="1"/>
      <x v="1"/>
      <x v="14"/>
      <x/>
      <x/>
      <x/>
      <x v="3"/>
    </i>
    <i r="2">
      <x v="15"/>
      <x/>
      <x/>
      <x/>
      <x v="2"/>
    </i>
    <i r="2">
      <x v="16"/>
      <x/>
      <x/>
      <x/>
      <x v="1"/>
    </i>
    <i r="2">
      <x v="17"/>
      <x/>
      <x/>
      <x/>
      <x v="1"/>
    </i>
    <i r="2">
      <x v="18"/>
      <x/>
      <x/>
      <x/>
      <x/>
    </i>
    <i r="2">
      <x v="19"/>
      <x/>
      <x/>
      <x/>
      <x v="1"/>
    </i>
    <i r="2">
      <x v="20"/>
      <x v="4"/>
      <x v="2"/>
      <x/>
      <x/>
    </i>
    <i r="3">
      <x/>
      <x/>
      <x/>
      <x v="1"/>
    </i>
    <i r="2">
      <x v="21"/>
      <x/>
      <x/>
      <x/>
      <x v="1"/>
    </i>
    <i r="2">
      <x v="22"/>
      <x/>
      <x/>
      <x v="1"/>
      <x v="1"/>
    </i>
    <i r="2">
      <x v="23"/>
      <x/>
      <x/>
      <x/>
      <x v="1"/>
    </i>
    <i r="2">
      <x v="24"/>
      <x v="2"/>
      <x v="1"/>
      <x/>
      <x v="1"/>
    </i>
    <i r="3">
      <x/>
      <x/>
      <x/>
      <x v="2"/>
    </i>
    <i r="3">
      <x v="3"/>
      <x v="1"/>
      <x/>
      <x v="1"/>
    </i>
    <i r="2">
      <x v="25"/>
      <x/>
      <x/>
      <x/>
      <x v="4"/>
    </i>
    <i r="3">
      <x v="1"/>
      <x v="1"/>
      <x/>
      <x/>
    </i>
    <i r="2">
      <x v="26"/>
      <x/>
      <x/>
      <x/>
      <x v="1"/>
    </i>
    <i>
      <x v="2"/>
      <x v="2"/>
      <x v="27"/>
      <x/>
      <x/>
      <x/>
      <x v="1"/>
    </i>
    <i r="2">
      <x v="28"/>
      <x/>
      <x/>
      <x/>
      <x v="1"/>
    </i>
    <i r="2">
      <x v="29"/>
      <x/>
      <x/>
      <x/>
      <x v="1"/>
    </i>
    <i r="2">
      <x v="30"/>
      <x v="5"/>
      <x v="3"/>
      <x/>
      <x v="1"/>
    </i>
    <i r="2">
      <x v="31"/>
      <x v="5"/>
      <x v="3"/>
      <x/>
      <x v="1"/>
    </i>
    <i r="2">
      <x v="32"/>
      <x/>
      <x/>
      <x/>
      <x/>
    </i>
    <i r="2">
      <x v="33"/>
      <x/>
      <x/>
      <x/>
      <x v="1"/>
    </i>
    <i r="2">
      <x v="34"/>
      <x/>
      <x/>
      <x v="1"/>
      <x v="1"/>
    </i>
    <i r="2">
      <x v="35"/>
      <x/>
      <x/>
      <x/>
      <x v="1"/>
    </i>
    <i r="2">
      <x v="36"/>
      <x/>
      <x/>
      <x/>
      <x v="1"/>
    </i>
    <i r="2">
      <x v="37"/>
      <x/>
      <x/>
      <x/>
      <x v="1"/>
    </i>
    <i r="2">
      <x v="38"/>
      <x/>
      <x/>
      <x/>
      <x v="3"/>
    </i>
    <i r="2">
      <x v="39"/>
      <x v="1"/>
      <x v="1"/>
      <x/>
      <x/>
    </i>
    <i r="3">
      <x v="3"/>
      <x v="1"/>
      <x/>
      <x v="1"/>
    </i>
    <i r="2">
      <x v="40"/>
      <x/>
      <x/>
      <x/>
      <x v="2"/>
    </i>
    <i r="2">
      <x v="41"/>
      <x/>
      <x/>
      <x v="1"/>
      <x v="1"/>
    </i>
    <i r="2">
      <x v="42"/>
      <x/>
      <x/>
      <x/>
      <x v="1"/>
    </i>
    <i r="3">
      <x v="1"/>
      <x v="1"/>
      <x/>
      <x v="1"/>
    </i>
    <i r="2">
      <x v="43"/>
      <x v="4"/>
      <x v="2"/>
      <x v="1"/>
      <x v="3"/>
    </i>
    <i r="2">
      <x v="44"/>
      <x v="5"/>
      <x v="3"/>
      <x/>
      <x v="1"/>
    </i>
    <i r="3">
      <x v="3"/>
      <x v="1"/>
      <x/>
      <x v="1"/>
    </i>
    <i r="2">
      <x v="45"/>
      <x/>
      <x/>
      <x/>
      <x/>
    </i>
    <i r="2">
      <x v="46"/>
      <x/>
      <x/>
      <x/>
      <x/>
    </i>
    <i r="2">
      <x v="47"/>
      <x/>
      <x/>
      <x/>
      <x v="4"/>
    </i>
    <i r="2">
      <x v="48"/>
      <x/>
      <x/>
      <x v="1"/>
      <x v="1"/>
    </i>
    <i r="2">
      <x v="49"/>
      <x/>
      <x/>
      <x/>
      <x/>
    </i>
    <i>
      <x v="3"/>
      <x v="3"/>
      <x v="50"/>
      <x v="4"/>
      <x v="2"/>
      <x/>
      <x/>
    </i>
    <i r="2">
      <x v="51"/>
      <x/>
      <x/>
      <x/>
      <x/>
    </i>
    <i r="2">
      <x v="52"/>
      <x v="6"/>
      <x v="4"/>
      <x v="1"/>
      <x v="1"/>
    </i>
    <i r="2">
      <x v="53"/>
      <x/>
      <x/>
      <x v="1"/>
      <x v="3"/>
    </i>
    <i r="3">
      <x v="3"/>
      <x v="1"/>
      <x v="1"/>
      <x v="2"/>
    </i>
    <i r="2">
      <x v="54"/>
      <x/>
      <x/>
      <x/>
      <x v="1"/>
    </i>
    <i r="2">
      <x v="55"/>
      <x/>
      <x/>
      <x v="1"/>
      <x v="1"/>
    </i>
    <i r="2">
      <x v="56"/>
      <x/>
      <x/>
      <x/>
      <x v="1"/>
    </i>
    <i r="2">
      <x v="57"/>
      <x/>
      <x/>
      <x v="1"/>
      <x v="1"/>
    </i>
    <i r="2">
      <x v="58"/>
      <x/>
      <x/>
      <x/>
      <x/>
    </i>
    <i r="2">
      <x v="59"/>
      <x/>
      <x/>
      <x v="1"/>
      <x/>
    </i>
    <i r="3">
      <x v="1"/>
      <x v="1"/>
      <x v="1"/>
      <x v="1"/>
    </i>
    <i r="2">
      <x v="60"/>
      <x/>
      <x/>
      <x/>
      <x v="1"/>
    </i>
    <i r="2">
      <x v="61"/>
      <x/>
      <x/>
      <x/>
      <x v="1"/>
    </i>
    <i r="2">
      <x v="62"/>
      <x/>
      <x/>
      <x/>
      <x v="1"/>
    </i>
    <i r="3">
      <x v="3"/>
      <x v="1"/>
      <x/>
      <x v="1"/>
    </i>
    <i r="2">
      <x v="63"/>
      <x/>
      <x/>
      <x v="1"/>
      <x v="1"/>
    </i>
    <i r="2">
      <x v="64"/>
      <x/>
      <x/>
      <x v="1"/>
      <x v="1"/>
    </i>
    <i>
      <x v="4"/>
      <x v="4"/>
      <x v="65"/>
      <x/>
      <x/>
      <x v="1"/>
      <x v="1"/>
    </i>
    <i r="3">
      <x v="3"/>
      <x v="1"/>
      <x v="1"/>
      <x v="1"/>
    </i>
    <i r="2">
      <x v="66"/>
      <x/>
      <x/>
      <x/>
      <x v="1"/>
    </i>
    <i r="2">
      <x v="67"/>
      <x/>
      <x/>
      <x/>
      <x v="1"/>
    </i>
    <i r="3">
      <x v="5"/>
      <x v="3"/>
      <x/>
      <x v="1"/>
    </i>
    <i r="3">
      <x v="7"/>
      <x v="5"/>
      <x/>
      <x v="1"/>
    </i>
    <i r="2">
      <x v="68"/>
      <x/>
      <x/>
      <x/>
      <x v="2"/>
    </i>
    <i r="3">
      <x v="1"/>
      <x v="1"/>
      <x/>
      <x/>
    </i>
    <i r="3">
      <x v="5"/>
      <x v="3"/>
      <x/>
      <x v="1"/>
    </i>
    <i r="2">
      <x v="69"/>
      <x/>
      <x/>
      <x/>
      <x/>
    </i>
    <i r="3">
      <x v="1"/>
      <x v="1"/>
      <x/>
      <x v="1"/>
    </i>
    <i r="2">
      <x v="70"/>
      <x/>
      <x/>
      <x v="1"/>
      <x v="2"/>
    </i>
    <i r="2">
      <x v="71"/>
      <x v="2"/>
      <x v="1"/>
      <x v="2"/>
      <x v="1"/>
    </i>
    <i r="3">
      <x/>
      <x/>
      <x v="2"/>
      <x v="1"/>
    </i>
    <i r="2">
      <x v="72"/>
      <x/>
      <x/>
      <x v="1"/>
      <x/>
    </i>
    <i r="2">
      <x v="73"/>
      <x/>
      <x/>
      <x/>
      <x v="4"/>
    </i>
    <i r="3">
      <x v="1"/>
      <x v="1"/>
      <x/>
      <x v="2"/>
    </i>
    <i r="2">
      <x v="74"/>
      <x/>
      <x/>
      <x/>
      <x v="1"/>
    </i>
    <i>
      <x v="5"/>
      <x v="5"/>
      <x v="75"/>
      <x v="4"/>
      <x v="2"/>
      <x/>
      <x v="5"/>
    </i>
    <i r="2">
      <x v="76"/>
      <x/>
      <x/>
      <x v="1"/>
      <x/>
    </i>
    <i r="2">
      <x v="77"/>
      <x v="2"/>
      <x v="1"/>
      <x v="1"/>
      <x v="1"/>
    </i>
    <i r="3">
      <x/>
      <x/>
      <x v="1"/>
      <x v="1"/>
    </i>
    <i r="3">
      <x v="7"/>
      <x v="5"/>
      <x v="1"/>
      <x v="1"/>
    </i>
    <i r="2">
      <x v="78"/>
      <x/>
      <x/>
      <x/>
      <x/>
    </i>
    <i r="3">
      <x v="1"/>
      <x v="1"/>
      <x/>
      <x v="1"/>
    </i>
    <i r="2">
      <x v="79"/>
      <x/>
      <x/>
      <x/>
      <x/>
    </i>
    <i r="3">
      <x v="1"/>
      <x v="1"/>
      <x/>
      <x v="1"/>
    </i>
    <i r="2">
      <x v="80"/>
      <x/>
      <x/>
      <x/>
      <x v="1"/>
    </i>
    <i r="3">
      <x v="1"/>
      <x v="1"/>
      <x/>
      <x v="1"/>
    </i>
    <i r="2">
      <x v="81"/>
      <x/>
      <x/>
      <x/>
      <x v="4"/>
    </i>
    <i r="3">
      <x v="1"/>
      <x v="1"/>
      <x/>
      <x/>
    </i>
    <i r="2">
      <x v="82"/>
      <x/>
      <x/>
      <x/>
      <x/>
    </i>
    <i r="2">
      <x v="83"/>
      <x/>
      <x/>
      <x/>
      <x v="2"/>
    </i>
    <i r="3">
      <x v="8"/>
      <x v="2"/>
      <x/>
      <x v="1"/>
    </i>
    <i r="2">
      <x v="84"/>
      <x v="5"/>
      <x v="3"/>
      <x/>
      <x v="1"/>
    </i>
    <i r="2">
      <x v="85"/>
      <x v="5"/>
      <x v="3"/>
      <x/>
      <x v="1"/>
    </i>
    <i r="2">
      <x v="86"/>
      <x v="9"/>
      <x v="6"/>
      <x/>
      <x v="1"/>
    </i>
    <i r="2">
      <x v="87"/>
      <x v="10"/>
      <x v="7"/>
      <x/>
      <x/>
    </i>
    <i r="2">
      <x v="88"/>
      <x v="11"/>
      <x v="8"/>
      <x/>
      <x v="1"/>
    </i>
    <i r="2">
      <x v="89"/>
      <x v="4"/>
      <x v="2"/>
      <x v="1"/>
      <x v="4"/>
    </i>
    <i>
      <x v="6"/>
      <x v="6"/>
      <x v="90"/>
      <x/>
      <x/>
      <x/>
      <x v="1"/>
    </i>
    <i r="3">
      <x v="1"/>
      <x v="1"/>
      <x/>
      <x v="1"/>
    </i>
    <i r="2">
      <x v="91"/>
      <x/>
      <x/>
      <x/>
      <x v="1"/>
    </i>
    <i r="2">
      <x v="92"/>
      <x/>
      <x/>
      <x/>
      <x v="1"/>
    </i>
    <i r="2">
      <x v="93"/>
      <x/>
      <x/>
      <x/>
      <x v="2"/>
    </i>
    <i r="3">
      <x v="1"/>
      <x v="1"/>
      <x/>
      <x v="1"/>
    </i>
    <i r="3">
      <x v="3"/>
      <x v="1"/>
      <x/>
      <x/>
    </i>
    <i>
      <x v="7"/>
      <x v="7"/>
      <x v="94"/>
      <x v="1"/>
      <x v="1"/>
      <x/>
      <x/>
    </i>
    <i r="2">
      <x v="95"/>
      <x/>
      <x/>
      <x/>
      <x v="1"/>
    </i>
    <i r="2">
      <x v="96"/>
      <x/>
      <x/>
      <x/>
      <x v="1"/>
    </i>
    <i r="2">
      <x v="97"/>
      <x/>
      <x/>
      <x/>
      <x v="1"/>
    </i>
    <i r="3">
      <x v="8"/>
      <x v="2"/>
      <x/>
      <x v="1"/>
    </i>
    <i r="2">
      <x v="98"/>
      <x/>
      <x/>
      <x/>
      <x v="1"/>
    </i>
    <i r="2">
      <x v="99"/>
      <x v="12"/>
      <x v="9"/>
      <x v="1"/>
      <x v="1"/>
    </i>
    <i r="3">
      <x v="1"/>
      <x v="1"/>
      <x v="1"/>
      <x v="1"/>
    </i>
    <i r="2">
      <x v="100"/>
      <x/>
      <x/>
      <x/>
      <x v="1"/>
    </i>
    <i r="2">
      <x v="101"/>
      <x v="4"/>
      <x v="2"/>
      <x/>
      <x/>
    </i>
    <i r="3">
      <x/>
      <x/>
      <x/>
      <x v="1"/>
    </i>
    <i r="2">
      <x v="102"/>
      <x/>
      <x/>
      <x/>
      <x v="1"/>
    </i>
    <i r="3">
      <x v="1"/>
      <x v="1"/>
      <x/>
      <x v="1"/>
    </i>
    <i r="2">
      <x v="103"/>
      <x v="8"/>
      <x v="2"/>
      <x/>
      <x v="1"/>
    </i>
    <i r="2">
      <x v="104"/>
      <x/>
      <x/>
      <x v="2"/>
      <x v="1"/>
    </i>
    <i r="3">
      <x v="1"/>
      <x v="1"/>
      <x v="2"/>
      <x v="1"/>
    </i>
    <i r="2">
      <x v="105"/>
      <x v="13"/>
      <x v="10"/>
      <x v="1"/>
      <x v="4"/>
    </i>
    <i r="2">
      <x v="106"/>
      <x/>
      <x/>
      <x/>
      <x/>
    </i>
    <i r="3">
      <x v="1"/>
      <x v="1"/>
      <x/>
      <x/>
    </i>
    <i>
      <x v="8"/>
      <x v="8"/>
      <x v="107"/>
      <x/>
      <x/>
      <x/>
      <x v="1"/>
    </i>
    <i r="3">
      <x v="1"/>
      <x v="1"/>
      <x/>
      <x v="1"/>
    </i>
    <i r="3">
      <x v="14"/>
      <x v="11"/>
      <x/>
      <x v="1"/>
    </i>
    <i r="2">
      <x v="108"/>
      <x/>
      <x/>
      <x/>
      <x v="1"/>
    </i>
    <i r="2">
      <x v="109"/>
      <x/>
      <x/>
      <x/>
      <x v="1"/>
    </i>
    <i r="2">
      <x v="110"/>
      <x/>
      <x/>
      <x/>
      <x v="1"/>
    </i>
    <i r="3">
      <x v="1"/>
      <x v="1"/>
      <x/>
      <x v="1"/>
    </i>
    <i r="2">
      <x v="111"/>
      <x v="2"/>
      <x v="1"/>
      <x/>
      <x/>
    </i>
    <i r="2">
      <x v="112"/>
      <x v="14"/>
      <x v="11"/>
      <x/>
      <x v="1"/>
    </i>
    <i r="3">
      <x v="15"/>
      <x v="12"/>
      <x/>
      <x v="1"/>
    </i>
    <i r="2">
      <x v="113"/>
      <x v="6"/>
      <x v="4"/>
      <x v="1"/>
      <x v="1"/>
    </i>
    <i r="3">
      <x/>
      <x/>
      <x v="1"/>
      <x v="2"/>
    </i>
    <i r="3">
      <x v="1"/>
      <x v="1"/>
      <x v="1"/>
      <x/>
    </i>
    <i r="3">
      <x v="3"/>
      <x v="1"/>
      <x v="1"/>
      <x v="2"/>
    </i>
    <i r="2">
      <x v="114"/>
      <x v="4"/>
      <x v="2"/>
      <x/>
      <x v="4"/>
    </i>
    <i r="2">
      <x v="115"/>
      <x/>
      <x/>
      <x/>
      <x v="4"/>
    </i>
    <i r="2">
      <x v="116"/>
      <x/>
      <x/>
      <x v="1"/>
      <x/>
    </i>
    <i r="3">
      <x v="1"/>
      <x v="1"/>
      <x v="1"/>
      <x v="1"/>
    </i>
    <i r="2">
      <x v="117"/>
      <x/>
      <x/>
      <x/>
      <x v="3"/>
    </i>
    <i r="3">
      <x v="1"/>
      <x v="1"/>
      <x/>
      <x/>
    </i>
    <i r="3">
      <x v="3"/>
      <x v="1"/>
      <x/>
      <x v="2"/>
    </i>
    <i r="3">
      <x v="16"/>
      <x v="13"/>
      <x/>
      <x v="1"/>
    </i>
    <i>
      <x v="9"/>
      <x v="9"/>
      <x v="118"/>
      <x v="12"/>
      <x v="9"/>
      <x v="1"/>
      <x v="1"/>
    </i>
    <i r="3">
      <x v="17"/>
      <x v="10"/>
      <x v="1"/>
      <x v="1"/>
    </i>
    <i r="2">
      <x v="119"/>
      <x/>
      <x/>
      <x/>
      <x/>
    </i>
    <i r="3">
      <x v="1"/>
      <x v="1"/>
      <x/>
      <x/>
    </i>
    <i r="2">
      <x v="120"/>
      <x/>
      <x/>
      <x/>
      <x v="4"/>
    </i>
    <i r="3">
      <x v="8"/>
      <x v="2"/>
      <x/>
      <x v="1"/>
    </i>
    <i r="2">
      <x v="121"/>
      <x v="8"/>
      <x v="2"/>
      <x v="1"/>
      <x v="1"/>
    </i>
    <i r="3">
      <x v="5"/>
      <x v="3"/>
      <x v="1"/>
      <x v="1"/>
    </i>
    <i r="2">
      <x v="122"/>
      <x v="5"/>
      <x v="3"/>
      <x/>
      <x v="1"/>
    </i>
    <i r="2">
      <x v="123"/>
      <x/>
      <x/>
      <x/>
      <x v="1"/>
    </i>
    <i r="2">
      <x v="124"/>
      <x/>
      <x/>
      <x/>
      <x v="1"/>
    </i>
    <i r="2">
      <x v="125"/>
      <x/>
      <x/>
      <x/>
      <x v="1"/>
    </i>
    <i r="2">
      <x v="126"/>
      <x/>
      <x/>
      <x/>
      <x v="1"/>
    </i>
    <i r="2">
      <x v="127"/>
      <x/>
      <x/>
      <x/>
      <x v="1"/>
    </i>
    <i r="2">
      <x v="128"/>
      <x/>
      <x/>
      <x v="1"/>
      <x v="1"/>
    </i>
    <i r="3">
      <x v="3"/>
      <x v="1"/>
      <x v="1"/>
      <x v="1"/>
    </i>
    <i r="2">
      <x v="129"/>
      <x/>
      <x/>
      <x v="1"/>
      <x v="2"/>
    </i>
    <i r="3">
      <x v="3"/>
      <x v="1"/>
      <x v="1"/>
      <x/>
    </i>
    <i r="2">
      <x v="130"/>
      <x/>
      <x/>
      <x/>
      <x v="1"/>
    </i>
    <i r="3">
      <x v="7"/>
      <x v="5"/>
      <x/>
      <x v="1"/>
    </i>
    <i>
      <x v="10"/>
      <x v="10"/>
      <x v="131"/>
      <x/>
      <x/>
      <x/>
      <x/>
    </i>
    <i r="2">
      <x v="132"/>
      <x/>
      <x/>
      <x/>
      <x/>
    </i>
    <i r="2">
      <x v="133"/>
      <x/>
      <x/>
      <x/>
      <x v="4"/>
    </i>
    <i r="3">
      <x v="1"/>
      <x v="1"/>
      <x/>
      <x/>
    </i>
    <i r="2">
      <x v="134"/>
      <x/>
      <x/>
      <x/>
      <x v="1"/>
    </i>
    <i r="3">
      <x v="1"/>
      <x v="1"/>
      <x/>
      <x v="1"/>
    </i>
    <i r="2">
      <x v="135"/>
      <x/>
      <x/>
      <x/>
      <x/>
    </i>
    <i r="3">
      <x v="1"/>
      <x v="1"/>
      <x/>
      <x/>
    </i>
    <i r="2">
      <x v="136"/>
      <x/>
      <x/>
      <x v="1"/>
      <x/>
    </i>
    <i r="2">
      <x v="137"/>
      <x/>
      <x/>
      <x v="1"/>
      <x v="2"/>
    </i>
    <i r="3">
      <x v="8"/>
      <x v="2"/>
      <x v="1"/>
      <x v="1"/>
    </i>
    <i r="2">
      <x v="138"/>
      <x v="18"/>
      <x v="14"/>
      <x/>
      <x v="1"/>
    </i>
    <i r="2">
      <x v="139"/>
      <x v="19"/>
      <x v="15"/>
      <x/>
      <x v="1"/>
    </i>
    <i r="2">
      <x v="140"/>
      <x/>
      <x/>
      <x/>
      <x v="1"/>
    </i>
    <i r="3">
      <x v="8"/>
      <x v="2"/>
      <x/>
      <x v="1"/>
    </i>
    <i r="2">
      <x v="141"/>
      <x v="20"/>
      <x v="8"/>
      <x v="1"/>
      <x v="1"/>
    </i>
    <i r="3">
      <x v="1"/>
      <x v="1"/>
      <x v="1"/>
      <x v="1"/>
    </i>
    <i r="2">
      <x v="142"/>
      <x/>
      <x/>
      <x/>
      <x/>
    </i>
    <i r="3">
      <x v="8"/>
      <x v="2"/>
      <x/>
      <x v="1"/>
    </i>
    <i>
      <x v="11"/>
      <x v="11"/>
      <x v="143"/>
      <x/>
      <x/>
      <x v="1"/>
      <x v="2"/>
    </i>
    <i r="3">
      <x v="1"/>
      <x v="1"/>
      <x v="1"/>
      <x/>
    </i>
    <i r="2">
      <x v="144"/>
      <x/>
      <x/>
      <x/>
      <x v="1"/>
    </i>
    <i r="3">
      <x v="3"/>
      <x v="1"/>
      <x/>
      <x v="1"/>
    </i>
    <i r="2">
      <x v="145"/>
      <x v="12"/>
      <x v="9"/>
      <x v="1"/>
      <x v="1"/>
    </i>
    <i r="3">
      <x/>
      <x/>
      <x v="1"/>
      <x v="2"/>
    </i>
    <i r="2">
      <x v="146"/>
      <x/>
      <x/>
      <x/>
      <x v="1"/>
    </i>
    <i r="3">
      <x v="1"/>
      <x v="1"/>
      <x/>
      <x v="1"/>
    </i>
    <i r="2">
      <x v="147"/>
      <x v="21"/>
      <x v="3"/>
      <x/>
      <x v="1"/>
    </i>
    <i r="3">
      <x v="1"/>
      <x v="1"/>
      <x/>
      <x v="1"/>
    </i>
    <i r="3">
      <x v="8"/>
      <x v="2"/>
      <x/>
      <x v="1"/>
    </i>
    <i r="2">
      <x v="148"/>
      <x v="2"/>
      <x v="1"/>
      <x/>
      <x v="1"/>
    </i>
    <i r="3">
      <x v="21"/>
      <x v="3"/>
      <x/>
      <x v="1"/>
    </i>
    <i r="3">
      <x/>
      <x/>
      <x/>
      <x v="1"/>
    </i>
    <i r="3">
      <x v="1"/>
      <x v="1"/>
      <x/>
      <x v="1"/>
    </i>
    <i r="2">
      <x v="149"/>
      <x/>
      <x/>
      <x v="1"/>
      <x v="1"/>
    </i>
    <i r="2">
      <x v="150"/>
      <x v="2"/>
      <x v="1"/>
      <x v="2"/>
      <x v="1"/>
    </i>
    <i r="2">
      <x v="151"/>
      <x/>
      <x/>
      <x/>
      <x v="1"/>
    </i>
    <i r="3">
      <x v="22"/>
      <x v="5"/>
      <x/>
      <x v="1"/>
    </i>
    <i t="grand">
      <x/>
    </i>
  </rowItems>
  <colItems count="1">
    <i/>
  </colItems>
  <pageFields count="1">
    <pageField fld="0" hier="15" name="[transacciones].[nombre_transaccion].&amp;[VENTA]" cap="VENTA"/>
  </pageFields>
  <dataFields count="1">
    <dataField name="Recuento de id_item" fld="2" subtotal="count" baseField="0" baseItem="0"/>
  </dataFields>
  <formats count="1">
    <format dxfId="3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7">
    <rowHierarchyUsage hierarchyUsage="24"/>
    <rowHierarchyUsage hierarchyUsage="19"/>
    <rowHierarchyUsage hierarchyUsage="17"/>
    <rowHierarchyUsage hierarchyUsage="11"/>
    <rowHierarchyUsage hierarchyUsage="5"/>
    <rowHierarchyUsage hierarchyUsage="16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TablaDinámica1" cacheId="16" applyNumberFormats="0" applyBorderFormats="0" applyFontFormats="0" applyPatternFormats="0" applyAlignmentFormats="0" applyWidthHeightFormats="1" dataCaption="Valores" tag="338be18e-c5dc-48f6-b7f5-d06929573759" updatedVersion="8" minRefreshableVersion="3" useAutoFormatting="1" subtotalHiddenItems="1" itemPrintTitles="1" createdVersion="8" indent="0" compact="0" compactData="0" multipleFieldFilters="0">
  <location ref="K8:O22" firstHeaderRow="1" firstDataRow="2" firstDataCol="1" rowPageCount="1" colPageCount="1"/>
  <pivotFields count="4">
    <pivotField name="nombre_transaccion" axis="axisPage" compact="0" allDrilled="1" outline="0" subtotalTop="0" showAll="0" dataSourceSort="1" defaultSubtotal="0" defaultAttributeDrillState="1">
      <items count="1">
        <item s="1" x="0"/>
      </items>
    </pivotField>
    <pivotField axis="axisCol" compact="0" allDrilled="1" outline="0" subtotalTop="0" showAll="0" sortType="ascending" defaultSubtotal="0" defaultAttributeDrillState="1">
      <items count="3">
        <item s="1" x="0"/>
        <item s="1" x="1"/>
        <item s="1" x="2"/>
      </items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0" hier="15" name="[transacciones].[nombre_transaccion].&amp;[VENTA]" cap="VENTA"/>
  </pageFields>
  <dataFields count="1">
    <dataField name="Suma de valor_total" fld="3" baseField="0" baseItem="0"/>
  </dataFields>
  <formats count="1">
    <format dxfId="4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TablaDinámica1" cacheId="23" applyNumberFormats="0" applyBorderFormats="0" applyFontFormats="0" applyPatternFormats="0" applyAlignmentFormats="0" applyWidthHeightFormats="1" dataCaption="Valores" tag="338be18e-c5dc-48f6-b7f5-d06929573759" updatedVersion="6" minRefreshableVersion="3" useAutoFormatting="1" subtotalHiddenItems="1" itemPrintTitles="1" createdVersion="8" indent="0" compact="0" compactData="0" multipleFieldFilters="0">
  <location ref="A1:E16" firstHeaderRow="1" firstDataRow="3" firstDataCol="1"/>
  <pivotFields count="4">
    <pivotField name="nombre_transaccion" axis="axisCol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efaultSubtotal="0" defaultAttributeDrillState="1">
      <items count="3">
        <item s="1" x="1"/>
        <item s="1" x="0"/>
        <item s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0"/>
    <field x="1"/>
  </colFields>
  <colItems count="4">
    <i>
      <x/>
      <x/>
    </i>
    <i r="1">
      <x v="1"/>
    </i>
    <i r="1">
      <x v="2"/>
    </i>
    <i t="grand">
      <x/>
    </i>
  </colItems>
  <dataFields count="1">
    <dataField name="Suma de entrada" fld="2" baseField="0" baseItem="0"/>
  </dataFields>
  <formats count="1">
    <format dxfId="1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 caption="edwin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Recuento de id_transaccion"/>
    <pivotHierarchy dragToData="1"/>
    <pivotHierarchy dragToData="1" caption="N. productos"/>
    <pivotHierarchy dragToData="1"/>
    <pivotHierarchy dragToData="1" caption="Recuento de id_item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2">
    <colHierarchyUsage hierarchyUsage="15"/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transacciones]"/>
        <x15:activeTabTopLevelEntity name="[items]"/>
        <x15:activeTabTopLevelEntity name="[productos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localhost:5000/" TargetMode="External"/><Relationship Id="rId2" Type="http://schemas.openxmlformats.org/officeDocument/2006/relationships/hyperlink" Target="https://subformative-marylee-solvently.ngrok-free.dev/" TargetMode="External"/><Relationship Id="rId1" Type="http://schemas.openxmlformats.org/officeDocument/2006/relationships/hyperlink" Target="https://argentina-infrasonic-halina.ngrok-free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zoomScale="85" zoomScaleNormal="85" workbookViewId="0">
      <selection activeCell="H4" sqref="H4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30.28515625" customWidth="1"/>
    <col min="4" max="4" width="10.85546875" bestFit="1" customWidth="1"/>
    <col min="5" max="5" width="26.7109375" bestFit="1" customWidth="1"/>
    <col min="6" max="6" width="10.85546875" bestFit="1" customWidth="1"/>
    <col min="7" max="7" width="10.85546875" style="5" bestFit="1" customWidth="1"/>
    <col min="8" max="8" width="19.5703125" style="5" bestFit="1" customWidth="1"/>
    <col min="9" max="9" width="12.42578125" style="5" bestFit="1" customWidth="1"/>
    <col min="10" max="10" width="15.140625" style="5" bestFit="1" customWidth="1"/>
    <col min="11" max="12" width="18.7109375" bestFit="1" customWidth="1"/>
    <col min="13" max="13" width="19.5703125" style="5" bestFit="1" customWidth="1"/>
    <col min="14" max="14" width="19.5703125" bestFit="1" customWidth="1"/>
  </cols>
  <sheetData>
    <row r="1" spans="1:14" x14ac:dyDescent="0.25">
      <c r="B1" s="12" t="s" vm="1">
        <v>0</v>
      </c>
    </row>
    <row r="2" spans="1:14" x14ac:dyDescent="0.25">
      <c r="A2" s="13" t="s">
        <v>14</v>
      </c>
      <c r="B2" s="13" t="s">
        <v>36</v>
      </c>
      <c r="C2" s="13" t="s">
        <v>16</v>
      </c>
      <c r="D2" s="13" t="s">
        <v>24</v>
      </c>
      <c r="E2" s="13" t="s">
        <v>13</v>
      </c>
      <c r="F2" s="13" t="s">
        <v>23</v>
      </c>
      <c r="G2" s="13" t="s">
        <v>15</v>
      </c>
      <c r="H2" s="14"/>
      <c r="I2" s="14"/>
      <c r="J2" s="14"/>
    </row>
    <row r="3" spans="1:14" x14ac:dyDescent="0.25">
      <c r="G3"/>
      <c r="H3"/>
      <c r="I3"/>
      <c r="J3"/>
    </row>
    <row r="4" spans="1:14" x14ac:dyDescent="0.25">
      <c r="A4" s="1" t="s">
        <v>25</v>
      </c>
      <c r="B4" t="s" vm="1">
        <v>0</v>
      </c>
      <c r="N4" s="3"/>
    </row>
    <row r="6" spans="1:14" x14ac:dyDescent="0.25">
      <c r="A6" s="1" t="s">
        <v>14</v>
      </c>
      <c r="B6" s="1" t="s">
        <v>44</v>
      </c>
      <c r="C6" s="1" t="s">
        <v>36</v>
      </c>
      <c r="D6" s="1" t="s">
        <v>16</v>
      </c>
      <c r="E6" s="1" t="s">
        <v>24</v>
      </c>
      <c r="F6" s="1" t="s">
        <v>66</v>
      </c>
      <c r="G6" s="1" t="s">
        <v>23</v>
      </c>
      <c r="H6" t="s">
        <v>15</v>
      </c>
      <c r="I6" t="s">
        <v>67</v>
      </c>
      <c r="J6" t="s">
        <v>68</v>
      </c>
      <c r="K6" t="s">
        <v>37</v>
      </c>
      <c r="M6"/>
    </row>
    <row r="7" spans="1:14" x14ac:dyDescent="0.25">
      <c r="A7" s="10">
        <v>46076</v>
      </c>
      <c r="B7" s="15">
        <v>0.69208333333333338</v>
      </c>
      <c r="C7">
        <v>2</v>
      </c>
      <c r="D7" t="s">
        <v>19</v>
      </c>
      <c r="E7">
        <v>8000</v>
      </c>
      <c r="F7" t="s">
        <v>7</v>
      </c>
      <c r="G7">
        <v>2</v>
      </c>
      <c r="H7" s="3">
        <v>1</v>
      </c>
      <c r="I7" s="3">
        <v>16000</v>
      </c>
      <c r="J7" s="3">
        <v>0</v>
      </c>
      <c r="K7" s="3">
        <v>16000</v>
      </c>
      <c r="M7"/>
    </row>
    <row r="8" spans="1:14" x14ac:dyDescent="0.25">
      <c r="A8" s="10">
        <v>46076</v>
      </c>
      <c r="B8" s="15">
        <v>0.70967592592592588</v>
      </c>
      <c r="C8">
        <v>3</v>
      </c>
      <c r="D8" t="s">
        <v>19</v>
      </c>
      <c r="E8">
        <v>8000</v>
      </c>
      <c r="F8" t="s">
        <v>8</v>
      </c>
      <c r="G8">
        <v>1</v>
      </c>
      <c r="H8" s="3">
        <v>1</v>
      </c>
      <c r="I8" s="3">
        <v>0</v>
      </c>
      <c r="J8" s="3">
        <v>8000</v>
      </c>
      <c r="K8" s="3">
        <v>8000</v>
      </c>
      <c r="M8"/>
    </row>
    <row r="9" spans="1:14" x14ac:dyDescent="0.25">
      <c r="A9" s="10">
        <v>46076</v>
      </c>
      <c r="B9" s="15">
        <v>0.71737268518518515</v>
      </c>
      <c r="C9">
        <v>4</v>
      </c>
      <c r="D9" t="s">
        <v>19</v>
      </c>
      <c r="E9">
        <v>8000</v>
      </c>
      <c r="F9" t="s">
        <v>7</v>
      </c>
      <c r="G9">
        <v>2</v>
      </c>
      <c r="H9" s="3">
        <v>1</v>
      </c>
      <c r="I9" s="3">
        <v>16000</v>
      </c>
      <c r="J9" s="3">
        <v>0</v>
      </c>
      <c r="K9" s="3">
        <v>16000</v>
      </c>
      <c r="M9"/>
    </row>
    <row r="10" spans="1:14" x14ac:dyDescent="0.25">
      <c r="A10" s="10">
        <v>46076</v>
      </c>
      <c r="B10" s="15">
        <v>0.71737268518518515</v>
      </c>
      <c r="C10">
        <v>4</v>
      </c>
      <c r="D10" t="s">
        <v>20</v>
      </c>
      <c r="E10">
        <v>3000</v>
      </c>
      <c r="F10" t="s">
        <v>7</v>
      </c>
      <c r="G10">
        <v>2</v>
      </c>
      <c r="H10" s="3">
        <v>1</v>
      </c>
      <c r="I10" s="3">
        <v>6000</v>
      </c>
      <c r="J10" s="3">
        <v>0</v>
      </c>
      <c r="K10" s="3">
        <v>6000</v>
      </c>
      <c r="M10"/>
    </row>
    <row r="11" spans="1:14" x14ac:dyDescent="0.25">
      <c r="A11" s="10">
        <v>46076</v>
      </c>
      <c r="B11" s="15">
        <v>0.72047453703703701</v>
      </c>
      <c r="C11">
        <v>5</v>
      </c>
      <c r="D11" t="s">
        <v>19</v>
      </c>
      <c r="E11">
        <v>8000</v>
      </c>
      <c r="F11" t="s">
        <v>8</v>
      </c>
      <c r="G11">
        <v>3</v>
      </c>
      <c r="H11" s="3">
        <v>1</v>
      </c>
      <c r="I11" s="3">
        <v>0</v>
      </c>
      <c r="J11" s="3">
        <v>24000</v>
      </c>
      <c r="K11" s="3">
        <v>24000</v>
      </c>
      <c r="M11"/>
    </row>
    <row r="12" spans="1:14" x14ac:dyDescent="0.25">
      <c r="A12" s="10">
        <v>46076</v>
      </c>
      <c r="B12" s="15">
        <v>0.75028935185185186</v>
      </c>
      <c r="C12">
        <v>6</v>
      </c>
      <c r="D12" t="s">
        <v>17</v>
      </c>
      <c r="E12">
        <v>3000</v>
      </c>
      <c r="F12" t="s">
        <v>7</v>
      </c>
      <c r="G12">
        <v>2</v>
      </c>
      <c r="H12" s="3">
        <v>1</v>
      </c>
      <c r="I12" s="3">
        <v>6000</v>
      </c>
      <c r="J12" s="3">
        <v>0</v>
      </c>
      <c r="K12" s="3">
        <v>6000</v>
      </c>
      <c r="M12"/>
    </row>
    <row r="13" spans="1:14" x14ac:dyDescent="0.25">
      <c r="A13" s="10">
        <v>46076</v>
      </c>
      <c r="B13" s="15">
        <v>0.75028935185185186</v>
      </c>
      <c r="C13">
        <v>6</v>
      </c>
      <c r="D13" t="s">
        <v>19</v>
      </c>
      <c r="E13">
        <v>8000</v>
      </c>
      <c r="F13" t="s">
        <v>7</v>
      </c>
      <c r="G13">
        <v>2</v>
      </c>
      <c r="H13" s="3">
        <v>1</v>
      </c>
      <c r="I13" s="3">
        <v>16000</v>
      </c>
      <c r="J13" s="3">
        <v>0</v>
      </c>
      <c r="K13" s="3">
        <v>16000</v>
      </c>
      <c r="M13"/>
    </row>
    <row r="14" spans="1:14" x14ac:dyDescent="0.25">
      <c r="A14" s="10">
        <v>46076</v>
      </c>
      <c r="B14" s="15">
        <v>0.7519675925925926</v>
      </c>
      <c r="C14">
        <v>7</v>
      </c>
      <c r="D14" t="s">
        <v>19</v>
      </c>
      <c r="E14">
        <v>8000</v>
      </c>
      <c r="F14" t="s">
        <v>7</v>
      </c>
      <c r="G14">
        <v>2</v>
      </c>
      <c r="H14" s="3">
        <v>1</v>
      </c>
      <c r="I14" s="3">
        <v>16000</v>
      </c>
      <c r="J14" s="3">
        <v>0</v>
      </c>
      <c r="K14" s="3">
        <v>16000</v>
      </c>
      <c r="M14"/>
    </row>
    <row r="15" spans="1:14" x14ac:dyDescent="0.25">
      <c r="A15" s="10">
        <v>46076</v>
      </c>
      <c r="B15" s="15">
        <v>0.7519675925925926</v>
      </c>
      <c r="C15">
        <v>7</v>
      </c>
      <c r="D15" t="s">
        <v>22</v>
      </c>
      <c r="E15">
        <v>3000</v>
      </c>
      <c r="F15" t="s">
        <v>7</v>
      </c>
      <c r="G15">
        <v>1</v>
      </c>
      <c r="H15" s="3">
        <v>1</v>
      </c>
      <c r="I15" s="3">
        <v>3000</v>
      </c>
      <c r="J15" s="3">
        <v>0</v>
      </c>
      <c r="K15" s="3">
        <v>3000</v>
      </c>
      <c r="M15"/>
    </row>
    <row r="16" spans="1:14" x14ac:dyDescent="0.25">
      <c r="A16" s="10">
        <v>46076</v>
      </c>
      <c r="B16" s="15">
        <v>0.78722222222222227</v>
      </c>
      <c r="C16">
        <v>8</v>
      </c>
      <c r="D16" t="s">
        <v>19</v>
      </c>
      <c r="E16">
        <v>8000</v>
      </c>
      <c r="F16" t="s">
        <v>7</v>
      </c>
      <c r="G16">
        <v>1</v>
      </c>
      <c r="H16" s="3">
        <v>1</v>
      </c>
      <c r="I16" s="3">
        <v>8000</v>
      </c>
      <c r="J16" s="3">
        <v>0</v>
      </c>
      <c r="K16" s="3">
        <v>8000</v>
      </c>
      <c r="M16"/>
    </row>
    <row r="17" spans="1:13" x14ac:dyDescent="0.25">
      <c r="A17" s="10">
        <v>46076</v>
      </c>
      <c r="B17" s="15">
        <v>0.79547453703703708</v>
      </c>
      <c r="C17">
        <v>9</v>
      </c>
      <c r="D17" t="s">
        <v>19</v>
      </c>
      <c r="E17">
        <v>8000</v>
      </c>
      <c r="F17" t="s">
        <v>7</v>
      </c>
      <c r="G17">
        <v>2</v>
      </c>
      <c r="H17" s="3">
        <v>1</v>
      </c>
      <c r="I17" s="3">
        <v>16000</v>
      </c>
      <c r="J17" s="3">
        <v>0</v>
      </c>
      <c r="K17" s="3">
        <v>16000</v>
      </c>
      <c r="M17"/>
    </row>
    <row r="18" spans="1:13" x14ac:dyDescent="0.25">
      <c r="A18" s="10">
        <v>46076</v>
      </c>
      <c r="B18" s="15">
        <v>0.79547453703703708</v>
      </c>
      <c r="C18">
        <v>9</v>
      </c>
      <c r="D18" t="s">
        <v>20</v>
      </c>
      <c r="E18">
        <v>3000</v>
      </c>
      <c r="F18" t="s">
        <v>7</v>
      </c>
      <c r="G18">
        <v>2</v>
      </c>
      <c r="H18" s="3">
        <v>1</v>
      </c>
      <c r="I18" s="3">
        <v>6000</v>
      </c>
      <c r="J18" s="3">
        <v>0</v>
      </c>
      <c r="K18" s="3">
        <v>6000</v>
      </c>
      <c r="M18"/>
    </row>
    <row r="19" spans="1:13" x14ac:dyDescent="0.25">
      <c r="A19" s="10">
        <v>46076</v>
      </c>
      <c r="B19" s="15">
        <v>0.81828703703703709</v>
      </c>
      <c r="C19">
        <v>10</v>
      </c>
      <c r="D19" t="s">
        <v>19</v>
      </c>
      <c r="E19">
        <v>8000</v>
      </c>
      <c r="F19" t="s">
        <v>7</v>
      </c>
      <c r="G19">
        <v>3</v>
      </c>
      <c r="H19" s="3">
        <v>1</v>
      </c>
      <c r="I19" s="3">
        <v>24000</v>
      </c>
      <c r="J19" s="3">
        <v>0</v>
      </c>
      <c r="K19" s="3">
        <v>24000</v>
      </c>
      <c r="M19"/>
    </row>
    <row r="20" spans="1:13" x14ac:dyDescent="0.25">
      <c r="A20" s="10">
        <v>46076</v>
      </c>
      <c r="B20" s="15">
        <v>0.84164351851851849</v>
      </c>
      <c r="C20">
        <v>11</v>
      </c>
      <c r="D20" t="s">
        <v>19</v>
      </c>
      <c r="E20">
        <v>8000</v>
      </c>
      <c r="F20" t="s">
        <v>7</v>
      </c>
      <c r="G20">
        <v>1</v>
      </c>
      <c r="H20" s="3">
        <v>1</v>
      </c>
      <c r="I20" s="3">
        <v>8000</v>
      </c>
      <c r="J20" s="3">
        <v>0</v>
      </c>
      <c r="K20" s="3">
        <v>8000</v>
      </c>
      <c r="M20"/>
    </row>
    <row r="21" spans="1:13" x14ac:dyDescent="0.25">
      <c r="A21" s="10">
        <v>46076</v>
      </c>
      <c r="B21" s="15">
        <v>0.84385416666666668</v>
      </c>
      <c r="C21">
        <v>12</v>
      </c>
      <c r="D21" t="s">
        <v>19</v>
      </c>
      <c r="E21">
        <v>8000</v>
      </c>
      <c r="F21" t="s">
        <v>7</v>
      </c>
      <c r="G21">
        <v>1</v>
      </c>
      <c r="H21" s="3">
        <v>1</v>
      </c>
      <c r="I21" s="3">
        <v>8000</v>
      </c>
      <c r="J21" s="3">
        <v>0</v>
      </c>
      <c r="K21" s="3">
        <v>8000</v>
      </c>
      <c r="M21"/>
    </row>
    <row r="22" spans="1:13" x14ac:dyDescent="0.25">
      <c r="A22" s="10">
        <v>46076</v>
      </c>
      <c r="B22" s="15">
        <v>0.84565972222222219</v>
      </c>
      <c r="C22">
        <v>13</v>
      </c>
      <c r="D22" t="s">
        <v>19</v>
      </c>
      <c r="E22">
        <v>8000</v>
      </c>
      <c r="F22" t="s">
        <v>7</v>
      </c>
      <c r="G22">
        <v>1</v>
      </c>
      <c r="H22" s="3">
        <v>1</v>
      </c>
      <c r="I22" s="3">
        <v>8000</v>
      </c>
      <c r="J22" s="3">
        <v>0</v>
      </c>
      <c r="K22" s="3">
        <v>8000</v>
      </c>
      <c r="M22"/>
    </row>
    <row r="23" spans="1:13" x14ac:dyDescent="0.25">
      <c r="A23" s="10">
        <v>46076</v>
      </c>
      <c r="B23" s="15">
        <v>0.84565972222222219</v>
      </c>
      <c r="C23">
        <v>13</v>
      </c>
      <c r="D23" t="s">
        <v>22</v>
      </c>
      <c r="E23">
        <v>3000</v>
      </c>
      <c r="F23" t="s">
        <v>7</v>
      </c>
      <c r="G23">
        <v>1</v>
      </c>
      <c r="H23" s="3">
        <v>1</v>
      </c>
      <c r="I23" s="3">
        <v>3000</v>
      </c>
      <c r="J23" s="3">
        <v>0</v>
      </c>
      <c r="K23" s="3">
        <v>3000</v>
      </c>
      <c r="M23"/>
    </row>
    <row r="24" spans="1:13" x14ac:dyDescent="0.25">
      <c r="A24" s="10">
        <v>46076</v>
      </c>
      <c r="B24" s="15">
        <v>0.85024305555555557</v>
      </c>
      <c r="C24">
        <v>14</v>
      </c>
      <c r="D24" t="s">
        <v>19</v>
      </c>
      <c r="E24">
        <v>8000</v>
      </c>
      <c r="F24" t="s">
        <v>7</v>
      </c>
      <c r="G24">
        <v>3</v>
      </c>
      <c r="H24" s="3">
        <v>1</v>
      </c>
      <c r="I24" s="3">
        <v>24000</v>
      </c>
      <c r="J24" s="3">
        <v>0</v>
      </c>
      <c r="K24" s="3">
        <v>24000</v>
      </c>
      <c r="M24"/>
    </row>
    <row r="25" spans="1:13" x14ac:dyDescent="0.25">
      <c r="A25" s="10">
        <v>46076</v>
      </c>
      <c r="B25" s="15">
        <v>0.85265046296296299</v>
      </c>
      <c r="C25">
        <v>15</v>
      </c>
      <c r="D25" t="s">
        <v>19</v>
      </c>
      <c r="E25">
        <v>8000</v>
      </c>
      <c r="F25" t="s">
        <v>7</v>
      </c>
      <c r="G25">
        <v>1</v>
      </c>
      <c r="H25" s="3">
        <v>1</v>
      </c>
      <c r="I25" s="3">
        <v>8000</v>
      </c>
      <c r="J25" s="3">
        <v>0</v>
      </c>
      <c r="K25" s="3">
        <v>8000</v>
      </c>
      <c r="M25"/>
    </row>
    <row r="26" spans="1:13" x14ac:dyDescent="0.25">
      <c r="A26" s="10">
        <v>46077</v>
      </c>
      <c r="B26" s="15">
        <v>0.64868055555555559</v>
      </c>
      <c r="C26">
        <v>16</v>
      </c>
      <c r="D26" t="s">
        <v>19</v>
      </c>
      <c r="E26">
        <v>8000</v>
      </c>
      <c r="F26" t="s">
        <v>7</v>
      </c>
      <c r="G26">
        <v>5</v>
      </c>
      <c r="H26" s="3">
        <v>1</v>
      </c>
      <c r="I26" s="3">
        <v>40000</v>
      </c>
      <c r="J26" s="3">
        <v>0</v>
      </c>
      <c r="K26" s="3">
        <v>40000</v>
      </c>
      <c r="M26"/>
    </row>
    <row r="27" spans="1:13" x14ac:dyDescent="0.25">
      <c r="A27" s="10">
        <v>46077</v>
      </c>
      <c r="B27" s="15">
        <v>0.64935185185185185</v>
      </c>
      <c r="C27">
        <v>17</v>
      </c>
      <c r="D27" t="s">
        <v>19</v>
      </c>
      <c r="E27">
        <v>8000</v>
      </c>
      <c r="F27" t="s">
        <v>7</v>
      </c>
      <c r="G27">
        <v>3</v>
      </c>
      <c r="H27" s="3">
        <v>1</v>
      </c>
      <c r="I27" s="3">
        <v>24000</v>
      </c>
      <c r="J27" s="3">
        <v>0</v>
      </c>
      <c r="K27" s="3">
        <v>24000</v>
      </c>
      <c r="M27"/>
    </row>
    <row r="28" spans="1:13" x14ac:dyDescent="0.25">
      <c r="A28" s="10">
        <v>46077</v>
      </c>
      <c r="B28" s="15">
        <v>0.74003472222222222</v>
      </c>
      <c r="C28">
        <v>18</v>
      </c>
      <c r="D28" t="s">
        <v>19</v>
      </c>
      <c r="E28">
        <v>8000</v>
      </c>
      <c r="F28" t="s">
        <v>7</v>
      </c>
      <c r="G28">
        <v>1</v>
      </c>
      <c r="H28" s="3">
        <v>1</v>
      </c>
      <c r="I28" s="3">
        <v>8000</v>
      </c>
      <c r="J28" s="3">
        <v>0</v>
      </c>
      <c r="K28" s="3">
        <v>8000</v>
      </c>
      <c r="M28"/>
    </row>
    <row r="29" spans="1:13" x14ac:dyDescent="0.25">
      <c r="A29" s="10">
        <v>46077</v>
      </c>
      <c r="B29" s="15">
        <v>0.75960648148148147</v>
      </c>
      <c r="C29">
        <v>19</v>
      </c>
      <c r="D29" t="s">
        <v>19</v>
      </c>
      <c r="E29">
        <v>8000</v>
      </c>
      <c r="F29" t="s">
        <v>7</v>
      </c>
      <c r="G29">
        <v>1</v>
      </c>
      <c r="H29" s="3">
        <v>1</v>
      </c>
      <c r="I29" s="3">
        <v>8000</v>
      </c>
      <c r="J29" s="3">
        <v>0</v>
      </c>
      <c r="K29" s="3">
        <v>8000</v>
      </c>
      <c r="M29"/>
    </row>
    <row r="30" spans="1:13" x14ac:dyDescent="0.25">
      <c r="A30" s="10">
        <v>46077</v>
      </c>
      <c r="B30" s="15">
        <v>0.77417824074074071</v>
      </c>
      <c r="C30">
        <v>20</v>
      </c>
      <c r="D30" t="s">
        <v>19</v>
      </c>
      <c r="E30">
        <v>8000</v>
      </c>
      <c r="F30" t="s">
        <v>7</v>
      </c>
      <c r="G30">
        <v>2</v>
      </c>
      <c r="H30" s="3">
        <v>1</v>
      </c>
      <c r="I30" s="3">
        <v>16000</v>
      </c>
      <c r="J30" s="3">
        <v>0</v>
      </c>
      <c r="K30" s="3">
        <v>16000</v>
      </c>
      <c r="M30"/>
    </row>
    <row r="31" spans="1:13" x14ac:dyDescent="0.25">
      <c r="A31" s="10">
        <v>46077</v>
      </c>
      <c r="B31" s="15">
        <v>0.7751851851851852</v>
      </c>
      <c r="C31">
        <v>21</v>
      </c>
      <c r="D31" t="s">
        <v>19</v>
      </c>
      <c r="E31">
        <v>8000</v>
      </c>
      <c r="F31" t="s">
        <v>7</v>
      </c>
      <c r="G31">
        <v>1</v>
      </c>
      <c r="H31" s="3">
        <v>1</v>
      </c>
      <c r="I31" s="3">
        <v>8000</v>
      </c>
      <c r="J31" s="3">
        <v>0</v>
      </c>
      <c r="K31" s="3">
        <v>8000</v>
      </c>
      <c r="M31"/>
    </row>
    <row r="32" spans="1:13" x14ac:dyDescent="0.25">
      <c r="A32" s="10">
        <v>46077</v>
      </c>
      <c r="B32" s="15">
        <v>0.77952546296296299</v>
      </c>
      <c r="C32">
        <v>22</v>
      </c>
      <c r="D32" t="s">
        <v>18</v>
      </c>
      <c r="E32">
        <v>4500</v>
      </c>
      <c r="F32" t="s">
        <v>7</v>
      </c>
      <c r="G32">
        <v>2</v>
      </c>
      <c r="H32" s="3">
        <v>1</v>
      </c>
      <c r="I32" s="3">
        <v>9000</v>
      </c>
      <c r="J32" s="3">
        <v>0</v>
      </c>
      <c r="K32" s="3">
        <v>9000</v>
      </c>
      <c r="M32"/>
    </row>
    <row r="33" spans="1:13" x14ac:dyDescent="0.25">
      <c r="A33" s="10">
        <v>46077</v>
      </c>
      <c r="B33" s="15">
        <v>0.77952546296296299</v>
      </c>
      <c r="C33">
        <v>22</v>
      </c>
      <c r="D33" t="s">
        <v>19</v>
      </c>
      <c r="E33">
        <v>8000</v>
      </c>
      <c r="F33" t="s">
        <v>7</v>
      </c>
      <c r="G33">
        <v>1</v>
      </c>
      <c r="H33" s="3">
        <v>1</v>
      </c>
      <c r="I33" s="3">
        <v>8000</v>
      </c>
      <c r="J33" s="3">
        <v>0</v>
      </c>
      <c r="K33" s="3">
        <v>8000</v>
      </c>
      <c r="M33"/>
    </row>
    <row r="34" spans="1:13" x14ac:dyDescent="0.25">
      <c r="A34" s="10">
        <v>46077</v>
      </c>
      <c r="B34" s="15">
        <v>0.79715277777777782</v>
      </c>
      <c r="C34">
        <v>23</v>
      </c>
      <c r="D34" t="s">
        <v>19</v>
      </c>
      <c r="E34">
        <v>8000</v>
      </c>
      <c r="F34" t="s">
        <v>7</v>
      </c>
      <c r="G34">
        <v>1</v>
      </c>
      <c r="H34" s="3">
        <v>1</v>
      </c>
      <c r="I34" s="3">
        <v>8000</v>
      </c>
      <c r="J34" s="3">
        <v>0</v>
      </c>
      <c r="K34" s="3">
        <v>8000</v>
      </c>
      <c r="M34"/>
    </row>
    <row r="35" spans="1:13" x14ac:dyDescent="0.25">
      <c r="A35" s="10">
        <v>46077</v>
      </c>
      <c r="B35" s="15">
        <v>0.83438657407407413</v>
      </c>
      <c r="C35">
        <v>24</v>
      </c>
      <c r="D35" t="s">
        <v>19</v>
      </c>
      <c r="E35">
        <v>8000</v>
      </c>
      <c r="F35" t="s">
        <v>8</v>
      </c>
      <c r="G35">
        <v>1</v>
      </c>
      <c r="H35" s="3">
        <v>1</v>
      </c>
      <c r="I35" s="3">
        <v>0</v>
      </c>
      <c r="J35" s="3">
        <v>8000</v>
      </c>
      <c r="K35" s="3">
        <v>8000</v>
      </c>
      <c r="M35"/>
    </row>
    <row r="36" spans="1:13" x14ac:dyDescent="0.25">
      <c r="A36" s="10">
        <v>46077</v>
      </c>
      <c r="B36" s="15">
        <v>0.83687500000000004</v>
      </c>
      <c r="C36">
        <v>25</v>
      </c>
      <c r="D36" t="s">
        <v>19</v>
      </c>
      <c r="E36">
        <v>8000</v>
      </c>
      <c r="F36" t="s">
        <v>7</v>
      </c>
      <c r="G36">
        <v>1</v>
      </c>
      <c r="H36" s="3">
        <v>1</v>
      </c>
      <c r="I36" s="3">
        <v>8000</v>
      </c>
      <c r="J36" s="3">
        <v>0</v>
      </c>
      <c r="K36" s="3">
        <v>8000</v>
      </c>
      <c r="M36"/>
    </row>
    <row r="37" spans="1:13" x14ac:dyDescent="0.25">
      <c r="A37" s="10">
        <v>46077</v>
      </c>
      <c r="B37" s="15">
        <v>0.84701388888888884</v>
      </c>
      <c r="C37">
        <v>26</v>
      </c>
      <c r="D37" t="s">
        <v>17</v>
      </c>
      <c r="E37">
        <v>3000</v>
      </c>
      <c r="F37" t="s">
        <v>7</v>
      </c>
      <c r="G37">
        <v>1</v>
      </c>
      <c r="H37" s="3">
        <v>1</v>
      </c>
      <c r="I37" s="3">
        <v>3000</v>
      </c>
      <c r="J37" s="3">
        <v>0</v>
      </c>
      <c r="K37" s="3">
        <v>3000</v>
      </c>
      <c r="M37"/>
    </row>
    <row r="38" spans="1:13" x14ac:dyDescent="0.25">
      <c r="A38" s="10">
        <v>46077</v>
      </c>
      <c r="B38" s="15">
        <v>0.84701388888888884</v>
      </c>
      <c r="C38">
        <v>26</v>
      </c>
      <c r="D38" t="s">
        <v>19</v>
      </c>
      <c r="E38">
        <v>8000</v>
      </c>
      <c r="F38" t="s">
        <v>7</v>
      </c>
      <c r="G38">
        <v>3</v>
      </c>
      <c r="H38" s="3">
        <v>1</v>
      </c>
      <c r="I38" s="3">
        <v>24000</v>
      </c>
      <c r="J38" s="3">
        <v>0</v>
      </c>
      <c r="K38" s="3">
        <v>24000</v>
      </c>
      <c r="M38"/>
    </row>
    <row r="39" spans="1:13" x14ac:dyDescent="0.25">
      <c r="A39" s="10">
        <v>46077</v>
      </c>
      <c r="B39" s="15">
        <v>0.84701388888888884</v>
      </c>
      <c r="C39">
        <v>26</v>
      </c>
      <c r="D39" t="s">
        <v>22</v>
      </c>
      <c r="E39">
        <v>3000</v>
      </c>
      <c r="F39" t="s">
        <v>7</v>
      </c>
      <c r="G39">
        <v>1</v>
      </c>
      <c r="H39" s="3">
        <v>1</v>
      </c>
      <c r="I39" s="3">
        <v>3000</v>
      </c>
      <c r="J39" s="3">
        <v>0</v>
      </c>
      <c r="K39" s="3">
        <v>3000</v>
      </c>
      <c r="M39"/>
    </row>
    <row r="40" spans="1:13" x14ac:dyDescent="0.25">
      <c r="A40" s="10">
        <v>46077</v>
      </c>
      <c r="B40" s="15">
        <v>0.84987268518518522</v>
      </c>
      <c r="C40">
        <v>27</v>
      </c>
      <c r="D40" t="s">
        <v>19</v>
      </c>
      <c r="E40">
        <v>8000</v>
      </c>
      <c r="F40" t="s">
        <v>7</v>
      </c>
      <c r="G40">
        <v>4</v>
      </c>
      <c r="H40" s="3">
        <v>1</v>
      </c>
      <c r="I40" s="3">
        <v>32000</v>
      </c>
      <c r="J40" s="3">
        <v>0</v>
      </c>
      <c r="K40" s="3">
        <v>32000</v>
      </c>
      <c r="M40"/>
    </row>
    <row r="41" spans="1:13" x14ac:dyDescent="0.25">
      <c r="A41" s="10">
        <v>46077</v>
      </c>
      <c r="B41" s="15">
        <v>0.84987268518518522</v>
      </c>
      <c r="C41">
        <v>27</v>
      </c>
      <c r="D41" t="s">
        <v>20</v>
      </c>
      <c r="E41">
        <v>3000</v>
      </c>
      <c r="F41" t="s">
        <v>7</v>
      </c>
      <c r="G41">
        <v>2</v>
      </c>
      <c r="H41" s="3">
        <v>1</v>
      </c>
      <c r="I41" s="3">
        <v>6000</v>
      </c>
      <c r="J41" s="3">
        <v>0</v>
      </c>
      <c r="K41" s="3">
        <v>6000</v>
      </c>
      <c r="M41"/>
    </row>
    <row r="42" spans="1:13" x14ac:dyDescent="0.25">
      <c r="A42" s="10">
        <v>46077</v>
      </c>
      <c r="B42" s="15">
        <v>0.86760416666666662</v>
      </c>
      <c r="C42">
        <v>28</v>
      </c>
      <c r="D42" t="s">
        <v>19</v>
      </c>
      <c r="E42">
        <v>8000</v>
      </c>
      <c r="F42" t="s">
        <v>7</v>
      </c>
      <c r="G42">
        <v>1</v>
      </c>
      <c r="H42" s="3">
        <v>1</v>
      </c>
      <c r="I42" s="3">
        <v>8000</v>
      </c>
      <c r="J42" s="3">
        <v>0</v>
      </c>
      <c r="K42" s="3">
        <v>8000</v>
      </c>
      <c r="M42"/>
    </row>
    <row r="43" spans="1:13" x14ac:dyDescent="0.25">
      <c r="A43" s="10">
        <v>46078</v>
      </c>
      <c r="B43" s="15">
        <v>0.57804398148148151</v>
      </c>
      <c r="C43">
        <v>29</v>
      </c>
      <c r="D43" t="s">
        <v>19</v>
      </c>
      <c r="E43">
        <v>8000</v>
      </c>
      <c r="F43" t="s">
        <v>7</v>
      </c>
      <c r="G43">
        <v>1</v>
      </c>
      <c r="H43" s="3">
        <v>1</v>
      </c>
      <c r="I43" s="3">
        <v>8000</v>
      </c>
      <c r="J43" s="3">
        <v>0</v>
      </c>
      <c r="K43" s="3">
        <v>8000</v>
      </c>
      <c r="M43"/>
    </row>
    <row r="44" spans="1:13" x14ac:dyDescent="0.25">
      <c r="A44" s="10">
        <v>46078</v>
      </c>
      <c r="B44" s="15">
        <v>0.57990740740740743</v>
      </c>
      <c r="C44">
        <v>30</v>
      </c>
      <c r="D44" t="s">
        <v>19</v>
      </c>
      <c r="E44">
        <v>8000</v>
      </c>
      <c r="F44" t="s">
        <v>7</v>
      </c>
      <c r="G44">
        <v>1</v>
      </c>
      <c r="H44" s="3">
        <v>1</v>
      </c>
      <c r="I44" s="3">
        <v>8000</v>
      </c>
      <c r="J44" s="3">
        <v>0</v>
      </c>
      <c r="K44" s="3">
        <v>8000</v>
      </c>
      <c r="M44"/>
    </row>
    <row r="45" spans="1:13" x14ac:dyDescent="0.25">
      <c r="A45" s="10">
        <v>46078</v>
      </c>
      <c r="B45" s="15">
        <v>0.58693287037037034</v>
      </c>
      <c r="C45">
        <v>31</v>
      </c>
      <c r="D45" t="s">
        <v>19</v>
      </c>
      <c r="E45">
        <v>8000</v>
      </c>
      <c r="F45" t="s">
        <v>7</v>
      </c>
      <c r="G45">
        <v>1</v>
      </c>
      <c r="H45" s="3">
        <v>1</v>
      </c>
      <c r="I45" s="3">
        <v>8000</v>
      </c>
      <c r="J45" s="3">
        <v>0</v>
      </c>
      <c r="K45" s="3">
        <v>8000</v>
      </c>
      <c r="M45"/>
    </row>
    <row r="46" spans="1:13" x14ac:dyDescent="0.25">
      <c r="A46" s="10">
        <v>46078</v>
      </c>
      <c r="B46" s="15">
        <v>0.59138888888888885</v>
      </c>
      <c r="C46">
        <v>32</v>
      </c>
      <c r="D46" t="s">
        <v>21</v>
      </c>
      <c r="E46">
        <v>35000</v>
      </c>
      <c r="F46" t="s">
        <v>7</v>
      </c>
      <c r="G46">
        <v>1</v>
      </c>
      <c r="H46" s="3">
        <v>1</v>
      </c>
      <c r="I46" s="3">
        <v>35000</v>
      </c>
      <c r="J46" s="3">
        <v>0</v>
      </c>
      <c r="K46" s="3">
        <v>35000</v>
      </c>
      <c r="M46"/>
    </row>
    <row r="47" spans="1:13" x14ac:dyDescent="0.25">
      <c r="A47" s="10">
        <v>46078</v>
      </c>
      <c r="B47" s="15">
        <v>0.60063657407407411</v>
      </c>
      <c r="C47">
        <v>34</v>
      </c>
      <c r="D47" t="s">
        <v>21</v>
      </c>
      <c r="E47">
        <v>35000</v>
      </c>
      <c r="F47" t="s">
        <v>7</v>
      </c>
      <c r="G47">
        <v>1</v>
      </c>
      <c r="H47" s="3">
        <v>1</v>
      </c>
      <c r="I47" s="3">
        <v>35000</v>
      </c>
      <c r="J47" s="3">
        <v>0</v>
      </c>
      <c r="K47" s="3">
        <v>35000</v>
      </c>
      <c r="M47"/>
    </row>
    <row r="48" spans="1:13" x14ac:dyDescent="0.25">
      <c r="A48" s="10">
        <v>46078</v>
      </c>
      <c r="B48" s="15">
        <v>0.6012615740740741</v>
      </c>
      <c r="C48">
        <v>35</v>
      </c>
      <c r="D48" t="s">
        <v>19</v>
      </c>
      <c r="E48">
        <v>8000</v>
      </c>
      <c r="F48" t="s">
        <v>7</v>
      </c>
      <c r="G48">
        <v>2</v>
      </c>
      <c r="H48" s="3">
        <v>1</v>
      </c>
      <c r="I48" s="3">
        <v>16000</v>
      </c>
      <c r="J48" s="3">
        <v>0</v>
      </c>
      <c r="K48" s="3">
        <v>16000</v>
      </c>
      <c r="M48"/>
    </row>
    <row r="49" spans="1:13" x14ac:dyDescent="0.25">
      <c r="A49" s="10">
        <v>46078</v>
      </c>
      <c r="B49" s="15">
        <v>0.69451388888888888</v>
      </c>
      <c r="C49">
        <v>36</v>
      </c>
      <c r="D49" t="s">
        <v>19</v>
      </c>
      <c r="E49">
        <v>8000</v>
      </c>
      <c r="F49" t="s">
        <v>7</v>
      </c>
      <c r="G49">
        <v>1</v>
      </c>
      <c r="H49" s="3">
        <v>1</v>
      </c>
      <c r="I49" s="3">
        <v>8000</v>
      </c>
      <c r="J49" s="3">
        <v>0</v>
      </c>
      <c r="K49" s="3">
        <v>8000</v>
      </c>
      <c r="M49"/>
    </row>
    <row r="50" spans="1:13" x14ac:dyDescent="0.25">
      <c r="A50" s="10">
        <v>46078</v>
      </c>
      <c r="B50" s="15">
        <v>0.69530092592592596</v>
      </c>
      <c r="C50">
        <v>37</v>
      </c>
      <c r="D50" t="s">
        <v>19</v>
      </c>
      <c r="E50">
        <v>8000</v>
      </c>
      <c r="F50" t="s">
        <v>8</v>
      </c>
      <c r="G50">
        <v>1</v>
      </c>
      <c r="H50" s="3">
        <v>1</v>
      </c>
      <c r="I50" s="3">
        <v>0</v>
      </c>
      <c r="J50" s="3">
        <v>8000</v>
      </c>
      <c r="K50" s="3">
        <v>8000</v>
      </c>
      <c r="M50"/>
    </row>
    <row r="51" spans="1:13" x14ac:dyDescent="0.25">
      <c r="A51" s="10">
        <v>46078</v>
      </c>
      <c r="B51" s="15">
        <v>0.76214120370370375</v>
      </c>
      <c r="C51">
        <v>38</v>
      </c>
      <c r="D51" t="s">
        <v>19</v>
      </c>
      <c r="E51">
        <v>8000</v>
      </c>
      <c r="F51" t="s">
        <v>7</v>
      </c>
      <c r="G51">
        <v>1</v>
      </c>
      <c r="H51" s="3">
        <v>1</v>
      </c>
      <c r="I51" s="3">
        <v>8000</v>
      </c>
      <c r="J51" s="3">
        <v>0</v>
      </c>
      <c r="K51" s="3">
        <v>8000</v>
      </c>
      <c r="M51"/>
    </row>
    <row r="52" spans="1:13" x14ac:dyDescent="0.25">
      <c r="A52" s="10">
        <v>46078</v>
      </c>
      <c r="B52" s="15">
        <v>0.76402777777777775</v>
      </c>
      <c r="C52">
        <v>39</v>
      </c>
      <c r="D52" t="s">
        <v>19</v>
      </c>
      <c r="E52">
        <v>8000</v>
      </c>
      <c r="F52" t="s">
        <v>7</v>
      </c>
      <c r="G52">
        <v>1</v>
      </c>
      <c r="H52" s="3">
        <v>1</v>
      </c>
      <c r="I52" s="3">
        <v>8000</v>
      </c>
      <c r="J52" s="3">
        <v>0</v>
      </c>
      <c r="K52" s="3">
        <v>8000</v>
      </c>
      <c r="M52"/>
    </row>
    <row r="53" spans="1:13" x14ac:dyDescent="0.25">
      <c r="A53" s="10">
        <v>46078</v>
      </c>
      <c r="B53" s="15">
        <v>0.76837962962962958</v>
      </c>
      <c r="C53">
        <v>41</v>
      </c>
      <c r="D53" t="s">
        <v>19</v>
      </c>
      <c r="E53">
        <v>8000</v>
      </c>
      <c r="F53" t="s">
        <v>7</v>
      </c>
      <c r="G53">
        <v>1</v>
      </c>
      <c r="H53" s="3">
        <v>1</v>
      </c>
      <c r="I53" s="3">
        <v>8000</v>
      </c>
      <c r="J53" s="3">
        <v>0</v>
      </c>
      <c r="K53" s="3">
        <v>8000</v>
      </c>
      <c r="M53"/>
    </row>
    <row r="54" spans="1:13" x14ac:dyDescent="0.25">
      <c r="A54" s="10">
        <v>46078</v>
      </c>
      <c r="B54" s="15">
        <v>0.77375000000000005</v>
      </c>
      <c r="C54">
        <v>42</v>
      </c>
      <c r="D54" t="s">
        <v>19</v>
      </c>
      <c r="E54">
        <v>8000</v>
      </c>
      <c r="F54" t="s">
        <v>7</v>
      </c>
      <c r="G54">
        <v>5</v>
      </c>
      <c r="H54" s="3">
        <v>1</v>
      </c>
      <c r="I54" s="3">
        <v>40000</v>
      </c>
      <c r="J54" s="3">
        <v>0</v>
      </c>
      <c r="K54" s="3">
        <v>40000</v>
      </c>
      <c r="M54"/>
    </row>
    <row r="55" spans="1:13" x14ac:dyDescent="0.25">
      <c r="A55" s="10">
        <v>46078</v>
      </c>
      <c r="B55" s="15">
        <v>0.77424768518518516</v>
      </c>
      <c r="C55">
        <v>43</v>
      </c>
      <c r="D55" t="s">
        <v>20</v>
      </c>
      <c r="E55">
        <v>3000</v>
      </c>
      <c r="F55" t="s">
        <v>7</v>
      </c>
      <c r="G55">
        <v>2</v>
      </c>
      <c r="H55" s="3">
        <v>1</v>
      </c>
      <c r="I55" s="3">
        <v>6000</v>
      </c>
      <c r="J55" s="3">
        <v>0</v>
      </c>
      <c r="K55" s="3">
        <v>6000</v>
      </c>
      <c r="M55"/>
    </row>
    <row r="56" spans="1:13" x14ac:dyDescent="0.25">
      <c r="A56" s="10">
        <v>46078</v>
      </c>
      <c r="B56" s="15">
        <v>0.77424768518518516</v>
      </c>
      <c r="C56">
        <v>43</v>
      </c>
      <c r="D56" t="s">
        <v>22</v>
      </c>
      <c r="E56">
        <v>3000</v>
      </c>
      <c r="F56" t="s">
        <v>7</v>
      </c>
      <c r="G56">
        <v>1</v>
      </c>
      <c r="H56" s="3">
        <v>1</v>
      </c>
      <c r="I56" s="3">
        <v>3000</v>
      </c>
      <c r="J56" s="3">
        <v>0</v>
      </c>
      <c r="K56" s="3">
        <v>3000</v>
      </c>
      <c r="M56"/>
    </row>
    <row r="57" spans="1:13" x14ac:dyDescent="0.25">
      <c r="A57" s="10">
        <v>46078</v>
      </c>
      <c r="B57" s="15">
        <v>0.77776620370370375</v>
      </c>
      <c r="C57">
        <v>44</v>
      </c>
      <c r="D57" t="s">
        <v>19</v>
      </c>
      <c r="E57">
        <v>8000</v>
      </c>
      <c r="F57" t="s">
        <v>7</v>
      </c>
      <c r="G57">
        <v>3</v>
      </c>
      <c r="H57" s="3">
        <v>1</v>
      </c>
      <c r="I57" s="3">
        <v>24000</v>
      </c>
      <c r="J57" s="3">
        <v>0</v>
      </c>
      <c r="K57" s="3">
        <v>24000</v>
      </c>
      <c r="M57"/>
    </row>
    <row r="58" spans="1:13" x14ac:dyDescent="0.25">
      <c r="A58" s="10">
        <v>46078</v>
      </c>
      <c r="B58" s="15">
        <v>0.79901620370370374</v>
      </c>
      <c r="C58">
        <v>45</v>
      </c>
      <c r="D58" t="s">
        <v>19</v>
      </c>
      <c r="E58">
        <v>8000</v>
      </c>
      <c r="F58" t="s">
        <v>8</v>
      </c>
      <c r="G58">
        <v>1</v>
      </c>
      <c r="H58" s="3">
        <v>1</v>
      </c>
      <c r="I58" s="3">
        <v>0</v>
      </c>
      <c r="J58" s="3">
        <v>8000</v>
      </c>
      <c r="K58" s="3">
        <v>8000</v>
      </c>
      <c r="M58"/>
    </row>
    <row r="59" spans="1:13" x14ac:dyDescent="0.25">
      <c r="A59" s="10">
        <v>46078</v>
      </c>
      <c r="B59" s="15">
        <v>0.80049768518518516</v>
      </c>
      <c r="C59">
        <v>46</v>
      </c>
      <c r="D59" t="s">
        <v>19</v>
      </c>
      <c r="E59">
        <v>8000</v>
      </c>
      <c r="F59" t="s">
        <v>7</v>
      </c>
      <c r="G59">
        <v>1</v>
      </c>
      <c r="H59" s="3">
        <v>1</v>
      </c>
      <c r="I59" s="3">
        <v>8000</v>
      </c>
      <c r="J59" s="3">
        <v>0</v>
      </c>
      <c r="K59" s="3">
        <v>8000</v>
      </c>
      <c r="M59"/>
    </row>
    <row r="60" spans="1:13" x14ac:dyDescent="0.25">
      <c r="A60" s="10">
        <v>46078</v>
      </c>
      <c r="B60" s="15">
        <v>0.80049768518518516</v>
      </c>
      <c r="C60">
        <v>46</v>
      </c>
      <c r="D60" t="s">
        <v>20</v>
      </c>
      <c r="E60">
        <v>3000</v>
      </c>
      <c r="F60" t="s">
        <v>7</v>
      </c>
      <c r="G60">
        <v>1</v>
      </c>
      <c r="H60" s="3">
        <v>1</v>
      </c>
      <c r="I60" s="3">
        <v>3000</v>
      </c>
      <c r="J60" s="3">
        <v>0</v>
      </c>
      <c r="K60" s="3">
        <v>3000</v>
      </c>
      <c r="M60"/>
    </row>
    <row r="61" spans="1:13" x14ac:dyDescent="0.25">
      <c r="A61" s="10">
        <v>46078</v>
      </c>
      <c r="B61" s="15">
        <v>0.80687500000000001</v>
      </c>
      <c r="C61">
        <v>47</v>
      </c>
      <c r="D61" t="s">
        <v>18</v>
      </c>
      <c r="E61">
        <v>4500</v>
      </c>
      <c r="F61" t="s">
        <v>8</v>
      </c>
      <c r="G61">
        <v>5</v>
      </c>
      <c r="H61" s="3">
        <v>1</v>
      </c>
      <c r="I61" s="3">
        <v>0</v>
      </c>
      <c r="J61" s="3">
        <v>22500</v>
      </c>
      <c r="K61" s="3">
        <v>22500</v>
      </c>
      <c r="M61"/>
    </row>
    <row r="62" spans="1:13" x14ac:dyDescent="0.25">
      <c r="A62" s="10">
        <v>46078</v>
      </c>
      <c r="B62" s="15">
        <v>0.8189467592592593</v>
      </c>
      <c r="C62">
        <v>48</v>
      </c>
      <c r="D62" t="s">
        <v>21</v>
      </c>
      <c r="E62">
        <v>35000</v>
      </c>
      <c r="F62" t="s">
        <v>7</v>
      </c>
      <c r="G62">
        <v>1</v>
      </c>
      <c r="H62" s="3">
        <v>1</v>
      </c>
      <c r="I62" s="3">
        <v>35000</v>
      </c>
      <c r="J62" s="3">
        <v>0</v>
      </c>
      <c r="K62" s="3">
        <v>35000</v>
      </c>
      <c r="M62"/>
    </row>
    <row r="63" spans="1:13" x14ac:dyDescent="0.25">
      <c r="A63" s="10">
        <v>46078</v>
      </c>
      <c r="B63" s="15">
        <v>0.8189467592592593</v>
      </c>
      <c r="C63">
        <v>48</v>
      </c>
      <c r="D63" t="s">
        <v>22</v>
      </c>
      <c r="E63">
        <v>3000</v>
      </c>
      <c r="F63" t="s">
        <v>7</v>
      </c>
      <c r="G63">
        <v>1</v>
      </c>
      <c r="H63" s="3">
        <v>1</v>
      </c>
      <c r="I63" s="3">
        <v>3000</v>
      </c>
      <c r="J63" s="3">
        <v>0</v>
      </c>
      <c r="K63" s="3">
        <v>3000</v>
      </c>
      <c r="M63"/>
    </row>
    <row r="64" spans="1:13" x14ac:dyDescent="0.25">
      <c r="A64" s="10">
        <v>46078</v>
      </c>
      <c r="B64" s="15">
        <v>0.8197916666666667</v>
      </c>
      <c r="C64">
        <v>49</v>
      </c>
      <c r="D64" t="s">
        <v>19</v>
      </c>
      <c r="E64">
        <v>8000</v>
      </c>
      <c r="F64" t="s">
        <v>7</v>
      </c>
      <c r="G64">
        <v>2</v>
      </c>
      <c r="H64" s="3">
        <v>1</v>
      </c>
      <c r="I64" s="3">
        <v>16000</v>
      </c>
      <c r="J64" s="3">
        <v>0</v>
      </c>
      <c r="K64" s="3">
        <v>16000</v>
      </c>
      <c r="M64"/>
    </row>
    <row r="65" spans="1:13" x14ac:dyDescent="0.25">
      <c r="A65" s="10">
        <v>46078</v>
      </c>
      <c r="B65" s="15">
        <v>0.83253472222222225</v>
      </c>
      <c r="C65">
        <v>50</v>
      </c>
      <c r="D65" t="s">
        <v>19</v>
      </c>
      <c r="E65">
        <v>8000</v>
      </c>
      <c r="F65" t="s">
        <v>7</v>
      </c>
      <c r="G65">
        <v>2</v>
      </c>
      <c r="H65" s="3">
        <v>1</v>
      </c>
      <c r="I65" s="3">
        <v>16000</v>
      </c>
      <c r="J65" s="3">
        <v>0</v>
      </c>
      <c r="K65" s="3">
        <v>16000</v>
      </c>
      <c r="M65"/>
    </row>
    <row r="66" spans="1:13" x14ac:dyDescent="0.25">
      <c r="A66" s="10">
        <v>46078</v>
      </c>
      <c r="B66" s="15">
        <v>0.83809027777777778</v>
      </c>
      <c r="C66">
        <v>51</v>
      </c>
      <c r="D66" t="s">
        <v>19</v>
      </c>
      <c r="E66">
        <v>8000</v>
      </c>
      <c r="F66" t="s">
        <v>7</v>
      </c>
      <c r="G66">
        <v>4</v>
      </c>
      <c r="H66" s="3">
        <v>1</v>
      </c>
      <c r="I66" s="3">
        <v>32000</v>
      </c>
      <c r="J66" s="3">
        <v>0</v>
      </c>
      <c r="K66" s="3">
        <v>32000</v>
      </c>
      <c r="M66"/>
    </row>
    <row r="67" spans="1:13" x14ac:dyDescent="0.25">
      <c r="A67" s="10">
        <v>46078</v>
      </c>
      <c r="B67" s="15">
        <v>0.84167824074074071</v>
      </c>
      <c r="C67">
        <v>52</v>
      </c>
      <c r="D67" t="s">
        <v>19</v>
      </c>
      <c r="E67">
        <v>8000</v>
      </c>
      <c r="F67" t="s">
        <v>8</v>
      </c>
      <c r="G67">
        <v>1</v>
      </c>
      <c r="H67" s="3">
        <v>1</v>
      </c>
      <c r="I67" s="3">
        <v>0</v>
      </c>
      <c r="J67" s="3">
        <v>8000</v>
      </c>
      <c r="K67" s="3">
        <v>8000</v>
      </c>
      <c r="M67"/>
    </row>
    <row r="68" spans="1:13" x14ac:dyDescent="0.25">
      <c r="A68" s="10">
        <v>46078</v>
      </c>
      <c r="B68" s="15">
        <v>0.84804398148148152</v>
      </c>
      <c r="C68">
        <v>53</v>
      </c>
      <c r="D68" t="s">
        <v>19</v>
      </c>
      <c r="E68">
        <v>8000</v>
      </c>
      <c r="F68" t="s">
        <v>7</v>
      </c>
      <c r="G68">
        <v>2</v>
      </c>
      <c r="H68" s="3">
        <v>1</v>
      </c>
      <c r="I68" s="3">
        <v>16000</v>
      </c>
      <c r="J68" s="3">
        <v>0</v>
      </c>
      <c r="K68" s="3">
        <v>16000</v>
      </c>
      <c r="M68"/>
    </row>
    <row r="69" spans="1:13" x14ac:dyDescent="0.25">
      <c r="A69" s="10">
        <v>46079</v>
      </c>
      <c r="B69" s="15">
        <v>0.55702546296296296</v>
      </c>
      <c r="C69">
        <v>54</v>
      </c>
      <c r="D69" t="s">
        <v>18</v>
      </c>
      <c r="E69">
        <v>4500</v>
      </c>
      <c r="F69" t="s">
        <v>7</v>
      </c>
      <c r="G69">
        <v>2</v>
      </c>
      <c r="H69" s="3">
        <v>1</v>
      </c>
      <c r="I69" s="3">
        <v>9000</v>
      </c>
      <c r="J69" s="3">
        <v>0</v>
      </c>
      <c r="K69" s="3">
        <v>9000</v>
      </c>
      <c r="M69"/>
    </row>
    <row r="70" spans="1:13" x14ac:dyDescent="0.25">
      <c r="A70" s="10">
        <v>46079</v>
      </c>
      <c r="B70" s="15">
        <v>0.56067129629629631</v>
      </c>
      <c r="C70">
        <v>55</v>
      </c>
      <c r="D70" t="s">
        <v>19</v>
      </c>
      <c r="E70">
        <v>8000</v>
      </c>
      <c r="F70" t="s">
        <v>7</v>
      </c>
      <c r="G70">
        <v>2</v>
      </c>
      <c r="H70" s="3">
        <v>1</v>
      </c>
      <c r="I70" s="3">
        <v>16000</v>
      </c>
      <c r="J70" s="3">
        <v>0</v>
      </c>
      <c r="K70" s="3">
        <v>16000</v>
      </c>
      <c r="M70"/>
    </row>
    <row r="71" spans="1:13" x14ac:dyDescent="0.25">
      <c r="A71" s="10">
        <v>46079</v>
      </c>
      <c r="B71" s="15">
        <v>0.63410879629629635</v>
      </c>
      <c r="C71">
        <v>56</v>
      </c>
      <c r="D71" t="s">
        <v>34</v>
      </c>
      <c r="E71">
        <v>25000</v>
      </c>
      <c r="F71" t="s">
        <v>8</v>
      </c>
      <c r="G71">
        <v>1</v>
      </c>
      <c r="H71" s="3">
        <v>1</v>
      </c>
      <c r="I71" s="3">
        <v>0</v>
      </c>
      <c r="J71" s="3">
        <v>25000</v>
      </c>
      <c r="K71" s="3">
        <v>25000</v>
      </c>
      <c r="M71"/>
    </row>
    <row r="72" spans="1:13" x14ac:dyDescent="0.25">
      <c r="A72" s="10">
        <v>46079</v>
      </c>
      <c r="B72" s="15">
        <v>0.72755787037037034</v>
      </c>
      <c r="C72">
        <v>57</v>
      </c>
      <c r="D72" t="s">
        <v>19</v>
      </c>
      <c r="E72">
        <v>8000</v>
      </c>
      <c r="F72" t="s">
        <v>8</v>
      </c>
      <c r="G72">
        <v>5</v>
      </c>
      <c r="H72" s="3">
        <v>1</v>
      </c>
      <c r="I72" s="3">
        <v>0</v>
      </c>
      <c r="J72" s="3">
        <v>40000</v>
      </c>
      <c r="K72" s="3">
        <v>40000</v>
      </c>
      <c r="M72"/>
    </row>
    <row r="73" spans="1:13" x14ac:dyDescent="0.25">
      <c r="A73" s="10">
        <v>46079</v>
      </c>
      <c r="B73" s="15">
        <v>0.72755787037037034</v>
      </c>
      <c r="C73">
        <v>57</v>
      </c>
      <c r="D73" t="s">
        <v>22</v>
      </c>
      <c r="E73">
        <v>3000</v>
      </c>
      <c r="F73" t="s">
        <v>8</v>
      </c>
      <c r="G73">
        <v>3</v>
      </c>
      <c r="H73" s="3">
        <v>1</v>
      </c>
      <c r="I73" s="3">
        <v>0</v>
      </c>
      <c r="J73" s="3">
        <v>9000</v>
      </c>
      <c r="K73" s="3">
        <v>9000</v>
      </c>
      <c r="M73"/>
    </row>
    <row r="74" spans="1:13" x14ac:dyDescent="0.25">
      <c r="A74" s="10">
        <v>46079</v>
      </c>
      <c r="B74" s="15">
        <v>0.75289351851851849</v>
      </c>
      <c r="C74">
        <v>58</v>
      </c>
      <c r="D74" t="s">
        <v>19</v>
      </c>
      <c r="E74">
        <v>8000</v>
      </c>
      <c r="F74" t="s">
        <v>7</v>
      </c>
      <c r="G74">
        <v>1</v>
      </c>
      <c r="H74" s="3">
        <v>1</v>
      </c>
      <c r="I74" s="3">
        <v>8000</v>
      </c>
      <c r="J74" s="3">
        <v>0</v>
      </c>
      <c r="K74" s="3">
        <v>8000</v>
      </c>
      <c r="M74"/>
    </row>
    <row r="75" spans="1:13" x14ac:dyDescent="0.25">
      <c r="A75" s="10">
        <v>46079</v>
      </c>
      <c r="B75" s="15">
        <v>0.7630555555555556</v>
      </c>
      <c r="C75">
        <v>59</v>
      </c>
      <c r="D75" t="s">
        <v>19</v>
      </c>
      <c r="E75">
        <v>8000</v>
      </c>
      <c r="F75" t="s">
        <v>8</v>
      </c>
      <c r="G75">
        <v>1</v>
      </c>
      <c r="H75" s="3">
        <v>1</v>
      </c>
      <c r="I75" s="3">
        <v>0</v>
      </c>
      <c r="J75" s="3">
        <v>8000</v>
      </c>
      <c r="K75" s="3">
        <v>8000</v>
      </c>
      <c r="M75"/>
    </row>
    <row r="76" spans="1:13" x14ac:dyDescent="0.25">
      <c r="A76" s="10">
        <v>46079</v>
      </c>
      <c r="B76" s="15">
        <v>0.76405092592592594</v>
      </c>
      <c r="C76">
        <v>60</v>
      </c>
      <c r="D76" t="s">
        <v>19</v>
      </c>
      <c r="E76">
        <v>8000</v>
      </c>
      <c r="F76" t="s">
        <v>7</v>
      </c>
      <c r="G76">
        <v>1</v>
      </c>
      <c r="H76" s="3">
        <v>1</v>
      </c>
      <c r="I76" s="3">
        <v>8000</v>
      </c>
      <c r="J76" s="3">
        <v>0</v>
      </c>
      <c r="K76" s="3">
        <v>8000</v>
      </c>
      <c r="M76"/>
    </row>
    <row r="77" spans="1:13" x14ac:dyDescent="0.25">
      <c r="A77" s="10">
        <v>46079</v>
      </c>
      <c r="B77" s="15">
        <v>0.77359953703703699</v>
      </c>
      <c r="C77">
        <v>61</v>
      </c>
      <c r="D77" t="s">
        <v>19</v>
      </c>
      <c r="E77">
        <v>8000</v>
      </c>
      <c r="F77" t="s">
        <v>8</v>
      </c>
      <c r="G77">
        <v>1</v>
      </c>
      <c r="H77" s="3">
        <v>1</v>
      </c>
      <c r="I77" s="3">
        <v>0</v>
      </c>
      <c r="J77" s="3">
        <v>8000</v>
      </c>
      <c r="K77" s="3">
        <v>8000</v>
      </c>
      <c r="M77"/>
    </row>
    <row r="78" spans="1:13" x14ac:dyDescent="0.25">
      <c r="A78" s="10">
        <v>46079</v>
      </c>
      <c r="B78" s="15">
        <v>0.79465277777777776</v>
      </c>
      <c r="C78">
        <v>62</v>
      </c>
      <c r="D78" t="s">
        <v>19</v>
      </c>
      <c r="E78">
        <v>8000</v>
      </c>
      <c r="F78" t="s">
        <v>7</v>
      </c>
      <c r="G78">
        <v>2</v>
      </c>
      <c r="H78" s="3">
        <v>1</v>
      </c>
      <c r="I78" s="3">
        <v>16000</v>
      </c>
      <c r="J78" s="3">
        <v>0</v>
      </c>
      <c r="K78" s="3">
        <v>16000</v>
      </c>
      <c r="M78"/>
    </row>
    <row r="79" spans="1:13" x14ac:dyDescent="0.25">
      <c r="A79" s="10">
        <v>46079</v>
      </c>
      <c r="B79" s="15">
        <v>0.81241898148148151</v>
      </c>
      <c r="C79">
        <v>63</v>
      </c>
      <c r="D79" t="s">
        <v>19</v>
      </c>
      <c r="E79">
        <v>8000</v>
      </c>
      <c r="F79" t="s">
        <v>8</v>
      </c>
      <c r="G79">
        <v>2</v>
      </c>
      <c r="H79" s="3">
        <v>1</v>
      </c>
      <c r="I79" s="3">
        <v>0</v>
      </c>
      <c r="J79" s="3">
        <v>16000</v>
      </c>
      <c r="K79" s="3">
        <v>16000</v>
      </c>
      <c r="M79"/>
    </row>
    <row r="80" spans="1:13" x14ac:dyDescent="0.25">
      <c r="A80" s="10">
        <v>46079</v>
      </c>
      <c r="B80" s="15">
        <v>0.81241898148148151</v>
      </c>
      <c r="C80">
        <v>63</v>
      </c>
      <c r="D80" t="s">
        <v>20</v>
      </c>
      <c r="E80">
        <v>3000</v>
      </c>
      <c r="F80" t="s">
        <v>8</v>
      </c>
      <c r="G80">
        <v>1</v>
      </c>
      <c r="H80" s="3">
        <v>1</v>
      </c>
      <c r="I80" s="3">
        <v>0</v>
      </c>
      <c r="J80" s="3">
        <v>3000</v>
      </c>
      <c r="K80" s="3">
        <v>3000</v>
      </c>
      <c r="M80"/>
    </row>
    <row r="81" spans="1:13" x14ac:dyDescent="0.25">
      <c r="A81" s="10">
        <v>46079</v>
      </c>
      <c r="B81" s="15">
        <v>0.81355324074074076</v>
      </c>
      <c r="C81">
        <v>64</v>
      </c>
      <c r="D81" t="s">
        <v>19</v>
      </c>
      <c r="E81">
        <v>8000</v>
      </c>
      <c r="F81" t="s">
        <v>7</v>
      </c>
      <c r="G81">
        <v>1</v>
      </c>
      <c r="H81" s="3">
        <v>1</v>
      </c>
      <c r="I81" s="3">
        <v>8000</v>
      </c>
      <c r="J81" s="3">
        <v>0</v>
      </c>
      <c r="K81" s="3">
        <v>8000</v>
      </c>
      <c r="M81"/>
    </row>
    <row r="82" spans="1:13" x14ac:dyDescent="0.25">
      <c r="A82" s="10">
        <v>46079</v>
      </c>
      <c r="B82" s="15">
        <v>0.81472222222222224</v>
      </c>
      <c r="C82">
        <v>65</v>
      </c>
      <c r="D82" t="s">
        <v>19</v>
      </c>
      <c r="E82">
        <v>8000</v>
      </c>
      <c r="F82" t="s">
        <v>7</v>
      </c>
      <c r="G82">
        <v>1</v>
      </c>
      <c r="H82" s="3">
        <v>1</v>
      </c>
      <c r="I82" s="3">
        <v>8000</v>
      </c>
      <c r="J82" s="3">
        <v>0</v>
      </c>
      <c r="K82" s="3">
        <v>8000</v>
      </c>
      <c r="M82"/>
    </row>
    <row r="83" spans="1:13" x14ac:dyDescent="0.25">
      <c r="A83" s="10">
        <v>46079</v>
      </c>
      <c r="B83" s="15">
        <v>0.84375</v>
      </c>
      <c r="C83">
        <v>66</v>
      </c>
      <c r="D83" t="s">
        <v>19</v>
      </c>
      <c r="E83">
        <v>8000</v>
      </c>
      <c r="F83" t="s">
        <v>7</v>
      </c>
      <c r="G83">
        <v>1</v>
      </c>
      <c r="H83" s="3">
        <v>1</v>
      </c>
      <c r="I83" s="3">
        <v>8000</v>
      </c>
      <c r="J83" s="3">
        <v>0</v>
      </c>
      <c r="K83" s="3">
        <v>8000</v>
      </c>
      <c r="M83"/>
    </row>
    <row r="84" spans="1:13" x14ac:dyDescent="0.25">
      <c r="A84" s="10">
        <v>46079</v>
      </c>
      <c r="B84" s="15">
        <v>0.84375</v>
      </c>
      <c r="C84">
        <v>66</v>
      </c>
      <c r="D84" t="s">
        <v>22</v>
      </c>
      <c r="E84">
        <v>3000</v>
      </c>
      <c r="F84" t="s">
        <v>7</v>
      </c>
      <c r="G84">
        <v>1</v>
      </c>
      <c r="H84" s="3">
        <v>1</v>
      </c>
      <c r="I84" s="3">
        <v>3000</v>
      </c>
      <c r="J84" s="3">
        <v>0</v>
      </c>
      <c r="K84" s="3">
        <v>3000</v>
      </c>
      <c r="M84"/>
    </row>
    <row r="85" spans="1:13" x14ac:dyDescent="0.25">
      <c r="A85" s="10">
        <v>46079</v>
      </c>
      <c r="B85" s="15">
        <v>0.84394675925925922</v>
      </c>
      <c r="C85">
        <v>67</v>
      </c>
      <c r="D85" t="s">
        <v>19</v>
      </c>
      <c r="E85">
        <v>8000</v>
      </c>
      <c r="F85" t="s">
        <v>8</v>
      </c>
      <c r="G85">
        <v>1</v>
      </c>
      <c r="H85" s="3">
        <v>1</v>
      </c>
      <c r="I85" s="3">
        <v>0</v>
      </c>
      <c r="J85" s="3">
        <v>8000</v>
      </c>
      <c r="K85" s="3">
        <v>8000</v>
      </c>
      <c r="M85"/>
    </row>
    <row r="86" spans="1:13" x14ac:dyDescent="0.25">
      <c r="A86" s="10">
        <v>46079</v>
      </c>
      <c r="B86" s="15">
        <v>0.84410879629629632</v>
      </c>
      <c r="C86">
        <v>68</v>
      </c>
      <c r="D86" t="s">
        <v>19</v>
      </c>
      <c r="E86">
        <v>8000</v>
      </c>
      <c r="F86" t="s">
        <v>8</v>
      </c>
      <c r="G86">
        <v>1</v>
      </c>
      <c r="H86" s="3">
        <v>1</v>
      </c>
      <c r="I86" s="3">
        <v>0</v>
      </c>
      <c r="J86" s="3">
        <v>8000</v>
      </c>
      <c r="K86" s="3">
        <v>8000</v>
      </c>
      <c r="M86"/>
    </row>
    <row r="87" spans="1:13" x14ac:dyDescent="0.25">
      <c r="A87" s="10">
        <v>46080</v>
      </c>
      <c r="B87" s="15">
        <v>0.63017361111111114</v>
      </c>
      <c r="C87">
        <v>69</v>
      </c>
      <c r="D87" t="s">
        <v>19</v>
      </c>
      <c r="E87">
        <v>8000</v>
      </c>
      <c r="F87" t="s">
        <v>8</v>
      </c>
      <c r="G87">
        <v>1</v>
      </c>
      <c r="H87" s="3">
        <v>1</v>
      </c>
      <c r="I87" s="3">
        <v>0</v>
      </c>
      <c r="J87" s="3">
        <v>8000</v>
      </c>
      <c r="K87" s="3">
        <v>8000</v>
      </c>
      <c r="M87"/>
    </row>
    <row r="88" spans="1:13" x14ac:dyDescent="0.25">
      <c r="A88" s="10">
        <v>46080</v>
      </c>
      <c r="B88" s="15">
        <v>0.63017361111111114</v>
      </c>
      <c r="C88">
        <v>69</v>
      </c>
      <c r="D88" t="s">
        <v>22</v>
      </c>
      <c r="E88">
        <v>3000</v>
      </c>
      <c r="F88" t="s">
        <v>8</v>
      </c>
      <c r="G88">
        <v>1</v>
      </c>
      <c r="H88" s="3">
        <v>1</v>
      </c>
      <c r="I88" s="3">
        <v>0</v>
      </c>
      <c r="J88" s="3">
        <v>3000</v>
      </c>
      <c r="K88" s="3">
        <v>3000</v>
      </c>
      <c r="M88"/>
    </row>
    <row r="89" spans="1:13" x14ac:dyDescent="0.25">
      <c r="A89" s="10">
        <v>46080</v>
      </c>
      <c r="B89" s="15">
        <v>0.63124999999999998</v>
      </c>
      <c r="C89">
        <v>70</v>
      </c>
      <c r="D89" t="s">
        <v>19</v>
      </c>
      <c r="E89">
        <v>8000</v>
      </c>
      <c r="F89" t="s">
        <v>7</v>
      </c>
      <c r="G89">
        <v>1</v>
      </c>
      <c r="H89" s="3">
        <v>1</v>
      </c>
      <c r="I89" s="3">
        <v>8000</v>
      </c>
      <c r="J89" s="3">
        <v>0</v>
      </c>
      <c r="K89" s="3">
        <v>8000</v>
      </c>
      <c r="M89"/>
    </row>
    <row r="90" spans="1:13" x14ac:dyDescent="0.25">
      <c r="A90" s="10">
        <v>46080</v>
      </c>
      <c r="B90" s="15">
        <v>0.71579861111111109</v>
      </c>
      <c r="C90">
        <v>71</v>
      </c>
      <c r="D90" t="s">
        <v>19</v>
      </c>
      <c r="E90">
        <v>8000</v>
      </c>
      <c r="F90" t="s">
        <v>7</v>
      </c>
      <c r="G90">
        <v>1</v>
      </c>
      <c r="H90" s="3">
        <v>1</v>
      </c>
      <c r="I90" s="3">
        <v>8000</v>
      </c>
      <c r="J90" s="3">
        <v>0</v>
      </c>
      <c r="K90" s="3">
        <v>8000</v>
      </c>
      <c r="M90"/>
    </row>
    <row r="91" spans="1:13" x14ac:dyDescent="0.25">
      <c r="A91" s="10">
        <v>46080</v>
      </c>
      <c r="B91" s="15">
        <v>0.71579861111111109</v>
      </c>
      <c r="C91">
        <v>71</v>
      </c>
      <c r="D91" t="s">
        <v>21</v>
      </c>
      <c r="E91">
        <v>35000</v>
      </c>
      <c r="F91" t="s">
        <v>7</v>
      </c>
      <c r="G91">
        <v>1</v>
      </c>
      <c r="H91" s="3">
        <v>1</v>
      </c>
      <c r="I91" s="3">
        <v>35000</v>
      </c>
      <c r="J91" s="3">
        <v>0</v>
      </c>
      <c r="K91" s="3">
        <v>35000</v>
      </c>
      <c r="M91"/>
    </row>
    <row r="92" spans="1:13" x14ac:dyDescent="0.25">
      <c r="A92" s="10">
        <v>46080</v>
      </c>
      <c r="B92" s="15">
        <v>0.71579861111111109</v>
      </c>
      <c r="C92">
        <v>71</v>
      </c>
      <c r="D92" t="s">
        <v>33</v>
      </c>
      <c r="E92">
        <v>2000</v>
      </c>
      <c r="F92" t="s">
        <v>7</v>
      </c>
      <c r="G92">
        <v>1</v>
      </c>
      <c r="H92" s="3">
        <v>1</v>
      </c>
      <c r="I92" s="3">
        <v>2000</v>
      </c>
      <c r="J92" s="3">
        <v>0</v>
      </c>
      <c r="K92" s="3">
        <v>2000</v>
      </c>
      <c r="M92"/>
    </row>
    <row r="93" spans="1:13" x14ac:dyDescent="0.25">
      <c r="A93" s="10">
        <v>46080</v>
      </c>
      <c r="B93" s="15">
        <v>0.72542824074074075</v>
      </c>
      <c r="C93">
        <v>72</v>
      </c>
      <c r="D93" t="s">
        <v>19</v>
      </c>
      <c r="E93">
        <v>8000</v>
      </c>
      <c r="F93" t="s">
        <v>7</v>
      </c>
      <c r="G93">
        <v>3</v>
      </c>
      <c r="H93" s="3">
        <v>1</v>
      </c>
      <c r="I93" s="3">
        <v>24000</v>
      </c>
      <c r="J93" s="3">
        <v>0</v>
      </c>
      <c r="K93" s="3">
        <v>24000</v>
      </c>
      <c r="M93"/>
    </row>
    <row r="94" spans="1:13" x14ac:dyDescent="0.25">
      <c r="A94" s="10">
        <v>46080</v>
      </c>
      <c r="B94" s="15">
        <v>0.72542824074074075</v>
      </c>
      <c r="C94">
        <v>72</v>
      </c>
      <c r="D94" t="s">
        <v>20</v>
      </c>
      <c r="E94">
        <v>3000</v>
      </c>
      <c r="F94" t="s">
        <v>7</v>
      </c>
      <c r="G94">
        <v>2</v>
      </c>
      <c r="H94" s="3">
        <v>1</v>
      </c>
      <c r="I94" s="3">
        <v>6000</v>
      </c>
      <c r="J94" s="3">
        <v>0</v>
      </c>
      <c r="K94" s="3">
        <v>6000</v>
      </c>
      <c r="M94"/>
    </row>
    <row r="95" spans="1:13" x14ac:dyDescent="0.25">
      <c r="A95" s="10">
        <v>46080</v>
      </c>
      <c r="B95" s="15">
        <v>0.72542824074074075</v>
      </c>
      <c r="C95">
        <v>72</v>
      </c>
      <c r="D95" t="s">
        <v>21</v>
      </c>
      <c r="E95">
        <v>35000</v>
      </c>
      <c r="F95" t="s">
        <v>7</v>
      </c>
      <c r="G95">
        <v>1</v>
      </c>
      <c r="H95" s="3">
        <v>1</v>
      </c>
      <c r="I95" s="3">
        <v>35000</v>
      </c>
      <c r="J95" s="3">
        <v>0</v>
      </c>
      <c r="K95" s="3">
        <v>35000</v>
      </c>
      <c r="M95"/>
    </row>
    <row r="96" spans="1:13" x14ac:dyDescent="0.25">
      <c r="A96" s="10">
        <v>46080</v>
      </c>
      <c r="B96" s="15">
        <v>0.74226851851851849</v>
      </c>
      <c r="C96">
        <v>73</v>
      </c>
      <c r="D96" t="s">
        <v>19</v>
      </c>
      <c r="E96">
        <v>8000</v>
      </c>
      <c r="F96" t="s">
        <v>7</v>
      </c>
      <c r="G96">
        <v>2</v>
      </c>
      <c r="H96" s="3">
        <v>1</v>
      </c>
      <c r="I96" s="3">
        <v>16000</v>
      </c>
      <c r="J96" s="3">
        <v>0</v>
      </c>
      <c r="K96" s="3">
        <v>16000</v>
      </c>
      <c r="M96"/>
    </row>
    <row r="97" spans="1:13" x14ac:dyDescent="0.25">
      <c r="A97" s="10">
        <v>46080</v>
      </c>
      <c r="B97" s="15">
        <v>0.74226851851851849</v>
      </c>
      <c r="C97">
        <v>73</v>
      </c>
      <c r="D97" t="s">
        <v>20</v>
      </c>
      <c r="E97">
        <v>3000</v>
      </c>
      <c r="F97" t="s">
        <v>7</v>
      </c>
      <c r="G97">
        <v>1</v>
      </c>
      <c r="H97" s="3">
        <v>1</v>
      </c>
      <c r="I97" s="3">
        <v>3000</v>
      </c>
      <c r="J97" s="3">
        <v>0</v>
      </c>
      <c r="K97" s="3">
        <v>3000</v>
      </c>
      <c r="M97"/>
    </row>
    <row r="98" spans="1:13" x14ac:dyDescent="0.25">
      <c r="A98" s="10">
        <v>46080</v>
      </c>
      <c r="B98" s="15">
        <v>0.76141203703703708</v>
      </c>
      <c r="C98">
        <v>74</v>
      </c>
      <c r="D98" t="s">
        <v>19</v>
      </c>
      <c r="E98">
        <v>8000</v>
      </c>
      <c r="F98" t="s">
        <v>8</v>
      </c>
      <c r="G98">
        <v>3</v>
      </c>
      <c r="H98" s="3">
        <v>1</v>
      </c>
      <c r="I98" s="3">
        <v>0</v>
      </c>
      <c r="J98" s="3">
        <v>24000</v>
      </c>
      <c r="K98" s="3">
        <v>24000</v>
      </c>
      <c r="M98"/>
    </row>
    <row r="99" spans="1:13" x14ac:dyDescent="0.25">
      <c r="A99" s="10">
        <v>46080</v>
      </c>
      <c r="B99" s="15">
        <v>0.82401620370370365</v>
      </c>
      <c r="C99">
        <v>75</v>
      </c>
      <c r="D99" t="s">
        <v>17</v>
      </c>
      <c r="E99">
        <v>3000</v>
      </c>
      <c r="F99" t="s">
        <v>35</v>
      </c>
      <c r="G99">
        <v>1</v>
      </c>
      <c r="H99" s="3">
        <v>1</v>
      </c>
      <c r="I99" s="3">
        <v>0</v>
      </c>
      <c r="J99" s="3">
        <v>3000</v>
      </c>
      <c r="K99" s="3">
        <v>3000</v>
      </c>
      <c r="M99"/>
    </row>
    <row r="100" spans="1:13" x14ac:dyDescent="0.25">
      <c r="A100" s="10">
        <v>46080</v>
      </c>
      <c r="B100" s="15">
        <v>0.82401620370370365</v>
      </c>
      <c r="C100">
        <v>75</v>
      </c>
      <c r="D100" t="s">
        <v>19</v>
      </c>
      <c r="E100">
        <v>8000</v>
      </c>
      <c r="F100" t="s">
        <v>35</v>
      </c>
      <c r="G100">
        <v>1</v>
      </c>
      <c r="H100" s="3">
        <v>1</v>
      </c>
      <c r="I100" s="3">
        <v>0</v>
      </c>
      <c r="J100" s="3">
        <v>8000</v>
      </c>
      <c r="K100" s="3">
        <v>8000</v>
      </c>
      <c r="M100"/>
    </row>
    <row r="101" spans="1:13" x14ac:dyDescent="0.25">
      <c r="A101" s="10">
        <v>46080</v>
      </c>
      <c r="B101" s="15">
        <v>0.83636574074074077</v>
      </c>
      <c r="C101">
        <v>76</v>
      </c>
      <c r="D101" t="s">
        <v>19</v>
      </c>
      <c r="E101">
        <v>8000</v>
      </c>
      <c r="F101" t="s">
        <v>8</v>
      </c>
      <c r="G101">
        <v>2</v>
      </c>
      <c r="H101" s="3">
        <v>1</v>
      </c>
      <c r="I101" s="3">
        <v>0</v>
      </c>
      <c r="J101" s="3">
        <v>16000</v>
      </c>
      <c r="K101" s="3">
        <v>16000</v>
      </c>
      <c r="M101"/>
    </row>
    <row r="102" spans="1:13" x14ac:dyDescent="0.25">
      <c r="A102" s="10">
        <v>46080</v>
      </c>
      <c r="B102" s="15">
        <v>0.83721064814814816</v>
      </c>
      <c r="C102">
        <v>77</v>
      </c>
      <c r="D102" t="s">
        <v>19</v>
      </c>
      <c r="E102">
        <v>8000</v>
      </c>
      <c r="F102" t="s">
        <v>7</v>
      </c>
      <c r="G102">
        <v>4</v>
      </c>
      <c r="H102" s="3">
        <v>1</v>
      </c>
      <c r="I102" s="3">
        <v>32000</v>
      </c>
      <c r="J102" s="3">
        <v>0</v>
      </c>
      <c r="K102" s="3">
        <v>32000</v>
      </c>
      <c r="M102"/>
    </row>
    <row r="103" spans="1:13" x14ac:dyDescent="0.25">
      <c r="A103" s="10">
        <v>46080</v>
      </c>
      <c r="B103" s="15">
        <v>0.83721064814814816</v>
      </c>
      <c r="C103">
        <v>77</v>
      </c>
      <c r="D103" t="s">
        <v>20</v>
      </c>
      <c r="E103">
        <v>3000</v>
      </c>
      <c r="F103" t="s">
        <v>7</v>
      </c>
      <c r="G103">
        <v>3</v>
      </c>
      <c r="H103" s="3">
        <v>1</v>
      </c>
      <c r="I103" s="3">
        <v>9000</v>
      </c>
      <c r="J103" s="3">
        <v>0</v>
      </c>
      <c r="K103" s="3">
        <v>9000</v>
      </c>
      <c r="M103"/>
    </row>
    <row r="104" spans="1:13" x14ac:dyDescent="0.25">
      <c r="A104" s="10">
        <v>46080</v>
      </c>
      <c r="B104" s="15">
        <v>0.83902777777777782</v>
      </c>
      <c r="C104">
        <v>78</v>
      </c>
      <c r="D104" t="s">
        <v>19</v>
      </c>
      <c r="E104">
        <v>8000</v>
      </c>
      <c r="F104" t="s">
        <v>7</v>
      </c>
      <c r="G104">
        <v>1</v>
      </c>
      <c r="H104" s="3">
        <v>1</v>
      </c>
      <c r="I104" s="3">
        <v>8000</v>
      </c>
      <c r="J104" s="3">
        <v>0</v>
      </c>
      <c r="K104" s="3">
        <v>8000</v>
      </c>
      <c r="M104"/>
    </row>
    <row r="105" spans="1:13" x14ac:dyDescent="0.25">
      <c r="A105" s="10">
        <v>46081</v>
      </c>
      <c r="B105" s="15">
        <v>0.78979166666666667</v>
      </c>
      <c r="C105">
        <v>79</v>
      </c>
      <c r="D105" t="s">
        <v>18</v>
      </c>
      <c r="E105">
        <v>4500</v>
      </c>
      <c r="F105" t="s">
        <v>7</v>
      </c>
      <c r="G105">
        <v>6</v>
      </c>
      <c r="H105" s="3">
        <v>1</v>
      </c>
      <c r="I105" s="3">
        <v>27000</v>
      </c>
      <c r="J105" s="3">
        <v>0</v>
      </c>
      <c r="K105" s="3">
        <v>27000</v>
      </c>
      <c r="M105"/>
    </row>
    <row r="106" spans="1:13" x14ac:dyDescent="0.25">
      <c r="A106" s="10">
        <v>46081</v>
      </c>
      <c r="B106" s="15">
        <v>0.79023148148148148</v>
      </c>
      <c r="C106">
        <v>80</v>
      </c>
      <c r="D106" t="s">
        <v>19</v>
      </c>
      <c r="E106">
        <v>8000</v>
      </c>
      <c r="F106" t="s">
        <v>8</v>
      </c>
      <c r="G106">
        <v>2</v>
      </c>
      <c r="H106" s="3">
        <v>1</v>
      </c>
      <c r="I106" s="3">
        <v>0</v>
      </c>
      <c r="J106" s="3">
        <v>16000</v>
      </c>
      <c r="K106" s="3">
        <v>16000</v>
      </c>
    </row>
    <row r="107" spans="1:13" x14ac:dyDescent="0.25">
      <c r="A107" s="10">
        <v>46081</v>
      </c>
      <c r="B107" s="15">
        <v>0.79096064814814815</v>
      </c>
      <c r="C107">
        <v>81</v>
      </c>
      <c r="D107" t="s">
        <v>17</v>
      </c>
      <c r="E107">
        <v>3000</v>
      </c>
      <c r="F107" t="s">
        <v>8</v>
      </c>
      <c r="G107">
        <v>1</v>
      </c>
      <c r="H107" s="3">
        <v>1</v>
      </c>
      <c r="I107" s="3">
        <v>0</v>
      </c>
      <c r="J107" s="3">
        <v>3000</v>
      </c>
      <c r="K107" s="3">
        <v>3000</v>
      </c>
    </row>
    <row r="108" spans="1:13" x14ac:dyDescent="0.25">
      <c r="A108" s="10">
        <v>46081</v>
      </c>
      <c r="B108" s="15">
        <v>0.79096064814814815</v>
      </c>
      <c r="C108">
        <v>81</v>
      </c>
      <c r="D108" t="s">
        <v>19</v>
      </c>
      <c r="E108">
        <v>8000</v>
      </c>
      <c r="F108" t="s">
        <v>8</v>
      </c>
      <c r="G108">
        <v>1</v>
      </c>
      <c r="H108" s="3">
        <v>1</v>
      </c>
      <c r="I108" s="3">
        <v>0</v>
      </c>
      <c r="J108" s="3">
        <v>8000</v>
      </c>
      <c r="K108" s="3">
        <v>8000</v>
      </c>
    </row>
    <row r="109" spans="1:13" x14ac:dyDescent="0.25">
      <c r="A109" s="10">
        <v>46081</v>
      </c>
      <c r="B109" s="15">
        <v>0.79096064814814815</v>
      </c>
      <c r="C109">
        <v>81</v>
      </c>
      <c r="D109" t="s">
        <v>33</v>
      </c>
      <c r="E109">
        <v>2000</v>
      </c>
      <c r="F109" t="s">
        <v>8</v>
      </c>
      <c r="G109">
        <v>1</v>
      </c>
      <c r="H109" s="3">
        <v>1</v>
      </c>
      <c r="I109" s="3">
        <v>0</v>
      </c>
      <c r="J109" s="3">
        <v>2000</v>
      </c>
      <c r="K109" s="3">
        <v>2000</v>
      </c>
    </row>
    <row r="110" spans="1:13" x14ac:dyDescent="0.25">
      <c r="A110" s="10">
        <v>46081</v>
      </c>
      <c r="B110" s="15">
        <v>0.79240740740740745</v>
      </c>
      <c r="C110">
        <v>82</v>
      </c>
      <c r="D110" t="s">
        <v>19</v>
      </c>
      <c r="E110">
        <v>8000</v>
      </c>
      <c r="F110" t="s">
        <v>7</v>
      </c>
      <c r="G110">
        <v>2</v>
      </c>
      <c r="H110" s="3">
        <v>1</v>
      </c>
      <c r="I110" s="3">
        <v>16000</v>
      </c>
      <c r="J110" s="3">
        <v>0</v>
      </c>
      <c r="K110" s="3">
        <v>16000</v>
      </c>
    </row>
    <row r="111" spans="1:13" x14ac:dyDescent="0.25">
      <c r="A111" s="10">
        <v>46081</v>
      </c>
      <c r="B111" s="15">
        <v>0.79240740740740745</v>
      </c>
      <c r="C111">
        <v>82</v>
      </c>
      <c r="D111" t="s">
        <v>20</v>
      </c>
      <c r="E111">
        <v>3000</v>
      </c>
      <c r="F111" t="s">
        <v>7</v>
      </c>
      <c r="G111">
        <v>1</v>
      </c>
      <c r="H111" s="3">
        <v>1</v>
      </c>
      <c r="I111" s="3">
        <v>3000</v>
      </c>
      <c r="J111" s="3">
        <v>0</v>
      </c>
      <c r="K111" s="3">
        <v>3000</v>
      </c>
    </row>
    <row r="112" spans="1:13" x14ac:dyDescent="0.25">
      <c r="A112" s="10">
        <v>46081</v>
      </c>
      <c r="B112" s="15">
        <v>0.79320601851851846</v>
      </c>
      <c r="C112">
        <v>83</v>
      </c>
      <c r="D112" t="s">
        <v>19</v>
      </c>
      <c r="E112">
        <v>8000</v>
      </c>
      <c r="F112" t="s">
        <v>7</v>
      </c>
      <c r="G112">
        <v>2</v>
      </c>
      <c r="H112" s="3">
        <v>1</v>
      </c>
      <c r="I112" s="3">
        <v>16000</v>
      </c>
      <c r="J112" s="3">
        <v>0</v>
      </c>
      <c r="K112" s="3">
        <v>16000</v>
      </c>
    </row>
    <row r="113" spans="1:11" x14ac:dyDescent="0.25">
      <c r="A113" s="10">
        <v>46081</v>
      </c>
      <c r="B113" s="15">
        <v>0.79320601851851846</v>
      </c>
      <c r="C113">
        <v>83</v>
      </c>
      <c r="D113" t="s">
        <v>20</v>
      </c>
      <c r="E113">
        <v>3000</v>
      </c>
      <c r="F113" t="s">
        <v>7</v>
      </c>
      <c r="G113">
        <v>1</v>
      </c>
      <c r="H113" s="3">
        <v>1</v>
      </c>
      <c r="I113" s="3">
        <v>3000</v>
      </c>
      <c r="J113" s="3">
        <v>0</v>
      </c>
      <c r="K113" s="3">
        <v>3000</v>
      </c>
    </row>
    <row r="114" spans="1:11" x14ac:dyDescent="0.25">
      <c r="A114" s="10">
        <v>46081</v>
      </c>
      <c r="B114" s="15">
        <v>0.79386574074074079</v>
      </c>
      <c r="C114">
        <v>84</v>
      </c>
      <c r="D114" t="s">
        <v>19</v>
      </c>
      <c r="E114">
        <v>8000</v>
      </c>
      <c r="F114" t="s">
        <v>7</v>
      </c>
      <c r="G114">
        <v>1</v>
      </c>
      <c r="H114" s="3">
        <v>1</v>
      </c>
      <c r="I114" s="3">
        <v>8000</v>
      </c>
      <c r="J114" s="3">
        <v>0</v>
      </c>
      <c r="K114" s="3">
        <v>8000</v>
      </c>
    </row>
    <row r="115" spans="1:11" x14ac:dyDescent="0.25">
      <c r="A115" s="10">
        <v>46081</v>
      </c>
      <c r="B115" s="15">
        <v>0.79386574074074079</v>
      </c>
      <c r="C115">
        <v>84</v>
      </c>
      <c r="D115" t="s">
        <v>20</v>
      </c>
      <c r="E115">
        <v>3000</v>
      </c>
      <c r="F115" t="s">
        <v>7</v>
      </c>
      <c r="G115">
        <v>1</v>
      </c>
      <c r="H115" s="3">
        <v>1</v>
      </c>
      <c r="I115" s="3">
        <v>3000</v>
      </c>
      <c r="J115" s="3">
        <v>0</v>
      </c>
      <c r="K115" s="3">
        <v>3000</v>
      </c>
    </row>
    <row r="116" spans="1:11" x14ac:dyDescent="0.25">
      <c r="A116" s="10">
        <v>46081</v>
      </c>
      <c r="B116" s="15">
        <v>0.79442129629629632</v>
      </c>
      <c r="C116">
        <v>85</v>
      </c>
      <c r="D116" t="s">
        <v>19</v>
      </c>
      <c r="E116">
        <v>8000</v>
      </c>
      <c r="F116" t="s">
        <v>7</v>
      </c>
      <c r="G116">
        <v>4</v>
      </c>
      <c r="H116" s="3">
        <v>1</v>
      </c>
      <c r="I116" s="3">
        <v>32000</v>
      </c>
      <c r="J116" s="3">
        <v>0</v>
      </c>
      <c r="K116" s="3">
        <v>32000</v>
      </c>
    </row>
    <row r="117" spans="1:11" x14ac:dyDescent="0.25">
      <c r="A117" s="10">
        <v>46081</v>
      </c>
      <c r="B117" s="15">
        <v>0.79442129629629632</v>
      </c>
      <c r="C117">
        <v>85</v>
      </c>
      <c r="D117" t="s">
        <v>20</v>
      </c>
      <c r="E117">
        <v>3000</v>
      </c>
      <c r="F117" t="s">
        <v>7</v>
      </c>
      <c r="G117">
        <v>2</v>
      </c>
      <c r="H117" s="3">
        <v>1</v>
      </c>
      <c r="I117" s="3">
        <v>6000</v>
      </c>
      <c r="J117" s="3">
        <v>0</v>
      </c>
      <c r="K117" s="3">
        <v>6000</v>
      </c>
    </row>
    <row r="118" spans="1:11" x14ac:dyDescent="0.25">
      <c r="A118" s="10">
        <v>46081</v>
      </c>
      <c r="B118" s="15">
        <v>0.79465277777777776</v>
      </c>
      <c r="C118">
        <v>86</v>
      </c>
      <c r="D118" t="s">
        <v>19</v>
      </c>
      <c r="E118">
        <v>8000</v>
      </c>
      <c r="F118" t="s">
        <v>7</v>
      </c>
      <c r="G118">
        <v>2</v>
      </c>
      <c r="H118" s="3">
        <v>1</v>
      </c>
      <c r="I118" s="3">
        <v>16000</v>
      </c>
      <c r="J118" s="3">
        <v>0</v>
      </c>
      <c r="K118" s="3">
        <v>16000</v>
      </c>
    </row>
    <row r="119" spans="1:11" x14ac:dyDescent="0.25">
      <c r="A119" s="10">
        <v>46081</v>
      </c>
      <c r="B119" s="15">
        <v>0.79509259259259257</v>
      </c>
      <c r="C119">
        <v>87</v>
      </c>
      <c r="D119" t="s">
        <v>19</v>
      </c>
      <c r="E119">
        <v>8000</v>
      </c>
      <c r="F119" t="s">
        <v>7</v>
      </c>
      <c r="G119">
        <v>3</v>
      </c>
      <c r="H119" s="3">
        <v>1</v>
      </c>
      <c r="I119" s="3">
        <v>24000</v>
      </c>
      <c r="J119" s="3">
        <v>0</v>
      </c>
      <c r="K119" s="3">
        <v>24000</v>
      </c>
    </row>
    <row r="120" spans="1:11" x14ac:dyDescent="0.25">
      <c r="A120" s="10">
        <v>46081</v>
      </c>
      <c r="B120" s="15">
        <v>0.79509259259259257</v>
      </c>
      <c r="C120">
        <v>87</v>
      </c>
      <c r="D120" t="s">
        <v>40</v>
      </c>
      <c r="E120">
        <v>4500</v>
      </c>
      <c r="F120" t="s">
        <v>7</v>
      </c>
      <c r="G120">
        <v>1</v>
      </c>
      <c r="H120" s="3">
        <v>1</v>
      </c>
      <c r="I120" s="3">
        <v>4500</v>
      </c>
      <c r="J120" s="3">
        <v>0</v>
      </c>
      <c r="K120" s="3">
        <v>4500</v>
      </c>
    </row>
    <row r="121" spans="1:11" x14ac:dyDescent="0.25">
      <c r="A121" s="10">
        <v>46081</v>
      </c>
      <c r="B121" s="15">
        <v>0.79549768518518515</v>
      </c>
      <c r="C121">
        <v>88</v>
      </c>
      <c r="D121" t="s">
        <v>21</v>
      </c>
      <c r="E121">
        <v>35000</v>
      </c>
      <c r="F121" t="s">
        <v>7</v>
      </c>
      <c r="G121">
        <v>1</v>
      </c>
      <c r="H121" s="3">
        <v>1</v>
      </c>
      <c r="I121" s="3">
        <v>35000</v>
      </c>
      <c r="J121" s="3">
        <v>0</v>
      </c>
      <c r="K121" s="3">
        <v>35000</v>
      </c>
    </row>
    <row r="122" spans="1:11" x14ac:dyDescent="0.25">
      <c r="A122" s="10">
        <v>46081</v>
      </c>
      <c r="B122" s="15">
        <v>0.79572916666666671</v>
      </c>
      <c r="C122">
        <v>89</v>
      </c>
      <c r="D122" t="s">
        <v>21</v>
      </c>
      <c r="E122">
        <v>35000</v>
      </c>
      <c r="F122" t="s">
        <v>7</v>
      </c>
      <c r="G122">
        <v>1</v>
      </c>
      <c r="H122" s="3">
        <v>1</v>
      </c>
      <c r="I122" s="3">
        <v>35000</v>
      </c>
      <c r="J122" s="3">
        <v>0</v>
      </c>
      <c r="K122" s="3">
        <v>35000</v>
      </c>
    </row>
    <row r="123" spans="1:11" x14ac:dyDescent="0.25">
      <c r="A123" s="10">
        <v>46081</v>
      </c>
      <c r="B123" s="15">
        <v>0.79718750000000005</v>
      </c>
      <c r="C123">
        <v>90</v>
      </c>
      <c r="D123" t="s">
        <v>41</v>
      </c>
      <c r="E123">
        <v>48000</v>
      </c>
      <c r="F123" t="s">
        <v>7</v>
      </c>
      <c r="G123">
        <v>1</v>
      </c>
      <c r="H123" s="3">
        <v>1</v>
      </c>
      <c r="I123" s="3">
        <v>48000</v>
      </c>
      <c r="J123" s="3">
        <v>0</v>
      </c>
      <c r="K123" s="3">
        <v>48000</v>
      </c>
    </row>
    <row r="124" spans="1:11" x14ac:dyDescent="0.25">
      <c r="A124" s="10">
        <v>46081</v>
      </c>
      <c r="B124" s="15">
        <v>0.79751157407407403</v>
      </c>
      <c r="C124">
        <v>91</v>
      </c>
      <c r="D124" t="s">
        <v>42</v>
      </c>
      <c r="E124">
        <v>70000</v>
      </c>
      <c r="F124" t="s">
        <v>7</v>
      </c>
      <c r="G124">
        <v>2</v>
      </c>
      <c r="H124" s="3">
        <v>1</v>
      </c>
      <c r="I124" s="3">
        <v>140000</v>
      </c>
      <c r="J124" s="3">
        <v>0</v>
      </c>
      <c r="K124" s="3">
        <v>140000</v>
      </c>
    </row>
    <row r="125" spans="1:11" x14ac:dyDescent="0.25">
      <c r="A125" s="10">
        <v>46081</v>
      </c>
      <c r="B125" s="15">
        <v>0.79766203703703709</v>
      </c>
      <c r="C125">
        <v>92</v>
      </c>
      <c r="D125" t="s">
        <v>43</v>
      </c>
      <c r="E125">
        <v>40000</v>
      </c>
      <c r="F125" t="s">
        <v>7</v>
      </c>
      <c r="G125">
        <v>1</v>
      </c>
      <c r="H125" s="3">
        <v>1</v>
      </c>
      <c r="I125" s="3">
        <v>40000</v>
      </c>
      <c r="J125" s="3">
        <v>0</v>
      </c>
      <c r="K125" s="3">
        <v>40000</v>
      </c>
    </row>
    <row r="126" spans="1:11" x14ac:dyDescent="0.25">
      <c r="A126" s="10">
        <v>46081</v>
      </c>
      <c r="B126" s="15">
        <v>0.79902777777777778</v>
      </c>
      <c r="C126">
        <v>93</v>
      </c>
      <c r="D126" t="s">
        <v>18</v>
      </c>
      <c r="E126">
        <v>4500</v>
      </c>
      <c r="F126" t="s">
        <v>8</v>
      </c>
      <c r="G126">
        <v>4</v>
      </c>
      <c r="H126" s="3">
        <v>1</v>
      </c>
      <c r="I126" s="3">
        <v>0</v>
      </c>
      <c r="J126" s="3">
        <v>18000</v>
      </c>
      <c r="K126" s="3">
        <v>18000</v>
      </c>
    </row>
    <row r="127" spans="1:11" x14ac:dyDescent="0.25">
      <c r="A127" s="10">
        <v>46083</v>
      </c>
      <c r="B127" s="15">
        <v>0.5111458333333333</v>
      </c>
      <c r="C127">
        <v>95</v>
      </c>
      <c r="D127" t="s">
        <v>19</v>
      </c>
      <c r="E127">
        <v>8000</v>
      </c>
      <c r="F127" t="s">
        <v>7</v>
      </c>
      <c r="G127">
        <v>1</v>
      </c>
      <c r="H127" s="3">
        <v>1</v>
      </c>
      <c r="I127" s="3">
        <v>8000</v>
      </c>
      <c r="J127" s="3">
        <v>0</v>
      </c>
      <c r="K127" s="3">
        <v>8000</v>
      </c>
    </row>
    <row r="128" spans="1:11" x14ac:dyDescent="0.25">
      <c r="A128" s="10">
        <v>46083</v>
      </c>
      <c r="B128" s="15">
        <v>0.5111458333333333</v>
      </c>
      <c r="C128">
        <v>95</v>
      </c>
      <c r="D128" t="s">
        <v>20</v>
      </c>
      <c r="E128">
        <v>3000</v>
      </c>
      <c r="F128" t="s">
        <v>7</v>
      </c>
      <c r="G128">
        <v>1</v>
      </c>
      <c r="H128" s="3">
        <v>1</v>
      </c>
      <c r="I128" s="3">
        <v>3000</v>
      </c>
      <c r="J128" s="3">
        <v>0</v>
      </c>
      <c r="K128" s="3">
        <v>3000</v>
      </c>
    </row>
    <row r="129" spans="1:11" x14ac:dyDescent="0.25">
      <c r="A129" s="10">
        <v>46083</v>
      </c>
      <c r="B129" s="15">
        <v>0.72031250000000002</v>
      </c>
      <c r="C129">
        <v>96</v>
      </c>
      <c r="D129" t="s">
        <v>19</v>
      </c>
      <c r="E129">
        <v>8000</v>
      </c>
      <c r="F129" t="s">
        <v>7</v>
      </c>
      <c r="G129">
        <v>1</v>
      </c>
      <c r="H129" s="3">
        <v>1</v>
      </c>
      <c r="I129" s="3">
        <v>8000</v>
      </c>
      <c r="J129" s="3">
        <v>0</v>
      </c>
      <c r="K129" s="3">
        <v>8000</v>
      </c>
    </row>
    <row r="130" spans="1:11" x14ac:dyDescent="0.25">
      <c r="A130" s="10">
        <v>46083</v>
      </c>
      <c r="B130" s="15">
        <v>0.73594907407407406</v>
      </c>
      <c r="C130">
        <v>97</v>
      </c>
      <c r="D130" t="s">
        <v>19</v>
      </c>
      <c r="E130">
        <v>8000</v>
      </c>
      <c r="F130" t="s">
        <v>7</v>
      </c>
      <c r="G130">
        <v>1</v>
      </c>
      <c r="H130" s="3">
        <v>1</v>
      </c>
      <c r="I130" s="3">
        <v>8000</v>
      </c>
      <c r="J130" s="3">
        <v>0</v>
      </c>
      <c r="K130" s="3">
        <v>8000</v>
      </c>
    </row>
    <row r="131" spans="1:11" x14ac:dyDescent="0.25">
      <c r="A131" s="10">
        <v>46083</v>
      </c>
      <c r="B131" s="15">
        <v>0.82541666666666669</v>
      </c>
      <c r="C131">
        <v>98</v>
      </c>
      <c r="D131" t="s">
        <v>19</v>
      </c>
      <c r="E131">
        <v>8000</v>
      </c>
      <c r="F131" t="s">
        <v>7</v>
      </c>
      <c r="G131">
        <v>3</v>
      </c>
      <c r="H131" s="3">
        <v>1</v>
      </c>
      <c r="I131" s="3">
        <v>24000</v>
      </c>
      <c r="J131" s="3">
        <v>0</v>
      </c>
      <c r="K131" s="3">
        <v>24000</v>
      </c>
    </row>
    <row r="132" spans="1:11" x14ac:dyDescent="0.25">
      <c r="A132" s="10">
        <v>46083</v>
      </c>
      <c r="B132" s="15">
        <v>0.82541666666666669</v>
      </c>
      <c r="C132">
        <v>98</v>
      </c>
      <c r="D132" t="s">
        <v>20</v>
      </c>
      <c r="E132">
        <v>3000</v>
      </c>
      <c r="F132" t="s">
        <v>7</v>
      </c>
      <c r="G132">
        <v>1</v>
      </c>
      <c r="H132" s="3">
        <v>1</v>
      </c>
      <c r="I132" s="3">
        <v>3000</v>
      </c>
      <c r="J132" s="3">
        <v>0</v>
      </c>
      <c r="K132" s="3">
        <v>3000</v>
      </c>
    </row>
    <row r="133" spans="1:11" x14ac:dyDescent="0.25">
      <c r="A133" s="10">
        <v>46083</v>
      </c>
      <c r="B133" s="15">
        <v>0.82541666666666669</v>
      </c>
      <c r="C133">
        <v>98</v>
      </c>
      <c r="D133" t="s">
        <v>22</v>
      </c>
      <c r="E133">
        <v>3000</v>
      </c>
      <c r="F133" t="s">
        <v>7</v>
      </c>
      <c r="G133">
        <v>2</v>
      </c>
      <c r="H133" s="3">
        <v>1</v>
      </c>
      <c r="I133" s="3">
        <v>6000</v>
      </c>
      <c r="J133" s="3">
        <v>0</v>
      </c>
      <c r="K133" s="3">
        <v>6000</v>
      </c>
    </row>
    <row r="134" spans="1:11" x14ac:dyDescent="0.25">
      <c r="A134" s="10">
        <v>46084</v>
      </c>
      <c r="B134" s="15">
        <v>0.4917361111111111</v>
      </c>
      <c r="C134">
        <v>99</v>
      </c>
      <c r="D134" t="s">
        <v>20</v>
      </c>
      <c r="E134">
        <v>3000</v>
      </c>
      <c r="F134" t="s">
        <v>7</v>
      </c>
      <c r="G134">
        <v>2</v>
      </c>
      <c r="H134" s="3">
        <v>1</v>
      </c>
      <c r="I134" s="3">
        <v>6000</v>
      </c>
      <c r="J134" s="3">
        <v>0</v>
      </c>
      <c r="K134" s="3">
        <v>6000</v>
      </c>
    </row>
    <row r="135" spans="1:11" x14ac:dyDescent="0.25">
      <c r="A135" s="10">
        <v>46084</v>
      </c>
      <c r="B135" s="15">
        <v>0.55184027777777778</v>
      </c>
      <c r="C135">
        <v>100</v>
      </c>
      <c r="D135" t="s">
        <v>19</v>
      </c>
      <c r="E135">
        <v>8000</v>
      </c>
      <c r="F135" t="s">
        <v>7</v>
      </c>
      <c r="G135">
        <v>1</v>
      </c>
      <c r="H135" s="3">
        <v>1</v>
      </c>
      <c r="I135" s="3">
        <v>8000</v>
      </c>
      <c r="J135" s="3">
        <v>0</v>
      </c>
      <c r="K135" s="3">
        <v>8000</v>
      </c>
    </row>
    <row r="136" spans="1:11" x14ac:dyDescent="0.25">
      <c r="A136" s="10">
        <v>46084</v>
      </c>
      <c r="B136" s="15">
        <v>0.61869212962962961</v>
      </c>
      <c r="C136">
        <v>101</v>
      </c>
      <c r="D136" t="s">
        <v>19</v>
      </c>
      <c r="E136">
        <v>8000</v>
      </c>
      <c r="F136" t="s">
        <v>7</v>
      </c>
      <c r="G136">
        <v>1</v>
      </c>
      <c r="H136" s="3">
        <v>1</v>
      </c>
      <c r="I136" s="3">
        <v>8000</v>
      </c>
      <c r="J136" s="3">
        <v>0</v>
      </c>
      <c r="K136" s="3">
        <v>8000</v>
      </c>
    </row>
    <row r="137" spans="1:11" x14ac:dyDescent="0.25">
      <c r="A137" s="10">
        <v>46084</v>
      </c>
      <c r="B137" s="15">
        <v>0.66587962962962965</v>
      </c>
      <c r="C137">
        <v>102</v>
      </c>
      <c r="D137" t="s">
        <v>19</v>
      </c>
      <c r="E137">
        <v>8000</v>
      </c>
      <c r="F137" t="s">
        <v>7</v>
      </c>
      <c r="G137">
        <v>1</v>
      </c>
      <c r="H137" s="3">
        <v>1</v>
      </c>
      <c r="I137" s="3">
        <v>8000</v>
      </c>
      <c r="J137" s="3">
        <v>0</v>
      </c>
      <c r="K137" s="3">
        <v>8000</v>
      </c>
    </row>
    <row r="138" spans="1:11" x14ac:dyDescent="0.25">
      <c r="A138" s="10">
        <v>46084</v>
      </c>
      <c r="B138" s="15">
        <v>0.66587962962962965</v>
      </c>
      <c r="C138">
        <v>102</v>
      </c>
      <c r="D138" t="s">
        <v>40</v>
      </c>
      <c r="E138">
        <v>4500</v>
      </c>
      <c r="F138" t="s">
        <v>7</v>
      </c>
      <c r="G138">
        <v>1</v>
      </c>
      <c r="H138" s="3">
        <v>1</v>
      </c>
      <c r="I138" s="3">
        <v>4500</v>
      </c>
      <c r="J138" s="3">
        <v>0</v>
      </c>
      <c r="K138" s="3">
        <v>4500</v>
      </c>
    </row>
    <row r="139" spans="1:11" x14ac:dyDescent="0.25">
      <c r="A139" s="10">
        <v>46084</v>
      </c>
      <c r="B139" s="15">
        <v>0.66723379629629631</v>
      </c>
      <c r="C139">
        <v>103</v>
      </c>
      <c r="D139" t="s">
        <v>19</v>
      </c>
      <c r="E139">
        <v>8000</v>
      </c>
      <c r="F139" t="s">
        <v>7</v>
      </c>
      <c r="G139">
        <v>1</v>
      </c>
      <c r="H139" s="3">
        <v>1</v>
      </c>
      <c r="I139" s="3">
        <v>8000</v>
      </c>
      <c r="J139" s="3">
        <v>0</v>
      </c>
      <c r="K139" s="3">
        <v>8000</v>
      </c>
    </row>
    <row r="140" spans="1:11" x14ac:dyDescent="0.25">
      <c r="A140" s="10">
        <v>46084</v>
      </c>
      <c r="B140" s="15">
        <v>0.70716435185185189</v>
      </c>
      <c r="C140">
        <v>104</v>
      </c>
      <c r="D140" t="s">
        <v>56</v>
      </c>
      <c r="E140">
        <v>30000</v>
      </c>
      <c r="F140" t="s">
        <v>8</v>
      </c>
      <c r="G140">
        <v>1</v>
      </c>
      <c r="H140" s="3">
        <v>1</v>
      </c>
      <c r="I140" s="3">
        <v>0</v>
      </c>
      <c r="J140" s="3">
        <v>30000</v>
      </c>
      <c r="K140" s="3">
        <v>30000</v>
      </c>
    </row>
    <row r="141" spans="1:11" x14ac:dyDescent="0.25">
      <c r="A141" s="10">
        <v>46084</v>
      </c>
      <c r="B141" s="15">
        <v>0.70716435185185189</v>
      </c>
      <c r="C141">
        <v>104</v>
      </c>
      <c r="D141" t="s">
        <v>20</v>
      </c>
      <c r="E141">
        <v>3000</v>
      </c>
      <c r="F141" t="s">
        <v>8</v>
      </c>
      <c r="G141">
        <v>1</v>
      </c>
      <c r="H141" s="3">
        <v>1</v>
      </c>
      <c r="I141" s="3">
        <v>0</v>
      </c>
      <c r="J141" s="3">
        <v>3000</v>
      </c>
      <c r="K141" s="3">
        <v>3000</v>
      </c>
    </row>
    <row r="142" spans="1:11" x14ac:dyDescent="0.25">
      <c r="A142" s="10">
        <v>46084</v>
      </c>
      <c r="B142" s="15">
        <v>0.72910879629629632</v>
      </c>
      <c r="C142">
        <v>105</v>
      </c>
      <c r="D142" t="s">
        <v>19</v>
      </c>
      <c r="E142">
        <v>8000</v>
      </c>
      <c r="F142" t="s">
        <v>7</v>
      </c>
      <c r="G142">
        <v>1</v>
      </c>
      <c r="H142" s="3">
        <v>1</v>
      </c>
      <c r="I142" s="3">
        <v>8000</v>
      </c>
      <c r="J142" s="3">
        <v>0</v>
      </c>
      <c r="K142" s="3">
        <v>8000</v>
      </c>
    </row>
    <row r="143" spans="1:11" x14ac:dyDescent="0.25">
      <c r="A143" s="10">
        <v>46084</v>
      </c>
      <c r="B143" s="15">
        <v>0.74128472222222219</v>
      </c>
      <c r="C143">
        <v>106</v>
      </c>
      <c r="D143" t="s">
        <v>18</v>
      </c>
      <c r="E143">
        <v>4500</v>
      </c>
      <c r="F143" t="s">
        <v>7</v>
      </c>
      <c r="G143">
        <v>2</v>
      </c>
      <c r="H143" s="3">
        <v>1</v>
      </c>
      <c r="I143" s="3">
        <v>9000</v>
      </c>
      <c r="J143" s="3">
        <v>0</v>
      </c>
      <c r="K143" s="3">
        <v>9000</v>
      </c>
    </row>
    <row r="144" spans="1:11" x14ac:dyDescent="0.25">
      <c r="A144" s="10">
        <v>46084</v>
      </c>
      <c r="B144" s="15">
        <v>0.74128472222222219</v>
      </c>
      <c r="C144">
        <v>106</v>
      </c>
      <c r="D144" t="s">
        <v>19</v>
      </c>
      <c r="E144">
        <v>8000</v>
      </c>
      <c r="F144" t="s">
        <v>7</v>
      </c>
      <c r="G144">
        <v>1</v>
      </c>
      <c r="H144" s="3">
        <v>1</v>
      </c>
      <c r="I144" s="3">
        <v>8000</v>
      </c>
      <c r="J144" s="3">
        <v>0</v>
      </c>
      <c r="K144" s="3">
        <v>8000</v>
      </c>
    </row>
    <row r="145" spans="1:11" x14ac:dyDescent="0.25">
      <c r="A145" s="10">
        <v>46084</v>
      </c>
      <c r="B145" s="15">
        <v>0.75469907407407411</v>
      </c>
      <c r="C145">
        <v>107</v>
      </c>
      <c r="D145" t="s">
        <v>19</v>
      </c>
      <c r="E145">
        <v>8000</v>
      </c>
      <c r="F145" t="s">
        <v>7</v>
      </c>
      <c r="G145">
        <v>1</v>
      </c>
      <c r="H145" s="3">
        <v>1</v>
      </c>
      <c r="I145" s="3">
        <v>8000</v>
      </c>
      <c r="J145" s="3">
        <v>0</v>
      </c>
      <c r="K145" s="3">
        <v>8000</v>
      </c>
    </row>
    <row r="146" spans="1:11" x14ac:dyDescent="0.25">
      <c r="A146" s="10">
        <v>46084</v>
      </c>
      <c r="B146" s="15">
        <v>0.75469907407407411</v>
      </c>
      <c r="C146">
        <v>107</v>
      </c>
      <c r="D146" t="s">
        <v>20</v>
      </c>
      <c r="E146">
        <v>3000</v>
      </c>
      <c r="F146" t="s">
        <v>7</v>
      </c>
      <c r="G146">
        <v>1</v>
      </c>
      <c r="H146" s="3">
        <v>1</v>
      </c>
      <c r="I146" s="3">
        <v>3000</v>
      </c>
      <c r="J146" s="3">
        <v>0</v>
      </c>
      <c r="K146" s="3">
        <v>3000</v>
      </c>
    </row>
    <row r="147" spans="1:11" x14ac:dyDescent="0.25">
      <c r="A147" s="10">
        <v>46084</v>
      </c>
      <c r="B147" s="15">
        <v>0.76284722222222223</v>
      </c>
      <c r="C147">
        <v>108</v>
      </c>
      <c r="D147" t="s">
        <v>40</v>
      </c>
      <c r="E147">
        <v>4500</v>
      </c>
      <c r="F147" t="s">
        <v>7</v>
      </c>
      <c r="G147">
        <v>1</v>
      </c>
      <c r="H147" s="3">
        <v>1</v>
      </c>
      <c r="I147" s="3">
        <v>4500</v>
      </c>
      <c r="J147" s="3">
        <v>0</v>
      </c>
      <c r="K147" s="3">
        <v>4500</v>
      </c>
    </row>
    <row r="148" spans="1:11" x14ac:dyDescent="0.25">
      <c r="A148" s="10">
        <v>46084</v>
      </c>
      <c r="B148" s="15">
        <v>0.76518518518518519</v>
      </c>
      <c r="C148">
        <v>109</v>
      </c>
      <c r="D148" t="s">
        <v>19</v>
      </c>
      <c r="E148">
        <v>8000</v>
      </c>
      <c r="F148" t="s">
        <v>35</v>
      </c>
      <c r="G148">
        <v>1</v>
      </c>
      <c r="H148" s="3">
        <v>1</v>
      </c>
      <c r="I148" s="3">
        <v>0</v>
      </c>
      <c r="J148" s="3">
        <v>8000</v>
      </c>
      <c r="K148" s="3">
        <v>8000</v>
      </c>
    </row>
    <row r="149" spans="1:11" x14ac:dyDescent="0.25">
      <c r="A149" s="10">
        <v>46084</v>
      </c>
      <c r="B149" s="15">
        <v>0.76518518518518519</v>
      </c>
      <c r="C149">
        <v>109</v>
      </c>
      <c r="D149" t="s">
        <v>20</v>
      </c>
      <c r="E149">
        <v>3000</v>
      </c>
      <c r="F149" t="s">
        <v>35</v>
      </c>
      <c r="G149">
        <v>1</v>
      </c>
      <c r="H149" s="3">
        <v>1</v>
      </c>
      <c r="I149" s="3">
        <v>0</v>
      </c>
      <c r="J149" s="3">
        <v>3000</v>
      </c>
      <c r="K149" s="3">
        <v>3000</v>
      </c>
    </row>
    <row r="150" spans="1:11" x14ac:dyDescent="0.25">
      <c r="A150" s="10">
        <v>46084</v>
      </c>
      <c r="B150" s="15">
        <v>0.77130787037037041</v>
      </c>
      <c r="C150">
        <v>110</v>
      </c>
      <c r="D150" t="s">
        <v>47</v>
      </c>
      <c r="E150">
        <v>5000</v>
      </c>
      <c r="F150" t="s">
        <v>8</v>
      </c>
      <c r="G150">
        <v>4</v>
      </c>
      <c r="H150" s="3">
        <v>1</v>
      </c>
      <c r="I150" s="3">
        <v>0</v>
      </c>
      <c r="J150" s="3">
        <v>20000</v>
      </c>
      <c r="K150" s="3">
        <v>20000</v>
      </c>
    </row>
    <row r="151" spans="1:11" x14ac:dyDescent="0.25">
      <c r="A151" s="10">
        <v>46084</v>
      </c>
      <c r="B151" s="15">
        <v>0.85248842592592589</v>
      </c>
      <c r="C151">
        <v>111</v>
      </c>
      <c r="D151" t="s">
        <v>19</v>
      </c>
      <c r="E151">
        <v>8000</v>
      </c>
      <c r="F151" t="s">
        <v>7</v>
      </c>
      <c r="G151">
        <v>2</v>
      </c>
      <c r="H151" s="3">
        <v>1</v>
      </c>
      <c r="I151" s="3">
        <v>16000</v>
      </c>
      <c r="J151" s="3">
        <v>0</v>
      </c>
      <c r="K151" s="3">
        <v>16000</v>
      </c>
    </row>
    <row r="152" spans="1:11" x14ac:dyDescent="0.25">
      <c r="A152" s="10">
        <v>46084</v>
      </c>
      <c r="B152" s="15">
        <v>0.85248842592592589</v>
      </c>
      <c r="C152">
        <v>111</v>
      </c>
      <c r="D152" t="s">
        <v>20</v>
      </c>
      <c r="E152">
        <v>3000</v>
      </c>
      <c r="F152" t="s">
        <v>7</v>
      </c>
      <c r="G152">
        <v>2</v>
      </c>
      <c r="H152" s="3">
        <v>1</v>
      </c>
      <c r="I152" s="3">
        <v>6000</v>
      </c>
      <c r="J152" s="3">
        <v>0</v>
      </c>
      <c r="K152" s="3">
        <v>6000</v>
      </c>
    </row>
    <row r="153" spans="1:11" x14ac:dyDescent="0.25">
      <c r="A153" s="10">
        <v>46085</v>
      </c>
      <c r="B153" s="15">
        <v>0.63070601851851849</v>
      </c>
      <c r="C153">
        <v>112</v>
      </c>
      <c r="D153" t="s">
        <v>19</v>
      </c>
      <c r="E153">
        <v>8000</v>
      </c>
      <c r="F153" t="s">
        <v>7</v>
      </c>
      <c r="G153">
        <v>1</v>
      </c>
      <c r="H153" s="3">
        <v>1</v>
      </c>
      <c r="I153" s="3">
        <v>8000</v>
      </c>
      <c r="J153" s="3">
        <v>0</v>
      </c>
      <c r="K153" s="3">
        <v>8000</v>
      </c>
    </row>
    <row r="154" spans="1:11" x14ac:dyDescent="0.25">
      <c r="A154" s="10">
        <v>46085</v>
      </c>
      <c r="B154" s="15">
        <v>0.63070601851851849</v>
      </c>
      <c r="C154">
        <v>112</v>
      </c>
      <c r="D154" t="s">
        <v>20</v>
      </c>
      <c r="E154">
        <v>3000</v>
      </c>
      <c r="F154" t="s">
        <v>7</v>
      </c>
      <c r="G154">
        <v>1</v>
      </c>
      <c r="H154" s="3">
        <v>1</v>
      </c>
      <c r="I154" s="3">
        <v>3000</v>
      </c>
      <c r="J154" s="3">
        <v>0</v>
      </c>
      <c r="K154" s="3">
        <v>3000</v>
      </c>
    </row>
    <row r="155" spans="1:11" x14ac:dyDescent="0.25">
      <c r="A155" s="10">
        <v>46085</v>
      </c>
      <c r="B155" s="15">
        <v>0.63070601851851849</v>
      </c>
      <c r="C155">
        <v>112</v>
      </c>
      <c r="D155" t="s">
        <v>54</v>
      </c>
      <c r="E155">
        <v>22000</v>
      </c>
      <c r="F155" t="s">
        <v>7</v>
      </c>
      <c r="G155">
        <v>1</v>
      </c>
      <c r="H155" s="3">
        <v>1</v>
      </c>
      <c r="I155" s="3">
        <v>22000</v>
      </c>
      <c r="J155" s="3">
        <v>0</v>
      </c>
      <c r="K155" s="3">
        <v>22000</v>
      </c>
    </row>
    <row r="156" spans="1:11" x14ac:dyDescent="0.25">
      <c r="A156" s="10">
        <v>46085</v>
      </c>
      <c r="B156" s="15">
        <v>0.63363425925925931</v>
      </c>
      <c r="C156">
        <v>113</v>
      </c>
      <c r="D156" t="s">
        <v>19</v>
      </c>
      <c r="E156">
        <v>8000</v>
      </c>
      <c r="F156" t="s">
        <v>7</v>
      </c>
      <c r="G156">
        <v>1</v>
      </c>
      <c r="H156" s="3">
        <v>1</v>
      </c>
      <c r="I156" s="3">
        <v>8000</v>
      </c>
      <c r="J156" s="3">
        <v>0</v>
      </c>
      <c r="K156" s="3">
        <v>8000</v>
      </c>
    </row>
    <row r="157" spans="1:11" x14ac:dyDescent="0.25">
      <c r="A157" s="10">
        <v>46085</v>
      </c>
      <c r="B157" s="15">
        <v>0.66638888888888892</v>
      </c>
      <c r="C157">
        <v>114</v>
      </c>
      <c r="D157" t="s">
        <v>19</v>
      </c>
      <c r="E157">
        <v>8000</v>
      </c>
      <c r="F157" t="s">
        <v>7</v>
      </c>
      <c r="G157">
        <v>1</v>
      </c>
      <c r="H157" s="3">
        <v>1</v>
      </c>
      <c r="I157" s="3">
        <v>8000</v>
      </c>
      <c r="J157" s="3">
        <v>0</v>
      </c>
      <c r="K157" s="3">
        <v>8000</v>
      </c>
    </row>
    <row r="158" spans="1:11" x14ac:dyDescent="0.25">
      <c r="A158" s="10">
        <v>46085</v>
      </c>
      <c r="B158" s="15">
        <v>0.6906944444444445</v>
      </c>
      <c r="C158">
        <v>115</v>
      </c>
      <c r="D158" t="s">
        <v>19</v>
      </c>
      <c r="E158">
        <v>8000</v>
      </c>
      <c r="F158" t="s">
        <v>7</v>
      </c>
      <c r="G158">
        <v>1</v>
      </c>
      <c r="H158" s="3">
        <v>1</v>
      </c>
      <c r="I158" s="3">
        <v>8000</v>
      </c>
      <c r="J158" s="3">
        <v>0</v>
      </c>
      <c r="K158" s="3">
        <v>8000</v>
      </c>
    </row>
    <row r="159" spans="1:11" x14ac:dyDescent="0.25">
      <c r="A159" s="10">
        <v>46085</v>
      </c>
      <c r="B159" s="15">
        <v>0.6906944444444445</v>
      </c>
      <c r="C159">
        <v>115</v>
      </c>
      <c r="D159" t="s">
        <v>20</v>
      </c>
      <c r="E159">
        <v>3000</v>
      </c>
      <c r="F159" t="s">
        <v>7</v>
      </c>
      <c r="G159">
        <v>1</v>
      </c>
      <c r="H159" s="3">
        <v>1</v>
      </c>
      <c r="I159" s="3">
        <v>3000</v>
      </c>
      <c r="J159" s="3">
        <v>0</v>
      </c>
      <c r="K159" s="3">
        <v>3000</v>
      </c>
    </row>
    <row r="160" spans="1:11" x14ac:dyDescent="0.25">
      <c r="A160" s="10">
        <v>46085</v>
      </c>
      <c r="B160" s="15">
        <v>0.69087962962962968</v>
      </c>
      <c r="C160">
        <v>116</v>
      </c>
      <c r="D160" t="s">
        <v>17</v>
      </c>
      <c r="E160">
        <v>3000</v>
      </c>
      <c r="F160" t="s">
        <v>7</v>
      </c>
      <c r="G160">
        <v>2</v>
      </c>
      <c r="H160" s="3">
        <v>1</v>
      </c>
      <c r="I160" s="3">
        <v>6000</v>
      </c>
      <c r="J160" s="3">
        <v>0</v>
      </c>
      <c r="K160" s="3">
        <v>6000</v>
      </c>
    </row>
    <row r="161" spans="1:11" x14ac:dyDescent="0.25">
      <c r="A161" s="10">
        <v>46085</v>
      </c>
      <c r="B161" s="15">
        <v>0.69216435185185188</v>
      </c>
      <c r="C161">
        <v>117</v>
      </c>
      <c r="D161" t="s">
        <v>54</v>
      </c>
      <c r="E161">
        <v>22000</v>
      </c>
      <c r="F161" t="s">
        <v>7</v>
      </c>
      <c r="G161">
        <v>1</v>
      </c>
      <c r="H161" s="3">
        <v>1</v>
      </c>
      <c r="I161" s="3">
        <v>22000</v>
      </c>
      <c r="J161" s="3">
        <v>0</v>
      </c>
      <c r="K161" s="3">
        <v>22000</v>
      </c>
    </row>
    <row r="162" spans="1:11" x14ac:dyDescent="0.25">
      <c r="A162" s="10">
        <v>46085</v>
      </c>
      <c r="B162" s="15">
        <v>0.69216435185185188</v>
      </c>
      <c r="C162">
        <v>117</v>
      </c>
      <c r="D162" t="s">
        <v>55</v>
      </c>
      <c r="E162">
        <v>17000</v>
      </c>
      <c r="F162" t="s">
        <v>7</v>
      </c>
      <c r="G162">
        <v>1</v>
      </c>
      <c r="H162" s="3">
        <v>1</v>
      </c>
      <c r="I162" s="3">
        <v>17000</v>
      </c>
      <c r="J162" s="3">
        <v>0</v>
      </c>
      <c r="K162" s="3">
        <v>17000</v>
      </c>
    </row>
    <row r="163" spans="1:11" x14ac:dyDescent="0.25">
      <c r="A163" s="10">
        <v>46085</v>
      </c>
      <c r="B163" s="15">
        <v>0.70192129629629629</v>
      </c>
      <c r="C163">
        <v>118</v>
      </c>
      <c r="D163" t="s">
        <v>34</v>
      </c>
      <c r="E163">
        <v>25000</v>
      </c>
      <c r="F163" t="s">
        <v>8</v>
      </c>
      <c r="G163">
        <v>1</v>
      </c>
      <c r="H163" s="3">
        <v>1</v>
      </c>
      <c r="I163" s="3">
        <v>0</v>
      </c>
      <c r="J163" s="3">
        <v>25000</v>
      </c>
      <c r="K163" s="3">
        <v>25000</v>
      </c>
    </row>
    <row r="164" spans="1:11" x14ac:dyDescent="0.25">
      <c r="A164" s="10">
        <v>46085</v>
      </c>
      <c r="B164" s="15">
        <v>0.70192129629629629</v>
      </c>
      <c r="C164">
        <v>118</v>
      </c>
      <c r="D164" t="s">
        <v>19</v>
      </c>
      <c r="E164">
        <v>8000</v>
      </c>
      <c r="F164" t="s">
        <v>8</v>
      </c>
      <c r="G164">
        <v>3</v>
      </c>
      <c r="H164" s="3">
        <v>1</v>
      </c>
      <c r="I164" s="3">
        <v>0</v>
      </c>
      <c r="J164" s="3">
        <v>24000</v>
      </c>
      <c r="K164" s="3">
        <v>24000</v>
      </c>
    </row>
    <row r="165" spans="1:11" x14ac:dyDescent="0.25">
      <c r="A165" s="10">
        <v>46085</v>
      </c>
      <c r="B165" s="15">
        <v>0.70192129629629629</v>
      </c>
      <c r="C165">
        <v>118</v>
      </c>
      <c r="D165" t="s">
        <v>20</v>
      </c>
      <c r="E165">
        <v>3000</v>
      </c>
      <c r="F165" t="s">
        <v>8</v>
      </c>
      <c r="G165">
        <v>2</v>
      </c>
      <c r="H165" s="3">
        <v>1</v>
      </c>
      <c r="I165" s="3">
        <v>0</v>
      </c>
      <c r="J165" s="3">
        <v>6000</v>
      </c>
      <c r="K165" s="3">
        <v>6000</v>
      </c>
    </row>
    <row r="166" spans="1:11" x14ac:dyDescent="0.25">
      <c r="A166" s="10">
        <v>46085</v>
      </c>
      <c r="B166" s="15">
        <v>0.70192129629629629</v>
      </c>
      <c r="C166">
        <v>118</v>
      </c>
      <c r="D166" t="s">
        <v>22</v>
      </c>
      <c r="E166">
        <v>3000</v>
      </c>
      <c r="F166" t="s">
        <v>8</v>
      </c>
      <c r="G166">
        <v>3</v>
      </c>
      <c r="H166" s="3">
        <v>1</v>
      </c>
      <c r="I166" s="3">
        <v>0</v>
      </c>
      <c r="J166" s="3">
        <v>9000</v>
      </c>
      <c r="K166" s="3">
        <v>9000</v>
      </c>
    </row>
    <row r="167" spans="1:11" x14ac:dyDescent="0.25">
      <c r="A167" s="10">
        <v>46085</v>
      </c>
      <c r="B167" s="15">
        <v>0.7832175925925926</v>
      </c>
      <c r="C167">
        <v>119</v>
      </c>
      <c r="D167" t="s">
        <v>18</v>
      </c>
      <c r="E167">
        <v>4500</v>
      </c>
      <c r="F167" t="s">
        <v>7</v>
      </c>
      <c r="G167">
        <v>4</v>
      </c>
      <c r="H167" s="3">
        <v>1</v>
      </c>
      <c r="I167" s="3">
        <v>18000</v>
      </c>
      <c r="J167" s="3">
        <v>0</v>
      </c>
      <c r="K167" s="3">
        <v>18000</v>
      </c>
    </row>
    <row r="168" spans="1:11" x14ac:dyDescent="0.25">
      <c r="A168" s="10">
        <v>46085</v>
      </c>
      <c r="B168" s="15">
        <v>0.80460648148148151</v>
      </c>
      <c r="C168">
        <v>120</v>
      </c>
      <c r="D168" t="s">
        <v>19</v>
      </c>
      <c r="E168">
        <v>8000</v>
      </c>
      <c r="F168" t="s">
        <v>7</v>
      </c>
      <c r="G168">
        <v>4</v>
      </c>
      <c r="H168" s="3">
        <v>1</v>
      </c>
      <c r="I168" s="3">
        <v>32000</v>
      </c>
      <c r="J168" s="3">
        <v>0</v>
      </c>
      <c r="K168" s="3">
        <v>32000</v>
      </c>
    </row>
    <row r="169" spans="1:11" x14ac:dyDescent="0.25">
      <c r="A169" s="10">
        <v>46085</v>
      </c>
      <c r="B169" s="15">
        <v>0.81076388888888884</v>
      </c>
      <c r="C169">
        <v>121</v>
      </c>
      <c r="D169" t="s">
        <v>19</v>
      </c>
      <c r="E169">
        <v>8000</v>
      </c>
      <c r="F169" t="s">
        <v>8</v>
      </c>
      <c r="G169">
        <v>2</v>
      </c>
      <c r="H169" s="3">
        <v>1</v>
      </c>
      <c r="I169" s="3">
        <v>0</v>
      </c>
      <c r="J169" s="3">
        <v>16000</v>
      </c>
      <c r="K169" s="3">
        <v>16000</v>
      </c>
    </row>
    <row r="170" spans="1:11" x14ac:dyDescent="0.25">
      <c r="A170" s="10">
        <v>46085</v>
      </c>
      <c r="B170" s="15">
        <v>0.81076388888888884</v>
      </c>
      <c r="C170">
        <v>121</v>
      </c>
      <c r="D170" t="s">
        <v>20</v>
      </c>
      <c r="E170">
        <v>3000</v>
      </c>
      <c r="F170" t="s">
        <v>8</v>
      </c>
      <c r="G170">
        <v>1</v>
      </c>
      <c r="H170" s="3">
        <v>1</v>
      </c>
      <c r="I170" s="3">
        <v>0</v>
      </c>
      <c r="J170" s="3">
        <v>3000</v>
      </c>
      <c r="K170" s="3">
        <v>3000</v>
      </c>
    </row>
    <row r="171" spans="1:11" x14ac:dyDescent="0.25">
      <c r="A171" s="10">
        <v>46085</v>
      </c>
      <c r="B171" s="15">
        <v>0.8313194444444445</v>
      </c>
      <c r="C171">
        <v>122</v>
      </c>
      <c r="D171" t="s">
        <v>19</v>
      </c>
      <c r="E171">
        <v>8000</v>
      </c>
      <c r="F171" t="s">
        <v>7</v>
      </c>
      <c r="G171">
        <v>5</v>
      </c>
      <c r="H171" s="3">
        <v>1</v>
      </c>
      <c r="I171" s="3">
        <v>40000</v>
      </c>
      <c r="J171" s="3">
        <v>0</v>
      </c>
      <c r="K171" s="3">
        <v>40000</v>
      </c>
    </row>
    <row r="172" spans="1:11" x14ac:dyDescent="0.25">
      <c r="A172" s="10">
        <v>46085</v>
      </c>
      <c r="B172" s="15">
        <v>0.8313194444444445</v>
      </c>
      <c r="C172">
        <v>122</v>
      </c>
      <c r="D172" t="s">
        <v>20</v>
      </c>
      <c r="E172">
        <v>3000</v>
      </c>
      <c r="F172" t="s">
        <v>7</v>
      </c>
      <c r="G172">
        <v>2</v>
      </c>
      <c r="H172" s="3">
        <v>1</v>
      </c>
      <c r="I172" s="3">
        <v>6000</v>
      </c>
      <c r="J172" s="3">
        <v>0</v>
      </c>
      <c r="K172" s="3">
        <v>6000</v>
      </c>
    </row>
    <row r="173" spans="1:11" x14ac:dyDescent="0.25">
      <c r="A173" s="10">
        <v>46085</v>
      </c>
      <c r="B173" s="15">
        <v>0.8313194444444445</v>
      </c>
      <c r="C173">
        <v>122</v>
      </c>
      <c r="D173" t="s">
        <v>22</v>
      </c>
      <c r="E173">
        <v>3000</v>
      </c>
      <c r="F173" t="s">
        <v>7</v>
      </c>
      <c r="G173">
        <v>3</v>
      </c>
      <c r="H173" s="3">
        <v>1</v>
      </c>
      <c r="I173" s="3">
        <v>9000</v>
      </c>
      <c r="J173" s="3">
        <v>0</v>
      </c>
      <c r="K173" s="3">
        <v>9000</v>
      </c>
    </row>
    <row r="174" spans="1:11" x14ac:dyDescent="0.25">
      <c r="A174" s="10">
        <v>46085</v>
      </c>
      <c r="B174" s="15">
        <v>0.8313194444444445</v>
      </c>
      <c r="C174">
        <v>122</v>
      </c>
      <c r="D174" t="s">
        <v>57</v>
      </c>
      <c r="E174">
        <v>50000</v>
      </c>
      <c r="F174" t="s">
        <v>7</v>
      </c>
      <c r="G174">
        <v>1</v>
      </c>
      <c r="H174" s="3">
        <v>1</v>
      </c>
      <c r="I174" s="3">
        <v>50000</v>
      </c>
      <c r="J174" s="3">
        <v>0</v>
      </c>
      <c r="K174" s="3">
        <v>50000</v>
      </c>
    </row>
    <row r="175" spans="1:11" x14ac:dyDescent="0.25">
      <c r="A175" s="10">
        <v>46086</v>
      </c>
      <c r="B175" s="15">
        <v>0.58488425925925924</v>
      </c>
      <c r="C175">
        <v>123</v>
      </c>
      <c r="D175" t="s">
        <v>56</v>
      </c>
      <c r="E175">
        <v>30000</v>
      </c>
      <c r="F175" t="s">
        <v>8</v>
      </c>
      <c r="G175">
        <v>1</v>
      </c>
      <c r="H175" s="3">
        <v>1</v>
      </c>
      <c r="I175" s="3">
        <v>0</v>
      </c>
      <c r="J175" s="3">
        <v>30000</v>
      </c>
      <c r="K175" s="3">
        <v>30000</v>
      </c>
    </row>
    <row r="176" spans="1:11" x14ac:dyDescent="0.25">
      <c r="A176" s="10">
        <v>46086</v>
      </c>
      <c r="B176" s="15">
        <v>0.58488425925925924</v>
      </c>
      <c r="C176">
        <v>123</v>
      </c>
      <c r="D176" t="s">
        <v>58</v>
      </c>
      <c r="E176">
        <v>5000</v>
      </c>
      <c r="F176" t="s">
        <v>8</v>
      </c>
      <c r="G176">
        <v>1</v>
      </c>
      <c r="H176" s="3">
        <v>1</v>
      </c>
      <c r="I176" s="3">
        <v>0</v>
      </c>
      <c r="J176" s="3">
        <v>5000</v>
      </c>
      <c r="K176" s="3">
        <v>5000</v>
      </c>
    </row>
    <row r="177" spans="1:11" x14ac:dyDescent="0.25">
      <c r="A177" s="10">
        <v>46086</v>
      </c>
      <c r="B177" s="15">
        <v>0.627349537037037</v>
      </c>
      <c r="C177">
        <v>124</v>
      </c>
      <c r="D177" t="s">
        <v>19</v>
      </c>
      <c r="E177">
        <v>8000</v>
      </c>
      <c r="F177" t="s">
        <v>7</v>
      </c>
      <c r="G177">
        <v>2</v>
      </c>
      <c r="H177" s="3">
        <v>1</v>
      </c>
      <c r="I177" s="3">
        <v>16000</v>
      </c>
      <c r="J177" s="3">
        <v>0</v>
      </c>
      <c r="K177" s="3">
        <v>16000</v>
      </c>
    </row>
    <row r="178" spans="1:11" x14ac:dyDescent="0.25">
      <c r="A178" s="10">
        <v>46086</v>
      </c>
      <c r="B178" s="15">
        <v>0.627349537037037</v>
      </c>
      <c r="C178">
        <v>124</v>
      </c>
      <c r="D178" t="s">
        <v>20</v>
      </c>
      <c r="E178">
        <v>3000</v>
      </c>
      <c r="F178" t="s">
        <v>7</v>
      </c>
      <c r="G178">
        <v>2</v>
      </c>
      <c r="H178" s="3">
        <v>1</v>
      </c>
      <c r="I178" s="3">
        <v>6000</v>
      </c>
      <c r="J178" s="3">
        <v>0</v>
      </c>
      <c r="K178" s="3">
        <v>6000</v>
      </c>
    </row>
    <row r="179" spans="1:11" x14ac:dyDescent="0.25">
      <c r="A179" s="10">
        <v>46086</v>
      </c>
      <c r="B179" s="15">
        <v>0.63901620370370371</v>
      </c>
      <c r="C179">
        <v>125</v>
      </c>
      <c r="D179" t="s">
        <v>19</v>
      </c>
      <c r="E179">
        <v>8000</v>
      </c>
      <c r="F179" t="s">
        <v>7</v>
      </c>
      <c r="G179">
        <v>4</v>
      </c>
      <c r="H179" s="3">
        <v>1</v>
      </c>
      <c r="I179" s="3">
        <v>32000</v>
      </c>
      <c r="J179" s="3">
        <v>0</v>
      </c>
      <c r="K179" s="3">
        <v>32000</v>
      </c>
    </row>
    <row r="180" spans="1:11" x14ac:dyDescent="0.25">
      <c r="A180" s="10">
        <v>46086</v>
      </c>
      <c r="B180" s="15">
        <v>0.63901620370370371</v>
      </c>
      <c r="C180">
        <v>125</v>
      </c>
      <c r="D180" t="s">
        <v>40</v>
      </c>
      <c r="E180">
        <v>4500</v>
      </c>
      <c r="F180" t="s">
        <v>7</v>
      </c>
      <c r="G180">
        <v>1</v>
      </c>
      <c r="H180" s="3">
        <v>1</v>
      </c>
      <c r="I180" s="3">
        <v>4500</v>
      </c>
      <c r="J180" s="3">
        <v>0</v>
      </c>
      <c r="K180" s="3">
        <v>4500</v>
      </c>
    </row>
    <row r="181" spans="1:11" x14ac:dyDescent="0.25">
      <c r="A181" s="10">
        <v>46086</v>
      </c>
      <c r="B181" s="15">
        <v>0.64901620370370372</v>
      </c>
      <c r="C181">
        <v>126</v>
      </c>
      <c r="D181" t="s">
        <v>40</v>
      </c>
      <c r="E181">
        <v>4500</v>
      </c>
      <c r="F181" t="s">
        <v>8</v>
      </c>
      <c r="G181">
        <v>1</v>
      </c>
      <c r="H181" s="3">
        <v>1</v>
      </c>
      <c r="I181" s="3">
        <v>0</v>
      </c>
      <c r="J181" s="3">
        <v>4500</v>
      </c>
      <c r="K181" s="3">
        <v>4500</v>
      </c>
    </row>
    <row r="182" spans="1:11" x14ac:dyDescent="0.25">
      <c r="A182" s="10">
        <v>46086</v>
      </c>
      <c r="B182" s="15">
        <v>0.64901620370370372</v>
      </c>
      <c r="C182">
        <v>126</v>
      </c>
      <c r="D182" t="s">
        <v>21</v>
      </c>
      <c r="E182">
        <v>35000</v>
      </c>
      <c r="F182" t="s">
        <v>8</v>
      </c>
      <c r="G182">
        <v>1</v>
      </c>
      <c r="H182" s="3">
        <v>1</v>
      </c>
      <c r="I182" s="3">
        <v>0</v>
      </c>
      <c r="J182" s="3">
        <v>35000</v>
      </c>
      <c r="K182" s="3">
        <v>35000</v>
      </c>
    </row>
    <row r="183" spans="1:11" x14ac:dyDescent="0.25">
      <c r="A183" s="10">
        <v>46086</v>
      </c>
      <c r="B183" s="15">
        <v>0.65855324074074073</v>
      </c>
      <c r="C183">
        <v>127</v>
      </c>
      <c r="D183" t="s">
        <v>21</v>
      </c>
      <c r="E183">
        <v>35000</v>
      </c>
      <c r="F183" t="s">
        <v>7</v>
      </c>
      <c r="G183">
        <v>1</v>
      </c>
      <c r="H183" s="3">
        <v>1</v>
      </c>
      <c r="I183" s="3">
        <v>35000</v>
      </c>
      <c r="J183" s="3">
        <v>0</v>
      </c>
      <c r="K183" s="3">
        <v>35000</v>
      </c>
    </row>
    <row r="184" spans="1:11" x14ac:dyDescent="0.25">
      <c r="A184" s="10">
        <v>46086</v>
      </c>
      <c r="B184" s="15">
        <v>0.71677083333333336</v>
      </c>
      <c r="C184">
        <v>128</v>
      </c>
      <c r="D184" t="s">
        <v>19</v>
      </c>
      <c r="E184">
        <v>8000</v>
      </c>
      <c r="F184" t="s">
        <v>7</v>
      </c>
      <c r="G184">
        <v>1</v>
      </c>
      <c r="H184" s="3">
        <v>1</v>
      </c>
      <c r="I184" s="3">
        <v>8000</v>
      </c>
      <c r="J184" s="3">
        <v>0</v>
      </c>
      <c r="K184" s="3">
        <v>8000</v>
      </c>
    </row>
    <row r="185" spans="1:11" x14ac:dyDescent="0.25">
      <c r="A185" s="10">
        <v>46086</v>
      </c>
      <c r="B185" s="15">
        <v>0.72050925925925924</v>
      </c>
      <c r="C185">
        <v>129</v>
      </c>
      <c r="D185" t="s">
        <v>19</v>
      </c>
      <c r="E185">
        <v>8000</v>
      </c>
      <c r="F185" t="s">
        <v>7</v>
      </c>
      <c r="G185">
        <v>1</v>
      </c>
      <c r="H185" s="3">
        <v>1</v>
      </c>
      <c r="I185" s="3">
        <v>8000</v>
      </c>
      <c r="J185" s="3">
        <v>0</v>
      </c>
      <c r="K185" s="3">
        <v>8000</v>
      </c>
    </row>
    <row r="186" spans="1:11" x14ac:dyDescent="0.25">
      <c r="A186" s="10">
        <v>46086</v>
      </c>
      <c r="B186" s="15">
        <v>0.73907407407407411</v>
      </c>
      <c r="C186">
        <v>130</v>
      </c>
      <c r="D186" t="s">
        <v>19</v>
      </c>
      <c r="E186">
        <v>8000</v>
      </c>
      <c r="F186" t="s">
        <v>7</v>
      </c>
      <c r="G186">
        <v>1</v>
      </c>
      <c r="H186" s="3">
        <v>1</v>
      </c>
      <c r="I186" s="3">
        <v>8000</v>
      </c>
      <c r="J186" s="3">
        <v>0</v>
      </c>
      <c r="K186" s="3">
        <v>8000</v>
      </c>
    </row>
    <row r="187" spans="1:11" x14ac:dyDescent="0.25">
      <c r="A187" s="10">
        <v>46086</v>
      </c>
      <c r="B187" s="15">
        <v>0.7546180555555555</v>
      </c>
      <c r="C187">
        <v>131</v>
      </c>
      <c r="D187" t="s">
        <v>19</v>
      </c>
      <c r="E187">
        <v>8000</v>
      </c>
      <c r="F187" t="s">
        <v>7</v>
      </c>
      <c r="G187">
        <v>1</v>
      </c>
      <c r="H187" s="3">
        <v>1</v>
      </c>
      <c r="I187" s="3">
        <v>8000</v>
      </c>
      <c r="J187" s="3">
        <v>0</v>
      </c>
      <c r="K187" s="3">
        <v>8000</v>
      </c>
    </row>
    <row r="188" spans="1:11" x14ac:dyDescent="0.25">
      <c r="A188" s="10">
        <v>46086</v>
      </c>
      <c r="B188" s="15">
        <v>0.77195601851851847</v>
      </c>
      <c r="C188">
        <v>132</v>
      </c>
      <c r="D188" t="s">
        <v>19</v>
      </c>
      <c r="E188">
        <v>8000</v>
      </c>
      <c r="F188" t="s">
        <v>7</v>
      </c>
      <c r="G188">
        <v>1</v>
      </c>
      <c r="H188" s="3">
        <v>1</v>
      </c>
      <c r="I188" s="3">
        <v>8000</v>
      </c>
      <c r="J188" s="3">
        <v>0</v>
      </c>
      <c r="K188" s="3">
        <v>8000</v>
      </c>
    </row>
    <row r="189" spans="1:11" x14ac:dyDescent="0.25">
      <c r="A189" s="10">
        <v>46086</v>
      </c>
      <c r="B189" s="15">
        <v>0.78481481481481485</v>
      </c>
      <c r="C189">
        <v>133</v>
      </c>
      <c r="D189" t="s">
        <v>19</v>
      </c>
      <c r="E189">
        <v>8000</v>
      </c>
      <c r="F189" t="s">
        <v>8</v>
      </c>
      <c r="G189">
        <v>1</v>
      </c>
      <c r="H189" s="3">
        <v>1</v>
      </c>
      <c r="I189" s="3">
        <v>0</v>
      </c>
      <c r="J189" s="3">
        <v>8000</v>
      </c>
      <c r="K189" s="3">
        <v>8000</v>
      </c>
    </row>
    <row r="190" spans="1:11" x14ac:dyDescent="0.25">
      <c r="A190" s="10">
        <v>46086</v>
      </c>
      <c r="B190" s="15">
        <v>0.78481481481481485</v>
      </c>
      <c r="C190">
        <v>133</v>
      </c>
      <c r="D190" t="s">
        <v>22</v>
      </c>
      <c r="E190">
        <v>3000</v>
      </c>
      <c r="F190" t="s">
        <v>8</v>
      </c>
      <c r="G190">
        <v>1</v>
      </c>
      <c r="H190" s="3">
        <v>1</v>
      </c>
      <c r="I190" s="3">
        <v>0</v>
      </c>
      <c r="J190" s="3">
        <v>3000</v>
      </c>
      <c r="K190" s="3">
        <v>3000</v>
      </c>
    </row>
    <row r="191" spans="1:11" x14ac:dyDescent="0.25">
      <c r="A191" s="10">
        <v>46086</v>
      </c>
      <c r="B191" s="15">
        <v>0.802337962962963</v>
      </c>
      <c r="C191">
        <v>134</v>
      </c>
      <c r="D191" t="s">
        <v>19</v>
      </c>
      <c r="E191">
        <v>8000</v>
      </c>
      <c r="F191" t="s">
        <v>8</v>
      </c>
      <c r="G191">
        <v>3</v>
      </c>
      <c r="H191" s="3">
        <v>1</v>
      </c>
      <c r="I191" s="3">
        <v>0</v>
      </c>
      <c r="J191" s="3">
        <v>24000</v>
      </c>
      <c r="K191" s="3">
        <v>24000</v>
      </c>
    </row>
    <row r="192" spans="1:11" x14ac:dyDescent="0.25">
      <c r="A192" s="10">
        <v>46086</v>
      </c>
      <c r="B192" s="15">
        <v>0.802337962962963</v>
      </c>
      <c r="C192">
        <v>134</v>
      </c>
      <c r="D192" t="s">
        <v>22</v>
      </c>
      <c r="E192">
        <v>3000</v>
      </c>
      <c r="F192" t="s">
        <v>8</v>
      </c>
      <c r="G192">
        <v>2</v>
      </c>
      <c r="H192" s="3">
        <v>1</v>
      </c>
      <c r="I192" s="3">
        <v>0</v>
      </c>
      <c r="J192" s="3">
        <v>6000</v>
      </c>
      <c r="K192" s="3">
        <v>6000</v>
      </c>
    </row>
    <row r="193" spans="1:11" x14ac:dyDescent="0.25">
      <c r="A193" s="10">
        <v>46086</v>
      </c>
      <c r="B193" s="15">
        <v>0.84318287037037032</v>
      </c>
      <c r="C193">
        <v>135</v>
      </c>
      <c r="D193" t="s">
        <v>19</v>
      </c>
      <c r="E193">
        <v>8000</v>
      </c>
      <c r="F193" t="s">
        <v>7</v>
      </c>
      <c r="G193">
        <v>1</v>
      </c>
      <c r="H193" s="3">
        <v>1</v>
      </c>
      <c r="I193" s="3">
        <v>8000</v>
      </c>
      <c r="J193" s="3">
        <v>0</v>
      </c>
      <c r="K193" s="3">
        <v>8000</v>
      </c>
    </row>
    <row r="194" spans="1:11" x14ac:dyDescent="0.25">
      <c r="A194" s="10">
        <v>46086</v>
      </c>
      <c r="B194" s="15">
        <v>0.84318287037037032</v>
      </c>
      <c r="C194">
        <v>135</v>
      </c>
      <c r="D194" t="s">
        <v>33</v>
      </c>
      <c r="E194">
        <v>2000</v>
      </c>
      <c r="F194" t="s">
        <v>7</v>
      </c>
      <c r="G194">
        <v>1</v>
      </c>
      <c r="H194" s="3">
        <v>1</v>
      </c>
      <c r="I194" s="3">
        <v>2000</v>
      </c>
      <c r="J194" s="3">
        <v>0</v>
      </c>
      <c r="K194" s="3">
        <v>2000</v>
      </c>
    </row>
    <row r="195" spans="1:11" x14ac:dyDescent="0.25">
      <c r="A195" s="10">
        <v>46088</v>
      </c>
      <c r="B195" s="15">
        <v>0.95762731481481478</v>
      </c>
      <c r="C195">
        <v>146</v>
      </c>
      <c r="D195" t="s">
        <v>19</v>
      </c>
      <c r="E195">
        <v>8000</v>
      </c>
      <c r="F195" t="s">
        <v>7</v>
      </c>
      <c r="G195">
        <v>2</v>
      </c>
      <c r="H195" s="3">
        <v>1</v>
      </c>
      <c r="I195" s="3">
        <v>16000</v>
      </c>
      <c r="J195" s="3">
        <v>0</v>
      </c>
      <c r="K195" s="3">
        <v>16000</v>
      </c>
    </row>
    <row r="196" spans="1:11" x14ac:dyDescent="0.25">
      <c r="A196" s="10">
        <v>46088</v>
      </c>
      <c r="B196" s="15">
        <v>0.95777777777777773</v>
      </c>
      <c r="C196">
        <v>147</v>
      </c>
      <c r="D196" t="s">
        <v>19</v>
      </c>
      <c r="E196">
        <v>8000</v>
      </c>
      <c r="F196" t="s">
        <v>7</v>
      </c>
      <c r="G196">
        <v>2</v>
      </c>
      <c r="H196" s="3">
        <v>1</v>
      </c>
      <c r="I196" s="3">
        <v>16000</v>
      </c>
      <c r="J196" s="3">
        <v>0</v>
      </c>
      <c r="K196" s="3">
        <v>16000</v>
      </c>
    </row>
    <row r="197" spans="1:11" x14ac:dyDescent="0.25">
      <c r="A197" s="10">
        <v>46088</v>
      </c>
      <c r="B197" s="15">
        <v>0.95832175925925922</v>
      </c>
      <c r="C197">
        <v>148</v>
      </c>
      <c r="D197" t="s">
        <v>19</v>
      </c>
      <c r="E197">
        <v>8000</v>
      </c>
      <c r="F197" t="s">
        <v>7</v>
      </c>
      <c r="G197">
        <v>4</v>
      </c>
      <c r="H197" s="3">
        <v>1</v>
      </c>
      <c r="I197" s="3">
        <v>32000</v>
      </c>
      <c r="J197" s="3">
        <v>0</v>
      </c>
      <c r="K197" s="3">
        <v>32000</v>
      </c>
    </row>
    <row r="198" spans="1:11" x14ac:dyDescent="0.25">
      <c r="A198" s="10">
        <v>46088</v>
      </c>
      <c r="B198" s="15">
        <v>0.95832175925925922</v>
      </c>
      <c r="C198">
        <v>148</v>
      </c>
      <c r="D198" t="s">
        <v>20</v>
      </c>
      <c r="E198">
        <v>3000</v>
      </c>
      <c r="F198" t="s">
        <v>7</v>
      </c>
      <c r="G198">
        <v>2</v>
      </c>
      <c r="H198" s="3">
        <v>1</v>
      </c>
      <c r="I198" s="3">
        <v>6000</v>
      </c>
      <c r="J198" s="3">
        <v>0</v>
      </c>
      <c r="K198" s="3">
        <v>6000</v>
      </c>
    </row>
    <row r="199" spans="1:11" x14ac:dyDescent="0.25">
      <c r="A199" s="10">
        <v>46088</v>
      </c>
      <c r="B199" s="15">
        <v>0.95892361111111113</v>
      </c>
      <c r="C199">
        <v>149</v>
      </c>
      <c r="D199" t="s">
        <v>19</v>
      </c>
      <c r="E199">
        <v>8000</v>
      </c>
      <c r="F199" t="s">
        <v>7</v>
      </c>
      <c r="G199">
        <v>1</v>
      </c>
      <c r="H199" s="3">
        <v>1</v>
      </c>
      <c r="I199" s="3">
        <v>8000</v>
      </c>
      <c r="J199" s="3">
        <v>0</v>
      </c>
      <c r="K199" s="3">
        <v>8000</v>
      </c>
    </row>
    <row r="200" spans="1:11" x14ac:dyDescent="0.25">
      <c r="A200" s="10">
        <v>46088</v>
      </c>
      <c r="B200" s="15">
        <v>0.95892361111111113</v>
      </c>
      <c r="C200">
        <v>149</v>
      </c>
      <c r="D200" t="s">
        <v>20</v>
      </c>
      <c r="E200">
        <v>3000</v>
      </c>
      <c r="F200" t="s">
        <v>7</v>
      </c>
      <c r="G200">
        <v>1</v>
      </c>
      <c r="H200" s="3">
        <v>1</v>
      </c>
      <c r="I200" s="3">
        <v>3000</v>
      </c>
      <c r="J200" s="3">
        <v>0</v>
      </c>
      <c r="K200" s="3">
        <v>3000</v>
      </c>
    </row>
    <row r="201" spans="1:11" x14ac:dyDescent="0.25">
      <c r="A201" s="10">
        <v>46088</v>
      </c>
      <c r="B201" s="15">
        <v>0.95915509259259257</v>
      </c>
      <c r="C201">
        <v>150</v>
      </c>
      <c r="D201" t="s">
        <v>19</v>
      </c>
      <c r="E201">
        <v>8000</v>
      </c>
      <c r="F201" t="s">
        <v>7</v>
      </c>
      <c r="G201">
        <v>2</v>
      </c>
      <c r="H201" s="3">
        <v>1</v>
      </c>
      <c r="I201" s="3">
        <v>16000</v>
      </c>
      <c r="J201" s="3">
        <v>0</v>
      </c>
      <c r="K201" s="3">
        <v>16000</v>
      </c>
    </row>
    <row r="202" spans="1:11" x14ac:dyDescent="0.25">
      <c r="A202" s="10">
        <v>46088</v>
      </c>
      <c r="B202" s="15">
        <v>0.95915509259259257</v>
      </c>
      <c r="C202">
        <v>150</v>
      </c>
      <c r="D202" t="s">
        <v>20</v>
      </c>
      <c r="E202">
        <v>3000</v>
      </c>
      <c r="F202" t="s">
        <v>7</v>
      </c>
      <c r="G202">
        <v>2</v>
      </c>
      <c r="H202" s="3">
        <v>1</v>
      </c>
      <c r="I202" s="3">
        <v>6000</v>
      </c>
      <c r="J202" s="3">
        <v>0</v>
      </c>
      <c r="K202" s="3">
        <v>6000</v>
      </c>
    </row>
    <row r="203" spans="1:11" x14ac:dyDescent="0.25">
      <c r="A203" s="10">
        <v>46088</v>
      </c>
      <c r="B203" s="15">
        <v>0.96042824074074074</v>
      </c>
      <c r="C203">
        <v>151</v>
      </c>
      <c r="D203" t="s">
        <v>19</v>
      </c>
      <c r="E203">
        <v>8000</v>
      </c>
      <c r="F203" t="s">
        <v>8</v>
      </c>
      <c r="G203">
        <v>2</v>
      </c>
      <c r="H203" s="3">
        <v>1</v>
      </c>
      <c r="I203" s="3">
        <v>0</v>
      </c>
      <c r="J203" s="3">
        <v>16000</v>
      </c>
      <c r="K203" s="3">
        <v>16000</v>
      </c>
    </row>
    <row r="204" spans="1:11" x14ac:dyDescent="0.25">
      <c r="A204" s="10">
        <v>46088</v>
      </c>
      <c r="B204" s="15">
        <v>0.96141203703703704</v>
      </c>
      <c r="C204">
        <v>152</v>
      </c>
      <c r="D204" t="s">
        <v>19</v>
      </c>
      <c r="E204">
        <v>8000</v>
      </c>
      <c r="F204" t="s">
        <v>8</v>
      </c>
      <c r="G204">
        <v>3</v>
      </c>
      <c r="H204" s="3">
        <v>1</v>
      </c>
      <c r="I204" s="3">
        <v>0</v>
      </c>
      <c r="J204" s="3">
        <v>24000</v>
      </c>
      <c r="K204" s="3">
        <v>24000</v>
      </c>
    </row>
    <row r="205" spans="1:11" x14ac:dyDescent="0.25">
      <c r="A205" s="10">
        <v>46088</v>
      </c>
      <c r="B205" s="15">
        <v>0.96141203703703704</v>
      </c>
      <c r="C205">
        <v>152</v>
      </c>
      <c r="D205" t="s">
        <v>40</v>
      </c>
      <c r="E205">
        <v>4500</v>
      </c>
      <c r="F205" t="s">
        <v>8</v>
      </c>
      <c r="G205">
        <v>1</v>
      </c>
      <c r="H205" s="3">
        <v>1</v>
      </c>
      <c r="I205" s="3">
        <v>0</v>
      </c>
      <c r="J205" s="3">
        <v>4500</v>
      </c>
      <c r="K205" s="3">
        <v>4500</v>
      </c>
    </row>
    <row r="206" spans="1:11" x14ac:dyDescent="0.25">
      <c r="A206" s="10">
        <v>46088</v>
      </c>
      <c r="B206" s="15">
        <v>0.96318287037037043</v>
      </c>
      <c r="C206">
        <v>153</v>
      </c>
      <c r="D206" t="s">
        <v>62</v>
      </c>
      <c r="E206">
        <v>15000</v>
      </c>
      <c r="F206" t="s">
        <v>7</v>
      </c>
      <c r="G206">
        <v>1</v>
      </c>
      <c r="H206" s="3">
        <v>1</v>
      </c>
      <c r="I206" s="3">
        <v>15000</v>
      </c>
      <c r="J206" s="3">
        <v>0</v>
      </c>
      <c r="K206" s="3">
        <v>15000</v>
      </c>
    </row>
    <row r="207" spans="1:11" x14ac:dyDescent="0.25">
      <c r="A207" s="10">
        <v>46088</v>
      </c>
      <c r="B207" s="15">
        <v>0.96481481481481479</v>
      </c>
      <c r="C207">
        <v>154</v>
      </c>
      <c r="D207" t="s">
        <v>63</v>
      </c>
      <c r="E207">
        <v>60000</v>
      </c>
      <c r="F207" t="s">
        <v>7</v>
      </c>
      <c r="G207">
        <v>1</v>
      </c>
      <c r="H207" s="3">
        <v>1</v>
      </c>
      <c r="I207" s="3">
        <v>60000</v>
      </c>
      <c r="J207" s="3">
        <v>0</v>
      </c>
      <c r="K207" s="3">
        <v>60000</v>
      </c>
    </row>
    <row r="208" spans="1:11" x14ac:dyDescent="0.25">
      <c r="A208" s="10">
        <v>46088</v>
      </c>
      <c r="B208" s="15">
        <v>0.96510416666666665</v>
      </c>
      <c r="C208">
        <v>155</v>
      </c>
      <c r="D208" t="s">
        <v>19</v>
      </c>
      <c r="E208">
        <v>8000</v>
      </c>
      <c r="F208" t="s">
        <v>7</v>
      </c>
      <c r="G208">
        <v>1</v>
      </c>
      <c r="H208" s="3">
        <v>1</v>
      </c>
      <c r="I208" s="3">
        <v>8000</v>
      </c>
      <c r="J208" s="3">
        <v>0</v>
      </c>
      <c r="K208" s="3">
        <v>8000</v>
      </c>
    </row>
    <row r="209" spans="1:11" x14ac:dyDescent="0.25">
      <c r="A209" s="10">
        <v>46088</v>
      </c>
      <c r="B209" s="15">
        <v>0.96510416666666665</v>
      </c>
      <c r="C209">
        <v>155</v>
      </c>
      <c r="D209" t="s">
        <v>40</v>
      </c>
      <c r="E209">
        <v>4500</v>
      </c>
      <c r="F209" t="s">
        <v>7</v>
      </c>
      <c r="G209">
        <v>1</v>
      </c>
      <c r="H209" s="3">
        <v>1</v>
      </c>
      <c r="I209" s="3">
        <v>4500</v>
      </c>
      <c r="J209" s="3">
        <v>0</v>
      </c>
      <c r="K209" s="3">
        <v>4500</v>
      </c>
    </row>
    <row r="210" spans="1:11" x14ac:dyDescent="0.25">
      <c r="A210" s="10">
        <v>46088</v>
      </c>
      <c r="B210" s="15">
        <v>0.96643518518518523</v>
      </c>
      <c r="C210">
        <v>156</v>
      </c>
      <c r="D210" t="s">
        <v>64</v>
      </c>
      <c r="E210">
        <v>40000</v>
      </c>
      <c r="F210" t="s">
        <v>8</v>
      </c>
      <c r="G210">
        <v>1</v>
      </c>
      <c r="H210" s="3">
        <v>1</v>
      </c>
      <c r="I210" s="3">
        <v>0</v>
      </c>
      <c r="J210" s="3">
        <v>40000</v>
      </c>
      <c r="K210" s="3">
        <v>40000</v>
      </c>
    </row>
    <row r="211" spans="1:11" x14ac:dyDescent="0.25">
      <c r="A211" s="10">
        <v>46088</v>
      </c>
      <c r="B211" s="15">
        <v>0.96643518518518523</v>
      </c>
      <c r="C211">
        <v>156</v>
      </c>
      <c r="D211" t="s">
        <v>20</v>
      </c>
      <c r="E211">
        <v>3000</v>
      </c>
      <c r="F211" t="s">
        <v>8</v>
      </c>
      <c r="G211">
        <v>1</v>
      </c>
      <c r="H211" s="3">
        <v>1</v>
      </c>
      <c r="I211" s="3">
        <v>0</v>
      </c>
      <c r="J211" s="3">
        <v>3000</v>
      </c>
      <c r="K211" s="3">
        <v>3000</v>
      </c>
    </row>
    <row r="212" spans="1:11" x14ac:dyDescent="0.25">
      <c r="A212" s="10">
        <v>46088</v>
      </c>
      <c r="B212" s="15">
        <v>0.96680555555555558</v>
      </c>
      <c r="C212">
        <v>157</v>
      </c>
      <c r="D212" t="s">
        <v>19</v>
      </c>
      <c r="E212">
        <v>8000</v>
      </c>
      <c r="F212" t="s">
        <v>7</v>
      </c>
      <c r="G212">
        <v>2</v>
      </c>
      <c r="H212" s="3">
        <v>1</v>
      </c>
      <c r="I212" s="3">
        <v>16000</v>
      </c>
      <c r="J212" s="3">
        <v>0</v>
      </c>
      <c r="K212" s="3">
        <v>16000</v>
      </c>
    </row>
    <row r="213" spans="1:11" x14ac:dyDescent="0.25">
      <c r="A213" s="10">
        <v>46088</v>
      </c>
      <c r="B213" s="15">
        <v>0.96680555555555558</v>
      </c>
      <c r="C213">
        <v>157</v>
      </c>
      <c r="D213" t="s">
        <v>40</v>
      </c>
      <c r="E213">
        <v>4500</v>
      </c>
      <c r="F213" t="s">
        <v>7</v>
      </c>
      <c r="G213">
        <v>1</v>
      </c>
      <c r="H213" s="3">
        <v>1</v>
      </c>
      <c r="I213" s="3">
        <v>4500</v>
      </c>
      <c r="J213" s="3">
        <v>0</v>
      </c>
      <c r="K213" s="3">
        <v>4500</v>
      </c>
    </row>
    <row r="214" spans="1:11" x14ac:dyDescent="0.25">
      <c r="A214" s="10">
        <v>46089</v>
      </c>
      <c r="B214" s="15">
        <v>0.59064814814814814</v>
      </c>
      <c r="C214">
        <v>136</v>
      </c>
      <c r="D214" t="s">
        <v>19</v>
      </c>
      <c r="E214">
        <v>8000</v>
      </c>
      <c r="F214" t="s">
        <v>8</v>
      </c>
      <c r="G214">
        <v>3</v>
      </c>
      <c r="H214" s="3">
        <v>1</v>
      </c>
      <c r="I214" s="3">
        <v>0</v>
      </c>
      <c r="J214" s="3">
        <v>24000</v>
      </c>
      <c r="K214" s="3">
        <v>24000</v>
      </c>
    </row>
    <row r="215" spans="1:11" x14ac:dyDescent="0.25">
      <c r="A215" s="10">
        <v>46089</v>
      </c>
      <c r="B215" s="15">
        <v>0.59064814814814814</v>
      </c>
      <c r="C215">
        <v>136</v>
      </c>
      <c r="D215" t="s">
        <v>20</v>
      </c>
      <c r="E215">
        <v>3000</v>
      </c>
      <c r="F215" t="s">
        <v>8</v>
      </c>
      <c r="G215">
        <v>2</v>
      </c>
      <c r="H215" s="3">
        <v>1</v>
      </c>
      <c r="I215" s="3">
        <v>0</v>
      </c>
      <c r="J215" s="3">
        <v>6000</v>
      </c>
      <c r="K215" s="3">
        <v>6000</v>
      </c>
    </row>
    <row r="216" spans="1:11" x14ac:dyDescent="0.25">
      <c r="A216" s="10">
        <v>46089</v>
      </c>
      <c r="B216" s="15">
        <v>0.59089120370370374</v>
      </c>
      <c r="C216">
        <v>137</v>
      </c>
      <c r="D216" t="s">
        <v>19</v>
      </c>
      <c r="E216">
        <v>8000</v>
      </c>
      <c r="F216" t="s">
        <v>7</v>
      </c>
      <c r="G216">
        <v>1</v>
      </c>
      <c r="H216" s="3">
        <v>1</v>
      </c>
      <c r="I216" s="3">
        <v>8000</v>
      </c>
      <c r="J216" s="3">
        <v>0</v>
      </c>
      <c r="K216" s="3">
        <v>8000</v>
      </c>
    </row>
    <row r="217" spans="1:11" x14ac:dyDescent="0.25">
      <c r="A217" s="10">
        <v>46089</v>
      </c>
      <c r="B217" s="15">
        <v>0.59089120370370374</v>
      </c>
      <c r="C217">
        <v>137</v>
      </c>
      <c r="D217" t="s">
        <v>22</v>
      </c>
      <c r="E217">
        <v>3000</v>
      </c>
      <c r="F217" t="s">
        <v>7</v>
      </c>
      <c r="G217">
        <v>1</v>
      </c>
      <c r="H217" s="3">
        <v>1</v>
      </c>
      <c r="I217" s="3">
        <v>3000</v>
      </c>
      <c r="J217" s="3">
        <v>0</v>
      </c>
      <c r="K217" s="3">
        <v>3000</v>
      </c>
    </row>
    <row r="218" spans="1:11" x14ac:dyDescent="0.25">
      <c r="A218" s="10">
        <v>46089</v>
      </c>
      <c r="B218" s="15">
        <v>0.59761574074074075</v>
      </c>
      <c r="C218">
        <v>138</v>
      </c>
      <c r="D218" t="s">
        <v>56</v>
      </c>
      <c r="E218">
        <v>30000</v>
      </c>
      <c r="F218" t="s">
        <v>8</v>
      </c>
      <c r="G218">
        <v>1</v>
      </c>
      <c r="H218" s="3">
        <v>1</v>
      </c>
      <c r="I218" s="3">
        <v>0</v>
      </c>
      <c r="J218" s="3">
        <v>30000</v>
      </c>
      <c r="K218" s="3">
        <v>30000</v>
      </c>
    </row>
    <row r="219" spans="1:11" x14ac:dyDescent="0.25">
      <c r="A219" s="10">
        <v>46089</v>
      </c>
      <c r="B219" s="15">
        <v>0.59761574074074075</v>
      </c>
      <c r="C219">
        <v>138</v>
      </c>
      <c r="D219" t="s">
        <v>19</v>
      </c>
      <c r="E219">
        <v>8000</v>
      </c>
      <c r="F219" t="s">
        <v>8</v>
      </c>
      <c r="G219">
        <v>3</v>
      </c>
      <c r="H219" s="3">
        <v>1</v>
      </c>
      <c r="I219" s="3">
        <v>0</v>
      </c>
      <c r="J219" s="3">
        <v>24000</v>
      </c>
      <c r="K219" s="3">
        <v>24000</v>
      </c>
    </row>
    <row r="220" spans="1:11" x14ac:dyDescent="0.25">
      <c r="A220" s="10">
        <v>46089</v>
      </c>
      <c r="B220" s="15">
        <v>0.62121527777777774</v>
      </c>
      <c r="C220">
        <v>139</v>
      </c>
      <c r="D220" t="s">
        <v>19</v>
      </c>
      <c r="E220">
        <v>8000</v>
      </c>
      <c r="F220" t="s">
        <v>7</v>
      </c>
      <c r="G220">
        <v>1</v>
      </c>
      <c r="H220" s="3">
        <v>1</v>
      </c>
      <c r="I220" s="3">
        <v>8000</v>
      </c>
      <c r="J220" s="3">
        <v>0</v>
      </c>
      <c r="K220" s="3">
        <v>8000</v>
      </c>
    </row>
    <row r="221" spans="1:11" x14ac:dyDescent="0.25">
      <c r="A221" s="10">
        <v>46089</v>
      </c>
      <c r="B221" s="15">
        <v>0.62121527777777774</v>
      </c>
      <c r="C221">
        <v>139</v>
      </c>
      <c r="D221" t="s">
        <v>20</v>
      </c>
      <c r="E221">
        <v>3000</v>
      </c>
      <c r="F221" t="s">
        <v>7</v>
      </c>
      <c r="G221">
        <v>1</v>
      </c>
      <c r="H221" s="3">
        <v>1</v>
      </c>
      <c r="I221" s="3">
        <v>3000</v>
      </c>
      <c r="J221" s="3">
        <v>0</v>
      </c>
      <c r="K221" s="3">
        <v>3000</v>
      </c>
    </row>
    <row r="222" spans="1:11" x14ac:dyDescent="0.25">
      <c r="A222" s="10">
        <v>46089</v>
      </c>
      <c r="B222" s="15">
        <v>0.63009259259259254</v>
      </c>
      <c r="C222">
        <v>140</v>
      </c>
      <c r="D222" t="s">
        <v>59</v>
      </c>
      <c r="E222">
        <v>35000</v>
      </c>
      <c r="F222" t="s">
        <v>7</v>
      </c>
      <c r="G222">
        <v>1</v>
      </c>
      <c r="H222" s="3">
        <v>1</v>
      </c>
      <c r="I222" s="3">
        <v>35000</v>
      </c>
      <c r="J222" s="3">
        <v>0</v>
      </c>
      <c r="K222" s="3">
        <v>35000</v>
      </c>
    </row>
    <row r="223" spans="1:11" x14ac:dyDescent="0.25">
      <c r="A223" s="10">
        <v>46089</v>
      </c>
      <c r="B223" s="15">
        <v>0.63009259259259254</v>
      </c>
      <c r="C223">
        <v>140</v>
      </c>
      <c r="D223" t="s">
        <v>20</v>
      </c>
      <c r="E223">
        <v>3000</v>
      </c>
      <c r="F223" t="s">
        <v>7</v>
      </c>
      <c r="G223">
        <v>1</v>
      </c>
      <c r="H223" s="3">
        <v>1</v>
      </c>
      <c r="I223" s="3">
        <v>3000</v>
      </c>
      <c r="J223" s="3">
        <v>0</v>
      </c>
      <c r="K223" s="3">
        <v>3000</v>
      </c>
    </row>
    <row r="224" spans="1:11" x14ac:dyDescent="0.25">
      <c r="A224" s="10">
        <v>46089</v>
      </c>
      <c r="B224" s="15">
        <v>0.63009259259259254</v>
      </c>
      <c r="C224">
        <v>140</v>
      </c>
      <c r="D224" t="s">
        <v>40</v>
      </c>
      <c r="E224">
        <v>4500</v>
      </c>
      <c r="F224" t="s">
        <v>7</v>
      </c>
      <c r="G224">
        <v>1</v>
      </c>
      <c r="H224" s="3">
        <v>1</v>
      </c>
      <c r="I224" s="3">
        <v>4500</v>
      </c>
      <c r="J224" s="3">
        <v>0</v>
      </c>
      <c r="K224" s="3">
        <v>4500</v>
      </c>
    </row>
    <row r="225" spans="1:11" x14ac:dyDescent="0.25">
      <c r="A225" s="10">
        <v>46089</v>
      </c>
      <c r="B225" s="15">
        <v>0.63078703703703709</v>
      </c>
      <c r="C225">
        <v>141</v>
      </c>
      <c r="D225" t="s">
        <v>17</v>
      </c>
      <c r="E225">
        <v>3000</v>
      </c>
      <c r="F225" t="s">
        <v>7</v>
      </c>
      <c r="G225">
        <v>1</v>
      </c>
      <c r="H225" s="3">
        <v>1</v>
      </c>
      <c r="I225" s="3">
        <v>3000</v>
      </c>
      <c r="J225" s="3">
        <v>0</v>
      </c>
      <c r="K225" s="3">
        <v>3000</v>
      </c>
    </row>
    <row r="226" spans="1:11" x14ac:dyDescent="0.25">
      <c r="A226" s="10">
        <v>46089</v>
      </c>
      <c r="B226" s="15">
        <v>0.63078703703703709</v>
      </c>
      <c r="C226">
        <v>141</v>
      </c>
      <c r="D226" t="s">
        <v>59</v>
      </c>
      <c r="E226">
        <v>35000</v>
      </c>
      <c r="F226" t="s">
        <v>7</v>
      </c>
      <c r="G226">
        <v>1</v>
      </c>
      <c r="H226" s="3">
        <v>1</v>
      </c>
      <c r="I226" s="3">
        <v>35000</v>
      </c>
      <c r="J226" s="3">
        <v>0</v>
      </c>
      <c r="K226" s="3">
        <v>35000</v>
      </c>
    </row>
    <row r="227" spans="1:11" x14ac:dyDescent="0.25">
      <c r="A227" s="10">
        <v>46089</v>
      </c>
      <c r="B227" s="15">
        <v>0.63078703703703709</v>
      </c>
      <c r="C227">
        <v>141</v>
      </c>
      <c r="D227" t="s">
        <v>19</v>
      </c>
      <c r="E227">
        <v>8000</v>
      </c>
      <c r="F227" t="s">
        <v>7</v>
      </c>
      <c r="G227">
        <v>1</v>
      </c>
      <c r="H227" s="3">
        <v>1</v>
      </c>
      <c r="I227" s="3">
        <v>8000</v>
      </c>
      <c r="J227" s="3">
        <v>0</v>
      </c>
      <c r="K227" s="3">
        <v>8000</v>
      </c>
    </row>
    <row r="228" spans="1:11" x14ac:dyDescent="0.25">
      <c r="A228" s="10">
        <v>46089</v>
      </c>
      <c r="B228" s="15">
        <v>0.63078703703703709</v>
      </c>
      <c r="C228">
        <v>141</v>
      </c>
      <c r="D228" t="s">
        <v>20</v>
      </c>
      <c r="E228">
        <v>3000</v>
      </c>
      <c r="F228" t="s">
        <v>7</v>
      </c>
      <c r="G228">
        <v>1</v>
      </c>
      <c r="H228" s="3">
        <v>1</v>
      </c>
      <c r="I228" s="3">
        <v>3000</v>
      </c>
      <c r="J228" s="3">
        <v>0</v>
      </c>
      <c r="K228" s="3">
        <v>3000</v>
      </c>
    </row>
    <row r="229" spans="1:11" x14ac:dyDescent="0.25">
      <c r="A229" s="10">
        <v>46089</v>
      </c>
      <c r="B229" s="15">
        <v>0.72372685185185182</v>
      </c>
      <c r="C229">
        <v>142</v>
      </c>
      <c r="D229" t="s">
        <v>19</v>
      </c>
      <c r="E229">
        <v>8000</v>
      </c>
      <c r="F229" t="s">
        <v>8</v>
      </c>
      <c r="G229">
        <v>1</v>
      </c>
      <c r="H229" s="3">
        <v>1</v>
      </c>
      <c r="I229" s="3">
        <v>0</v>
      </c>
      <c r="J229" s="3">
        <v>8000</v>
      </c>
      <c r="K229" s="3">
        <v>8000</v>
      </c>
    </row>
    <row r="230" spans="1:11" x14ac:dyDescent="0.25">
      <c r="A230" s="10">
        <v>46089</v>
      </c>
      <c r="B230" s="15">
        <v>0.72736111111111112</v>
      </c>
      <c r="C230">
        <v>143</v>
      </c>
      <c r="D230" t="s">
        <v>17</v>
      </c>
      <c r="E230">
        <v>3000</v>
      </c>
      <c r="F230" t="s">
        <v>35</v>
      </c>
      <c r="G230">
        <v>1</v>
      </c>
      <c r="H230" s="3">
        <v>1</v>
      </c>
      <c r="I230" s="3">
        <v>0</v>
      </c>
      <c r="J230" s="3">
        <v>3000</v>
      </c>
      <c r="K230" s="3">
        <v>3000</v>
      </c>
    </row>
    <row r="231" spans="1:11" x14ac:dyDescent="0.25">
      <c r="A231" s="10">
        <v>46089</v>
      </c>
      <c r="B231" s="15">
        <v>0.75215277777777778</v>
      </c>
      <c r="C231">
        <v>144</v>
      </c>
      <c r="D231" t="s">
        <v>19</v>
      </c>
      <c r="E231">
        <v>8000</v>
      </c>
      <c r="F231" t="s">
        <v>7</v>
      </c>
      <c r="G231">
        <v>1</v>
      </c>
      <c r="H231" s="3">
        <v>1</v>
      </c>
      <c r="I231" s="3">
        <v>8000</v>
      </c>
      <c r="J231" s="3">
        <v>0</v>
      </c>
      <c r="K231" s="3">
        <v>8000</v>
      </c>
    </row>
    <row r="232" spans="1:11" x14ac:dyDescent="0.25">
      <c r="A232" s="10">
        <v>46089</v>
      </c>
      <c r="B232" s="15">
        <v>0.75215277777777778</v>
      </c>
      <c r="C232">
        <v>144</v>
      </c>
      <c r="D232" t="s">
        <v>60</v>
      </c>
      <c r="E232">
        <v>2000</v>
      </c>
      <c r="F232" t="s">
        <v>7</v>
      </c>
      <c r="G232">
        <v>1</v>
      </c>
      <c r="H232" s="3">
        <v>1</v>
      </c>
      <c r="I232" s="3">
        <v>2000</v>
      </c>
      <c r="J232" s="3">
        <v>0</v>
      </c>
      <c r="K232" s="3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D9:F16"/>
  <sheetViews>
    <sheetView workbookViewId="0">
      <selection activeCell="B27" sqref="B27"/>
    </sheetView>
  </sheetViews>
  <sheetFormatPr baseColWidth="10" defaultRowHeight="15" x14ac:dyDescent="0.25"/>
  <cols>
    <col min="6" max="6" width="13.140625" bestFit="1" customWidth="1"/>
  </cols>
  <sheetData>
    <row r="9" spans="4:6" x14ac:dyDescent="0.25">
      <c r="D9" s="6">
        <v>550</v>
      </c>
    </row>
    <row r="10" spans="4:6" x14ac:dyDescent="0.25">
      <c r="E10">
        <v>3500</v>
      </c>
      <c r="F10" s="11">
        <f>+E10*D12</f>
        <v>1750000</v>
      </c>
    </row>
    <row r="12" spans="4:6" x14ac:dyDescent="0.25">
      <c r="D12" s="6">
        <v>500</v>
      </c>
      <c r="E12" t="s">
        <v>48</v>
      </c>
    </row>
    <row r="14" spans="4:6" x14ac:dyDescent="0.25">
      <c r="E14" t="s">
        <v>49</v>
      </c>
    </row>
    <row r="16" spans="4:6" x14ac:dyDescent="0.25">
      <c r="E16" s="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A3" zoomScale="85" zoomScaleNormal="85" workbookViewId="0">
      <selection activeCell="B3" sqref="B1:B1048576"/>
    </sheetView>
  </sheetViews>
  <sheetFormatPr baseColWidth="10" defaultRowHeight="15" x14ac:dyDescent="0.25"/>
  <cols>
    <col min="1" max="1" width="15.85546875" bestFit="1" customWidth="1"/>
    <col min="2" max="5" width="21.42578125" bestFit="1" customWidth="1"/>
    <col min="6" max="6" width="12.5703125" bestFit="1" customWidth="1"/>
    <col min="7" max="7" width="2.28515625" customWidth="1"/>
    <col min="8" max="8" width="15" bestFit="1" customWidth="1"/>
    <col min="9" max="12" width="21.42578125" bestFit="1" customWidth="1"/>
    <col min="13" max="13" width="12.5703125" bestFit="1" customWidth="1"/>
    <col min="14" max="14" width="2.5703125" customWidth="1"/>
    <col min="15" max="17" width="10.42578125" bestFit="1" customWidth="1"/>
  </cols>
  <sheetData>
    <row r="1" spans="1:16" x14ac:dyDescent="0.25">
      <c r="A1" t="s">
        <v>6</v>
      </c>
      <c r="B1" s="6" t="s">
        <v>25</v>
      </c>
      <c r="C1" s="6" t="s">
        <v>13</v>
      </c>
      <c r="I1" s="6"/>
    </row>
    <row r="2" spans="1:16" x14ac:dyDescent="0.25">
      <c r="B2" t="s">
        <v>9</v>
      </c>
      <c r="C2" t="s">
        <v>0</v>
      </c>
      <c r="D2" t="s">
        <v>0</v>
      </c>
      <c r="E2" t="s">
        <v>0</v>
      </c>
      <c r="F2" t="s">
        <v>1</v>
      </c>
      <c r="H2" t="s">
        <v>65</v>
      </c>
      <c r="I2" t="s">
        <v>25</v>
      </c>
    </row>
    <row r="3" spans="1:16" x14ac:dyDescent="0.25">
      <c r="A3" t="s">
        <v>12</v>
      </c>
      <c r="B3" t="s">
        <v>7</v>
      </c>
      <c r="C3" t="s">
        <v>7</v>
      </c>
      <c r="D3" t="s">
        <v>35</v>
      </c>
      <c r="E3" t="s">
        <v>8</v>
      </c>
      <c r="H3" t="s">
        <v>12</v>
      </c>
      <c r="I3" t="s">
        <v>9</v>
      </c>
      <c r="J3" t="s">
        <v>10</v>
      </c>
      <c r="K3" t="s">
        <v>11</v>
      </c>
      <c r="L3" t="s">
        <v>0</v>
      </c>
      <c r="M3" t="s">
        <v>1</v>
      </c>
    </row>
    <row r="10" spans="1:16" x14ac:dyDescent="0.25">
      <c r="A10" s="1" t="s">
        <v>6</v>
      </c>
      <c r="B10" s="1" t="s">
        <v>25</v>
      </c>
      <c r="C10" s="1" t="s">
        <v>13</v>
      </c>
    </row>
    <row r="11" spans="1:16" x14ac:dyDescent="0.25">
      <c r="B11" t="s">
        <v>9</v>
      </c>
      <c r="C11" t="s">
        <v>0</v>
      </c>
      <c r="D11" t="s">
        <v>0</v>
      </c>
      <c r="E11" t="s">
        <v>0</v>
      </c>
      <c r="F11" t="s">
        <v>1</v>
      </c>
      <c r="H11" s="1" t="s">
        <v>65</v>
      </c>
      <c r="I11" s="1" t="s">
        <v>25</v>
      </c>
    </row>
    <row r="12" spans="1:16" x14ac:dyDescent="0.25">
      <c r="A12" s="1" t="s">
        <v>12</v>
      </c>
      <c r="B12" t="s">
        <v>7</v>
      </c>
      <c r="C12" t="s">
        <v>7</v>
      </c>
      <c r="D12" t="s">
        <v>35</v>
      </c>
      <c r="E12" t="s">
        <v>8</v>
      </c>
      <c r="H12" s="1" t="s">
        <v>12</v>
      </c>
      <c r="I12" t="s">
        <v>9</v>
      </c>
      <c r="J12" t="s">
        <v>10</v>
      </c>
      <c r="K12" t="s">
        <v>11</v>
      </c>
      <c r="L12" t="s">
        <v>0</v>
      </c>
      <c r="M12" t="s">
        <v>1</v>
      </c>
      <c r="O12" s="6" t="s">
        <v>7</v>
      </c>
    </row>
    <row r="13" spans="1:16" x14ac:dyDescent="0.25">
      <c r="A13" t="s">
        <v>2</v>
      </c>
      <c r="B13" s="3">
        <v>73700</v>
      </c>
      <c r="C13" s="3">
        <v>192000</v>
      </c>
      <c r="D13" s="3"/>
      <c r="E13" s="3">
        <v>32000</v>
      </c>
      <c r="F13" s="3">
        <v>297700</v>
      </c>
      <c r="H13" t="s">
        <v>2</v>
      </c>
      <c r="I13" s="3">
        <v>0</v>
      </c>
      <c r="J13" s="3">
        <v>60000</v>
      </c>
      <c r="K13" s="3">
        <v>100</v>
      </c>
      <c r="L13" s="3">
        <v>0</v>
      </c>
      <c r="M13" s="3">
        <v>60100</v>
      </c>
      <c r="O13" s="4">
        <f t="shared" ref="O13:O19" si="0">+SUM(B13:C13)-M13</f>
        <v>205600</v>
      </c>
    </row>
    <row r="14" spans="1:16" x14ac:dyDescent="0.25">
      <c r="A14" t="s">
        <v>3</v>
      </c>
      <c r="B14" s="3">
        <v>205600</v>
      </c>
      <c r="C14" s="3">
        <v>213000</v>
      </c>
      <c r="D14" s="3"/>
      <c r="E14" s="3">
        <v>8000</v>
      </c>
      <c r="F14" s="3">
        <v>426600</v>
      </c>
      <c r="H14" t="s">
        <v>3</v>
      </c>
      <c r="I14" s="3">
        <v>0</v>
      </c>
      <c r="J14" s="3">
        <v>103000</v>
      </c>
      <c r="K14" s="3"/>
      <c r="L14" s="3">
        <v>0</v>
      </c>
      <c r="M14" s="3">
        <v>103000</v>
      </c>
      <c r="O14" s="4">
        <f t="shared" si="0"/>
        <v>315600</v>
      </c>
      <c r="P14" s="3"/>
    </row>
    <row r="15" spans="1:16" x14ac:dyDescent="0.25">
      <c r="A15" t="s">
        <v>4</v>
      </c>
      <c r="B15" s="3"/>
      <c r="C15" s="3">
        <v>344000</v>
      </c>
      <c r="D15" s="3"/>
      <c r="E15" s="3">
        <v>46500</v>
      </c>
      <c r="F15" s="3">
        <v>390500</v>
      </c>
      <c r="H15" t="s">
        <v>4</v>
      </c>
      <c r="I15" s="3"/>
      <c r="J15" s="3">
        <v>226700</v>
      </c>
      <c r="K15" s="3"/>
      <c r="L15" s="3">
        <v>0</v>
      </c>
      <c r="M15" s="3">
        <v>226700</v>
      </c>
      <c r="O15" s="4">
        <f t="shared" si="0"/>
        <v>117300</v>
      </c>
      <c r="P15" s="3">
        <f>+SUM(O14:O15)</f>
        <v>432900</v>
      </c>
    </row>
    <row r="16" spans="1:16" x14ac:dyDescent="0.25">
      <c r="A16" t="s">
        <v>5</v>
      </c>
      <c r="B16" s="3"/>
      <c r="C16" s="3">
        <v>84000</v>
      </c>
      <c r="D16" s="3"/>
      <c r="E16" s="3">
        <v>125000</v>
      </c>
      <c r="F16" s="3">
        <v>209000</v>
      </c>
      <c r="H16" t="s">
        <v>5</v>
      </c>
      <c r="I16" s="3"/>
      <c r="J16" s="3">
        <v>84000</v>
      </c>
      <c r="K16" s="3"/>
      <c r="L16" s="3">
        <v>0</v>
      </c>
      <c r="M16" s="3">
        <v>84000</v>
      </c>
      <c r="O16" s="4">
        <f t="shared" si="0"/>
        <v>0</v>
      </c>
      <c r="P16" s="3">
        <f>$P$15-20000-7900</f>
        <v>405000</v>
      </c>
    </row>
    <row r="17" spans="1:17" x14ac:dyDescent="0.25">
      <c r="A17" t="s">
        <v>32</v>
      </c>
      <c r="B17" s="3">
        <v>405000</v>
      </c>
      <c r="C17" s="3">
        <v>186000</v>
      </c>
      <c r="D17" s="3">
        <v>11000</v>
      </c>
      <c r="E17" s="3">
        <v>51000</v>
      </c>
      <c r="F17" s="3">
        <v>653000</v>
      </c>
      <c r="H17" t="s">
        <v>32</v>
      </c>
      <c r="I17" s="3">
        <v>0</v>
      </c>
      <c r="J17" s="3">
        <v>240000</v>
      </c>
      <c r="K17" s="3">
        <v>307900</v>
      </c>
      <c r="L17" s="3">
        <v>0</v>
      </c>
      <c r="M17" s="3">
        <v>547900</v>
      </c>
      <c r="O17" s="4">
        <f t="shared" si="0"/>
        <v>43100</v>
      </c>
      <c r="P17" s="3">
        <f>+O17-20000-10000</f>
        <v>13100</v>
      </c>
    </row>
    <row r="18" spans="1:17" x14ac:dyDescent="0.25">
      <c r="A18" t="s">
        <v>39</v>
      </c>
      <c r="B18" s="3">
        <v>125000</v>
      </c>
      <c r="C18" s="3">
        <v>456500</v>
      </c>
      <c r="D18" s="3"/>
      <c r="E18" s="3">
        <v>47000</v>
      </c>
      <c r="F18" s="3">
        <v>628500</v>
      </c>
      <c r="H18" t="s">
        <v>39</v>
      </c>
      <c r="I18" s="3">
        <v>0</v>
      </c>
      <c r="J18" s="3">
        <v>96400</v>
      </c>
      <c r="K18" s="3">
        <v>350000</v>
      </c>
      <c r="L18" s="3">
        <v>0</v>
      </c>
      <c r="M18" s="3">
        <v>446400</v>
      </c>
      <c r="O18" s="4">
        <f t="shared" si="0"/>
        <v>135100</v>
      </c>
    </row>
    <row r="19" spans="1:17" x14ac:dyDescent="0.25">
      <c r="A19" t="s">
        <v>45</v>
      </c>
      <c r="B19" s="3">
        <v>141400</v>
      </c>
      <c r="C19" s="3">
        <v>60000</v>
      </c>
      <c r="D19" s="3"/>
      <c r="E19" s="3"/>
      <c r="F19" s="3">
        <v>201400</v>
      </c>
      <c r="H19" t="s">
        <v>45</v>
      </c>
      <c r="I19" s="3">
        <v>0</v>
      </c>
      <c r="J19" s="3"/>
      <c r="K19" s="3"/>
      <c r="L19" s="3">
        <v>0</v>
      </c>
      <c r="M19" s="3">
        <v>0</v>
      </c>
      <c r="O19" s="4">
        <f t="shared" si="0"/>
        <v>201400</v>
      </c>
      <c r="P19" s="5"/>
      <c r="Q19" s="5"/>
    </row>
    <row r="20" spans="1:17" x14ac:dyDescent="0.25">
      <c r="A20" t="s">
        <v>46</v>
      </c>
      <c r="B20" s="3">
        <v>191900</v>
      </c>
      <c r="C20" s="3">
        <v>105000</v>
      </c>
      <c r="D20" s="3">
        <v>11000</v>
      </c>
      <c r="E20" s="3">
        <v>53000</v>
      </c>
      <c r="F20" s="3">
        <v>360900</v>
      </c>
      <c r="H20" t="s">
        <v>46</v>
      </c>
      <c r="I20" s="3">
        <v>0</v>
      </c>
      <c r="J20" s="3">
        <v>58700</v>
      </c>
      <c r="K20" s="3"/>
      <c r="L20" s="3">
        <v>0</v>
      </c>
      <c r="M20" s="3">
        <v>58700</v>
      </c>
      <c r="O20" s="4">
        <f t="shared" ref="O20:O24" si="1">+SUM(B20:C20)-M20</f>
        <v>238200</v>
      </c>
      <c r="P20" s="5">
        <v>50000</v>
      </c>
      <c r="Q20" s="5">
        <f>+O20-P20</f>
        <v>188200</v>
      </c>
    </row>
    <row r="21" spans="1:17" x14ac:dyDescent="0.25">
      <c r="A21" t="s">
        <v>51</v>
      </c>
      <c r="B21" s="3">
        <v>252000</v>
      </c>
      <c r="C21" s="3">
        <v>260000</v>
      </c>
      <c r="D21" s="3"/>
      <c r="E21" s="3">
        <v>83000</v>
      </c>
      <c r="F21" s="3">
        <v>595000</v>
      </c>
      <c r="H21" t="s">
        <v>51</v>
      </c>
      <c r="I21" s="3">
        <v>0</v>
      </c>
      <c r="J21" s="3">
        <v>285750</v>
      </c>
      <c r="K21" s="3">
        <v>122700</v>
      </c>
      <c r="L21" s="3">
        <v>0</v>
      </c>
      <c r="M21" s="3">
        <v>408450</v>
      </c>
      <c r="O21" s="4">
        <f t="shared" si="1"/>
        <v>103550</v>
      </c>
      <c r="P21" s="5"/>
      <c r="Q21" s="5"/>
    </row>
    <row r="22" spans="1:17" x14ac:dyDescent="0.25">
      <c r="A22" t="s">
        <v>52</v>
      </c>
      <c r="B22" s="3">
        <v>120900</v>
      </c>
      <c r="C22" s="3">
        <v>143500</v>
      </c>
      <c r="D22" s="3"/>
      <c r="E22" s="3">
        <v>115500</v>
      </c>
      <c r="F22" s="3">
        <v>379900</v>
      </c>
      <c r="H22" t="s">
        <v>52</v>
      </c>
      <c r="I22" s="3">
        <v>0</v>
      </c>
      <c r="J22" s="3">
        <v>84900</v>
      </c>
      <c r="K22" s="3">
        <v>500</v>
      </c>
      <c r="L22" s="3">
        <v>0</v>
      </c>
      <c r="M22" s="3">
        <v>85400</v>
      </c>
      <c r="O22" s="4">
        <f t="shared" si="1"/>
        <v>179000</v>
      </c>
    </row>
    <row r="23" spans="1:17" x14ac:dyDescent="0.25">
      <c r="A23" t="s">
        <v>61</v>
      </c>
      <c r="B23" s="3">
        <v>93000</v>
      </c>
      <c r="C23" s="3">
        <v>211000</v>
      </c>
      <c r="D23" s="3"/>
      <c r="E23" s="3">
        <v>87500</v>
      </c>
      <c r="F23" s="3">
        <v>391500</v>
      </c>
      <c r="H23" t="s">
        <v>61</v>
      </c>
      <c r="I23" s="3">
        <v>0</v>
      </c>
      <c r="J23" s="3">
        <v>213300</v>
      </c>
      <c r="K23" s="3">
        <v>1500</v>
      </c>
      <c r="L23" s="3">
        <v>0</v>
      </c>
      <c r="M23" s="3">
        <v>214800</v>
      </c>
      <c r="O23" s="4">
        <f t="shared" si="1"/>
        <v>89200</v>
      </c>
      <c r="P23" s="5"/>
      <c r="Q23" s="5"/>
    </row>
    <row r="24" spans="1:17" x14ac:dyDescent="0.25">
      <c r="A24" t="s">
        <v>53</v>
      </c>
      <c r="B24" s="3">
        <v>161050</v>
      </c>
      <c r="C24" s="3">
        <v>123500</v>
      </c>
      <c r="D24" s="3">
        <v>3000</v>
      </c>
      <c r="E24" s="3">
        <v>92000</v>
      </c>
      <c r="F24" s="3">
        <v>379550</v>
      </c>
      <c r="H24" t="s">
        <v>53</v>
      </c>
      <c r="I24" s="3">
        <v>0</v>
      </c>
      <c r="J24" s="3">
        <v>156850</v>
      </c>
      <c r="K24" s="3"/>
      <c r="L24" s="3">
        <v>0</v>
      </c>
      <c r="M24" s="3">
        <v>156850</v>
      </c>
      <c r="O24" s="4">
        <f t="shared" si="1"/>
        <v>127700</v>
      </c>
    </row>
    <row r="25" spans="1:17" x14ac:dyDescent="0.25">
      <c r="A25" t="s">
        <v>1</v>
      </c>
      <c r="B25" s="3">
        <v>1769550</v>
      </c>
      <c r="C25" s="3">
        <v>2378500</v>
      </c>
      <c r="D25" s="3">
        <v>25000</v>
      </c>
      <c r="E25" s="3">
        <v>740500</v>
      </c>
      <c r="F25" s="3">
        <v>4913550</v>
      </c>
      <c r="H25" t="s">
        <v>1</v>
      </c>
      <c r="I25" s="3">
        <v>0</v>
      </c>
      <c r="J25" s="3">
        <v>1609600</v>
      </c>
      <c r="K25" s="3">
        <v>782700</v>
      </c>
      <c r="L25" s="3">
        <v>0</v>
      </c>
      <c r="M25" s="3">
        <v>2392300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5"/>
  <sheetViews>
    <sheetView zoomScale="85" zoomScaleNormal="85" workbookViewId="0">
      <selection activeCell="F4" sqref="F4"/>
    </sheetView>
  </sheetViews>
  <sheetFormatPr baseColWidth="10" defaultRowHeight="15" x14ac:dyDescent="0.25"/>
  <cols>
    <col min="1" max="1" width="20" bestFit="1" customWidth="1"/>
    <col min="2" max="2" width="17.7109375" bestFit="1" customWidth="1"/>
    <col min="3" max="3" width="12.28515625" bestFit="1" customWidth="1"/>
    <col min="4" max="6" width="10.85546875" bestFit="1" customWidth="1"/>
    <col min="7" max="7" width="10.85546875" style="5" bestFit="1" customWidth="1"/>
    <col min="8" max="8" width="19.5703125" bestFit="1" customWidth="1"/>
    <col min="9" max="9" width="12.140625" bestFit="1" customWidth="1"/>
    <col min="11" max="11" width="20" bestFit="1" customWidth="1"/>
    <col min="12" max="14" width="13.85546875" bestFit="1" customWidth="1"/>
    <col min="15" max="15" width="12.5703125" bestFit="1" customWidth="1"/>
    <col min="16" max="16" width="18.7109375" bestFit="1" customWidth="1"/>
    <col min="17" max="17" width="19.5703125" style="5" bestFit="1" customWidth="1"/>
    <col min="18" max="18" width="19.5703125" bestFit="1" customWidth="1"/>
  </cols>
  <sheetData>
    <row r="1" spans="1:18" x14ac:dyDescent="0.25">
      <c r="A1" t="s">
        <v>25</v>
      </c>
      <c r="B1" t="s" vm="1">
        <v>0</v>
      </c>
      <c r="H1" s="3"/>
      <c r="K1" t="s">
        <v>25</v>
      </c>
      <c r="L1" t="s" vm="1">
        <v>0</v>
      </c>
    </row>
    <row r="3" spans="1:18" x14ac:dyDescent="0.25">
      <c r="A3" t="s">
        <v>12</v>
      </c>
      <c r="B3" t="s">
        <v>14</v>
      </c>
      <c r="C3" t="s">
        <v>36</v>
      </c>
      <c r="D3" t="s">
        <v>16</v>
      </c>
      <c r="E3" t="s">
        <v>24</v>
      </c>
      <c r="F3" t="s">
        <v>13</v>
      </c>
      <c r="G3" t="s">
        <v>23</v>
      </c>
      <c r="H3" t="s">
        <v>15</v>
      </c>
      <c r="I3" s="8" t="s">
        <v>38</v>
      </c>
      <c r="K3" t="s">
        <v>37</v>
      </c>
      <c r="L3" t="s">
        <v>13</v>
      </c>
    </row>
    <row r="4" spans="1:18" x14ac:dyDescent="0.25">
      <c r="A4" t="s">
        <v>2</v>
      </c>
      <c r="B4" s="2">
        <v>46076.692083333335</v>
      </c>
      <c r="C4">
        <v>2</v>
      </c>
      <c r="D4" t="s">
        <v>19</v>
      </c>
      <c r="E4">
        <v>8000</v>
      </c>
      <c r="F4" s="6" t="s">
        <v>7</v>
      </c>
      <c r="G4">
        <v>2</v>
      </c>
      <c r="H4" s="3">
        <v>1</v>
      </c>
      <c r="I4" s="9">
        <f>+E4*G4</f>
        <v>16000</v>
      </c>
      <c r="K4" t="s">
        <v>12</v>
      </c>
      <c r="L4" t="s">
        <v>35</v>
      </c>
      <c r="M4" t="s">
        <v>7</v>
      </c>
      <c r="N4" t="s">
        <v>8</v>
      </c>
      <c r="O4" t="s">
        <v>1</v>
      </c>
    </row>
    <row r="6" spans="1:18" x14ac:dyDescent="0.25">
      <c r="A6" s="1" t="s">
        <v>25</v>
      </c>
      <c r="B6" t="s" vm="1">
        <v>0</v>
      </c>
      <c r="H6" s="3"/>
      <c r="K6" s="1" t="s">
        <v>25</v>
      </c>
      <c r="L6" t="s" vm="1">
        <v>0</v>
      </c>
      <c r="R6" s="3"/>
    </row>
    <row r="8" spans="1:18" x14ac:dyDescent="0.25">
      <c r="A8" s="1" t="s">
        <v>12</v>
      </c>
      <c r="B8" s="1" t="s">
        <v>14</v>
      </c>
      <c r="C8" s="1" t="s">
        <v>36</v>
      </c>
      <c r="D8" s="1" t="s">
        <v>16</v>
      </c>
      <c r="E8" s="1" t="s">
        <v>24</v>
      </c>
      <c r="F8" s="1" t="s">
        <v>13</v>
      </c>
      <c r="G8" s="1" t="s">
        <v>23</v>
      </c>
      <c r="H8" t="s">
        <v>15</v>
      </c>
      <c r="I8" s="8" t="s">
        <v>38</v>
      </c>
      <c r="K8" s="1" t="s">
        <v>37</v>
      </c>
      <c r="L8" s="1" t="s">
        <v>13</v>
      </c>
      <c r="Q8"/>
    </row>
    <row r="9" spans="1:18" x14ac:dyDescent="0.25">
      <c r="A9" t="s">
        <v>2</v>
      </c>
      <c r="B9" s="10">
        <v>46076</v>
      </c>
      <c r="C9">
        <v>2</v>
      </c>
      <c r="D9" t="s">
        <v>19</v>
      </c>
      <c r="E9">
        <v>8000</v>
      </c>
      <c r="F9" t="s">
        <v>7</v>
      </c>
      <c r="G9">
        <v>2</v>
      </c>
      <c r="H9" s="3">
        <v>1</v>
      </c>
      <c r="I9" s="9">
        <f>+E9*G9</f>
        <v>16000</v>
      </c>
      <c r="K9" s="1" t="s">
        <v>12</v>
      </c>
      <c r="L9" t="s">
        <v>35</v>
      </c>
      <c r="M9" t="s">
        <v>7</v>
      </c>
      <c r="N9" t="s">
        <v>8</v>
      </c>
      <c r="O9" t="s">
        <v>1</v>
      </c>
      <c r="Q9"/>
    </row>
    <row r="10" spans="1:18" x14ac:dyDescent="0.25">
      <c r="A10" t="s">
        <v>2</v>
      </c>
      <c r="C10">
        <v>3</v>
      </c>
      <c r="D10" t="s">
        <v>19</v>
      </c>
      <c r="E10">
        <v>8000</v>
      </c>
      <c r="F10" t="s">
        <v>8</v>
      </c>
      <c r="G10">
        <v>1</v>
      </c>
      <c r="H10" s="3">
        <v>1</v>
      </c>
      <c r="I10" s="9">
        <f t="shared" ref="I10:I73" si="0">+E10*G10</f>
        <v>8000</v>
      </c>
      <c r="K10" t="s">
        <v>2</v>
      </c>
      <c r="L10" s="3"/>
      <c r="M10" s="3">
        <v>192000</v>
      </c>
      <c r="N10" s="3">
        <v>32000</v>
      </c>
      <c r="O10" s="3">
        <v>224000</v>
      </c>
      <c r="Q10"/>
    </row>
    <row r="11" spans="1:18" x14ac:dyDescent="0.25">
      <c r="A11" t="s">
        <v>2</v>
      </c>
      <c r="C11">
        <v>4</v>
      </c>
      <c r="D11" t="s">
        <v>19</v>
      </c>
      <c r="E11">
        <v>8000</v>
      </c>
      <c r="F11" t="s">
        <v>7</v>
      </c>
      <c r="G11">
        <v>2</v>
      </c>
      <c r="H11" s="3">
        <v>1</v>
      </c>
      <c r="I11" s="9">
        <f t="shared" si="0"/>
        <v>16000</v>
      </c>
      <c r="K11" t="s">
        <v>3</v>
      </c>
      <c r="L11" s="3"/>
      <c r="M11" s="3">
        <v>213000</v>
      </c>
      <c r="N11" s="3">
        <v>8000</v>
      </c>
      <c r="O11" s="3">
        <v>221000</v>
      </c>
      <c r="Q11"/>
    </row>
    <row r="12" spans="1:18" x14ac:dyDescent="0.25">
      <c r="A12" t="s">
        <v>2</v>
      </c>
      <c r="D12" t="s">
        <v>20</v>
      </c>
      <c r="E12">
        <v>3000</v>
      </c>
      <c r="F12" t="s">
        <v>7</v>
      </c>
      <c r="G12">
        <v>2</v>
      </c>
      <c r="H12" s="3">
        <v>1</v>
      </c>
      <c r="I12" s="9">
        <f t="shared" si="0"/>
        <v>6000</v>
      </c>
      <c r="K12" t="s">
        <v>4</v>
      </c>
      <c r="L12" s="3"/>
      <c r="M12" s="3">
        <v>344000</v>
      </c>
      <c r="N12" s="3">
        <v>46500</v>
      </c>
      <c r="O12" s="3">
        <v>390500</v>
      </c>
      <c r="Q12"/>
    </row>
    <row r="13" spans="1:18" x14ac:dyDescent="0.25">
      <c r="A13" t="s">
        <v>2</v>
      </c>
      <c r="C13">
        <v>5</v>
      </c>
      <c r="D13" t="s">
        <v>19</v>
      </c>
      <c r="E13">
        <v>8000</v>
      </c>
      <c r="F13" t="s">
        <v>8</v>
      </c>
      <c r="G13">
        <v>3</v>
      </c>
      <c r="H13" s="3">
        <v>1</v>
      </c>
      <c r="I13" s="9">
        <f t="shared" si="0"/>
        <v>24000</v>
      </c>
      <c r="K13" t="s">
        <v>5</v>
      </c>
      <c r="L13" s="3"/>
      <c r="M13" s="3">
        <v>84000</v>
      </c>
      <c r="N13" s="3">
        <v>125000</v>
      </c>
      <c r="O13" s="3">
        <v>209000</v>
      </c>
      <c r="Q13"/>
    </row>
    <row r="14" spans="1:18" x14ac:dyDescent="0.25">
      <c r="A14" t="s">
        <v>2</v>
      </c>
      <c r="C14">
        <v>6</v>
      </c>
      <c r="D14" t="s">
        <v>17</v>
      </c>
      <c r="E14">
        <v>3000</v>
      </c>
      <c r="F14" t="s">
        <v>7</v>
      </c>
      <c r="G14">
        <v>2</v>
      </c>
      <c r="H14" s="3">
        <v>1</v>
      </c>
      <c r="I14" s="9">
        <f t="shared" si="0"/>
        <v>6000</v>
      </c>
      <c r="K14" t="s">
        <v>32</v>
      </c>
      <c r="L14" s="3">
        <v>11000</v>
      </c>
      <c r="M14" s="3">
        <v>186000</v>
      </c>
      <c r="N14" s="3">
        <v>51000</v>
      </c>
      <c r="O14" s="3">
        <v>248000</v>
      </c>
      <c r="Q14"/>
    </row>
    <row r="15" spans="1:18" x14ac:dyDescent="0.25">
      <c r="A15" t="s">
        <v>2</v>
      </c>
      <c r="D15" t="s">
        <v>19</v>
      </c>
      <c r="E15">
        <v>8000</v>
      </c>
      <c r="F15" t="s">
        <v>7</v>
      </c>
      <c r="G15">
        <v>2</v>
      </c>
      <c r="H15" s="3">
        <v>1</v>
      </c>
      <c r="I15" s="9">
        <f t="shared" si="0"/>
        <v>16000</v>
      </c>
      <c r="K15" t="s">
        <v>39</v>
      </c>
      <c r="L15" s="3"/>
      <c r="M15" s="3">
        <v>456500</v>
      </c>
      <c r="N15" s="3">
        <v>47000</v>
      </c>
      <c r="O15" s="3">
        <v>503500</v>
      </c>
      <c r="Q15"/>
    </row>
    <row r="16" spans="1:18" x14ac:dyDescent="0.25">
      <c r="A16" t="s">
        <v>2</v>
      </c>
      <c r="C16">
        <v>7</v>
      </c>
      <c r="D16" t="s">
        <v>19</v>
      </c>
      <c r="E16">
        <v>8000</v>
      </c>
      <c r="F16" t="s">
        <v>7</v>
      </c>
      <c r="G16">
        <v>2</v>
      </c>
      <c r="H16" s="3">
        <v>1</v>
      </c>
      <c r="I16" s="9">
        <f t="shared" si="0"/>
        <v>16000</v>
      </c>
      <c r="K16" t="s">
        <v>45</v>
      </c>
      <c r="L16" s="3"/>
      <c r="M16" s="3">
        <v>60000</v>
      </c>
      <c r="N16" s="3"/>
      <c r="O16" s="3">
        <v>60000</v>
      </c>
      <c r="Q16"/>
    </row>
    <row r="17" spans="1:17" x14ac:dyDescent="0.25">
      <c r="A17" t="s">
        <v>2</v>
      </c>
      <c r="D17" t="s">
        <v>22</v>
      </c>
      <c r="E17">
        <v>3000</v>
      </c>
      <c r="F17" t="s">
        <v>7</v>
      </c>
      <c r="G17">
        <v>1</v>
      </c>
      <c r="H17" s="3">
        <v>1</v>
      </c>
      <c r="I17" s="9">
        <f t="shared" si="0"/>
        <v>3000</v>
      </c>
      <c r="K17" t="s">
        <v>46</v>
      </c>
      <c r="L17" s="3">
        <v>11000</v>
      </c>
      <c r="M17" s="3">
        <v>105000</v>
      </c>
      <c r="N17" s="3">
        <v>53000</v>
      </c>
      <c r="O17" s="3">
        <v>169000</v>
      </c>
      <c r="Q17"/>
    </row>
    <row r="18" spans="1:17" x14ac:dyDescent="0.25">
      <c r="A18" t="s">
        <v>2</v>
      </c>
      <c r="C18">
        <v>8</v>
      </c>
      <c r="D18" t="s">
        <v>19</v>
      </c>
      <c r="E18">
        <v>8000</v>
      </c>
      <c r="F18" t="s">
        <v>7</v>
      </c>
      <c r="G18">
        <v>1</v>
      </c>
      <c r="H18" s="3">
        <v>1</v>
      </c>
      <c r="I18" s="9">
        <f t="shared" si="0"/>
        <v>8000</v>
      </c>
      <c r="K18" t="s">
        <v>51</v>
      </c>
      <c r="L18" s="3"/>
      <c r="M18" s="3">
        <v>260000</v>
      </c>
      <c r="N18" s="3">
        <v>83000</v>
      </c>
      <c r="O18" s="3">
        <v>343000</v>
      </c>
      <c r="Q18"/>
    </row>
    <row r="19" spans="1:17" x14ac:dyDescent="0.25">
      <c r="A19" t="s">
        <v>2</v>
      </c>
      <c r="C19">
        <v>9</v>
      </c>
      <c r="D19" t="s">
        <v>19</v>
      </c>
      <c r="E19">
        <v>8000</v>
      </c>
      <c r="F19" t="s">
        <v>7</v>
      </c>
      <c r="G19">
        <v>2</v>
      </c>
      <c r="H19" s="3">
        <v>1</v>
      </c>
      <c r="I19" s="9">
        <f t="shared" si="0"/>
        <v>16000</v>
      </c>
      <c r="K19" t="s">
        <v>52</v>
      </c>
      <c r="L19" s="3"/>
      <c r="M19" s="3">
        <v>143500</v>
      </c>
      <c r="N19" s="3">
        <v>115500</v>
      </c>
      <c r="O19" s="3">
        <v>259000</v>
      </c>
      <c r="Q19"/>
    </row>
    <row r="20" spans="1:17" x14ac:dyDescent="0.25">
      <c r="A20" t="s">
        <v>2</v>
      </c>
      <c r="D20" t="s">
        <v>20</v>
      </c>
      <c r="E20">
        <v>3000</v>
      </c>
      <c r="F20" t="s">
        <v>7</v>
      </c>
      <c r="G20">
        <v>2</v>
      </c>
      <c r="H20" s="3">
        <v>1</v>
      </c>
      <c r="I20" s="9">
        <f t="shared" si="0"/>
        <v>6000</v>
      </c>
      <c r="K20" t="s">
        <v>61</v>
      </c>
      <c r="L20" s="3"/>
      <c r="M20" s="3">
        <v>211000</v>
      </c>
      <c r="N20" s="3">
        <v>87500</v>
      </c>
      <c r="O20" s="3">
        <v>298500</v>
      </c>
      <c r="Q20"/>
    </row>
    <row r="21" spans="1:17" x14ac:dyDescent="0.25">
      <c r="A21" t="s">
        <v>2</v>
      </c>
      <c r="C21">
        <v>10</v>
      </c>
      <c r="D21" t="s">
        <v>19</v>
      </c>
      <c r="E21">
        <v>8000</v>
      </c>
      <c r="F21" t="s">
        <v>7</v>
      </c>
      <c r="G21">
        <v>3</v>
      </c>
      <c r="H21" s="3">
        <v>1</v>
      </c>
      <c r="I21" s="9">
        <f t="shared" si="0"/>
        <v>24000</v>
      </c>
      <c r="K21" t="s">
        <v>53</v>
      </c>
      <c r="L21" s="3">
        <v>3000</v>
      </c>
      <c r="M21" s="3">
        <v>123500</v>
      </c>
      <c r="N21" s="3">
        <v>92000</v>
      </c>
      <c r="O21" s="3">
        <v>218500</v>
      </c>
      <c r="Q21"/>
    </row>
    <row r="22" spans="1:17" x14ac:dyDescent="0.25">
      <c r="A22" t="s">
        <v>2</v>
      </c>
      <c r="C22">
        <v>11</v>
      </c>
      <c r="D22" t="s">
        <v>19</v>
      </c>
      <c r="E22">
        <v>8000</v>
      </c>
      <c r="F22" t="s">
        <v>7</v>
      </c>
      <c r="G22">
        <v>1</v>
      </c>
      <c r="H22" s="3">
        <v>1</v>
      </c>
      <c r="I22" s="9">
        <f t="shared" si="0"/>
        <v>8000</v>
      </c>
      <c r="K22" t="s">
        <v>1</v>
      </c>
      <c r="L22" s="3">
        <v>25000</v>
      </c>
      <c r="M22" s="3">
        <v>2378500</v>
      </c>
      <c r="N22" s="3">
        <v>740500</v>
      </c>
      <c r="O22" s="3">
        <v>3144000</v>
      </c>
      <c r="Q22"/>
    </row>
    <row r="23" spans="1:17" x14ac:dyDescent="0.25">
      <c r="A23" t="s">
        <v>2</v>
      </c>
      <c r="C23">
        <v>12</v>
      </c>
      <c r="D23" t="s">
        <v>19</v>
      </c>
      <c r="E23">
        <v>8000</v>
      </c>
      <c r="F23" t="s">
        <v>7</v>
      </c>
      <c r="G23">
        <v>1</v>
      </c>
      <c r="H23" s="3">
        <v>1</v>
      </c>
      <c r="I23" s="9">
        <f t="shared" si="0"/>
        <v>8000</v>
      </c>
      <c r="Q23"/>
    </row>
    <row r="24" spans="1:17" x14ac:dyDescent="0.25">
      <c r="A24" t="s">
        <v>2</v>
      </c>
      <c r="C24">
        <v>13</v>
      </c>
      <c r="D24" t="s">
        <v>19</v>
      </c>
      <c r="E24">
        <v>8000</v>
      </c>
      <c r="F24" t="s">
        <v>7</v>
      </c>
      <c r="G24">
        <v>1</v>
      </c>
      <c r="H24" s="3">
        <v>1</v>
      </c>
      <c r="I24" s="9">
        <f t="shared" si="0"/>
        <v>8000</v>
      </c>
      <c r="Q24"/>
    </row>
    <row r="25" spans="1:17" x14ac:dyDescent="0.25">
      <c r="A25" t="s">
        <v>2</v>
      </c>
      <c r="D25" t="s">
        <v>22</v>
      </c>
      <c r="E25">
        <v>3000</v>
      </c>
      <c r="F25" t="s">
        <v>7</v>
      </c>
      <c r="G25">
        <v>1</v>
      </c>
      <c r="H25" s="3">
        <v>1</v>
      </c>
      <c r="I25" s="9">
        <f t="shared" si="0"/>
        <v>3000</v>
      </c>
      <c r="Q25"/>
    </row>
    <row r="26" spans="1:17" x14ac:dyDescent="0.25">
      <c r="A26" t="s">
        <v>2</v>
      </c>
      <c r="C26">
        <v>14</v>
      </c>
      <c r="D26" t="s">
        <v>19</v>
      </c>
      <c r="E26">
        <v>8000</v>
      </c>
      <c r="F26" t="s">
        <v>7</v>
      </c>
      <c r="G26">
        <v>3</v>
      </c>
      <c r="H26" s="3">
        <v>1</v>
      </c>
      <c r="I26" s="9">
        <f t="shared" si="0"/>
        <v>24000</v>
      </c>
      <c r="Q26"/>
    </row>
    <row r="27" spans="1:17" x14ac:dyDescent="0.25">
      <c r="A27" t="s">
        <v>2</v>
      </c>
      <c r="C27">
        <v>15</v>
      </c>
      <c r="D27" t="s">
        <v>19</v>
      </c>
      <c r="E27">
        <v>8000</v>
      </c>
      <c r="F27" t="s">
        <v>7</v>
      </c>
      <c r="G27">
        <v>1</v>
      </c>
      <c r="H27" s="3">
        <v>1</v>
      </c>
      <c r="I27" s="9">
        <f t="shared" si="0"/>
        <v>8000</v>
      </c>
      <c r="Q27"/>
    </row>
    <row r="28" spans="1:17" x14ac:dyDescent="0.25">
      <c r="A28" t="s">
        <v>3</v>
      </c>
      <c r="B28" s="10">
        <v>46077</v>
      </c>
      <c r="C28">
        <v>16</v>
      </c>
      <c r="D28" t="s">
        <v>19</v>
      </c>
      <c r="E28">
        <v>8000</v>
      </c>
      <c r="F28" t="s">
        <v>7</v>
      </c>
      <c r="G28">
        <v>5</v>
      </c>
      <c r="H28" s="3">
        <v>1</v>
      </c>
      <c r="I28" s="9">
        <f t="shared" si="0"/>
        <v>40000</v>
      </c>
      <c r="Q28"/>
    </row>
    <row r="29" spans="1:17" x14ac:dyDescent="0.25">
      <c r="A29" t="s">
        <v>3</v>
      </c>
      <c r="C29">
        <v>17</v>
      </c>
      <c r="D29" t="s">
        <v>19</v>
      </c>
      <c r="E29">
        <v>8000</v>
      </c>
      <c r="F29" t="s">
        <v>7</v>
      </c>
      <c r="G29">
        <v>3</v>
      </c>
      <c r="H29" s="3">
        <v>1</v>
      </c>
      <c r="I29" s="9">
        <f t="shared" si="0"/>
        <v>24000</v>
      </c>
      <c r="Q29"/>
    </row>
    <row r="30" spans="1:17" x14ac:dyDescent="0.25">
      <c r="A30" t="s">
        <v>3</v>
      </c>
      <c r="C30">
        <v>18</v>
      </c>
      <c r="D30" t="s">
        <v>19</v>
      </c>
      <c r="E30">
        <v>8000</v>
      </c>
      <c r="F30" t="s">
        <v>7</v>
      </c>
      <c r="G30">
        <v>1</v>
      </c>
      <c r="H30" s="3">
        <v>1</v>
      </c>
      <c r="I30" s="9">
        <f t="shared" si="0"/>
        <v>8000</v>
      </c>
      <c r="Q30"/>
    </row>
    <row r="31" spans="1:17" x14ac:dyDescent="0.25">
      <c r="A31" t="s">
        <v>3</v>
      </c>
      <c r="C31">
        <v>19</v>
      </c>
      <c r="D31" t="s">
        <v>19</v>
      </c>
      <c r="E31">
        <v>8000</v>
      </c>
      <c r="F31" t="s">
        <v>7</v>
      </c>
      <c r="G31">
        <v>1</v>
      </c>
      <c r="H31" s="3">
        <v>1</v>
      </c>
      <c r="I31" s="9">
        <f t="shared" si="0"/>
        <v>8000</v>
      </c>
      <c r="Q31"/>
    </row>
    <row r="32" spans="1:17" x14ac:dyDescent="0.25">
      <c r="A32" t="s">
        <v>3</v>
      </c>
      <c r="C32">
        <v>20</v>
      </c>
      <c r="D32" t="s">
        <v>19</v>
      </c>
      <c r="E32">
        <v>8000</v>
      </c>
      <c r="F32" t="s">
        <v>7</v>
      </c>
      <c r="G32">
        <v>2</v>
      </c>
      <c r="H32" s="3">
        <v>1</v>
      </c>
      <c r="I32" s="9">
        <f t="shared" si="0"/>
        <v>16000</v>
      </c>
      <c r="Q32"/>
    </row>
    <row r="33" spans="1:17" x14ac:dyDescent="0.25">
      <c r="A33" t="s">
        <v>3</v>
      </c>
      <c r="C33">
        <v>21</v>
      </c>
      <c r="D33" t="s">
        <v>19</v>
      </c>
      <c r="E33">
        <v>8000</v>
      </c>
      <c r="F33" t="s">
        <v>7</v>
      </c>
      <c r="G33">
        <v>1</v>
      </c>
      <c r="H33" s="3">
        <v>1</v>
      </c>
      <c r="I33" s="9">
        <f t="shared" si="0"/>
        <v>8000</v>
      </c>
      <c r="Q33"/>
    </row>
    <row r="34" spans="1:17" x14ac:dyDescent="0.25">
      <c r="A34" t="s">
        <v>3</v>
      </c>
      <c r="C34">
        <v>22</v>
      </c>
      <c r="D34" t="s">
        <v>18</v>
      </c>
      <c r="E34">
        <v>4500</v>
      </c>
      <c r="F34" t="s">
        <v>7</v>
      </c>
      <c r="G34">
        <v>2</v>
      </c>
      <c r="H34" s="3">
        <v>1</v>
      </c>
      <c r="I34" s="9">
        <f t="shared" si="0"/>
        <v>9000</v>
      </c>
      <c r="Q34"/>
    </row>
    <row r="35" spans="1:17" x14ac:dyDescent="0.25">
      <c r="A35" t="s">
        <v>3</v>
      </c>
      <c r="D35" t="s">
        <v>19</v>
      </c>
      <c r="E35">
        <v>8000</v>
      </c>
      <c r="F35" t="s">
        <v>7</v>
      </c>
      <c r="G35">
        <v>1</v>
      </c>
      <c r="H35" s="3">
        <v>1</v>
      </c>
      <c r="I35" s="9">
        <f t="shared" si="0"/>
        <v>8000</v>
      </c>
      <c r="Q35"/>
    </row>
    <row r="36" spans="1:17" x14ac:dyDescent="0.25">
      <c r="A36" t="s">
        <v>3</v>
      </c>
      <c r="C36">
        <v>23</v>
      </c>
      <c r="D36" t="s">
        <v>19</v>
      </c>
      <c r="E36">
        <v>8000</v>
      </c>
      <c r="F36" t="s">
        <v>7</v>
      </c>
      <c r="G36">
        <v>1</v>
      </c>
      <c r="H36" s="3">
        <v>1</v>
      </c>
      <c r="I36" s="9">
        <f t="shared" si="0"/>
        <v>8000</v>
      </c>
      <c r="Q36"/>
    </row>
    <row r="37" spans="1:17" x14ac:dyDescent="0.25">
      <c r="A37" t="s">
        <v>3</v>
      </c>
      <c r="C37">
        <v>24</v>
      </c>
      <c r="D37" t="s">
        <v>19</v>
      </c>
      <c r="E37">
        <v>8000</v>
      </c>
      <c r="F37" t="s">
        <v>8</v>
      </c>
      <c r="G37">
        <v>1</v>
      </c>
      <c r="H37" s="3">
        <v>1</v>
      </c>
      <c r="I37" s="9">
        <f t="shared" si="0"/>
        <v>8000</v>
      </c>
      <c r="Q37"/>
    </row>
    <row r="38" spans="1:17" x14ac:dyDescent="0.25">
      <c r="A38" t="s">
        <v>3</v>
      </c>
      <c r="C38">
        <v>25</v>
      </c>
      <c r="D38" t="s">
        <v>19</v>
      </c>
      <c r="E38">
        <v>8000</v>
      </c>
      <c r="F38" t="s">
        <v>7</v>
      </c>
      <c r="G38">
        <v>1</v>
      </c>
      <c r="H38" s="3">
        <v>1</v>
      </c>
      <c r="I38" s="9">
        <f t="shared" si="0"/>
        <v>8000</v>
      </c>
      <c r="Q38"/>
    </row>
    <row r="39" spans="1:17" x14ac:dyDescent="0.25">
      <c r="A39" t="s">
        <v>3</v>
      </c>
      <c r="C39">
        <v>26</v>
      </c>
      <c r="D39" t="s">
        <v>17</v>
      </c>
      <c r="E39">
        <v>3000</v>
      </c>
      <c r="F39" t="s">
        <v>7</v>
      </c>
      <c r="G39">
        <v>1</v>
      </c>
      <c r="H39" s="3">
        <v>1</v>
      </c>
      <c r="I39" s="9">
        <f t="shared" si="0"/>
        <v>3000</v>
      </c>
      <c r="Q39"/>
    </row>
    <row r="40" spans="1:17" x14ac:dyDescent="0.25">
      <c r="A40" t="s">
        <v>3</v>
      </c>
      <c r="D40" t="s">
        <v>19</v>
      </c>
      <c r="E40">
        <v>8000</v>
      </c>
      <c r="F40" t="s">
        <v>7</v>
      </c>
      <c r="G40">
        <v>3</v>
      </c>
      <c r="H40" s="3">
        <v>1</v>
      </c>
      <c r="I40" s="9">
        <f t="shared" si="0"/>
        <v>24000</v>
      </c>
      <c r="Q40"/>
    </row>
    <row r="41" spans="1:17" x14ac:dyDescent="0.25">
      <c r="A41" t="s">
        <v>3</v>
      </c>
      <c r="D41" t="s">
        <v>22</v>
      </c>
      <c r="E41">
        <v>3000</v>
      </c>
      <c r="F41" t="s">
        <v>7</v>
      </c>
      <c r="G41">
        <v>1</v>
      </c>
      <c r="H41" s="3">
        <v>1</v>
      </c>
      <c r="I41" s="9">
        <f t="shared" si="0"/>
        <v>3000</v>
      </c>
      <c r="Q41"/>
    </row>
    <row r="42" spans="1:17" x14ac:dyDescent="0.25">
      <c r="A42" t="s">
        <v>3</v>
      </c>
      <c r="C42">
        <v>27</v>
      </c>
      <c r="D42" t="s">
        <v>19</v>
      </c>
      <c r="E42">
        <v>8000</v>
      </c>
      <c r="F42" t="s">
        <v>7</v>
      </c>
      <c r="G42">
        <v>4</v>
      </c>
      <c r="H42" s="3">
        <v>1</v>
      </c>
      <c r="I42" s="9">
        <f t="shared" si="0"/>
        <v>32000</v>
      </c>
      <c r="Q42"/>
    </row>
    <row r="43" spans="1:17" x14ac:dyDescent="0.25">
      <c r="A43" t="s">
        <v>3</v>
      </c>
      <c r="D43" t="s">
        <v>20</v>
      </c>
      <c r="E43">
        <v>3000</v>
      </c>
      <c r="F43" t="s">
        <v>7</v>
      </c>
      <c r="G43">
        <v>2</v>
      </c>
      <c r="H43" s="3">
        <v>1</v>
      </c>
      <c r="I43" s="9">
        <f t="shared" si="0"/>
        <v>6000</v>
      </c>
      <c r="Q43"/>
    </row>
    <row r="44" spans="1:17" x14ac:dyDescent="0.25">
      <c r="A44" t="s">
        <v>3</v>
      </c>
      <c r="C44">
        <v>28</v>
      </c>
      <c r="D44" t="s">
        <v>19</v>
      </c>
      <c r="E44">
        <v>8000</v>
      </c>
      <c r="F44" t="s">
        <v>7</v>
      </c>
      <c r="G44">
        <v>1</v>
      </c>
      <c r="H44" s="3">
        <v>1</v>
      </c>
      <c r="I44" s="9">
        <f t="shared" si="0"/>
        <v>8000</v>
      </c>
      <c r="Q44"/>
    </row>
    <row r="45" spans="1:17" x14ac:dyDescent="0.25">
      <c r="A45" t="s">
        <v>4</v>
      </c>
      <c r="B45" s="10">
        <v>46078</v>
      </c>
      <c r="C45">
        <v>29</v>
      </c>
      <c r="D45" t="s">
        <v>19</v>
      </c>
      <c r="E45">
        <v>8000</v>
      </c>
      <c r="F45" t="s">
        <v>7</v>
      </c>
      <c r="G45">
        <v>1</v>
      </c>
      <c r="H45" s="3">
        <v>1</v>
      </c>
      <c r="I45" s="9">
        <f t="shared" si="0"/>
        <v>8000</v>
      </c>
      <c r="Q45"/>
    </row>
    <row r="46" spans="1:17" x14ac:dyDescent="0.25">
      <c r="A46" t="s">
        <v>4</v>
      </c>
      <c r="C46">
        <v>30</v>
      </c>
      <c r="D46" t="s">
        <v>19</v>
      </c>
      <c r="E46">
        <v>8000</v>
      </c>
      <c r="F46" t="s">
        <v>7</v>
      </c>
      <c r="G46">
        <v>1</v>
      </c>
      <c r="H46" s="3">
        <v>1</v>
      </c>
      <c r="I46" s="9">
        <f t="shared" si="0"/>
        <v>8000</v>
      </c>
      <c r="Q46"/>
    </row>
    <row r="47" spans="1:17" x14ac:dyDescent="0.25">
      <c r="A47" t="s">
        <v>4</v>
      </c>
      <c r="C47">
        <v>31</v>
      </c>
      <c r="D47" t="s">
        <v>19</v>
      </c>
      <c r="E47">
        <v>8000</v>
      </c>
      <c r="F47" t="s">
        <v>7</v>
      </c>
      <c r="G47">
        <v>1</v>
      </c>
      <c r="H47" s="3">
        <v>1</v>
      </c>
      <c r="I47" s="9">
        <f t="shared" si="0"/>
        <v>8000</v>
      </c>
      <c r="Q47"/>
    </row>
    <row r="48" spans="1:17" x14ac:dyDescent="0.25">
      <c r="A48" t="s">
        <v>4</v>
      </c>
      <c r="C48">
        <v>32</v>
      </c>
      <c r="D48" t="s">
        <v>21</v>
      </c>
      <c r="E48">
        <v>35000</v>
      </c>
      <c r="F48" t="s">
        <v>7</v>
      </c>
      <c r="G48">
        <v>1</v>
      </c>
      <c r="H48" s="3">
        <v>1</v>
      </c>
      <c r="I48" s="9">
        <f t="shared" si="0"/>
        <v>35000</v>
      </c>
      <c r="Q48"/>
    </row>
    <row r="49" spans="1:17" x14ac:dyDescent="0.25">
      <c r="A49" t="s">
        <v>4</v>
      </c>
      <c r="C49">
        <v>34</v>
      </c>
      <c r="D49" t="s">
        <v>21</v>
      </c>
      <c r="E49">
        <v>35000</v>
      </c>
      <c r="F49" t="s">
        <v>7</v>
      </c>
      <c r="G49">
        <v>1</v>
      </c>
      <c r="H49" s="3">
        <v>1</v>
      </c>
      <c r="I49" s="9">
        <f t="shared" si="0"/>
        <v>35000</v>
      </c>
      <c r="Q49"/>
    </row>
    <row r="50" spans="1:17" x14ac:dyDescent="0.25">
      <c r="A50" t="s">
        <v>4</v>
      </c>
      <c r="C50">
        <v>35</v>
      </c>
      <c r="D50" t="s">
        <v>19</v>
      </c>
      <c r="E50">
        <v>8000</v>
      </c>
      <c r="F50" t="s">
        <v>7</v>
      </c>
      <c r="G50">
        <v>2</v>
      </c>
      <c r="H50" s="3">
        <v>1</v>
      </c>
      <c r="I50" s="9">
        <f t="shared" si="0"/>
        <v>16000</v>
      </c>
      <c r="Q50"/>
    </row>
    <row r="51" spans="1:17" x14ac:dyDescent="0.25">
      <c r="A51" t="s">
        <v>4</v>
      </c>
      <c r="C51">
        <v>36</v>
      </c>
      <c r="D51" t="s">
        <v>19</v>
      </c>
      <c r="E51">
        <v>8000</v>
      </c>
      <c r="F51" t="s">
        <v>7</v>
      </c>
      <c r="G51">
        <v>1</v>
      </c>
      <c r="H51" s="3">
        <v>1</v>
      </c>
      <c r="I51" s="9">
        <f t="shared" si="0"/>
        <v>8000</v>
      </c>
      <c r="Q51"/>
    </row>
    <row r="52" spans="1:17" x14ac:dyDescent="0.25">
      <c r="A52" t="s">
        <v>4</v>
      </c>
      <c r="C52">
        <v>37</v>
      </c>
      <c r="D52" t="s">
        <v>19</v>
      </c>
      <c r="E52">
        <v>8000</v>
      </c>
      <c r="F52" t="s">
        <v>8</v>
      </c>
      <c r="G52">
        <v>1</v>
      </c>
      <c r="H52" s="3">
        <v>1</v>
      </c>
      <c r="I52" s="9">
        <f t="shared" si="0"/>
        <v>8000</v>
      </c>
      <c r="Q52"/>
    </row>
    <row r="53" spans="1:17" x14ac:dyDescent="0.25">
      <c r="A53" t="s">
        <v>4</v>
      </c>
      <c r="C53">
        <v>38</v>
      </c>
      <c r="D53" t="s">
        <v>19</v>
      </c>
      <c r="E53">
        <v>8000</v>
      </c>
      <c r="F53" t="s">
        <v>7</v>
      </c>
      <c r="G53">
        <v>1</v>
      </c>
      <c r="H53" s="3">
        <v>1</v>
      </c>
      <c r="I53" s="9">
        <f t="shared" si="0"/>
        <v>8000</v>
      </c>
      <c r="Q53"/>
    </row>
    <row r="54" spans="1:17" x14ac:dyDescent="0.25">
      <c r="A54" t="s">
        <v>4</v>
      </c>
      <c r="C54">
        <v>39</v>
      </c>
      <c r="D54" t="s">
        <v>19</v>
      </c>
      <c r="E54">
        <v>8000</v>
      </c>
      <c r="F54" t="s">
        <v>7</v>
      </c>
      <c r="G54">
        <v>1</v>
      </c>
      <c r="H54" s="3">
        <v>1</v>
      </c>
      <c r="I54" s="9">
        <f t="shared" si="0"/>
        <v>8000</v>
      </c>
      <c r="Q54"/>
    </row>
    <row r="55" spans="1:17" x14ac:dyDescent="0.25">
      <c r="A55" t="s">
        <v>4</v>
      </c>
      <c r="C55">
        <v>41</v>
      </c>
      <c r="D55" t="s">
        <v>19</v>
      </c>
      <c r="E55">
        <v>8000</v>
      </c>
      <c r="F55" t="s">
        <v>7</v>
      </c>
      <c r="G55">
        <v>1</v>
      </c>
      <c r="H55" s="3">
        <v>1</v>
      </c>
      <c r="I55" s="9">
        <f t="shared" si="0"/>
        <v>8000</v>
      </c>
      <c r="Q55"/>
    </row>
    <row r="56" spans="1:17" x14ac:dyDescent="0.25">
      <c r="A56" t="s">
        <v>4</v>
      </c>
      <c r="C56">
        <v>42</v>
      </c>
      <c r="D56" t="s">
        <v>19</v>
      </c>
      <c r="E56">
        <v>8000</v>
      </c>
      <c r="F56" t="s">
        <v>7</v>
      </c>
      <c r="G56">
        <v>5</v>
      </c>
      <c r="H56" s="3">
        <v>1</v>
      </c>
      <c r="I56" s="9">
        <f t="shared" si="0"/>
        <v>40000</v>
      </c>
      <c r="Q56"/>
    </row>
    <row r="57" spans="1:17" x14ac:dyDescent="0.25">
      <c r="A57" t="s">
        <v>4</v>
      </c>
      <c r="C57">
        <v>43</v>
      </c>
      <c r="D57" t="s">
        <v>20</v>
      </c>
      <c r="E57">
        <v>3000</v>
      </c>
      <c r="F57" t="s">
        <v>7</v>
      </c>
      <c r="G57">
        <v>2</v>
      </c>
      <c r="H57" s="3">
        <v>1</v>
      </c>
      <c r="I57" s="9">
        <f t="shared" si="0"/>
        <v>6000</v>
      </c>
      <c r="Q57"/>
    </row>
    <row r="58" spans="1:17" x14ac:dyDescent="0.25">
      <c r="A58" t="s">
        <v>4</v>
      </c>
      <c r="D58" t="s">
        <v>22</v>
      </c>
      <c r="E58">
        <v>3000</v>
      </c>
      <c r="F58" t="s">
        <v>7</v>
      </c>
      <c r="G58">
        <v>1</v>
      </c>
      <c r="H58" s="3">
        <v>1</v>
      </c>
      <c r="I58" s="9">
        <f t="shared" si="0"/>
        <v>3000</v>
      </c>
      <c r="Q58"/>
    </row>
    <row r="59" spans="1:17" x14ac:dyDescent="0.25">
      <c r="A59" t="s">
        <v>4</v>
      </c>
      <c r="C59">
        <v>44</v>
      </c>
      <c r="D59" t="s">
        <v>19</v>
      </c>
      <c r="E59">
        <v>8000</v>
      </c>
      <c r="F59" t="s">
        <v>7</v>
      </c>
      <c r="G59">
        <v>3</v>
      </c>
      <c r="H59" s="3">
        <v>1</v>
      </c>
      <c r="I59" s="9">
        <f t="shared" si="0"/>
        <v>24000</v>
      </c>
      <c r="Q59"/>
    </row>
    <row r="60" spans="1:17" x14ac:dyDescent="0.25">
      <c r="A60" t="s">
        <v>4</v>
      </c>
      <c r="C60">
        <v>45</v>
      </c>
      <c r="D60" t="s">
        <v>19</v>
      </c>
      <c r="E60">
        <v>8000</v>
      </c>
      <c r="F60" t="s">
        <v>8</v>
      </c>
      <c r="G60">
        <v>1</v>
      </c>
      <c r="H60" s="3">
        <v>1</v>
      </c>
      <c r="I60" s="9">
        <f t="shared" si="0"/>
        <v>8000</v>
      </c>
      <c r="Q60"/>
    </row>
    <row r="61" spans="1:17" x14ac:dyDescent="0.25">
      <c r="A61" t="s">
        <v>4</v>
      </c>
      <c r="C61">
        <v>46</v>
      </c>
      <c r="D61" t="s">
        <v>19</v>
      </c>
      <c r="E61">
        <v>8000</v>
      </c>
      <c r="F61" t="s">
        <v>7</v>
      </c>
      <c r="G61">
        <v>1</v>
      </c>
      <c r="H61" s="3">
        <v>1</v>
      </c>
      <c r="I61" s="9">
        <f t="shared" si="0"/>
        <v>8000</v>
      </c>
      <c r="Q61"/>
    </row>
    <row r="62" spans="1:17" x14ac:dyDescent="0.25">
      <c r="A62" t="s">
        <v>4</v>
      </c>
      <c r="D62" t="s">
        <v>20</v>
      </c>
      <c r="E62">
        <v>3000</v>
      </c>
      <c r="F62" t="s">
        <v>7</v>
      </c>
      <c r="G62">
        <v>1</v>
      </c>
      <c r="H62" s="3">
        <v>1</v>
      </c>
      <c r="I62" s="9">
        <f t="shared" si="0"/>
        <v>3000</v>
      </c>
      <c r="Q62"/>
    </row>
    <row r="63" spans="1:17" x14ac:dyDescent="0.25">
      <c r="A63" t="s">
        <v>4</v>
      </c>
      <c r="C63">
        <v>47</v>
      </c>
      <c r="D63" t="s">
        <v>18</v>
      </c>
      <c r="E63">
        <v>4500</v>
      </c>
      <c r="F63" t="s">
        <v>8</v>
      </c>
      <c r="G63">
        <v>5</v>
      </c>
      <c r="H63" s="3">
        <v>1</v>
      </c>
      <c r="I63" s="9">
        <f t="shared" si="0"/>
        <v>22500</v>
      </c>
      <c r="Q63"/>
    </row>
    <row r="64" spans="1:17" x14ac:dyDescent="0.25">
      <c r="A64" t="s">
        <v>4</v>
      </c>
      <c r="C64">
        <v>48</v>
      </c>
      <c r="D64" t="s">
        <v>21</v>
      </c>
      <c r="E64">
        <v>35000</v>
      </c>
      <c r="F64" t="s">
        <v>7</v>
      </c>
      <c r="G64">
        <v>1</v>
      </c>
      <c r="H64" s="3">
        <v>1</v>
      </c>
      <c r="I64" s="9">
        <f t="shared" si="0"/>
        <v>35000</v>
      </c>
      <c r="Q64"/>
    </row>
    <row r="65" spans="1:17" x14ac:dyDescent="0.25">
      <c r="A65" t="s">
        <v>4</v>
      </c>
      <c r="D65" t="s">
        <v>22</v>
      </c>
      <c r="E65">
        <v>3000</v>
      </c>
      <c r="F65" t="s">
        <v>7</v>
      </c>
      <c r="G65">
        <v>1</v>
      </c>
      <c r="H65" s="3">
        <v>1</v>
      </c>
      <c r="I65" s="9">
        <f t="shared" si="0"/>
        <v>3000</v>
      </c>
      <c r="Q65"/>
    </row>
    <row r="66" spans="1:17" x14ac:dyDescent="0.25">
      <c r="A66" t="s">
        <v>4</v>
      </c>
      <c r="C66">
        <v>49</v>
      </c>
      <c r="D66" t="s">
        <v>19</v>
      </c>
      <c r="E66">
        <v>8000</v>
      </c>
      <c r="F66" t="s">
        <v>7</v>
      </c>
      <c r="G66">
        <v>2</v>
      </c>
      <c r="H66" s="3">
        <v>1</v>
      </c>
      <c r="I66" s="9">
        <f t="shared" si="0"/>
        <v>16000</v>
      </c>
      <c r="Q66"/>
    </row>
    <row r="67" spans="1:17" x14ac:dyDescent="0.25">
      <c r="A67" t="s">
        <v>4</v>
      </c>
      <c r="C67">
        <v>50</v>
      </c>
      <c r="D67" t="s">
        <v>19</v>
      </c>
      <c r="E67">
        <v>8000</v>
      </c>
      <c r="F67" t="s">
        <v>7</v>
      </c>
      <c r="G67">
        <v>2</v>
      </c>
      <c r="H67" s="3">
        <v>1</v>
      </c>
      <c r="I67" s="9">
        <f t="shared" si="0"/>
        <v>16000</v>
      </c>
      <c r="Q67"/>
    </row>
    <row r="68" spans="1:17" x14ac:dyDescent="0.25">
      <c r="A68" t="s">
        <v>4</v>
      </c>
      <c r="C68">
        <v>51</v>
      </c>
      <c r="D68" t="s">
        <v>19</v>
      </c>
      <c r="E68">
        <v>8000</v>
      </c>
      <c r="F68" t="s">
        <v>7</v>
      </c>
      <c r="G68">
        <v>4</v>
      </c>
      <c r="H68" s="3">
        <v>1</v>
      </c>
      <c r="I68" s="9">
        <f t="shared" si="0"/>
        <v>32000</v>
      </c>
      <c r="Q68"/>
    </row>
    <row r="69" spans="1:17" x14ac:dyDescent="0.25">
      <c r="A69" t="s">
        <v>4</v>
      </c>
      <c r="C69">
        <v>52</v>
      </c>
      <c r="D69" t="s">
        <v>19</v>
      </c>
      <c r="E69">
        <v>8000</v>
      </c>
      <c r="F69" t="s">
        <v>8</v>
      </c>
      <c r="G69">
        <v>1</v>
      </c>
      <c r="H69" s="3">
        <v>1</v>
      </c>
      <c r="I69" s="9">
        <f t="shared" si="0"/>
        <v>8000</v>
      </c>
      <c r="Q69"/>
    </row>
    <row r="70" spans="1:17" x14ac:dyDescent="0.25">
      <c r="A70" t="s">
        <v>4</v>
      </c>
      <c r="C70">
        <v>53</v>
      </c>
      <c r="D70" t="s">
        <v>19</v>
      </c>
      <c r="E70">
        <v>8000</v>
      </c>
      <c r="F70" t="s">
        <v>7</v>
      </c>
      <c r="G70">
        <v>2</v>
      </c>
      <c r="H70" s="3">
        <v>1</v>
      </c>
      <c r="I70" s="9">
        <f t="shared" si="0"/>
        <v>16000</v>
      </c>
      <c r="Q70"/>
    </row>
    <row r="71" spans="1:17" x14ac:dyDescent="0.25">
      <c r="A71" t="s">
        <v>5</v>
      </c>
      <c r="B71" s="10">
        <v>46079</v>
      </c>
      <c r="C71">
        <v>54</v>
      </c>
      <c r="D71" t="s">
        <v>18</v>
      </c>
      <c r="E71">
        <v>4500</v>
      </c>
      <c r="F71" t="s">
        <v>7</v>
      </c>
      <c r="G71">
        <v>2</v>
      </c>
      <c r="H71" s="3">
        <v>1</v>
      </c>
      <c r="I71" s="9">
        <f t="shared" si="0"/>
        <v>9000</v>
      </c>
      <c r="Q71"/>
    </row>
    <row r="72" spans="1:17" x14ac:dyDescent="0.25">
      <c r="A72" t="s">
        <v>5</v>
      </c>
      <c r="C72">
        <v>55</v>
      </c>
      <c r="D72" t="s">
        <v>19</v>
      </c>
      <c r="E72">
        <v>8000</v>
      </c>
      <c r="F72" t="s">
        <v>7</v>
      </c>
      <c r="G72">
        <v>2</v>
      </c>
      <c r="H72" s="3">
        <v>1</v>
      </c>
      <c r="I72" s="9">
        <f t="shared" si="0"/>
        <v>16000</v>
      </c>
      <c r="Q72"/>
    </row>
    <row r="73" spans="1:17" x14ac:dyDescent="0.25">
      <c r="A73" t="s">
        <v>5</v>
      </c>
      <c r="C73">
        <v>56</v>
      </c>
      <c r="D73" t="s">
        <v>34</v>
      </c>
      <c r="E73">
        <v>25000</v>
      </c>
      <c r="F73" t="s">
        <v>8</v>
      </c>
      <c r="G73">
        <v>1</v>
      </c>
      <c r="H73" s="3">
        <v>1</v>
      </c>
      <c r="I73" s="9">
        <f t="shared" si="0"/>
        <v>25000</v>
      </c>
      <c r="Q73"/>
    </row>
    <row r="74" spans="1:17" x14ac:dyDescent="0.25">
      <c r="A74" t="s">
        <v>5</v>
      </c>
      <c r="C74">
        <v>57</v>
      </c>
      <c r="D74" t="s">
        <v>19</v>
      </c>
      <c r="E74">
        <v>8000</v>
      </c>
      <c r="F74" t="s">
        <v>8</v>
      </c>
      <c r="G74">
        <v>5</v>
      </c>
      <c r="H74" s="3">
        <v>1</v>
      </c>
      <c r="I74" s="9">
        <f t="shared" ref="I74:I129" si="1">+E74*G74</f>
        <v>40000</v>
      </c>
      <c r="Q74"/>
    </row>
    <row r="75" spans="1:17" x14ac:dyDescent="0.25">
      <c r="A75" t="s">
        <v>5</v>
      </c>
      <c r="D75" t="s">
        <v>22</v>
      </c>
      <c r="E75">
        <v>3000</v>
      </c>
      <c r="F75" t="s">
        <v>8</v>
      </c>
      <c r="G75">
        <v>3</v>
      </c>
      <c r="H75" s="3">
        <v>1</v>
      </c>
      <c r="I75" s="9">
        <f t="shared" si="1"/>
        <v>9000</v>
      </c>
      <c r="Q75"/>
    </row>
    <row r="76" spans="1:17" x14ac:dyDescent="0.25">
      <c r="A76" t="s">
        <v>5</v>
      </c>
      <c r="C76">
        <v>58</v>
      </c>
      <c r="D76" t="s">
        <v>19</v>
      </c>
      <c r="E76">
        <v>8000</v>
      </c>
      <c r="F76" t="s">
        <v>7</v>
      </c>
      <c r="G76">
        <v>1</v>
      </c>
      <c r="H76" s="3">
        <v>1</v>
      </c>
      <c r="I76" s="9">
        <f t="shared" si="1"/>
        <v>8000</v>
      </c>
      <c r="Q76"/>
    </row>
    <row r="77" spans="1:17" x14ac:dyDescent="0.25">
      <c r="A77" t="s">
        <v>5</v>
      </c>
      <c r="C77">
        <v>59</v>
      </c>
      <c r="D77" t="s">
        <v>19</v>
      </c>
      <c r="E77">
        <v>8000</v>
      </c>
      <c r="F77" t="s">
        <v>8</v>
      </c>
      <c r="G77">
        <v>1</v>
      </c>
      <c r="H77" s="3">
        <v>1</v>
      </c>
      <c r="I77" s="9">
        <f t="shared" si="1"/>
        <v>8000</v>
      </c>
      <c r="Q77"/>
    </row>
    <row r="78" spans="1:17" x14ac:dyDescent="0.25">
      <c r="A78" t="s">
        <v>5</v>
      </c>
      <c r="C78">
        <v>60</v>
      </c>
      <c r="D78" t="s">
        <v>19</v>
      </c>
      <c r="E78">
        <v>8000</v>
      </c>
      <c r="F78" t="s">
        <v>7</v>
      </c>
      <c r="G78">
        <v>1</v>
      </c>
      <c r="H78" s="3">
        <v>1</v>
      </c>
      <c r="I78" s="9">
        <f t="shared" si="1"/>
        <v>8000</v>
      </c>
      <c r="Q78"/>
    </row>
    <row r="79" spans="1:17" x14ac:dyDescent="0.25">
      <c r="A79" t="s">
        <v>5</v>
      </c>
      <c r="C79">
        <v>61</v>
      </c>
      <c r="D79" t="s">
        <v>19</v>
      </c>
      <c r="E79">
        <v>8000</v>
      </c>
      <c r="F79" t="s">
        <v>8</v>
      </c>
      <c r="G79">
        <v>1</v>
      </c>
      <c r="H79" s="3">
        <v>1</v>
      </c>
      <c r="I79" s="9">
        <f t="shared" si="1"/>
        <v>8000</v>
      </c>
      <c r="Q79"/>
    </row>
    <row r="80" spans="1:17" x14ac:dyDescent="0.25">
      <c r="A80" t="s">
        <v>5</v>
      </c>
      <c r="C80">
        <v>62</v>
      </c>
      <c r="D80" t="s">
        <v>19</v>
      </c>
      <c r="E80">
        <v>8000</v>
      </c>
      <c r="F80" t="s">
        <v>7</v>
      </c>
      <c r="G80">
        <v>2</v>
      </c>
      <c r="H80" s="3">
        <v>1</v>
      </c>
      <c r="I80" s="9">
        <f t="shared" si="1"/>
        <v>16000</v>
      </c>
      <c r="Q80"/>
    </row>
    <row r="81" spans="1:17" x14ac:dyDescent="0.25">
      <c r="A81" t="s">
        <v>5</v>
      </c>
      <c r="C81">
        <v>63</v>
      </c>
      <c r="D81" t="s">
        <v>19</v>
      </c>
      <c r="E81">
        <v>8000</v>
      </c>
      <c r="F81" t="s">
        <v>8</v>
      </c>
      <c r="G81">
        <v>2</v>
      </c>
      <c r="H81" s="3">
        <v>1</v>
      </c>
      <c r="I81" s="9">
        <f t="shared" si="1"/>
        <v>16000</v>
      </c>
      <c r="Q81"/>
    </row>
    <row r="82" spans="1:17" x14ac:dyDescent="0.25">
      <c r="A82" t="s">
        <v>5</v>
      </c>
      <c r="D82" t="s">
        <v>20</v>
      </c>
      <c r="E82">
        <v>3000</v>
      </c>
      <c r="F82" t="s">
        <v>8</v>
      </c>
      <c r="G82">
        <v>1</v>
      </c>
      <c r="H82" s="3">
        <v>1</v>
      </c>
      <c r="I82" s="9">
        <f t="shared" si="1"/>
        <v>3000</v>
      </c>
      <c r="Q82"/>
    </row>
    <row r="83" spans="1:17" x14ac:dyDescent="0.25">
      <c r="A83" t="s">
        <v>5</v>
      </c>
      <c r="C83">
        <v>64</v>
      </c>
      <c r="D83" t="s">
        <v>19</v>
      </c>
      <c r="E83">
        <v>8000</v>
      </c>
      <c r="F83" t="s">
        <v>7</v>
      </c>
      <c r="G83">
        <v>1</v>
      </c>
      <c r="H83" s="3">
        <v>1</v>
      </c>
      <c r="I83" s="9">
        <f t="shared" si="1"/>
        <v>8000</v>
      </c>
      <c r="Q83"/>
    </row>
    <row r="84" spans="1:17" x14ac:dyDescent="0.25">
      <c r="A84" t="s">
        <v>5</v>
      </c>
      <c r="C84">
        <v>65</v>
      </c>
      <c r="D84" t="s">
        <v>19</v>
      </c>
      <c r="E84">
        <v>8000</v>
      </c>
      <c r="F84" t="s">
        <v>7</v>
      </c>
      <c r="G84">
        <v>1</v>
      </c>
      <c r="H84" s="3">
        <v>1</v>
      </c>
      <c r="I84" s="9">
        <f t="shared" si="1"/>
        <v>8000</v>
      </c>
      <c r="Q84"/>
    </row>
    <row r="85" spans="1:17" x14ac:dyDescent="0.25">
      <c r="A85" t="s">
        <v>5</v>
      </c>
      <c r="C85">
        <v>66</v>
      </c>
      <c r="D85" t="s">
        <v>19</v>
      </c>
      <c r="E85">
        <v>8000</v>
      </c>
      <c r="F85" t="s">
        <v>7</v>
      </c>
      <c r="G85">
        <v>1</v>
      </c>
      <c r="H85" s="3">
        <v>1</v>
      </c>
      <c r="I85" s="9">
        <f t="shared" si="1"/>
        <v>8000</v>
      </c>
      <c r="Q85"/>
    </row>
    <row r="86" spans="1:17" x14ac:dyDescent="0.25">
      <c r="A86" t="s">
        <v>5</v>
      </c>
      <c r="D86" t="s">
        <v>22</v>
      </c>
      <c r="E86">
        <v>3000</v>
      </c>
      <c r="F86" t="s">
        <v>7</v>
      </c>
      <c r="G86">
        <v>1</v>
      </c>
      <c r="H86" s="3">
        <v>1</v>
      </c>
      <c r="I86" s="9">
        <f t="shared" si="1"/>
        <v>3000</v>
      </c>
      <c r="Q86"/>
    </row>
    <row r="87" spans="1:17" x14ac:dyDescent="0.25">
      <c r="A87" t="s">
        <v>5</v>
      </c>
      <c r="C87">
        <v>67</v>
      </c>
      <c r="D87" t="s">
        <v>19</v>
      </c>
      <c r="E87">
        <v>8000</v>
      </c>
      <c r="F87" t="s">
        <v>8</v>
      </c>
      <c r="G87">
        <v>1</v>
      </c>
      <c r="H87" s="3">
        <v>1</v>
      </c>
      <c r="I87" s="9">
        <f t="shared" si="1"/>
        <v>8000</v>
      </c>
      <c r="Q87"/>
    </row>
    <row r="88" spans="1:17" x14ac:dyDescent="0.25">
      <c r="A88" t="s">
        <v>5</v>
      </c>
      <c r="C88">
        <v>68</v>
      </c>
      <c r="D88" t="s">
        <v>19</v>
      </c>
      <c r="E88">
        <v>8000</v>
      </c>
      <c r="F88" t="s">
        <v>8</v>
      </c>
      <c r="G88">
        <v>1</v>
      </c>
      <c r="H88" s="3">
        <v>1</v>
      </c>
      <c r="I88" s="9">
        <f t="shared" si="1"/>
        <v>8000</v>
      </c>
      <c r="Q88"/>
    </row>
    <row r="89" spans="1:17" x14ac:dyDescent="0.25">
      <c r="A89" t="s">
        <v>32</v>
      </c>
      <c r="B89" s="10">
        <v>46080</v>
      </c>
      <c r="C89">
        <v>69</v>
      </c>
      <c r="D89" t="s">
        <v>19</v>
      </c>
      <c r="E89">
        <v>8000</v>
      </c>
      <c r="F89" t="s">
        <v>8</v>
      </c>
      <c r="G89">
        <v>1</v>
      </c>
      <c r="H89" s="3">
        <v>1</v>
      </c>
      <c r="I89" s="9">
        <f t="shared" si="1"/>
        <v>8000</v>
      </c>
      <c r="Q89"/>
    </row>
    <row r="90" spans="1:17" x14ac:dyDescent="0.25">
      <c r="A90" t="s">
        <v>32</v>
      </c>
      <c r="D90" t="s">
        <v>22</v>
      </c>
      <c r="E90">
        <v>3000</v>
      </c>
      <c r="F90" t="s">
        <v>8</v>
      </c>
      <c r="G90">
        <v>1</v>
      </c>
      <c r="H90" s="3">
        <v>1</v>
      </c>
      <c r="I90" s="9">
        <f t="shared" si="1"/>
        <v>3000</v>
      </c>
      <c r="Q90"/>
    </row>
    <row r="91" spans="1:17" x14ac:dyDescent="0.25">
      <c r="A91" t="s">
        <v>32</v>
      </c>
      <c r="C91">
        <v>70</v>
      </c>
      <c r="D91" t="s">
        <v>19</v>
      </c>
      <c r="E91">
        <v>8000</v>
      </c>
      <c r="F91" t="s">
        <v>7</v>
      </c>
      <c r="G91">
        <v>1</v>
      </c>
      <c r="H91" s="3">
        <v>1</v>
      </c>
      <c r="I91" s="9">
        <f t="shared" si="1"/>
        <v>8000</v>
      </c>
      <c r="Q91"/>
    </row>
    <row r="92" spans="1:17" x14ac:dyDescent="0.25">
      <c r="A92" t="s">
        <v>32</v>
      </c>
      <c r="C92">
        <v>71</v>
      </c>
      <c r="D92" t="s">
        <v>19</v>
      </c>
      <c r="E92">
        <v>8000</v>
      </c>
      <c r="F92" t="s">
        <v>7</v>
      </c>
      <c r="G92">
        <v>1</v>
      </c>
      <c r="H92" s="3">
        <v>1</v>
      </c>
      <c r="I92" s="9">
        <f t="shared" si="1"/>
        <v>8000</v>
      </c>
      <c r="Q92"/>
    </row>
    <row r="93" spans="1:17" x14ac:dyDescent="0.25">
      <c r="A93" t="s">
        <v>32</v>
      </c>
      <c r="D93" t="s">
        <v>21</v>
      </c>
      <c r="E93">
        <v>35000</v>
      </c>
      <c r="F93" t="s">
        <v>7</v>
      </c>
      <c r="G93">
        <v>1</v>
      </c>
      <c r="H93" s="3">
        <v>1</v>
      </c>
      <c r="I93" s="9">
        <f t="shared" si="1"/>
        <v>35000</v>
      </c>
      <c r="Q93"/>
    </row>
    <row r="94" spans="1:17" x14ac:dyDescent="0.25">
      <c r="A94" t="s">
        <v>32</v>
      </c>
      <c r="D94" t="s">
        <v>33</v>
      </c>
      <c r="E94">
        <v>2000</v>
      </c>
      <c r="F94" t="s">
        <v>7</v>
      </c>
      <c r="G94">
        <v>1</v>
      </c>
      <c r="H94" s="3">
        <v>1</v>
      </c>
      <c r="I94" s="9">
        <f t="shared" si="1"/>
        <v>2000</v>
      </c>
      <c r="Q94"/>
    </row>
    <row r="95" spans="1:17" x14ac:dyDescent="0.25">
      <c r="A95" t="s">
        <v>32</v>
      </c>
      <c r="C95">
        <v>72</v>
      </c>
      <c r="D95" t="s">
        <v>19</v>
      </c>
      <c r="E95">
        <v>8000</v>
      </c>
      <c r="F95" t="s">
        <v>7</v>
      </c>
      <c r="G95">
        <v>3</v>
      </c>
      <c r="H95" s="3">
        <v>1</v>
      </c>
      <c r="I95" s="9">
        <f t="shared" si="1"/>
        <v>24000</v>
      </c>
      <c r="Q95"/>
    </row>
    <row r="96" spans="1:17" x14ac:dyDescent="0.25">
      <c r="A96" t="s">
        <v>32</v>
      </c>
      <c r="D96" t="s">
        <v>20</v>
      </c>
      <c r="E96">
        <v>3000</v>
      </c>
      <c r="F96" t="s">
        <v>7</v>
      </c>
      <c r="G96">
        <v>2</v>
      </c>
      <c r="H96" s="3">
        <v>1</v>
      </c>
      <c r="I96" s="9">
        <f t="shared" si="1"/>
        <v>6000</v>
      </c>
      <c r="Q96"/>
    </row>
    <row r="97" spans="1:17" x14ac:dyDescent="0.25">
      <c r="A97" t="s">
        <v>32</v>
      </c>
      <c r="D97" t="s">
        <v>21</v>
      </c>
      <c r="E97">
        <v>35000</v>
      </c>
      <c r="F97" t="s">
        <v>7</v>
      </c>
      <c r="G97">
        <v>1</v>
      </c>
      <c r="H97" s="3">
        <v>1</v>
      </c>
      <c r="I97" s="9">
        <f t="shared" si="1"/>
        <v>35000</v>
      </c>
      <c r="Q97"/>
    </row>
    <row r="98" spans="1:17" x14ac:dyDescent="0.25">
      <c r="A98" t="s">
        <v>32</v>
      </c>
      <c r="C98">
        <v>73</v>
      </c>
      <c r="D98" t="s">
        <v>19</v>
      </c>
      <c r="E98">
        <v>8000</v>
      </c>
      <c r="F98" t="s">
        <v>7</v>
      </c>
      <c r="G98">
        <v>2</v>
      </c>
      <c r="H98" s="3">
        <v>1</v>
      </c>
      <c r="I98" s="9">
        <f t="shared" si="1"/>
        <v>16000</v>
      </c>
      <c r="Q98"/>
    </row>
    <row r="99" spans="1:17" x14ac:dyDescent="0.25">
      <c r="A99" t="s">
        <v>32</v>
      </c>
      <c r="D99" t="s">
        <v>20</v>
      </c>
      <c r="E99">
        <v>3000</v>
      </c>
      <c r="F99" t="s">
        <v>7</v>
      </c>
      <c r="G99">
        <v>1</v>
      </c>
      <c r="H99" s="3">
        <v>1</v>
      </c>
      <c r="I99" s="9">
        <f t="shared" si="1"/>
        <v>3000</v>
      </c>
      <c r="Q99"/>
    </row>
    <row r="100" spans="1:17" x14ac:dyDescent="0.25">
      <c r="A100" t="s">
        <v>32</v>
      </c>
      <c r="C100">
        <v>74</v>
      </c>
      <c r="D100" t="s">
        <v>19</v>
      </c>
      <c r="E100">
        <v>8000</v>
      </c>
      <c r="F100" t="s">
        <v>8</v>
      </c>
      <c r="G100">
        <v>3</v>
      </c>
      <c r="H100" s="3">
        <v>1</v>
      </c>
      <c r="I100" s="9">
        <f t="shared" si="1"/>
        <v>24000</v>
      </c>
      <c r="Q100"/>
    </row>
    <row r="101" spans="1:17" x14ac:dyDescent="0.25">
      <c r="A101" t="s">
        <v>32</v>
      </c>
      <c r="C101">
        <v>75</v>
      </c>
      <c r="D101" t="s">
        <v>17</v>
      </c>
      <c r="E101">
        <v>3000</v>
      </c>
      <c r="F101" t="s">
        <v>35</v>
      </c>
      <c r="G101">
        <v>1</v>
      </c>
      <c r="H101" s="3">
        <v>1</v>
      </c>
      <c r="I101" s="9">
        <f t="shared" si="1"/>
        <v>3000</v>
      </c>
      <c r="Q101"/>
    </row>
    <row r="102" spans="1:17" x14ac:dyDescent="0.25">
      <c r="A102" t="s">
        <v>32</v>
      </c>
      <c r="D102" t="s">
        <v>19</v>
      </c>
      <c r="E102">
        <v>8000</v>
      </c>
      <c r="F102" t="s">
        <v>35</v>
      </c>
      <c r="G102">
        <v>1</v>
      </c>
      <c r="H102" s="3">
        <v>1</v>
      </c>
      <c r="I102" s="9">
        <f t="shared" si="1"/>
        <v>8000</v>
      </c>
      <c r="Q102"/>
    </row>
    <row r="103" spans="1:17" x14ac:dyDescent="0.25">
      <c r="A103" t="s">
        <v>32</v>
      </c>
      <c r="C103">
        <v>76</v>
      </c>
      <c r="D103" t="s">
        <v>19</v>
      </c>
      <c r="E103">
        <v>8000</v>
      </c>
      <c r="F103" t="s">
        <v>8</v>
      </c>
      <c r="G103">
        <v>2</v>
      </c>
      <c r="H103" s="3">
        <v>1</v>
      </c>
      <c r="I103" s="9">
        <f t="shared" si="1"/>
        <v>16000</v>
      </c>
      <c r="Q103"/>
    </row>
    <row r="104" spans="1:17" x14ac:dyDescent="0.25">
      <c r="A104" t="s">
        <v>32</v>
      </c>
      <c r="C104">
        <v>77</v>
      </c>
      <c r="D104" t="s">
        <v>19</v>
      </c>
      <c r="E104">
        <v>8000</v>
      </c>
      <c r="F104" t="s">
        <v>7</v>
      </c>
      <c r="G104">
        <v>4</v>
      </c>
      <c r="H104" s="3">
        <v>1</v>
      </c>
      <c r="I104" s="9">
        <f t="shared" si="1"/>
        <v>32000</v>
      </c>
      <c r="Q104"/>
    </row>
    <row r="105" spans="1:17" x14ac:dyDescent="0.25">
      <c r="A105" t="s">
        <v>32</v>
      </c>
      <c r="D105" t="s">
        <v>20</v>
      </c>
      <c r="E105">
        <v>3000</v>
      </c>
      <c r="F105" t="s">
        <v>7</v>
      </c>
      <c r="G105">
        <v>3</v>
      </c>
      <c r="H105" s="3">
        <v>1</v>
      </c>
      <c r="I105" s="9">
        <f t="shared" si="1"/>
        <v>9000</v>
      </c>
      <c r="Q105"/>
    </row>
    <row r="106" spans="1:17" x14ac:dyDescent="0.25">
      <c r="A106" t="s">
        <v>32</v>
      </c>
      <c r="C106">
        <v>78</v>
      </c>
      <c r="D106" t="s">
        <v>19</v>
      </c>
      <c r="E106">
        <v>8000</v>
      </c>
      <c r="F106" t="s">
        <v>7</v>
      </c>
      <c r="G106">
        <v>1</v>
      </c>
      <c r="H106" s="3">
        <v>1</v>
      </c>
      <c r="I106" s="9">
        <f t="shared" si="1"/>
        <v>8000</v>
      </c>
      <c r="Q106"/>
    </row>
    <row r="107" spans="1:17" x14ac:dyDescent="0.25">
      <c r="A107" t="s">
        <v>39</v>
      </c>
      <c r="B107" s="10">
        <v>46081</v>
      </c>
      <c r="C107">
        <v>79</v>
      </c>
      <c r="D107" t="s">
        <v>18</v>
      </c>
      <c r="E107">
        <v>4500</v>
      </c>
      <c r="F107" t="s">
        <v>7</v>
      </c>
      <c r="G107">
        <v>6</v>
      </c>
      <c r="H107" s="3">
        <v>1</v>
      </c>
      <c r="I107" s="9">
        <f t="shared" si="1"/>
        <v>27000</v>
      </c>
      <c r="Q107"/>
    </row>
    <row r="108" spans="1:17" x14ac:dyDescent="0.25">
      <c r="A108" t="s">
        <v>39</v>
      </c>
      <c r="C108">
        <v>80</v>
      </c>
      <c r="D108" t="s">
        <v>19</v>
      </c>
      <c r="E108">
        <v>8000</v>
      </c>
      <c r="F108" t="s">
        <v>8</v>
      </c>
      <c r="G108">
        <v>2</v>
      </c>
      <c r="H108" s="3">
        <v>1</v>
      </c>
      <c r="I108" s="9">
        <f t="shared" si="1"/>
        <v>16000</v>
      </c>
    </row>
    <row r="109" spans="1:17" x14ac:dyDescent="0.25">
      <c r="A109" t="s">
        <v>39</v>
      </c>
      <c r="C109">
        <v>81</v>
      </c>
      <c r="D109" t="s">
        <v>17</v>
      </c>
      <c r="E109">
        <v>3000</v>
      </c>
      <c r="F109" t="s">
        <v>8</v>
      </c>
      <c r="G109">
        <v>1</v>
      </c>
      <c r="H109" s="3">
        <v>1</v>
      </c>
      <c r="I109" s="9">
        <f t="shared" si="1"/>
        <v>3000</v>
      </c>
    </row>
    <row r="110" spans="1:17" x14ac:dyDescent="0.25">
      <c r="A110" t="s">
        <v>39</v>
      </c>
      <c r="D110" t="s">
        <v>19</v>
      </c>
      <c r="E110">
        <v>8000</v>
      </c>
      <c r="F110" t="s">
        <v>8</v>
      </c>
      <c r="G110">
        <v>1</v>
      </c>
      <c r="H110" s="3">
        <v>1</v>
      </c>
      <c r="I110" s="9">
        <f t="shared" si="1"/>
        <v>8000</v>
      </c>
    </row>
    <row r="111" spans="1:17" x14ac:dyDescent="0.25">
      <c r="A111" t="s">
        <v>39</v>
      </c>
      <c r="D111" t="s">
        <v>33</v>
      </c>
      <c r="E111">
        <v>2000</v>
      </c>
      <c r="F111" t="s">
        <v>8</v>
      </c>
      <c r="G111">
        <v>1</v>
      </c>
      <c r="H111" s="3">
        <v>1</v>
      </c>
      <c r="I111" s="9">
        <f t="shared" si="1"/>
        <v>2000</v>
      </c>
    </row>
    <row r="112" spans="1:17" x14ac:dyDescent="0.25">
      <c r="A112" t="s">
        <v>39</v>
      </c>
      <c r="C112">
        <v>82</v>
      </c>
      <c r="D112" t="s">
        <v>19</v>
      </c>
      <c r="E112">
        <v>8000</v>
      </c>
      <c r="F112" t="s">
        <v>7</v>
      </c>
      <c r="G112">
        <v>2</v>
      </c>
      <c r="H112" s="3">
        <v>1</v>
      </c>
      <c r="I112" s="9">
        <f t="shared" si="1"/>
        <v>16000</v>
      </c>
    </row>
    <row r="113" spans="1:9" x14ac:dyDescent="0.25">
      <c r="A113" t="s">
        <v>39</v>
      </c>
      <c r="D113" t="s">
        <v>20</v>
      </c>
      <c r="E113">
        <v>3000</v>
      </c>
      <c r="F113" t="s">
        <v>7</v>
      </c>
      <c r="G113">
        <v>1</v>
      </c>
      <c r="H113" s="3">
        <v>1</v>
      </c>
      <c r="I113" s="9">
        <f t="shared" si="1"/>
        <v>3000</v>
      </c>
    </row>
    <row r="114" spans="1:9" x14ac:dyDescent="0.25">
      <c r="A114" t="s">
        <v>39</v>
      </c>
      <c r="C114">
        <v>83</v>
      </c>
      <c r="D114" t="s">
        <v>19</v>
      </c>
      <c r="E114">
        <v>8000</v>
      </c>
      <c r="F114" t="s">
        <v>7</v>
      </c>
      <c r="G114">
        <v>2</v>
      </c>
      <c r="H114" s="3">
        <v>1</v>
      </c>
      <c r="I114" s="9">
        <f t="shared" si="1"/>
        <v>16000</v>
      </c>
    </row>
    <row r="115" spans="1:9" x14ac:dyDescent="0.25">
      <c r="A115" t="s">
        <v>39</v>
      </c>
      <c r="D115" t="s">
        <v>20</v>
      </c>
      <c r="E115">
        <v>3000</v>
      </c>
      <c r="F115" t="s">
        <v>7</v>
      </c>
      <c r="G115">
        <v>1</v>
      </c>
      <c r="H115" s="3">
        <v>1</v>
      </c>
      <c r="I115" s="9">
        <f t="shared" si="1"/>
        <v>3000</v>
      </c>
    </row>
    <row r="116" spans="1:9" x14ac:dyDescent="0.25">
      <c r="A116" t="s">
        <v>39</v>
      </c>
      <c r="C116">
        <v>84</v>
      </c>
      <c r="D116" t="s">
        <v>19</v>
      </c>
      <c r="E116">
        <v>8000</v>
      </c>
      <c r="F116" t="s">
        <v>7</v>
      </c>
      <c r="G116">
        <v>1</v>
      </c>
      <c r="H116" s="3">
        <v>1</v>
      </c>
      <c r="I116" s="9">
        <f t="shared" si="1"/>
        <v>8000</v>
      </c>
    </row>
    <row r="117" spans="1:9" x14ac:dyDescent="0.25">
      <c r="A117" t="s">
        <v>39</v>
      </c>
      <c r="D117" t="s">
        <v>20</v>
      </c>
      <c r="E117">
        <v>3000</v>
      </c>
      <c r="F117" t="s">
        <v>7</v>
      </c>
      <c r="G117">
        <v>1</v>
      </c>
      <c r="H117" s="3">
        <v>1</v>
      </c>
      <c r="I117" s="9">
        <f t="shared" si="1"/>
        <v>3000</v>
      </c>
    </row>
    <row r="118" spans="1:9" x14ac:dyDescent="0.25">
      <c r="A118" t="s">
        <v>39</v>
      </c>
      <c r="C118">
        <v>85</v>
      </c>
      <c r="D118" t="s">
        <v>19</v>
      </c>
      <c r="E118">
        <v>8000</v>
      </c>
      <c r="F118" t="s">
        <v>7</v>
      </c>
      <c r="G118">
        <v>4</v>
      </c>
      <c r="H118" s="3">
        <v>1</v>
      </c>
      <c r="I118" s="9">
        <f t="shared" si="1"/>
        <v>32000</v>
      </c>
    </row>
    <row r="119" spans="1:9" x14ac:dyDescent="0.25">
      <c r="A119" t="s">
        <v>39</v>
      </c>
      <c r="D119" t="s">
        <v>20</v>
      </c>
      <c r="E119">
        <v>3000</v>
      </c>
      <c r="F119" t="s">
        <v>7</v>
      </c>
      <c r="G119">
        <v>2</v>
      </c>
      <c r="H119" s="3">
        <v>1</v>
      </c>
      <c r="I119" s="9">
        <f t="shared" si="1"/>
        <v>6000</v>
      </c>
    </row>
    <row r="120" spans="1:9" x14ac:dyDescent="0.25">
      <c r="A120" t="s">
        <v>39</v>
      </c>
      <c r="C120">
        <v>86</v>
      </c>
      <c r="D120" t="s">
        <v>19</v>
      </c>
      <c r="E120">
        <v>8000</v>
      </c>
      <c r="F120" t="s">
        <v>7</v>
      </c>
      <c r="G120">
        <v>2</v>
      </c>
      <c r="H120" s="3">
        <v>1</v>
      </c>
      <c r="I120" s="9">
        <f t="shared" si="1"/>
        <v>16000</v>
      </c>
    </row>
    <row r="121" spans="1:9" x14ac:dyDescent="0.25">
      <c r="A121" t="s">
        <v>39</v>
      </c>
      <c r="C121">
        <v>87</v>
      </c>
      <c r="D121" t="s">
        <v>19</v>
      </c>
      <c r="E121">
        <v>8000</v>
      </c>
      <c r="F121" t="s">
        <v>7</v>
      </c>
      <c r="G121">
        <v>3</v>
      </c>
      <c r="H121" s="3">
        <v>1</v>
      </c>
      <c r="I121" s="9">
        <f t="shared" si="1"/>
        <v>24000</v>
      </c>
    </row>
    <row r="122" spans="1:9" x14ac:dyDescent="0.25">
      <c r="A122" t="s">
        <v>39</v>
      </c>
      <c r="D122" t="s">
        <v>40</v>
      </c>
      <c r="E122">
        <v>4500</v>
      </c>
      <c r="F122" t="s">
        <v>7</v>
      </c>
      <c r="G122">
        <v>1</v>
      </c>
      <c r="H122" s="3">
        <v>1</v>
      </c>
      <c r="I122" s="9">
        <f t="shared" si="1"/>
        <v>4500</v>
      </c>
    </row>
    <row r="123" spans="1:9" x14ac:dyDescent="0.25">
      <c r="A123" t="s">
        <v>39</v>
      </c>
      <c r="C123">
        <v>88</v>
      </c>
      <c r="D123" t="s">
        <v>21</v>
      </c>
      <c r="E123">
        <v>35000</v>
      </c>
      <c r="F123" t="s">
        <v>7</v>
      </c>
      <c r="G123">
        <v>1</v>
      </c>
      <c r="H123" s="3">
        <v>1</v>
      </c>
      <c r="I123" s="9">
        <f t="shared" si="1"/>
        <v>35000</v>
      </c>
    </row>
    <row r="124" spans="1:9" x14ac:dyDescent="0.25">
      <c r="A124" t="s">
        <v>39</v>
      </c>
      <c r="C124">
        <v>89</v>
      </c>
      <c r="D124" t="s">
        <v>21</v>
      </c>
      <c r="E124">
        <v>35000</v>
      </c>
      <c r="F124" t="s">
        <v>7</v>
      </c>
      <c r="G124">
        <v>1</v>
      </c>
      <c r="H124" s="3">
        <v>1</v>
      </c>
      <c r="I124" s="9">
        <f t="shared" si="1"/>
        <v>35000</v>
      </c>
    </row>
    <row r="125" spans="1:9" x14ac:dyDescent="0.25">
      <c r="A125" t="s">
        <v>39</v>
      </c>
      <c r="C125">
        <v>90</v>
      </c>
      <c r="D125" t="s">
        <v>41</v>
      </c>
      <c r="E125">
        <v>48000</v>
      </c>
      <c r="F125" t="s">
        <v>7</v>
      </c>
      <c r="G125">
        <v>1</v>
      </c>
      <c r="H125" s="3">
        <v>1</v>
      </c>
      <c r="I125" s="9">
        <f t="shared" si="1"/>
        <v>48000</v>
      </c>
    </row>
    <row r="126" spans="1:9" x14ac:dyDescent="0.25">
      <c r="A126" t="s">
        <v>39</v>
      </c>
      <c r="C126">
        <v>91</v>
      </c>
      <c r="D126" t="s">
        <v>42</v>
      </c>
      <c r="E126">
        <v>70000</v>
      </c>
      <c r="F126" t="s">
        <v>7</v>
      </c>
      <c r="G126">
        <v>2</v>
      </c>
      <c r="H126" s="3">
        <v>1</v>
      </c>
      <c r="I126" s="9">
        <f t="shared" si="1"/>
        <v>140000</v>
      </c>
    </row>
    <row r="127" spans="1:9" x14ac:dyDescent="0.25">
      <c r="A127" t="s">
        <v>39</v>
      </c>
      <c r="C127">
        <v>92</v>
      </c>
      <c r="D127" t="s">
        <v>43</v>
      </c>
      <c r="E127">
        <v>40000</v>
      </c>
      <c r="F127" t="s">
        <v>7</v>
      </c>
      <c r="G127">
        <v>1</v>
      </c>
      <c r="H127" s="3">
        <v>1</v>
      </c>
      <c r="I127" s="9">
        <f t="shared" si="1"/>
        <v>40000</v>
      </c>
    </row>
    <row r="128" spans="1:9" x14ac:dyDescent="0.25">
      <c r="A128" t="s">
        <v>39</v>
      </c>
      <c r="C128">
        <v>93</v>
      </c>
      <c r="D128" t="s">
        <v>18</v>
      </c>
      <c r="E128">
        <v>4500</v>
      </c>
      <c r="F128" t="s">
        <v>8</v>
      </c>
      <c r="G128">
        <v>4</v>
      </c>
      <c r="H128" s="3">
        <v>1</v>
      </c>
      <c r="I128" s="9">
        <f t="shared" si="1"/>
        <v>18000</v>
      </c>
    </row>
    <row r="129" spans="1:9" x14ac:dyDescent="0.25">
      <c r="A129" t="s">
        <v>45</v>
      </c>
      <c r="B129" s="10">
        <v>46083</v>
      </c>
      <c r="C129">
        <v>95</v>
      </c>
      <c r="D129" t="s">
        <v>19</v>
      </c>
      <c r="E129">
        <v>8000</v>
      </c>
      <c r="F129" t="s">
        <v>7</v>
      </c>
      <c r="G129">
        <v>1</v>
      </c>
      <c r="H129" s="3">
        <v>1</v>
      </c>
      <c r="I129" s="9">
        <f t="shared" si="1"/>
        <v>8000</v>
      </c>
    </row>
    <row r="130" spans="1:9" x14ac:dyDescent="0.25">
      <c r="A130" t="s">
        <v>45</v>
      </c>
      <c r="D130" t="s">
        <v>20</v>
      </c>
      <c r="E130">
        <v>3000</v>
      </c>
      <c r="F130" t="s">
        <v>7</v>
      </c>
      <c r="G130">
        <v>1</v>
      </c>
      <c r="H130" s="3">
        <v>1</v>
      </c>
    </row>
    <row r="131" spans="1:9" x14ac:dyDescent="0.25">
      <c r="A131" t="s">
        <v>45</v>
      </c>
      <c r="C131">
        <v>96</v>
      </c>
      <c r="D131" t="s">
        <v>19</v>
      </c>
      <c r="E131">
        <v>8000</v>
      </c>
      <c r="F131" t="s">
        <v>7</v>
      </c>
      <c r="G131">
        <v>1</v>
      </c>
      <c r="H131" s="3">
        <v>1</v>
      </c>
    </row>
    <row r="132" spans="1:9" x14ac:dyDescent="0.25">
      <c r="A132" t="s">
        <v>45</v>
      </c>
      <c r="C132">
        <v>97</v>
      </c>
      <c r="D132" t="s">
        <v>19</v>
      </c>
      <c r="E132">
        <v>8000</v>
      </c>
      <c r="F132" t="s">
        <v>7</v>
      </c>
      <c r="G132">
        <v>1</v>
      </c>
      <c r="H132" s="3">
        <v>1</v>
      </c>
    </row>
    <row r="133" spans="1:9" x14ac:dyDescent="0.25">
      <c r="A133" t="s">
        <v>45</v>
      </c>
      <c r="C133">
        <v>98</v>
      </c>
      <c r="D133" t="s">
        <v>19</v>
      </c>
      <c r="E133">
        <v>8000</v>
      </c>
      <c r="F133" t="s">
        <v>7</v>
      </c>
      <c r="G133">
        <v>3</v>
      </c>
      <c r="H133" s="3">
        <v>1</v>
      </c>
    </row>
    <row r="134" spans="1:9" x14ac:dyDescent="0.25">
      <c r="A134" t="s">
        <v>45</v>
      </c>
      <c r="D134" t="s">
        <v>20</v>
      </c>
      <c r="E134">
        <v>3000</v>
      </c>
      <c r="F134" t="s">
        <v>7</v>
      </c>
      <c r="G134">
        <v>1</v>
      </c>
      <c r="H134" s="3">
        <v>1</v>
      </c>
    </row>
    <row r="135" spans="1:9" x14ac:dyDescent="0.25">
      <c r="A135" t="s">
        <v>45</v>
      </c>
      <c r="D135" t="s">
        <v>22</v>
      </c>
      <c r="E135">
        <v>3000</v>
      </c>
      <c r="F135" t="s">
        <v>7</v>
      </c>
      <c r="G135">
        <v>2</v>
      </c>
      <c r="H135" s="3">
        <v>1</v>
      </c>
    </row>
    <row r="136" spans="1:9" x14ac:dyDescent="0.25">
      <c r="A136" t="s">
        <v>46</v>
      </c>
      <c r="B136" s="10">
        <v>46084</v>
      </c>
      <c r="C136">
        <v>99</v>
      </c>
      <c r="D136" t="s">
        <v>20</v>
      </c>
      <c r="E136">
        <v>3000</v>
      </c>
      <c r="F136" t="s">
        <v>7</v>
      </c>
      <c r="G136">
        <v>2</v>
      </c>
      <c r="H136" s="3">
        <v>1</v>
      </c>
    </row>
    <row r="137" spans="1:9" x14ac:dyDescent="0.25">
      <c r="A137" t="s">
        <v>46</v>
      </c>
      <c r="C137">
        <v>100</v>
      </c>
      <c r="D137" t="s">
        <v>19</v>
      </c>
      <c r="E137">
        <v>8000</v>
      </c>
      <c r="F137" t="s">
        <v>7</v>
      </c>
      <c r="G137">
        <v>1</v>
      </c>
      <c r="H137" s="3">
        <v>1</v>
      </c>
    </row>
    <row r="138" spans="1:9" x14ac:dyDescent="0.25">
      <c r="A138" t="s">
        <v>46</v>
      </c>
      <c r="C138">
        <v>101</v>
      </c>
      <c r="D138" t="s">
        <v>19</v>
      </c>
      <c r="E138">
        <v>8000</v>
      </c>
      <c r="F138" t="s">
        <v>7</v>
      </c>
      <c r="G138">
        <v>1</v>
      </c>
      <c r="H138" s="3">
        <v>1</v>
      </c>
    </row>
    <row r="139" spans="1:9" x14ac:dyDescent="0.25">
      <c r="A139" t="s">
        <v>46</v>
      </c>
      <c r="C139">
        <v>102</v>
      </c>
      <c r="D139" t="s">
        <v>19</v>
      </c>
      <c r="E139">
        <v>8000</v>
      </c>
      <c r="F139" t="s">
        <v>7</v>
      </c>
      <c r="G139">
        <v>1</v>
      </c>
      <c r="H139" s="3">
        <v>1</v>
      </c>
    </row>
    <row r="140" spans="1:9" x14ac:dyDescent="0.25">
      <c r="A140" t="s">
        <v>46</v>
      </c>
      <c r="D140" t="s">
        <v>40</v>
      </c>
      <c r="E140">
        <v>4500</v>
      </c>
      <c r="F140" t="s">
        <v>7</v>
      </c>
      <c r="G140">
        <v>1</v>
      </c>
      <c r="H140" s="3">
        <v>1</v>
      </c>
    </row>
    <row r="141" spans="1:9" x14ac:dyDescent="0.25">
      <c r="A141" t="s">
        <v>46</v>
      </c>
      <c r="C141">
        <v>103</v>
      </c>
      <c r="D141" t="s">
        <v>19</v>
      </c>
      <c r="E141">
        <v>8000</v>
      </c>
      <c r="F141" t="s">
        <v>7</v>
      </c>
      <c r="G141">
        <v>1</v>
      </c>
      <c r="H141" s="3">
        <v>1</v>
      </c>
    </row>
    <row r="142" spans="1:9" x14ac:dyDescent="0.25">
      <c r="A142" t="s">
        <v>46</v>
      </c>
      <c r="C142">
        <v>104</v>
      </c>
      <c r="D142" t="s">
        <v>56</v>
      </c>
      <c r="E142">
        <v>30000</v>
      </c>
      <c r="F142" t="s">
        <v>8</v>
      </c>
      <c r="G142">
        <v>1</v>
      </c>
      <c r="H142" s="3">
        <v>1</v>
      </c>
    </row>
    <row r="143" spans="1:9" x14ac:dyDescent="0.25">
      <c r="A143" t="s">
        <v>46</v>
      </c>
      <c r="D143" t="s">
        <v>20</v>
      </c>
      <c r="E143">
        <v>3000</v>
      </c>
      <c r="F143" t="s">
        <v>8</v>
      </c>
      <c r="G143">
        <v>1</v>
      </c>
      <c r="H143" s="3">
        <v>1</v>
      </c>
    </row>
    <row r="144" spans="1:9" x14ac:dyDescent="0.25">
      <c r="A144" t="s">
        <v>46</v>
      </c>
      <c r="C144">
        <v>105</v>
      </c>
      <c r="D144" t="s">
        <v>19</v>
      </c>
      <c r="E144">
        <v>8000</v>
      </c>
      <c r="F144" t="s">
        <v>7</v>
      </c>
      <c r="G144">
        <v>1</v>
      </c>
      <c r="H144" s="3">
        <v>1</v>
      </c>
    </row>
    <row r="145" spans="1:8" x14ac:dyDescent="0.25">
      <c r="A145" t="s">
        <v>46</v>
      </c>
      <c r="C145">
        <v>106</v>
      </c>
      <c r="D145" t="s">
        <v>18</v>
      </c>
      <c r="E145">
        <v>4500</v>
      </c>
      <c r="F145" t="s">
        <v>7</v>
      </c>
      <c r="G145">
        <v>2</v>
      </c>
      <c r="H145" s="3">
        <v>1</v>
      </c>
    </row>
    <row r="146" spans="1:8" x14ac:dyDescent="0.25">
      <c r="A146" t="s">
        <v>46</v>
      </c>
      <c r="D146" t="s">
        <v>19</v>
      </c>
      <c r="E146">
        <v>8000</v>
      </c>
      <c r="F146" t="s">
        <v>7</v>
      </c>
      <c r="G146">
        <v>1</v>
      </c>
      <c r="H146" s="3">
        <v>1</v>
      </c>
    </row>
    <row r="147" spans="1:8" x14ac:dyDescent="0.25">
      <c r="A147" t="s">
        <v>46</v>
      </c>
      <c r="C147">
        <v>107</v>
      </c>
      <c r="D147" t="s">
        <v>19</v>
      </c>
      <c r="E147">
        <v>8000</v>
      </c>
      <c r="F147" t="s">
        <v>7</v>
      </c>
      <c r="G147">
        <v>1</v>
      </c>
      <c r="H147" s="3">
        <v>1</v>
      </c>
    </row>
    <row r="148" spans="1:8" x14ac:dyDescent="0.25">
      <c r="A148" t="s">
        <v>46</v>
      </c>
      <c r="D148" t="s">
        <v>20</v>
      </c>
      <c r="E148">
        <v>3000</v>
      </c>
      <c r="F148" t="s">
        <v>7</v>
      </c>
      <c r="G148">
        <v>1</v>
      </c>
      <c r="H148" s="3">
        <v>1</v>
      </c>
    </row>
    <row r="149" spans="1:8" x14ac:dyDescent="0.25">
      <c r="A149" t="s">
        <v>46</v>
      </c>
      <c r="C149">
        <v>108</v>
      </c>
      <c r="D149" t="s">
        <v>40</v>
      </c>
      <c r="E149">
        <v>4500</v>
      </c>
      <c r="F149" t="s">
        <v>7</v>
      </c>
      <c r="G149">
        <v>1</v>
      </c>
      <c r="H149" s="3">
        <v>1</v>
      </c>
    </row>
    <row r="150" spans="1:8" x14ac:dyDescent="0.25">
      <c r="A150" t="s">
        <v>46</v>
      </c>
      <c r="C150">
        <v>109</v>
      </c>
      <c r="D150" t="s">
        <v>19</v>
      </c>
      <c r="E150">
        <v>8000</v>
      </c>
      <c r="F150" t="s">
        <v>35</v>
      </c>
      <c r="G150">
        <v>1</v>
      </c>
      <c r="H150" s="3">
        <v>1</v>
      </c>
    </row>
    <row r="151" spans="1:8" x14ac:dyDescent="0.25">
      <c r="A151" t="s">
        <v>46</v>
      </c>
      <c r="D151" t="s">
        <v>20</v>
      </c>
      <c r="E151">
        <v>3000</v>
      </c>
      <c r="F151" t="s">
        <v>35</v>
      </c>
      <c r="G151">
        <v>1</v>
      </c>
      <c r="H151" s="3">
        <v>1</v>
      </c>
    </row>
    <row r="152" spans="1:8" x14ac:dyDescent="0.25">
      <c r="A152" t="s">
        <v>46</v>
      </c>
      <c r="C152">
        <v>110</v>
      </c>
      <c r="D152" t="s">
        <v>47</v>
      </c>
      <c r="E152">
        <v>5000</v>
      </c>
      <c r="F152" t="s">
        <v>8</v>
      </c>
      <c r="G152">
        <v>4</v>
      </c>
      <c r="H152" s="3">
        <v>1</v>
      </c>
    </row>
    <row r="153" spans="1:8" x14ac:dyDescent="0.25">
      <c r="A153" t="s">
        <v>46</v>
      </c>
      <c r="C153">
        <v>111</v>
      </c>
      <c r="D153" t="s">
        <v>19</v>
      </c>
      <c r="E153">
        <v>8000</v>
      </c>
      <c r="F153" t="s">
        <v>7</v>
      </c>
      <c r="G153">
        <v>2</v>
      </c>
      <c r="H153" s="3">
        <v>1</v>
      </c>
    </row>
    <row r="154" spans="1:8" x14ac:dyDescent="0.25">
      <c r="A154" t="s">
        <v>46</v>
      </c>
      <c r="D154" t="s">
        <v>20</v>
      </c>
      <c r="E154">
        <v>3000</v>
      </c>
      <c r="F154" t="s">
        <v>7</v>
      </c>
      <c r="G154">
        <v>2</v>
      </c>
      <c r="H154" s="3">
        <v>1</v>
      </c>
    </row>
    <row r="155" spans="1:8" x14ac:dyDescent="0.25">
      <c r="A155" t="s">
        <v>51</v>
      </c>
      <c r="B155" s="10">
        <v>46085</v>
      </c>
      <c r="C155">
        <v>112</v>
      </c>
      <c r="D155" t="s">
        <v>19</v>
      </c>
      <c r="E155">
        <v>8000</v>
      </c>
      <c r="F155" t="s">
        <v>7</v>
      </c>
      <c r="G155">
        <v>1</v>
      </c>
      <c r="H155" s="3">
        <v>1</v>
      </c>
    </row>
    <row r="156" spans="1:8" x14ac:dyDescent="0.25">
      <c r="A156" t="s">
        <v>51</v>
      </c>
      <c r="D156" t="s">
        <v>20</v>
      </c>
      <c r="E156">
        <v>3000</v>
      </c>
      <c r="F156" t="s">
        <v>7</v>
      </c>
      <c r="G156">
        <v>1</v>
      </c>
      <c r="H156" s="3">
        <v>1</v>
      </c>
    </row>
    <row r="157" spans="1:8" x14ac:dyDescent="0.25">
      <c r="A157" t="s">
        <v>51</v>
      </c>
      <c r="D157" t="s">
        <v>54</v>
      </c>
      <c r="E157">
        <v>22000</v>
      </c>
      <c r="F157" t="s">
        <v>7</v>
      </c>
      <c r="G157">
        <v>1</v>
      </c>
      <c r="H157" s="3">
        <v>1</v>
      </c>
    </row>
    <row r="158" spans="1:8" x14ac:dyDescent="0.25">
      <c r="A158" t="s">
        <v>51</v>
      </c>
      <c r="C158">
        <v>113</v>
      </c>
      <c r="D158" t="s">
        <v>19</v>
      </c>
      <c r="E158">
        <v>8000</v>
      </c>
      <c r="F158" t="s">
        <v>7</v>
      </c>
      <c r="G158">
        <v>1</v>
      </c>
      <c r="H158" s="3">
        <v>1</v>
      </c>
    </row>
    <row r="159" spans="1:8" x14ac:dyDescent="0.25">
      <c r="A159" t="s">
        <v>51</v>
      </c>
      <c r="C159">
        <v>114</v>
      </c>
      <c r="D159" t="s">
        <v>19</v>
      </c>
      <c r="E159">
        <v>8000</v>
      </c>
      <c r="F159" t="s">
        <v>7</v>
      </c>
      <c r="G159">
        <v>1</v>
      </c>
      <c r="H159" s="3">
        <v>1</v>
      </c>
    </row>
    <row r="160" spans="1:8" x14ac:dyDescent="0.25">
      <c r="A160" t="s">
        <v>51</v>
      </c>
      <c r="C160">
        <v>115</v>
      </c>
      <c r="D160" t="s">
        <v>19</v>
      </c>
      <c r="E160">
        <v>8000</v>
      </c>
      <c r="F160" t="s">
        <v>7</v>
      </c>
      <c r="G160">
        <v>1</v>
      </c>
      <c r="H160" s="3">
        <v>1</v>
      </c>
    </row>
    <row r="161" spans="1:8" x14ac:dyDescent="0.25">
      <c r="A161" t="s">
        <v>51</v>
      </c>
      <c r="D161" t="s">
        <v>20</v>
      </c>
      <c r="E161">
        <v>3000</v>
      </c>
      <c r="F161" t="s">
        <v>7</v>
      </c>
      <c r="G161">
        <v>1</v>
      </c>
      <c r="H161" s="3">
        <v>1</v>
      </c>
    </row>
    <row r="162" spans="1:8" x14ac:dyDescent="0.25">
      <c r="A162" t="s">
        <v>51</v>
      </c>
      <c r="C162">
        <v>116</v>
      </c>
      <c r="D162" t="s">
        <v>17</v>
      </c>
      <c r="E162">
        <v>3000</v>
      </c>
      <c r="F162" t="s">
        <v>7</v>
      </c>
      <c r="G162">
        <v>2</v>
      </c>
      <c r="H162" s="3">
        <v>1</v>
      </c>
    </row>
    <row r="163" spans="1:8" x14ac:dyDescent="0.25">
      <c r="A163" t="s">
        <v>51</v>
      </c>
      <c r="C163">
        <v>117</v>
      </c>
      <c r="D163" t="s">
        <v>54</v>
      </c>
      <c r="E163">
        <v>22000</v>
      </c>
      <c r="F163" t="s">
        <v>7</v>
      </c>
      <c r="G163">
        <v>1</v>
      </c>
      <c r="H163" s="3">
        <v>1</v>
      </c>
    </row>
    <row r="164" spans="1:8" x14ac:dyDescent="0.25">
      <c r="A164" t="s">
        <v>51</v>
      </c>
      <c r="D164" t="s">
        <v>55</v>
      </c>
      <c r="E164">
        <v>17000</v>
      </c>
      <c r="F164" t="s">
        <v>7</v>
      </c>
      <c r="G164">
        <v>1</v>
      </c>
      <c r="H164" s="3">
        <v>1</v>
      </c>
    </row>
    <row r="165" spans="1:8" x14ac:dyDescent="0.25">
      <c r="A165" t="s">
        <v>51</v>
      </c>
      <c r="C165">
        <v>118</v>
      </c>
      <c r="D165" t="s">
        <v>34</v>
      </c>
      <c r="E165">
        <v>25000</v>
      </c>
      <c r="F165" t="s">
        <v>8</v>
      </c>
      <c r="G165">
        <v>1</v>
      </c>
      <c r="H165" s="3">
        <v>1</v>
      </c>
    </row>
    <row r="166" spans="1:8" x14ac:dyDescent="0.25">
      <c r="A166" t="s">
        <v>51</v>
      </c>
      <c r="D166" t="s">
        <v>19</v>
      </c>
      <c r="E166">
        <v>8000</v>
      </c>
      <c r="F166" t="s">
        <v>8</v>
      </c>
      <c r="G166">
        <v>3</v>
      </c>
      <c r="H166" s="3">
        <v>1</v>
      </c>
    </row>
    <row r="167" spans="1:8" x14ac:dyDescent="0.25">
      <c r="A167" t="s">
        <v>51</v>
      </c>
      <c r="D167" t="s">
        <v>20</v>
      </c>
      <c r="E167">
        <v>3000</v>
      </c>
      <c r="F167" t="s">
        <v>8</v>
      </c>
      <c r="G167">
        <v>2</v>
      </c>
      <c r="H167" s="3">
        <v>1</v>
      </c>
    </row>
    <row r="168" spans="1:8" x14ac:dyDescent="0.25">
      <c r="A168" t="s">
        <v>51</v>
      </c>
      <c r="D168" t="s">
        <v>22</v>
      </c>
      <c r="E168">
        <v>3000</v>
      </c>
      <c r="F168" t="s">
        <v>8</v>
      </c>
      <c r="G168">
        <v>3</v>
      </c>
      <c r="H168" s="3">
        <v>1</v>
      </c>
    </row>
    <row r="169" spans="1:8" x14ac:dyDescent="0.25">
      <c r="A169" t="s">
        <v>51</v>
      </c>
      <c r="C169">
        <v>119</v>
      </c>
      <c r="D169" t="s">
        <v>18</v>
      </c>
      <c r="E169">
        <v>4500</v>
      </c>
      <c r="F169" t="s">
        <v>7</v>
      </c>
      <c r="G169">
        <v>4</v>
      </c>
      <c r="H169" s="3">
        <v>1</v>
      </c>
    </row>
    <row r="170" spans="1:8" x14ac:dyDescent="0.25">
      <c r="A170" t="s">
        <v>51</v>
      </c>
      <c r="C170">
        <v>120</v>
      </c>
      <c r="D170" t="s">
        <v>19</v>
      </c>
      <c r="E170">
        <v>8000</v>
      </c>
      <c r="F170" t="s">
        <v>7</v>
      </c>
      <c r="G170">
        <v>4</v>
      </c>
      <c r="H170" s="3">
        <v>1</v>
      </c>
    </row>
    <row r="171" spans="1:8" x14ac:dyDescent="0.25">
      <c r="A171" t="s">
        <v>51</v>
      </c>
      <c r="C171">
        <v>121</v>
      </c>
      <c r="D171" t="s">
        <v>19</v>
      </c>
      <c r="E171">
        <v>8000</v>
      </c>
      <c r="F171" t="s">
        <v>8</v>
      </c>
      <c r="G171">
        <v>2</v>
      </c>
      <c r="H171" s="3">
        <v>1</v>
      </c>
    </row>
    <row r="172" spans="1:8" x14ac:dyDescent="0.25">
      <c r="A172" t="s">
        <v>51</v>
      </c>
      <c r="D172" t="s">
        <v>20</v>
      </c>
      <c r="E172">
        <v>3000</v>
      </c>
      <c r="F172" t="s">
        <v>8</v>
      </c>
      <c r="G172">
        <v>1</v>
      </c>
      <c r="H172" s="3">
        <v>1</v>
      </c>
    </row>
    <row r="173" spans="1:8" x14ac:dyDescent="0.25">
      <c r="A173" t="s">
        <v>51</v>
      </c>
      <c r="C173">
        <v>122</v>
      </c>
      <c r="D173" t="s">
        <v>19</v>
      </c>
      <c r="E173">
        <v>8000</v>
      </c>
      <c r="F173" t="s">
        <v>7</v>
      </c>
      <c r="G173">
        <v>5</v>
      </c>
      <c r="H173" s="3">
        <v>1</v>
      </c>
    </row>
    <row r="174" spans="1:8" x14ac:dyDescent="0.25">
      <c r="A174" t="s">
        <v>51</v>
      </c>
      <c r="D174" t="s">
        <v>20</v>
      </c>
      <c r="E174">
        <v>3000</v>
      </c>
      <c r="F174" t="s">
        <v>7</v>
      </c>
      <c r="G174">
        <v>2</v>
      </c>
      <c r="H174" s="3">
        <v>1</v>
      </c>
    </row>
    <row r="175" spans="1:8" x14ac:dyDescent="0.25">
      <c r="A175" t="s">
        <v>51</v>
      </c>
      <c r="D175" t="s">
        <v>22</v>
      </c>
      <c r="E175">
        <v>3000</v>
      </c>
      <c r="F175" t="s">
        <v>7</v>
      </c>
      <c r="G175">
        <v>3</v>
      </c>
      <c r="H175" s="3">
        <v>1</v>
      </c>
    </row>
    <row r="176" spans="1:8" x14ac:dyDescent="0.25">
      <c r="A176" t="s">
        <v>51</v>
      </c>
      <c r="D176" t="s">
        <v>57</v>
      </c>
      <c r="E176">
        <v>50000</v>
      </c>
      <c r="F176" t="s">
        <v>7</v>
      </c>
      <c r="G176">
        <v>1</v>
      </c>
      <c r="H176" s="3">
        <v>1</v>
      </c>
    </row>
    <row r="177" spans="1:8" x14ac:dyDescent="0.25">
      <c r="A177" t="s">
        <v>52</v>
      </c>
      <c r="B177" s="10">
        <v>46086</v>
      </c>
      <c r="C177">
        <v>123</v>
      </c>
      <c r="D177" t="s">
        <v>56</v>
      </c>
      <c r="E177">
        <v>30000</v>
      </c>
      <c r="F177" t="s">
        <v>8</v>
      </c>
      <c r="G177">
        <v>1</v>
      </c>
      <c r="H177" s="3">
        <v>1</v>
      </c>
    </row>
    <row r="178" spans="1:8" x14ac:dyDescent="0.25">
      <c r="A178" t="s">
        <v>52</v>
      </c>
      <c r="D178" t="s">
        <v>58</v>
      </c>
      <c r="E178">
        <v>5000</v>
      </c>
      <c r="F178" t="s">
        <v>8</v>
      </c>
      <c r="G178">
        <v>1</v>
      </c>
      <c r="H178" s="3">
        <v>1</v>
      </c>
    </row>
    <row r="179" spans="1:8" x14ac:dyDescent="0.25">
      <c r="A179" t="s">
        <v>52</v>
      </c>
      <c r="C179">
        <v>124</v>
      </c>
      <c r="D179" t="s">
        <v>19</v>
      </c>
      <c r="E179">
        <v>8000</v>
      </c>
      <c r="F179" t="s">
        <v>7</v>
      </c>
      <c r="G179">
        <v>2</v>
      </c>
      <c r="H179" s="3">
        <v>1</v>
      </c>
    </row>
    <row r="180" spans="1:8" x14ac:dyDescent="0.25">
      <c r="A180" t="s">
        <v>52</v>
      </c>
      <c r="D180" t="s">
        <v>20</v>
      </c>
      <c r="E180">
        <v>3000</v>
      </c>
      <c r="F180" t="s">
        <v>7</v>
      </c>
      <c r="G180">
        <v>2</v>
      </c>
      <c r="H180" s="3">
        <v>1</v>
      </c>
    </row>
    <row r="181" spans="1:8" x14ac:dyDescent="0.25">
      <c r="A181" t="s">
        <v>52</v>
      </c>
      <c r="C181">
        <v>125</v>
      </c>
      <c r="D181" t="s">
        <v>19</v>
      </c>
      <c r="E181">
        <v>8000</v>
      </c>
      <c r="F181" t="s">
        <v>7</v>
      </c>
      <c r="G181">
        <v>4</v>
      </c>
      <c r="H181" s="3">
        <v>1</v>
      </c>
    </row>
    <row r="182" spans="1:8" x14ac:dyDescent="0.25">
      <c r="A182" t="s">
        <v>52</v>
      </c>
      <c r="D182" t="s">
        <v>40</v>
      </c>
      <c r="E182">
        <v>4500</v>
      </c>
      <c r="F182" t="s">
        <v>7</v>
      </c>
      <c r="G182">
        <v>1</v>
      </c>
      <c r="H182" s="3">
        <v>1</v>
      </c>
    </row>
    <row r="183" spans="1:8" x14ac:dyDescent="0.25">
      <c r="A183" t="s">
        <v>52</v>
      </c>
      <c r="C183">
        <v>126</v>
      </c>
      <c r="D183" t="s">
        <v>40</v>
      </c>
      <c r="E183">
        <v>4500</v>
      </c>
      <c r="F183" t="s">
        <v>8</v>
      </c>
      <c r="G183">
        <v>1</v>
      </c>
      <c r="H183" s="3">
        <v>1</v>
      </c>
    </row>
    <row r="184" spans="1:8" x14ac:dyDescent="0.25">
      <c r="A184" t="s">
        <v>52</v>
      </c>
      <c r="D184" t="s">
        <v>21</v>
      </c>
      <c r="E184">
        <v>35000</v>
      </c>
      <c r="F184" t="s">
        <v>8</v>
      </c>
      <c r="G184">
        <v>1</v>
      </c>
      <c r="H184" s="3">
        <v>1</v>
      </c>
    </row>
    <row r="185" spans="1:8" x14ac:dyDescent="0.25">
      <c r="A185" t="s">
        <v>52</v>
      </c>
      <c r="C185">
        <v>127</v>
      </c>
      <c r="D185" t="s">
        <v>21</v>
      </c>
      <c r="E185">
        <v>35000</v>
      </c>
      <c r="F185" t="s">
        <v>7</v>
      </c>
      <c r="G185">
        <v>1</v>
      </c>
      <c r="H185" s="3">
        <v>1</v>
      </c>
    </row>
    <row r="186" spans="1:8" x14ac:dyDescent="0.25">
      <c r="A186" t="s">
        <v>52</v>
      </c>
      <c r="C186">
        <v>128</v>
      </c>
      <c r="D186" t="s">
        <v>19</v>
      </c>
      <c r="E186">
        <v>8000</v>
      </c>
      <c r="F186" t="s">
        <v>7</v>
      </c>
      <c r="G186">
        <v>1</v>
      </c>
      <c r="H186" s="3">
        <v>1</v>
      </c>
    </row>
    <row r="187" spans="1:8" x14ac:dyDescent="0.25">
      <c r="A187" t="s">
        <v>52</v>
      </c>
      <c r="C187">
        <v>129</v>
      </c>
      <c r="D187" t="s">
        <v>19</v>
      </c>
      <c r="E187">
        <v>8000</v>
      </c>
      <c r="F187" t="s">
        <v>7</v>
      </c>
      <c r="G187">
        <v>1</v>
      </c>
      <c r="H187" s="3">
        <v>1</v>
      </c>
    </row>
    <row r="188" spans="1:8" x14ac:dyDescent="0.25">
      <c r="A188" t="s">
        <v>52</v>
      </c>
      <c r="C188">
        <v>130</v>
      </c>
      <c r="D188" t="s">
        <v>19</v>
      </c>
      <c r="E188">
        <v>8000</v>
      </c>
      <c r="F188" t="s">
        <v>7</v>
      </c>
      <c r="G188">
        <v>1</v>
      </c>
      <c r="H188" s="3">
        <v>1</v>
      </c>
    </row>
    <row r="189" spans="1:8" x14ac:dyDescent="0.25">
      <c r="A189" t="s">
        <v>52</v>
      </c>
      <c r="C189">
        <v>131</v>
      </c>
      <c r="D189" t="s">
        <v>19</v>
      </c>
      <c r="E189">
        <v>8000</v>
      </c>
      <c r="F189" t="s">
        <v>7</v>
      </c>
      <c r="G189">
        <v>1</v>
      </c>
      <c r="H189" s="3">
        <v>1</v>
      </c>
    </row>
    <row r="190" spans="1:8" x14ac:dyDescent="0.25">
      <c r="A190" t="s">
        <v>52</v>
      </c>
      <c r="C190">
        <v>132</v>
      </c>
      <c r="D190" t="s">
        <v>19</v>
      </c>
      <c r="E190">
        <v>8000</v>
      </c>
      <c r="F190" t="s">
        <v>7</v>
      </c>
      <c r="G190">
        <v>1</v>
      </c>
      <c r="H190" s="3">
        <v>1</v>
      </c>
    </row>
    <row r="191" spans="1:8" x14ac:dyDescent="0.25">
      <c r="A191" t="s">
        <v>52</v>
      </c>
      <c r="C191">
        <v>133</v>
      </c>
      <c r="D191" t="s">
        <v>19</v>
      </c>
      <c r="E191">
        <v>8000</v>
      </c>
      <c r="F191" t="s">
        <v>8</v>
      </c>
      <c r="G191">
        <v>1</v>
      </c>
      <c r="H191" s="3">
        <v>1</v>
      </c>
    </row>
    <row r="192" spans="1:8" x14ac:dyDescent="0.25">
      <c r="A192" t="s">
        <v>52</v>
      </c>
      <c r="D192" t="s">
        <v>22</v>
      </c>
      <c r="E192">
        <v>3000</v>
      </c>
      <c r="F192" t="s">
        <v>8</v>
      </c>
      <c r="G192">
        <v>1</v>
      </c>
      <c r="H192" s="3">
        <v>1</v>
      </c>
    </row>
    <row r="193" spans="1:8" x14ac:dyDescent="0.25">
      <c r="A193" t="s">
        <v>52</v>
      </c>
      <c r="C193">
        <v>134</v>
      </c>
      <c r="D193" t="s">
        <v>19</v>
      </c>
      <c r="E193">
        <v>8000</v>
      </c>
      <c r="F193" t="s">
        <v>8</v>
      </c>
      <c r="G193">
        <v>3</v>
      </c>
      <c r="H193" s="3">
        <v>1</v>
      </c>
    </row>
    <row r="194" spans="1:8" x14ac:dyDescent="0.25">
      <c r="A194" t="s">
        <v>52</v>
      </c>
      <c r="D194" t="s">
        <v>22</v>
      </c>
      <c r="E194">
        <v>3000</v>
      </c>
      <c r="F194" t="s">
        <v>8</v>
      </c>
      <c r="G194">
        <v>2</v>
      </c>
      <c r="H194" s="3">
        <v>1</v>
      </c>
    </row>
    <row r="195" spans="1:8" x14ac:dyDescent="0.25">
      <c r="A195" t="s">
        <v>52</v>
      </c>
      <c r="C195">
        <v>135</v>
      </c>
      <c r="D195" t="s">
        <v>19</v>
      </c>
      <c r="E195">
        <v>8000</v>
      </c>
      <c r="F195" t="s">
        <v>7</v>
      </c>
      <c r="G195">
        <v>1</v>
      </c>
      <c r="H195" s="3">
        <v>1</v>
      </c>
    </row>
    <row r="196" spans="1:8" x14ac:dyDescent="0.25">
      <c r="A196" t="s">
        <v>52</v>
      </c>
      <c r="D196" t="s">
        <v>33</v>
      </c>
      <c r="E196">
        <v>2000</v>
      </c>
      <c r="F196" t="s">
        <v>7</v>
      </c>
      <c r="G196">
        <v>1</v>
      </c>
      <c r="H196" s="3">
        <v>1</v>
      </c>
    </row>
    <row r="197" spans="1:8" x14ac:dyDescent="0.25">
      <c r="A197" t="s">
        <v>61</v>
      </c>
      <c r="B197" s="10">
        <v>46088</v>
      </c>
      <c r="C197">
        <v>146</v>
      </c>
      <c r="D197" t="s">
        <v>19</v>
      </c>
      <c r="E197">
        <v>8000</v>
      </c>
      <c r="F197" t="s">
        <v>7</v>
      </c>
      <c r="G197">
        <v>2</v>
      </c>
      <c r="H197" s="3">
        <v>1</v>
      </c>
    </row>
    <row r="198" spans="1:8" x14ac:dyDescent="0.25">
      <c r="A198" t="s">
        <v>61</v>
      </c>
      <c r="C198">
        <v>147</v>
      </c>
      <c r="D198" t="s">
        <v>19</v>
      </c>
      <c r="E198">
        <v>8000</v>
      </c>
      <c r="F198" t="s">
        <v>7</v>
      </c>
      <c r="G198">
        <v>2</v>
      </c>
      <c r="H198" s="3">
        <v>1</v>
      </c>
    </row>
    <row r="199" spans="1:8" x14ac:dyDescent="0.25">
      <c r="A199" t="s">
        <v>61</v>
      </c>
      <c r="C199">
        <v>148</v>
      </c>
      <c r="D199" t="s">
        <v>19</v>
      </c>
      <c r="E199">
        <v>8000</v>
      </c>
      <c r="F199" t="s">
        <v>7</v>
      </c>
      <c r="G199">
        <v>4</v>
      </c>
      <c r="H199" s="3">
        <v>1</v>
      </c>
    </row>
    <row r="200" spans="1:8" x14ac:dyDescent="0.25">
      <c r="A200" t="s">
        <v>61</v>
      </c>
      <c r="D200" t="s">
        <v>20</v>
      </c>
      <c r="E200">
        <v>3000</v>
      </c>
      <c r="F200" t="s">
        <v>7</v>
      </c>
      <c r="G200">
        <v>2</v>
      </c>
      <c r="H200" s="3">
        <v>1</v>
      </c>
    </row>
    <row r="201" spans="1:8" x14ac:dyDescent="0.25">
      <c r="A201" t="s">
        <v>61</v>
      </c>
      <c r="C201">
        <v>149</v>
      </c>
      <c r="D201" t="s">
        <v>19</v>
      </c>
      <c r="E201">
        <v>8000</v>
      </c>
      <c r="F201" t="s">
        <v>7</v>
      </c>
      <c r="G201">
        <v>1</v>
      </c>
      <c r="H201" s="3">
        <v>1</v>
      </c>
    </row>
    <row r="202" spans="1:8" x14ac:dyDescent="0.25">
      <c r="A202" t="s">
        <v>61</v>
      </c>
      <c r="D202" t="s">
        <v>20</v>
      </c>
      <c r="E202">
        <v>3000</v>
      </c>
      <c r="F202" t="s">
        <v>7</v>
      </c>
      <c r="G202">
        <v>1</v>
      </c>
      <c r="H202" s="3">
        <v>1</v>
      </c>
    </row>
    <row r="203" spans="1:8" x14ac:dyDescent="0.25">
      <c r="A203" t="s">
        <v>61</v>
      </c>
      <c r="C203">
        <v>150</v>
      </c>
      <c r="D203" t="s">
        <v>19</v>
      </c>
      <c r="E203">
        <v>8000</v>
      </c>
      <c r="F203" t="s">
        <v>7</v>
      </c>
      <c r="G203">
        <v>2</v>
      </c>
      <c r="H203" s="3">
        <v>1</v>
      </c>
    </row>
    <row r="204" spans="1:8" x14ac:dyDescent="0.25">
      <c r="A204" t="s">
        <v>61</v>
      </c>
      <c r="D204" t="s">
        <v>20</v>
      </c>
      <c r="E204">
        <v>3000</v>
      </c>
      <c r="F204" t="s">
        <v>7</v>
      </c>
      <c r="G204">
        <v>2</v>
      </c>
      <c r="H204" s="3">
        <v>1</v>
      </c>
    </row>
    <row r="205" spans="1:8" x14ac:dyDescent="0.25">
      <c r="A205" t="s">
        <v>61</v>
      </c>
      <c r="C205">
        <v>151</v>
      </c>
      <c r="D205" t="s">
        <v>19</v>
      </c>
      <c r="E205">
        <v>8000</v>
      </c>
      <c r="F205" t="s">
        <v>8</v>
      </c>
      <c r="G205">
        <v>2</v>
      </c>
      <c r="H205" s="3">
        <v>1</v>
      </c>
    </row>
    <row r="206" spans="1:8" x14ac:dyDescent="0.25">
      <c r="A206" t="s">
        <v>61</v>
      </c>
      <c r="C206">
        <v>152</v>
      </c>
      <c r="D206" t="s">
        <v>19</v>
      </c>
      <c r="E206">
        <v>8000</v>
      </c>
      <c r="F206" t="s">
        <v>8</v>
      </c>
      <c r="G206">
        <v>3</v>
      </c>
      <c r="H206" s="3">
        <v>1</v>
      </c>
    </row>
    <row r="207" spans="1:8" x14ac:dyDescent="0.25">
      <c r="A207" t="s">
        <v>61</v>
      </c>
      <c r="D207" t="s">
        <v>40</v>
      </c>
      <c r="E207">
        <v>4500</v>
      </c>
      <c r="F207" t="s">
        <v>8</v>
      </c>
      <c r="G207">
        <v>1</v>
      </c>
      <c r="H207" s="3">
        <v>1</v>
      </c>
    </row>
    <row r="208" spans="1:8" x14ac:dyDescent="0.25">
      <c r="A208" t="s">
        <v>61</v>
      </c>
      <c r="C208">
        <v>153</v>
      </c>
      <c r="D208" t="s">
        <v>62</v>
      </c>
      <c r="E208">
        <v>15000</v>
      </c>
      <c r="F208" t="s">
        <v>7</v>
      </c>
      <c r="G208">
        <v>1</v>
      </c>
      <c r="H208" s="3">
        <v>1</v>
      </c>
    </row>
    <row r="209" spans="1:8" x14ac:dyDescent="0.25">
      <c r="A209" t="s">
        <v>61</v>
      </c>
      <c r="C209">
        <v>154</v>
      </c>
      <c r="D209" t="s">
        <v>63</v>
      </c>
      <c r="E209">
        <v>60000</v>
      </c>
      <c r="F209" t="s">
        <v>7</v>
      </c>
      <c r="G209">
        <v>1</v>
      </c>
      <c r="H209" s="3">
        <v>1</v>
      </c>
    </row>
    <row r="210" spans="1:8" x14ac:dyDescent="0.25">
      <c r="A210" t="s">
        <v>61</v>
      </c>
      <c r="C210">
        <v>155</v>
      </c>
      <c r="D210" t="s">
        <v>19</v>
      </c>
      <c r="E210">
        <v>8000</v>
      </c>
      <c r="F210" t="s">
        <v>7</v>
      </c>
      <c r="G210">
        <v>1</v>
      </c>
      <c r="H210" s="3">
        <v>1</v>
      </c>
    </row>
    <row r="211" spans="1:8" x14ac:dyDescent="0.25">
      <c r="A211" t="s">
        <v>61</v>
      </c>
      <c r="D211" t="s">
        <v>40</v>
      </c>
      <c r="E211">
        <v>4500</v>
      </c>
      <c r="F211" t="s">
        <v>7</v>
      </c>
      <c r="G211">
        <v>1</v>
      </c>
      <c r="H211" s="3">
        <v>1</v>
      </c>
    </row>
    <row r="212" spans="1:8" x14ac:dyDescent="0.25">
      <c r="A212" t="s">
        <v>61</v>
      </c>
      <c r="C212">
        <v>156</v>
      </c>
      <c r="D212" t="s">
        <v>64</v>
      </c>
      <c r="E212">
        <v>40000</v>
      </c>
      <c r="F212" t="s">
        <v>8</v>
      </c>
      <c r="G212">
        <v>1</v>
      </c>
      <c r="H212" s="3">
        <v>1</v>
      </c>
    </row>
    <row r="213" spans="1:8" x14ac:dyDescent="0.25">
      <c r="A213" t="s">
        <v>61</v>
      </c>
      <c r="D213" t="s">
        <v>20</v>
      </c>
      <c r="E213">
        <v>3000</v>
      </c>
      <c r="F213" t="s">
        <v>8</v>
      </c>
      <c r="G213">
        <v>1</v>
      </c>
      <c r="H213" s="3">
        <v>1</v>
      </c>
    </row>
    <row r="214" spans="1:8" x14ac:dyDescent="0.25">
      <c r="A214" t="s">
        <v>61</v>
      </c>
      <c r="C214">
        <v>157</v>
      </c>
      <c r="D214" t="s">
        <v>19</v>
      </c>
      <c r="E214">
        <v>8000</v>
      </c>
      <c r="F214" t="s">
        <v>7</v>
      </c>
      <c r="G214">
        <v>2</v>
      </c>
      <c r="H214" s="3">
        <v>1</v>
      </c>
    </row>
    <row r="215" spans="1:8" x14ac:dyDescent="0.25">
      <c r="A215" t="s">
        <v>61</v>
      </c>
      <c r="D215" t="s">
        <v>40</v>
      </c>
      <c r="E215">
        <v>4500</v>
      </c>
      <c r="F215" t="s">
        <v>7</v>
      </c>
      <c r="G215">
        <v>1</v>
      </c>
      <c r="H215" s="3">
        <v>1</v>
      </c>
    </row>
    <row r="216" spans="1:8" x14ac:dyDescent="0.25">
      <c r="A216" t="s">
        <v>53</v>
      </c>
      <c r="B216" s="10">
        <v>46089</v>
      </c>
      <c r="C216">
        <v>136</v>
      </c>
      <c r="D216" t="s">
        <v>19</v>
      </c>
      <c r="E216">
        <v>8000</v>
      </c>
      <c r="F216" t="s">
        <v>8</v>
      </c>
      <c r="G216">
        <v>3</v>
      </c>
      <c r="H216" s="3">
        <v>1</v>
      </c>
    </row>
    <row r="217" spans="1:8" x14ac:dyDescent="0.25">
      <c r="A217" t="s">
        <v>53</v>
      </c>
      <c r="D217" t="s">
        <v>20</v>
      </c>
      <c r="E217">
        <v>3000</v>
      </c>
      <c r="F217" t="s">
        <v>8</v>
      </c>
      <c r="G217">
        <v>2</v>
      </c>
      <c r="H217" s="3">
        <v>1</v>
      </c>
    </row>
    <row r="218" spans="1:8" x14ac:dyDescent="0.25">
      <c r="A218" t="s">
        <v>53</v>
      </c>
      <c r="C218">
        <v>137</v>
      </c>
      <c r="D218" t="s">
        <v>19</v>
      </c>
      <c r="E218">
        <v>8000</v>
      </c>
      <c r="F218" t="s">
        <v>7</v>
      </c>
      <c r="G218">
        <v>1</v>
      </c>
      <c r="H218" s="3">
        <v>1</v>
      </c>
    </row>
    <row r="219" spans="1:8" x14ac:dyDescent="0.25">
      <c r="A219" t="s">
        <v>53</v>
      </c>
      <c r="D219" t="s">
        <v>22</v>
      </c>
      <c r="E219">
        <v>3000</v>
      </c>
      <c r="F219" t="s">
        <v>7</v>
      </c>
      <c r="G219">
        <v>1</v>
      </c>
      <c r="H219" s="3">
        <v>1</v>
      </c>
    </row>
    <row r="220" spans="1:8" x14ac:dyDescent="0.25">
      <c r="A220" t="s">
        <v>53</v>
      </c>
      <c r="C220">
        <v>138</v>
      </c>
      <c r="D220" t="s">
        <v>56</v>
      </c>
      <c r="E220">
        <v>30000</v>
      </c>
      <c r="F220" t="s">
        <v>8</v>
      </c>
      <c r="G220">
        <v>1</v>
      </c>
      <c r="H220" s="3">
        <v>1</v>
      </c>
    </row>
    <row r="221" spans="1:8" x14ac:dyDescent="0.25">
      <c r="A221" t="s">
        <v>53</v>
      </c>
      <c r="D221" t="s">
        <v>19</v>
      </c>
      <c r="E221">
        <v>8000</v>
      </c>
      <c r="F221" t="s">
        <v>8</v>
      </c>
      <c r="G221">
        <v>3</v>
      </c>
      <c r="H221" s="3">
        <v>1</v>
      </c>
    </row>
    <row r="222" spans="1:8" x14ac:dyDescent="0.25">
      <c r="A222" t="s">
        <v>53</v>
      </c>
      <c r="C222">
        <v>139</v>
      </c>
      <c r="D222" t="s">
        <v>19</v>
      </c>
      <c r="E222">
        <v>8000</v>
      </c>
      <c r="F222" t="s">
        <v>7</v>
      </c>
      <c r="G222">
        <v>1</v>
      </c>
      <c r="H222" s="3">
        <v>1</v>
      </c>
    </row>
    <row r="223" spans="1:8" x14ac:dyDescent="0.25">
      <c r="A223" t="s">
        <v>53</v>
      </c>
      <c r="D223" t="s">
        <v>20</v>
      </c>
      <c r="E223">
        <v>3000</v>
      </c>
      <c r="F223" t="s">
        <v>7</v>
      </c>
      <c r="G223">
        <v>1</v>
      </c>
      <c r="H223" s="3">
        <v>1</v>
      </c>
    </row>
    <row r="224" spans="1:8" x14ac:dyDescent="0.25">
      <c r="A224" t="s">
        <v>53</v>
      </c>
      <c r="C224">
        <v>140</v>
      </c>
      <c r="D224" t="s">
        <v>59</v>
      </c>
      <c r="E224">
        <v>35000</v>
      </c>
      <c r="F224" t="s">
        <v>7</v>
      </c>
      <c r="G224">
        <v>1</v>
      </c>
      <c r="H224" s="3">
        <v>1</v>
      </c>
    </row>
    <row r="225" spans="1:8" x14ac:dyDescent="0.25">
      <c r="A225" t="s">
        <v>53</v>
      </c>
      <c r="D225" t="s">
        <v>20</v>
      </c>
      <c r="E225">
        <v>3000</v>
      </c>
      <c r="F225" t="s">
        <v>7</v>
      </c>
      <c r="G225">
        <v>1</v>
      </c>
      <c r="H225" s="3">
        <v>1</v>
      </c>
    </row>
    <row r="226" spans="1:8" x14ac:dyDescent="0.25">
      <c r="A226" t="s">
        <v>53</v>
      </c>
      <c r="D226" t="s">
        <v>40</v>
      </c>
      <c r="E226">
        <v>4500</v>
      </c>
      <c r="F226" t="s">
        <v>7</v>
      </c>
      <c r="G226">
        <v>1</v>
      </c>
      <c r="H226" s="3">
        <v>1</v>
      </c>
    </row>
    <row r="227" spans="1:8" x14ac:dyDescent="0.25">
      <c r="A227" t="s">
        <v>53</v>
      </c>
      <c r="C227">
        <v>141</v>
      </c>
      <c r="D227" t="s">
        <v>17</v>
      </c>
      <c r="E227">
        <v>3000</v>
      </c>
      <c r="F227" t="s">
        <v>7</v>
      </c>
      <c r="G227">
        <v>1</v>
      </c>
      <c r="H227" s="3">
        <v>1</v>
      </c>
    </row>
    <row r="228" spans="1:8" x14ac:dyDescent="0.25">
      <c r="A228" t="s">
        <v>53</v>
      </c>
      <c r="D228" t="s">
        <v>59</v>
      </c>
      <c r="E228">
        <v>35000</v>
      </c>
      <c r="F228" t="s">
        <v>7</v>
      </c>
      <c r="G228">
        <v>1</v>
      </c>
      <c r="H228" s="3">
        <v>1</v>
      </c>
    </row>
    <row r="229" spans="1:8" x14ac:dyDescent="0.25">
      <c r="A229" t="s">
        <v>53</v>
      </c>
      <c r="D229" t="s">
        <v>19</v>
      </c>
      <c r="E229">
        <v>8000</v>
      </c>
      <c r="F229" t="s">
        <v>7</v>
      </c>
      <c r="G229">
        <v>1</v>
      </c>
      <c r="H229" s="3">
        <v>1</v>
      </c>
    </row>
    <row r="230" spans="1:8" x14ac:dyDescent="0.25">
      <c r="A230" t="s">
        <v>53</v>
      </c>
      <c r="D230" t="s">
        <v>20</v>
      </c>
      <c r="E230">
        <v>3000</v>
      </c>
      <c r="F230" t="s">
        <v>7</v>
      </c>
      <c r="G230">
        <v>1</v>
      </c>
      <c r="H230" s="3">
        <v>1</v>
      </c>
    </row>
    <row r="231" spans="1:8" x14ac:dyDescent="0.25">
      <c r="A231" t="s">
        <v>53</v>
      </c>
      <c r="C231">
        <v>142</v>
      </c>
      <c r="D231" t="s">
        <v>19</v>
      </c>
      <c r="E231">
        <v>8000</v>
      </c>
      <c r="F231" t="s">
        <v>8</v>
      </c>
      <c r="G231">
        <v>1</v>
      </c>
      <c r="H231" s="3">
        <v>1</v>
      </c>
    </row>
    <row r="232" spans="1:8" x14ac:dyDescent="0.25">
      <c r="A232" t="s">
        <v>53</v>
      </c>
      <c r="C232">
        <v>143</v>
      </c>
      <c r="D232" t="s">
        <v>17</v>
      </c>
      <c r="E232">
        <v>3000</v>
      </c>
      <c r="F232" t="s">
        <v>35</v>
      </c>
      <c r="G232">
        <v>1</v>
      </c>
      <c r="H232" s="3">
        <v>1</v>
      </c>
    </row>
    <row r="233" spans="1:8" x14ac:dyDescent="0.25">
      <c r="A233" t="s">
        <v>53</v>
      </c>
      <c r="C233">
        <v>144</v>
      </c>
      <c r="D233" t="s">
        <v>19</v>
      </c>
      <c r="E233">
        <v>8000</v>
      </c>
      <c r="F233" t="s">
        <v>7</v>
      </c>
      <c r="G233">
        <v>1</v>
      </c>
      <c r="H233" s="3">
        <v>1</v>
      </c>
    </row>
    <row r="234" spans="1:8" x14ac:dyDescent="0.25">
      <c r="A234" t="s">
        <v>53</v>
      </c>
      <c r="D234" t="s">
        <v>60</v>
      </c>
      <c r="E234">
        <v>2000</v>
      </c>
      <c r="F234" t="s">
        <v>7</v>
      </c>
      <c r="G234">
        <v>1</v>
      </c>
      <c r="H234" s="3">
        <v>1</v>
      </c>
    </row>
    <row r="235" spans="1:8" x14ac:dyDescent="0.25">
      <c r="A235" t="s">
        <v>1</v>
      </c>
      <c r="G235"/>
      <c r="H235" s="3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zoomScale="85" zoomScaleNormal="85" workbookViewId="0">
      <selection activeCell="E10" sqref="E10:E15"/>
    </sheetView>
  </sheetViews>
  <sheetFormatPr baseColWidth="10" defaultRowHeight="15" x14ac:dyDescent="0.25"/>
  <cols>
    <col min="1" max="1" width="15.85546875" bestFit="1" customWidth="1"/>
    <col min="2" max="4" width="21.42578125" bestFit="1" customWidth="1"/>
    <col min="5" max="5" width="12.5703125" customWidth="1"/>
    <col min="6" max="6" width="12.5703125" bestFit="1" customWidth="1"/>
    <col min="7" max="7" width="2.28515625" customWidth="1"/>
    <col min="8" max="8" width="10.42578125" bestFit="1" customWidth="1"/>
  </cols>
  <sheetData>
    <row r="1" spans="1:8" x14ac:dyDescent="0.25">
      <c r="A1" s="1" t="s">
        <v>6</v>
      </c>
      <c r="B1" s="1" t="s">
        <v>25</v>
      </c>
      <c r="C1" s="1" t="s">
        <v>13</v>
      </c>
    </row>
    <row r="2" spans="1:8" x14ac:dyDescent="0.25">
      <c r="B2" t="s">
        <v>0</v>
      </c>
      <c r="C2" t="s">
        <v>0</v>
      </c>
      <c r="D2" t="s">
        <v>0</v>
      </c>
      <c r="E2" t="s">
        <v>1</v>
      </c>
    </row>
    <row r="3" spans="1:8" x14ac:dyDescent="0.25">
      <c r="A3" s="1" t="s">
        <v>12</v>
      </c>
      <c r="B3" t="s">
        <v>7</v>
      </c>
      <c r="C3" t="s">
        <v>35</v>
      </c>
      <c r="D3" t="s">
        <v>8</v>
      </c>
    </row>
    <row r="4" spans="1:8" x14ac:dyDescent="0.25">
      <c r="A4" t="s">
        <v>2</v>
      </c>
      <c r="B4" s="3">
        <v>192000</v>
      </c>
      <c r="C4" s="3"/>
      <c r="D4" s="3">
        <v>32000</v>
      </c>
      <c r="E4" s="3">
        <v>224000</v>
      </c>
      <c r="F4" s="6" t="str">
        <f>+TEXT(A4,"ddd")</f>
        <v>lun</v>
      </c>
    </row>
    <row r="5" spans="1:8" x14ac:dyDescent="0.25">
      <c r="A5" t="s">
        <v>3</v>
      </c>
      <c r="B5" s="3">
        <v>213000</v>
      </c>
      <c r="C5" s="3"/>
      <c r="D5" s="3">
        <v>8000</v>
      </c>
      <c r="E5" s="3">
        <v>221000</v>
      </c>
      <c r="F5" s="6" t="str">
        <f t="shared" ref="F5:F15" si="0">+TEXT(A5,"ddd")</f>
        <v>mar</v>
      </c>
    </row>
    <row r="6" spans="1:8" x14ac:dyDescent="0.25">
      <c r="A6" t="s">
        <v>4</v>
      </c>
      <c r="B6" s="3">
        <v>344000</v>
      </c>
      <c r="C6" s="3"/>
      <c r="D6" s="3">
        <v>46500</v>
      </c>
      <c r="E6" s="3">
        <v>390500</v>
      </c>
      <c r="F6" s="6" t="str">
        <f t="shared" si="0"/>
        <v>mié</v>
      </c>
    </row>
    <row r="7" spans="1:8" x14ac:dyDescent="0.25">
      <c r="A7" t="s">
        <v>5</v>
      </c>
      <c r="B7" s="3">
        <v>84000</v>
      </c>
      <c r="C7" s="3"/>
      <c r="D7" s="3">
        <v>125000</v>
      </c>
      <c r="E7" s="3">
        <v>209000</v>
      </c>
      <c r="F7" s="6" t="str">
        <f t="shared" si="0"/>
        <v>jue</v>
      </c>
    </row>
    <row r="8" spans="1:8" x14ac:dyDescent="0.25">
      <c r="A8" t="s">
        <v>32</v>
      </c>
      <c r="B8" s="3">
        <v>186000</v>
      </c>
      <c r="C8" s="3">
        <v>11000</v>
      </c>
      <c r="D8" s="3">
        <v>51000</v>
      </c>
      <c r="E8" s="3">
        <v>248000</v>
      </c>
      <c r="F8" s="6" t="str">
        <f t="shared" si="0"/>
        <v>vie</v>
      </c>
    </row>
    <row r="9" spans="1:8" x14ac:dyDescent="0.25">
      <c r="A9" t="s">
        <v>39</v>
      </c>
      <c r="B9" s="3">
        <v>456500</v>
      </c>
      <c r="C9" s="3"/>
      <c r="D9" s="3">
        <v>47000</v>
      </c>
      <c r="E9" s="3">
        <v>503500</v>
      </c>
      <c r="F9" s="6" t="str">
        <f t="shared" si="0"/>
        <v>sáb</v>
      </c>
    </row>
    <row r="10" spans="1:8" x14ac:dyDescent="0.25">
      <c r="A10" t="s">
        <v>45</v>
      </c>
      <c r="B10" s="3">
        <v>60000</v>
      </c>
      <c r="C10" s="3"/>
      <c r="D10" s="3"/>
      <c r="E10" s="3">
        <v>60000</v>
      </c>
      <c r="F10" t="str">
        <f t="shared" si="0"/>
        <v>lun</v>
      </c>
      <c r="H10" s="5"/>
    </row>
    <row r="11" spans="1:8" x14ac:dyDescent="0.25">
      <c r="A11" t="s">
        <v>46</v>
      </c>
      <c r="B11" s="3">
        <v>105000</v>
      </c>
      <c r="C11" s="3">
        <v>11000</v>
      </c>
      <c r="D11" s="3">
        <v>53000</v>
      </c>
      <c r="E11" s="3">
        <v>169000</v>
      </c>
      <c r="F11" t="str">
        <f t="shared" si="0"/>
        <v>mar</v>
      </c>
      <c r="H11" s="5" t="e">
        <f>+#REF!-#REF!</f>
        <v>#REF!</v>
      </c>
    </row>
    <row r="12" spans="1:8" x14ac:dyDescent="0.25">
      <c r="A12" t="s">
        <v>51</v>
      </c>
      <c r="B12" s="3">
        <v>260000</v>
      </c>
      <c r="C12" s="3"/>
      <c r="D12" s="3">
        <v>83000</v>
      </c>
      <c r="E12" s="3">
        <v>343000</v>
      </c>
      <c r="F12" t="str">
        <f t="shared" si="0"/>
        <v>mié</v>
      </c>
      <c r="H12" s="5"/>
    </row>
    <row r="13" spans="1:8" x14ac:dyDescent="0.25">
      <c r="A13" t="s">
        <v>52</v>
      </c>
      <c r="B13" s="3">
        <v>143500</v>
      </c>
      <c r="C13" s="3"/>
      <c r="D13" s="3">
        <v>115500</v>
      </c>
      <c r="E13" s="3">
        <v>259000</v>
      </c>
      <c r="F13" t="str">
        <f t="shared" si="0"/>
        <v>jue</v>
      </c>
    </row>
    <row r="14" spans="1:8" x14ac:dyDescent="0.25">
      <c r="A14" t="s">
        <v>61</v>
      </c>
      <c r="B14" s="3">
        <v>211000</v>
      </c>
      <c r="C14" s="3"/>
      <c r="D14" s="3">
        <v>87500</v>
      </c>
      <c r="E14" s="3">
        <v>298500</v>
      </c>
      <c r="F14" t="str">
        <f t="shared" si="0"/>
        <v>sáb</v>
      </c>
      <c r="H14" s="5"/>
    </row>
    <row r="15" spans="1:8" x14ac:dyDescent="0.25">
      <c r="A15" t="s">
        <v>53</v>
      </c>
      <c r="B15" s="3">
        <v>123500</v>
      </c>
      <c r="C15" s="3">
        <v>3000</v>
      </c>
      <c r="D15" s="3">
        <v>92000</v>
      </c>
      <c r="E15" s="3">
        <v>218500</v>
      </c>
      <c r="F15" t="str">
        <f t="shared" si="0"/>
        <v>dom</v>
      </c>
    </row>
    <row r="16" spans="1:8" x14ac:dyDescent="0.25">
      <c r="A16" t="s">
        <v>1</v>
      </c>
      <c r="B16" s="3">
        <v>2378500</v>
      </c>
      <c r="C16" s="3">
        <v>25000</v>
      </c>
      <c r="D16" s="3">
        <v>740500</v>
      </c>
      <c r="E16" s="3">
        <v>3144000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3"/>
  <sheetViews>
    <sheetView workbookViewId="0">
      <selection activeCell="B3" sqref="B3"/>
    </sheetView>
  </sheetViews>
  <sheetFormatPr baseColWidth="10" defaultRowHeight="15" x14ac:dyDescent="0.25"/>
  <cols>
    <col min="1" max="1" width="13.140625" bestFit="1" customWidth="1"/>
    <col min="2" max="2" width="51.42578125" bestFit="1" customWidth="1"/>
  </cols>
  <sheetData>
    <row r="1" spans="1:2" x14ac:dyDescent="0.25">
      <c r="A1" t="s">
        <v>29</v>
      </c>
      <c r="B1" s="7" t="s">
        <v>26</v>
      </c>
    </row>
    <row r="2" spans="1:2" x14ac:dyDescent="0.25">
      <c r="A2" t="s">
        <v>30</v>
      </c>
      <c r="B2" s="7" t="s">
        <v>27</v>
      </c>
    </row>
    <row r="3" spans="1:2" x14ac:dyDescent="0.25">
      <c r="A3" t="s">
        <v>31</v>
      </c>
      <c r="B3" s="7" t="s">
        <v>28</v>
      </c>
    </row>
  </sheetData>
  <hyperlinks>
    <hyperlink ref="B1" r:id="rId1"/>
    <hyperlink ref="B2" r:id="rId2"/>
    <hyperlink ref="B3" r:id="rId3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91E5C76-40E7-4996-8584-0118F04FBEF4}">
  <ds:schemaRefs/>
</ds:datastoreItem>
</file>

<file path=customXml/itemProps2.xml><?xml version="1.0" encoding="utf-8"?>
<ds:datastoreItem xmlns:ds="http://schemas.openxmlformats.org/officeDocument/2006/customXml" ds:itemID="{F948004D-76CA-46D7-9E0F-4E5D474F9C46}">
  <ds:schemaRefs/>
</ds:datastoreItem>
</file>

<file path=customXml/itemProps3.xml><?xml version="1.0" encoding="utf-8"?>
<ds:datastoreItem xmlns:ds="http://schemas.openxmlformats.org/officeDocument/2006/customXml" ds:itemID="{098E4327-974B-4B0D-91F5-162E9D75323A}">
  <ds:schemaRefs/>
</ds:datastoreItem>
</file>

<file path=customXml/itemProps4.xml><?xml version="1.0" encoding="utf-8"?>
<ds:datastoreItem xmlns:ds="http://schemas.openxmlformats.org/officeDocument/2006/customXml" ds:itemID="{39D61B41-5A67-43EE-9419-C185D49D9134}">
  <ds:schemaRefs/>
</ds:datastoreItem>
</file>

<file path=customXml/itemProps5.xml><?xml version="1.0" encoding="utf-8"?>
<ds:datastoreItem xmlns:ds="http://schemas.openxmlformats.org/officeDocument/2006/customXml" ds:itemID="{63D48641-18DD-40CE-9EE1-4A67630B95CD}">
  <ds:schemaRefs/>
</ds:datastoreItem>
</file>

<file path=customXml/itemProps6.xml><?xml version="1.0" encoding="utf-8"?>
<ds:datastoreItem xmlns:ds="http://schemas.openxmlformats.org/officeDocument/2006/customXml" ds:itemID="{0923900A-484E-4754-B4CA-7CD7455B29F8}">
  <ds:schemaRefs/>
</ds:datastoreItem>
</file>

<file path=customXml/itemProps7.xml><?xml version="1.0" encoding="utf-8"?>
<ds:datastoreItem xmlns:ds="http://schemas.openxmlformats.org/officeDocument/2006/customXml" ds:itemID="{B63E7085-228C-46D5-BA95-D5BD8D46D3BC}">
  <ds:schemaRefs/>
</ds:datastoreItem>
</file>

<file path=customXml/itemProps8.xml><?xml version="1.0" encoding="utf-8"?>
<ds:datastoreItem xmlns:ds="http://schemas.openxmlformats.org/officeDocument/2006/customXml" ds:itemID="{BB25C675-0142-46C0-B119-B964A69C36F7}">
  <ds:schemaRefs/>
</ds:datastoreItem>
</file>

<file path=customXml/itemProps9.xml><?xml version="1.0" encoding="utf-8"?>
<ds:datastoreItem xmlns:ds="http://schemas.openxmlformats.org/officeDocument/2006/customXml" ds:itemID="{63E4A110-B808-42CF-9972-1B026ADBAB7E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A8C41FBF-174E-45B2-B0BA-73A832AA7326}">
  <ds:schemaRefs/>
</ds:datastoreItem>
</file>

<file path=customXml/itemProps11.xml><?xml version="1.0" encoding="utf-8"?>
<ds:datastoreItem xmlns:ds="http://schemas.openxmlformats.org/officeDocument/2006/customXml" ds:itemID="{3EC34395-E632-4875-8B6F-C2A8A996A5BE}">
  <ds:schemaRefs/>
</ds:datastoreItem>
</file>

<file path=customXml/itemProps12.xml><?xml version="1.0" encoding="utf-8"?>
<ds:datastoreItem xmlns:ds="http://schemas.openxmlformats.org/officeDocument/2006/customXml" ds:itemID="{AFCE4F4F-8B07-4A23-9CE3-B3362828CA16}">
  <ds:schemaRefs/>
</ds:datastoreItem>
</file>

<file path=customXml/itemProps13.xml><?xml version="1.0" encoding="utf-8"?>
<ds:datastoreItem xmlns:ds="http://schemas.openxmlformats.org/officeDocument/2006/customXml" ds:itemID="{FB1D0CD9-7ED3-48D8-A3AB-0AA528A1780A}">
  <ds:schemaRefs/>
</ds:datastoreItem>
</file>

<file path=customXml/itemProps14.xml><?xml version="1.0" encoding="utf-8"?>
<ds:datastoreItem xmlns:ds="http://schemas.openxmlformats.org/officeDocument/2006/customXml" ds:itemID="{45FC6974-0190-4FD5-8A3E-E2BFFBF9BA06}">
  <ds:schemaRefs/>
</ds:datastoreItem>
</file>

<file path=customXml/itemProps15.xml><?xml version="1.0" encoding="utf-8"?>
<ds:datastoreItem xmlns:ds="http://schemas.openxmlformats.org/officeDocument/2006/customXml" ds:itemID="{29466B21-50A0-4711-8C3B-BA3D21363A53}">
  <ds:schemaRefs/>
</ds:datastoreItem>
</file>

<file path=customXml/itemProps16.xml><?xml version="1.0" encoding="utf-8"?>
<ds:datastoreItem xmlns:ds="http://schemas.openxmlformats.org/officeDocument/2006/customXml" ds:itemID="{BACC00BD-3502-47AC-941E-7A1E8D4D2542}">
  <ds:schemaRefs/>
</ds:datastoreItem>
</file>

<file path=customXml/itemProps17.xml><?xml version="1.0" encoding="utf-8"?>
<ds:datastoreItem xmlns:ds="http://schemas.openxmlformats.org/officeDocument/2006/customXml" ds:itemID="{FC409827-E32F-4F48-9FF4-3818E929E424}">
  <ds:schemaRefs/>
</ds:datastoreItem>
</file>

<file path=customXml/itemProps18.xml><?xml version="1.0" encoding="utf-8"?>
<ds:datastoreItem xmlns:ds="http://schemas.openxmlformats.org/officeDocument/2006/customXml" ds:itemID="{537CA801-B62F-4F55-B4C0-348E472E09E8}">
  <ds:schemaRefs/>
</ds:datastoreItem>
</file>

<file path=customXml/itemProps19.xml><?xml version="1.0" encoding="utf-8"?>
<ds:datastoreItem xmlns:ds="http://schemas.openxmlformats.org/officeDocument/2006/customXml" ds:itemID="{D7FE6DC1-B767-470D-8489-3CAA60CF0C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sales</vt:lpstr>
      <vt:lpstr>entradas</vt:lpstr>
      <vt:lpstr>Informe</vt:lpstr>
      <vt:lpstr>historial de venta</vt:lpstr>
      <vt:lpstr>Informe (2)</vt:lpstr>
      <vt:lpstr>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2015-06-05T18:19:34Z</dcterms:created>
  <dcterms:modified xsi:type="dcterms:W3CDTF">2026-03-11T00:11:22Z</dcterms:modified>
</cp:coreProperties>
</file>