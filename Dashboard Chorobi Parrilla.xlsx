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DevOps_local\foodtech_choriboni\Documentacion\"/>
    </mc:Choice>
  </mc:AlternateContent>
  <xr:revisionPtr revIDLastSave="0" documentId="13_ncr:1_{60FBF898-9805-4961-9AEE-5B6C77B57507}" xr6:coauthVersionLast="47" xr6:coauthVersionMax="47" xr10:uidLastSave="{00000000-0000-0000-0000-000000000000}"/>
  <bookViews>
    <workbookView xWindow="20370" yWindow="-2070" windowWidth="21840" windowHeight="13140" tabRatio="1000" activeTab="1" xr2:uid="{00000000-000D-0000-FFFF-FFFF00000000}"/>
  </bookViews>
  <sheets>
    <sheet name="Informe" sheetId="14" r:id="rId1"/>
    <sheet name="historial de venta" sheetId="20" r:id="rId2"/>
    <sheet name="urls" sheetId="24" state="hidden" r:id="rId3"/>
  </sheets>
  <calcPr calcId="191029"/>
  <pivotCaches>
    <pivotCache cacheId="104" r:id="rId4"/>
    <pivotCache cacheId="106" r:id="rId5"/>
    <pivotCache cacheId="139" r:id="rId6"/>
    <pivotCache cacheId="151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4" l="1"/>
  <c r="Q7" i="14"/>
  <c r="P7" i="14"/>
  <c r="P9" i="14"/>
  <c r="P8" i="14"/>
  <c r="P6" i="14"/>
  <c r="P5" i="14" l="1"/>
  <c r="I6" i="20" l="1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5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B4C0E8-4AAF-40C5-BF0C-E3FCA9A00986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38AD5161-E4CE-4001-82E4-F903B3352F5D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C7342F16-16ED-4CF2-B2D8-AE6395F0F387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FFA2D5ED-00DD-4608-BFC8-A2358716966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4342F2F4-7454-4C57-9A41-8D2E95DA1657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408F265F-21D7-4660-83EC-F321AAFC570A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59270E76-3734-4EFE-86BE-068A8259E6D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<sst xmlns="http://schemas.openxmlformats.org/spreadsheetml/2006/main" count="361" uniqueCount="43">
  <si>
    <t>VENTA</t>
  </si>
  <si>
    <t>Etiquetas de fila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</si>
  <si>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</si>
  <si>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</si>
  <si>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</si>
  <si>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</si>
  <si>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</si>
  <si>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</si>
  <si>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</si>
  <si>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</si>
  <si>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Etiquetas de columna</t>
  </si>
  <si>
    <t>BASE</t>
  </si>
  <si>
    <t>GASTO</t>
  </si>
  <si>
    <t>RETIRO</t>
  </si>
  <si>
    <t>Suma de egreso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</si>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</sst>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</cellXfs>
  <cellStyles count="4">
    <cellStyle name="Bueno" xfId="1" builtinId="26"/>
    <cellStyle name="Hipervínculo" xfId="3" builtinId="8"/>
    <cellStyle name="Moneda" xfId="2" builtinId="4"/>
    <cellStyle name="Normal" xfId="0" builtinId="0"/>
  </cellStyles>
  <dxfs count="7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7" Type="http://schemas.openxmlformats.org/officeDocument/2006/relationships/pivotCacheDefinition" Target="pivotCache/pivotCacheDefinition4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945884953704" backgroundQuery="1" createdVersion="8" refreshedVersion="8" minRefreshableVersion="3" recordCount="0" supportSubquery="1" supportAdvancedDrill="1" xr:uid="{A94ADAE7-65DD-433F-8F54-367EDB439BF2}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5">
        <s v="23-feb"/>
        <s v="24-feb"/>
        <s v="25-feb"/>
        <s v="26-feb"/>
        <s v="27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36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985935185185" backgroundQuery="1" createdVersion="8" refreshedVersion="8" minRefreshableVersion="3" recordCount="0" supportSubquery="1" supportAdvancedDrill="1" xr:uid="{A4E41740-7FD3-496D-B4C8-EF670EAE1B9C}">
  <cacheSource type="external" connectionId="7"/>
  <cacheFields count="9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2-27T20:08:12" count="75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</x15:cachedUniqueNames>
        </ext>
      </extLst>
    </cacheField>
    <cacheField name="[productos].[nombre_producto].[nombre_producto]" caption="nombre_producto" numFmtId="0" hierarchy="8" level="1">
      <sharedItems count="8">
        <s v="Chorizo"/>
        <s v="Coca cola"/>
        <s v="Agua"/>
        <s v="Postobon"/>
        <s v="Chori- CRUDO"/>
        <s v="parri tres carnes"/>
        <s v="carne + chorizo"/>
        <s v="tint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35000" count="6">
        <n v="8000"/>
        <n v="3000"/>
        <n v="4500"/>
        <n v="35000"/>
        <n v="25000"/>
        <n v="2000"/>
      </sharedItems>
    </cacheField>
    <cacheField name="[transacciones].[fecha (día)].[fecha (día)]" caption="fecha (día)" numFmtId="0" hierarchy="20" level="1">
      <sharedItems count="5">
        <s v="23-feb"/>
        <s v="24-feb"/>
        <s v="25-feb"/>
        <s v="26-feb"/>
        <s v="27-feb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78" count="75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989008101853" backgroundQuery="1" createdVersion="8" refreshedVersion="8" minRefreshableVersion="3" recordCount="0" supportSubquery="1" supportAdvancedDrill="1" xr:uid="{AD6BA708-4447-4F93-B6E0-0A8F75297575}">
  <cacheSource type="external" connectionId="7"/>
  <cacheFields count="4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5">
        <s v="23-feb"/>
        <s v="24-feb"/>
        <s v="25-feb"/>
        <s v="26-feb"/>
        <s v="27-feb"/>
      </sharedItems>
    </cacheField>
    <cacheField name="[Measures].[Suma de valor_total]" caption="Suma de valor_total" numFmtId="0" hierarchy="44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99593391204" backgroundQuery="1" createdVersion="8" refreshedVersion="8" minRefreshableVersion="3" recordCount="0" supportSubquery="1" supportAdvancedDrill="1" xr:uid="{79981766-EA88-4DC6-BE96-8498B107B8B6}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5">
        <s v="23-feb"/>
        <s v="24-feb"/>
        <s v="25-feb"/>
        <s v="26-feb"/>
        <s v="27-feb"/>
      </sharedItems>
    </cacheField>
    <cacheField name="[Measures].[Suma de entrada]" caption="Suma de entrada" numFmtId="0" hierarchy="3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3">
        <s v="EFECTIVO"/>
        <s v="DaviPlata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BDC6F8-0FAD-4D45-A62C-C6C33CCDDAD0}" name="TablaDinámica1" cacheId="151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 colHeaderCaption="   ">
  <location ref="A2:F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5">
        <item x="0" e="0"/>
        <item x="1" e="0"/>
        <item x="2" e="0"/>
        <item x="3" e="0"/>
        <item x="4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3"/>
    <field x="4"/>
  </colFields>
  <colItems count="5">
    <i>
      <x/>
      <x/>
    </i>
    <i>
      <x v="1"/>
      <x v="1"/>
    </i>
    <i r="1">
      <x/>
    </i>
    <i r="1">
      <x v="2"/>
    </i>
    <i t="grand">
      <x/>
    </i>
  </colItems>
  <dataFields count="1">
    <dataField name="Suma de entrada" fld="2" baseField="0" baseItem="0" numFmtId="164"/>
  </dataFields>
  <formats count="1">
    <format dxfId="5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2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FFB010-BB69-4288-A5C2-64A4CACEBCBC}" name="TablaDinámica2" cacheId="104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H2:N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5">
        <item x="0" e="0"/>
        <item x="1" e="0"/>
        <item x="2" e="0"/>
        <item x="3" e="0"/>
        <item x="4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6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FF9378-8C05-4D34-88B7-B7B2745E7D6B}" name="TablaDinámica1" cacheId="13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4:O11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2" name="[transacciones].[nombre_transaccion].&amp;[VENTA]" cap="VENTA"/>
  </pageFields>
  <dataFields count="1">
    <dataField name="Suma de valor_total" fld="3" baseField="0" baseItem="0"/>
  </dataFields>
  <formats count="1">
    <format dxfId="3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F458BF-143F-4CBE-BC3F-7801E571B61A}" name="TablaDinámica3" cacheId="10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H103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</pivotField>
  </pivotFields>
  <rowFields count="7">
    <field x="7"/>
    <field x="3"/>
    <field x="8"/>
    <field x="4"/>
    <field x="6"/>
    <field x="1"/>
    <field x="5"/>
  </rowFields>
  <rowItems count="99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 t="grand"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4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0"/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20376-D8B4-44F4-A46E-31D2CD1BE782}">
  <dimension ref="A2:Q10"/>
  <sheetViews>
    <sheetView topLeftCell="B1" workbookViewId="0">
      <selection activeCell="E18" sqref="E18"/>
    </sheetView>
  </sheetViews>
  <sheetFormatPr baseColWidth="10" defaultRowHeight="15" x14ac:dyDescent="0.25"/>
  <cols>
    <col min="1" max="1" width="17.5703125" bestFit="1" customWidth="1"/>
    <col min="2" max="2" width="10.42578125" bestFit="1" customWidth="1"/>
    <col min="3" max="3" width="9.42578125" bestFit="1" customWidth="1"/>
    <col min="4" max="4" width="12" bestFit="1" customWidth="1"/>
    <col min="5" max="5" width="10.42578125" bestFit="1" customWidth="1"/>
    <col min="6" max="6" width="12.5703125" bestFit="1" customWidth="1"/>
    <col min="7" max="7" width="10.42578125" customWidth="1"/>
    <col min="8" max="8" width="17.5703125" bestFit="1" customWidth="1"/>
    <col min="9" max="9" width="22.42578125" bestFit="1" customWidth="1"/>
    <col min="10" max="11" width="10.42578125" bestFit="1" customWidth="1"/>
    <col min="12" max="12" width="7" bestFit="1" customWidth="1"/>
    <col min="13" max="13" width="8.7109375" bestFit="1" customWidth="1"/>
    <col min="14" max="14" width="12.5703125" bestFit="1" customWidth="1"/>
    <col min="15" max="15" width="3" customWidth="1"/>
  </cols>
  <sheetData>
    <row r="2" spans="1:17" x14ac:dyDescent="0.25">
      <c r="A2" s="1" t="s">
        <v>7</v>
      </c>
      <c r="B2" s="1" t="s">
        <v>42</v>
      </c>
      <c r="H2" s="1" t="s">
        <v>14</v>
      </c>
      <c r="I2" s="1" t="s">
        <v>10</v>
      </c>
    </row>
    <row r="3" spans="1:17" x14ac:dyDescent="0.25">
      <c r="B3" t="s">
        <v>11</v>
      </c>
      <c r="C3" t="s">
        <v>0</v>
      </c>
      <c r="F3" t="s">
        <v>2</v>
      </c>
      <c r="I3" t="s">
        <v>8</v>
      </c>
      <c r="M3" t="s">
        <v>9</v>
      </c>
      <c r="N3" t="s">
        <v>2</v>
      </c>
    </row>
    <row r="4" spans="1:17" x14ac:dyDescent="0.25">
      <c r="A4" s="1" t="s">
        <v>1</v>
      </c>
      <c r="B4" t="s">
        <v>8</v>
      </c>
      <c r="C4" t="s">
        <v>38</v>
      </c>
      <c r="D4" t="s">
        <v>8</v>
      </c>
      <c r="E4" t="s">
        <v>9</v>
      </c>
      <c r="H4" s="1" t="s">
        <v>1</v>
      </c>
      <c r="I4" t="s">
        <v>11</v>
      </c>
      <c r="J4" t="s">
        <v>12</v>
      </c>
      <c r="K4" t="s">
        <v>13</v>
      </c>
      <c r="L4" t="s">
        <v>0</v>
      </c>
      <c r="M4" t="s">
        <v>0</v>
      </c>
      <c r="P4" s="7" t="s">
        <v>8</v>
      </c>
    </row>
    <row r="5" spans="1:17" x14ac:dyDescent="0.25">
      <c r="A5" s="2" t="s">
        <v>3</v>
      </c>
      <c r="B5" s="4">
        <v>73700</v>
      </c>
      <c r="C5" s="4"/>
      <c r="D5" s="4">
        <v>192000</v>
      </c>
      <c r="E5" s="4">
        <v>32000</v>
      </c>
      <c r="F5" s="4">
        <v>297700</v>
      </c>
      <c r="H5" s="2" t="s">
        <v>3</v>
      </c>
      <c r="I5" s="4">
        <v>0</v>
      </c>
      <c r="J5" s="4">
        <v>60000</v>
      </c>
      <c r="K5" s="4">
        <v>100</v>
      </c>
      <c r="L5" s="4">
        <v>0</v>
      </c>
      <c r="M5" s="4">
        <v>0</v>
      </c>
      <c r="N5" s="4">
        <v>60100</v>
      </c>
      <c r="P5" s="5">
        <f>+B5+D5-N5</f>
        <v>205600</v>
      </c>
    </row>
    <row r="6" spans="1:17" x14ac:dyDescent="0.25">
      <c r="A6" s="2" t="s">
        <v>4</v>
      </c>
      <c r="B6" s="4">
        <v>205600</v>
      </c>
      <c r="C6" s="4"/>
      <c r="D6" s="4">
        <v>213000</v>
      </c>
      <c r="E6" s="4">
        <v>8000</v>
      </c>
      <c r="F6" s="4">
        <v>426600</v>
      </c>
      <c r="H6" s="2" t="s">
        <v>4</v>
      </c>
      <c r="I6" s="4">
        <v>0</v>
      </c>
      <c r="J6" s="4">
        <v>103000</v>
      </c>
      <c r="K6" s="4"/>
      <c r="L6" s="4">
        <v>0</v>
      </c>
      <c r="M6" s="4">
        <v>0</v>
      </c>
      <c r="N6" s="4">
        <v>103000</v>
      </c>
      <c r="P6" s="5">
        <f t="shared" ref="P6:P9" si="0">+B6+D6-N6</f>
        <v>315600</v>
      </c>
      <c r="Q6" s="4"/>
    </row>
    <row r="7" spans="1:17" x14ac:dyDescent="0.25">
      <c r="A7" s="2" t="s">
        <v>5</v>
      </c>
      <c r="B7" s="4"/>
      <c r="C7" s="4"/>
      <c r="D7" s="4">
        <v>344000</v>
      </c>
      <c r="E7" s="4">
        <v>46500</v>
      </c>
      <c r="F7" s="4">
        <v>390500</v>
      </c>
      <c r="H7" s="2" t="s">
        <v>5</v>
      </c>
      <c r="I7" s="4"/>
      <c r="J7" s="4">
        <v>226700</v>
      </c>
      <c r="K7" s="4"/>
      <c r="L7" s="4">
        <v>0</v>
      </c>
      <c r="M7" s="4">
        <v>0</v>
      </c>
      <c r="N7" s="4">
        <v>226700</v>
      </c>
      <c r="P7" s="5">
        <f>+B7+D7-N7</f>
        <v>117300</v>
      </c>
      <c r="Q7" s="4">
        <f>+SUM(P6:P7)</f>
        <v>432900</v>
      </c>
    </row>
    <row r="8" spans="1:17" x14ac:dyDescent="0.25">
      <c r="A8" s="2" t="s">
        <v>6</v>
      </c>
      <c r="B8" s="4"/>
      <c r="C8" s="4"/>
      <c r="D8" s="4">
        <v>84000</v>
      </c>
      <c r="E8" s="4">
        <v>125000</v>
      </c>
      <c r="F8" s="4">
        <v>209000</v>
      </c>
      <c r="H8" s="2" t="s">
        <v>6</v>
      </c>
      <c r="I8" s="4"/>
      <c r="J8" s="4">
        <v>84000</v>
      </c>
      <c r="K8" s="4"/>
      <c r="L8" s="4">
        <v>0</v>
      </c>
      <c r="M8" s="4">
        <v>0</v>
      </c>
      <c r="N8" s="4">
        <v>84000</v>
      </c>
      <c r="P8" s="5">
        <f t="shared" si="0"/>
        <v>0</v>
      </c>
      <c r="Q8" s="4">
        <f>$Q$7-20000-7900</f>
        <v>405000</v>
      </c>
    </row>
    <row r="9" spans="1:17" x14ac:dyDescent="0.25">
      <c r="A9" s="2" t="s">
        <v>35</v>
      </c>
      <c r="B9" s="4">
        <v>405000</v>
      </c>
      <c r="C9" s="4">
        <v>11000</v>
      </c>
      <c r="D9" s="4">
        <v>186000</v>
      </c>
      <c r="E9" s="4">
        <v>51000</v>
      </c>
      <c r="F9" s="4">
        <v>653000</v>
      </c>
      <c r="H9" s="2" t="s">
        <v>35</v>
      </c>
      <c r="I9" s="4">
        <v>0</v>
      </c>
      <c r="J9" s="4">
        <v>240000</v>
      </c>
      <c r="K9" s="4">
        <v>307900</v>
      </c>
      <c r="L9" s="4">
        <v>0</v>
      </c>
      <c r="M9" s="4">
        <v>0</v>
      </c>
      <c r="N9" s="4">
        <v>547900</v>
      </c>
      <c r="P9" s="5">
        <f t="shared" si="0"/>
        <v>43100</v>
      </c>
    </row>
    <row r="10" spans="1:17" x14ac:dyDescent="0.25">
      <c r="A10" s="2" t="s">
        <v>2</v>
      </c>
      <c r="B10" s="4">
        <v>684300</v>
      </c>
      <c r="C10" s="4">
        <v>11000</v>
      </c>
      <c r="D10" s="4">
        <v>1019000</v>
      </c>
      <c r="E10" s="4">
        <v>262500</v>
      </c>
      <c r="F10" s="4">
        <v>1976800</v>
      </c>
      <c r="H10" s="2" t="s">
        <v>2</v>
      </c>
      <c r="I10" s="4">
        <v>0</v>
      </c>
      <c r="J10" s="4">
        <v>713700</v>
      </c>
      <c r="K10" s="4">
        <v>308000</v>
      </c>
      <c r="L10" s="4">
        <v>0</v>
      </c>
      <c r="M10" s="4">
        <v>0</v>
      </c>
      <c r="N10" s="4">
        <v>1021700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618A-51CA-4953-BF15-A4AA407BDA3E}">
  <dimension ref="A2:R103"/>
  <sheetViews>
    <sheetView tabSelected="1" zoomScale="85" zoomScaleNormal="85" workbookViewId="0">
      <selection activeCell="M9" sqref="M9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6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6" bestFit="1" customWidth="1"/>
    <col min="18" max="18" width="19.5703125" bestFit="1" customWidth="1"/>
  </cols>
  <sheetData>
    <row r="2" spans="1:18" x14ac:dyDescent="0.25">
      <c r="A2" s="1" t="s">
        <v>28</v>
      </c>
      <c r="B2" t="s" vm="1">
        <v>0</v>
      </c>
      <c r="H2" s="4"/>
      <c r="K2" s="1" t="s">
        <v>28</v>
      </c>
      <c r="L2" t="s" vm="1">
        <v>0</v>
      </c>
      <c r="R2" s="4"/>
    </row>
    <row r="4" spans="1:18" x14ac:dyDescent="0.25">
      <c r="A4" s="1" t="s">
        <v>15</v>
      </c>
      <c r="B4" s="1" t="s">
        <v>17</v>
      </c>
      <c r="C4" s="1" t="s">
        <v>39</v>
      </c>
      <c r="D4" s="1" t="s">
        <v>19</v>
      </c>
      <c r="E4" s="1" t="s">
        <v>27</v>
      </c>
      <c r="F4" s="1" t="s">
        <v>16</v>
      </c>
      <c r="G4" s="1" t="s">
        <v>26</v>
      </c>
      <c r="H4" t="s">
        <v>18</v>
      </c>
      <c r="I4" s="9" t="s">
        <v>41</v>
      </c>
      <c r="K4" s="1" t="s">
        <v>40</v>
      </c>
      <c r="L4" s="1" t="s">
        <v>16</v>
      </c>
      <c r="Q4"/>
    </row>
    <row r="5" spans="1:18" x14ac:dyDescent="0.25">
      <c r="A5" t="s">
        <v>3</v>
      </c>
      <c r="B5" s="3">
        <v>46076.692083333335</v>
      </c>
      <c r="C5">
        <v>2</v>
      </c>
      <c r="D5" t="s">
        <v>22</v>
      </c>
      <c r="E5">
        <v>8000</v>
      </c>
      <c r="F5" t="s">
        <v>8</v>
      </c>
      <c r="G5">
        <v>2</v>
      </c>
      <c r="H5" s="4">
        <v>1</v>
      </c>
      <c r="I5" s="10">
        <f>+E5*G5</f>
        <v>16000</v>
      </c>
      <c r="K5" s="1" t="s">
        <v>15</v>
      </c>
      <c r="L5" t="s">
        <v>38</v>
      </c>
      <c r="M5" t="s">
        <v>8</v>
      </c>
      <c r="N5" t="s">
        <v>9</v>
      </c>
      <c r="O5" t="s">
        <v>2</v>
      </c>
      <c r="Q5"/>
    </row>
    <row r="6" spans="1:18" x14ac:dyDescent="0.25">
      <c r="A6" t="s">
        <v>3</v>
      </c>
      <c r="B6" s="3">
        <v>46076.709675925929</v>
      </c>
      <c r="C6">
        <v>3</v>
      </c>
      <c r="D6" t="s">
        <v>22</v>
      </c>
      <c r="E6">
        <v>8000</v>
      </c>
      <c r="F6" t="s">
        <v>9</v>
      </c>
      <c r="G6">
        <v>1</v>
      </c>
      <c r="H6" s="4">
        <v>1</v>
      </c>
      <c r="I6" s="10">
        <f t="shared" ref="I6:I69" si="0">+E6*G6</f>
        <v>8000</v>
      </c>
      <c r="K6" t="s">
        <v>3</v>
      </c>
      <c r="L6" s="4"/>
      <c r="M6" s="4">
        <v>192000</v>
      </c>
      <c r="N6" s="4">
        <v>32000</v>
      </c>
      <c r="O6" s="4">
        <v>224000</v>
      </c>
      <c r="Q6"/>
    </row>
    <row r="7" spans="1:18" x14ac:dyDescent="0.25">
      <c r="A7" t="s">
        <v>3</v>
      </c>
      <c r="B7" s="3">
        <v>46076.717372685183</v>
      </c>
      <c r="C7">
        <v>4</v>
      </c>
      <c r="D7" t="s">
        <v>22</v>
      </c>
      <c r="E7">
        <v>8000</v>
      </c>
      <c r="F7" t="s">
        <v>8</v>
      </c>
      <c r="G7">
        <v>2</v>
      </c>
      <c r="H7" s="4">
        <v>1</v>
      </c>
      <c r="I7" s="10">
        <f t="shared" si="0"/>
        <v>16000</v>
      </c>
      <c r="K7" t="s">
        <v>4</v>
      </c>
      <c r="L7" s="4"/>
      <c r="M7" s="4">
        <v>213000</v>
      </c>
      <c r="N7" s="4">
        <v>8000</v>
      </c>
      <c r="O7" s="4">
        <v>221000</v>
      </c>
      <c r="Q7"/>
    </row>
    <row r="8" spans="1:18" x14ac:dyDescent="0.25">
      <c r="A8" t="s">
        <v>3</v>
      </c>
      <c r="D8" t="s">
        <v>23</v>
      </c>
      <c r="E8">
        <v>3000</v>
      </c>
      <c r="F8" t="s">
        <v>8</v>
      </c>
      <c r="G8">
        <v>2</v>
      </c>
      <c r="H8" s="4">
        <v>1</v>
      </c>
      <c r="I8" s="10">
        <f t="shared" si="0"/>
        <v>6000</v>
      </c>
      <c r="K8" t="s">
        <v>5</v>
      </c>
      <c r="L8" s="4"/>
      <c r="M8" s="4">
        <v>344000</v>
      </c>
      <c r="N8" s="4">
        <v>46500</v>
      </c>
      <c r="O8" s="4">
        <v>390500</v>
      </c>
      <c r="Q8"/>
    </row>
    <row r="9" spans="1:18" x14ac:dyDescent="0.25">
      <c r="A9" t="s">
        <v>3</v>
      </c>
      <c r="B9" s="3">
        <v>46076.72047453704</v>
      </c>
      <c r="C9">
        <v>5</v>
      </c>
      <c r="D9" t="s">
        <v>22</v>
      </c>
      <c r="E9">
        <v>8000</v>
      </c>
      <c r="F9" t="s">
        <v>9</v>
      </c>
      <c r="G9">
        <v>3</v>
      </c>
      <c r="H9" s="4">
        <v>1</v>
      </c>
      <c r="I9" s="10">
        <f t="shared" si="0"/>
        <v>24000</v>
      </c>
      <c r="K9" t="s">
        <v>6</v>
      </c>
      <c r="L9" s="4"/>
      <c r="M9" s="4">
        <v>84000</v>
      </c>
      <c r="N9" s="4">
        <v>125000</v>
      </c>
      <c r="O9" s="4">
        <v>209000</v>
      </c>
      <c r="Q9"/>
    </row>
    <row r="10" spans="1:18" x14ac:dyDescent="0.25">
      <c r="A10" t="s">
        <v>3</v>
      </c>
      <c r="B10" s="3">
        <v>46076.750289351854</v>
      </c>
      <c r="C10">
        <v>6</v>
      </c>
      <c r="D10" t="s">
        <v>20</v>
      </c>
      <c r="E10">
        <v>3000</v>
      </c>
      <c r="F10" t="s">
        <v>8</v>
      </c>
      <c r="G10">
        <v>2</v>
      </c>
      <c r="H10" s="4">
        <v>1</v>
      </c>
      <c r="I10" s="10">
        <f t="shared" si="0"/>
        <v>6000</v>
      </c>
      <c r="K10" t="s">
        <v>35</v>
      </c>
      <c r="L10" s="4">
        <v>11000</v>
      </c>
      <c r="M10" s="4">
        <v>186000</v>
      </c>
      <c r="N10" s="4">
        <v>51000</v>
      </c>
      <c r="O10" s="4">
        <v>248000</v>
      </c>
      <c r="Q10"/>
    </row>
    <row r="11" spans="1:18" x14ac:dyDescent="0.25">
      <c r="A11" t="s">
        <v>3</v>
      </c>
      <c r="D11" t="s">
        <v>22</v>
      </c>
      <c r="E11">
        <v>8000</v>
      </c>
      <c r="F11" t="s">
        <v>8</v>
      </c>
      <c r="G11">
        <v>2</v>
      </c>
      <c r="H11" s="4">
        <v>1</v>
      </c>
      <c r="I11" s="10">
        <f t="shared" si="0"/>
        <v>16000</v>
      </c>
      <c r="K11" t="s">
        <v>2</v>
      </c>
      <c r="L11" s="4">
        <v>11000</v>
      </c>
      <c r="M11" s="4">
        <v>1019000</v>
      </c>
      <c r="N11" s="4">
        <v>262500</v>
      </c>
      <c r="O11" s="4">
        <v>1292500</v>
      </c>
      <c r="Q11"/>
    </row>
    <row r="12" spans="1:18" x14ac:dyDescent="0.25">
      <c r="A12" t="s">
        <v>3</v>
      </c>
      <c r="B12" s="3">
        <v>46076.751967592594</v>
      </c>
      <c r="C12">
        <v>7</v>
      </c>
      <c r="D12" t="s">
        <v>22</v>
      </c>
      <c r="E12">
        <v>8000</v>
      </c>
      <c r="F12" t="s">
        <v>8</v>
      </c>
      <c r="G12">
        <v>2</v>
      </c>
      <c r="H12" s="4">
        <v>1</v>
      </c>
      <c r="I12" s="10">
        <f t="shared" si="0"/>
        <v>16000</v>
      </c>
      <c r="Q12"/>
    </row>
    <row r="13" spans="1:18" x14ac:dyDescent="0.25">
      <c r="A13" t="s">
        <v>3</v>
      </c>
      <c r="D13" t="s">
        <v>25</v>
      </c>
      <c r="E13">
        <v>3000</v>
      </c>
      <c r="F13" t="s">
        <v>8</v>
      </c>
      <c r="G13">
        <v>1</v>
      </c>
      <c r="H13" s="4">
        <v>1</v>
      </c>
      <c r="I13" s="10">
        <f t="shared" si="0"/>
        <v>3000</v>
      </c>
      <c r="Q13"/>
    </row>
    <row r="14" spans="1:18" x14ac:dyDescent="0.25">
      <c r="A14" t="s">
        <v>3</v>
      </c>
      <c r="B14" s="3">
        <v>46076.787222222221</v>
      </c>
      <c r="C14">
        <v>8</v>
      </c>
      <c r="D14" t="s">
        <v>22</v>
      </c>
      <c r="E14">
        <v>8000</v>
      </c>
      <c r="F14" t="s">
        <v>8</v>
      </c>
      <c r="G14">
        <v>1</v>
      </c>
      <c r="H14" s="4">
        <v>1</v>
      </c>
      <c r="I14" s="10">
        <f t="shared" si="0"/>
        <v>8000</v>
      </c>
      <c r="Q14"/>
    </row>
    <row r="15" spans="1:18" x14ac:dyDescent="0.25">
      <c r="A15" t="s">
        <v>3</v>
      </c>
      <c r="B15" s="3">
        <v>46076.795474537037</v>
      </c>
      <c r="C15">
        <v>9</v>
      </c>
      <c r="D15" t="s">
        <v>22</v>
      </c>
      <c r="E15">
        <v>8000</v>
      </c>
      <c r="F15" t="s">
        <v>8</v>
      </c>
      <c r="G15">
        <v>2</v>
      </c>
      <c r="H15" s="4">
        <v>1</v>
      </c>
      <c r="I15" s="10">
        <f t="shared" si="0"/>
        <v>16000</v>
      </c>
      <c r="Q15"/>
    </row>
    <row r="16" spans="1:18" x14ac:dyDescent="0.25">
      <c r="A16" t="s">
        <v>3</v>
      </c>
      <c r="D16" t="s">
        <v>23</v>
      </c>
      <c r="E16">
        <v>3000</v>
      </c>
      <c r="F16" t="s">
        <v>8</v>
      </c>
      <c r="G16">
        <v>2</v>
      </c>
      <c r="H16" s="4">
        <v>1</v>
      </c>
      <c r="I16" s="10">
        <f t="shared" si="0"/>
        <v>6000</v>
      </c>
      <c r="Q16"/>
    </row>
    <row r="17" spans="1:17" x14ac:dyDescent="0.25">
      <c r="A17" t="s">
        <v>3</v>
      </c>
      <c r="B17" s="3">
        <v>46076.818287037036</v>
      </c>
      <c r="C17">
        <v>10</v>
      </c>
      <c r="D17" t="s">
        <v>22</v>
      </c>
      <c r="E17">
        <v>8000</v>
      </c>
      <c r="F17" t="s">
        <v>8</v>
      </c>
      <c r="G17">
        <v>3</v>
      </c>
      <c r="H17" s="4">
        <v>1</v>
      </c>
      <c r="I17" s="10">
        <f t="shared" si="0"/>
        <v>24000</v>
      </c>
      <c r="Q17"/>
    </row>
    <row r="18" spans="1:17" x14ac:dyDescent="0.25">
      <c r="A18" t="s">
        <v>3</v>
      </c>
      <c r="B18" s="3">
        <v>46076.841643518521</v>
      </c>
      <c r="C18">
        <v>11</v>
      </c>
      <c r="D18" t="s">
        <v>22</v>
      </c>
      <c r="E18">
        <v>8000</v>
      </c>
      <c r="F18" t="s">
        <v>8</v>
      </c>
      <c r="G18">
        <v>1</v>
      </c>
      <c r="H18" s="4">
        <v>1</v>
      </c>
      <c r="I18" s="10">
        <f t="shared" si="0"/>
        <v>8000</v>
      </c>
      <c r="Q18"/>
    </row>
    <row r="19" spans="1:17" x14ac:dyDescent="0.25">
      <c r="A19" t="s">
        <v>3</v>
      </c>
      <c r="B19" s="3">
        <v>46076.843854166669</v>
      </c>
      <c r="C19">
        <v>12</v>
      </c>
      <c r="D19" t="s">
        <v>22</v>
      </c>
      <c r="E19">
        <v>8000</v>
      </c>
      <c r="F19" t="s">
        <v>8</v>
      </c>
      <c r="G19">
        <v>1</v>
      </c>
      <c r="H19" s="4">
        <v>1</v>
      </c>
      <c r="I19" s="10">
        <f t="shared" si="0"/>
        <v>8000</v>
      </c>
      <c r="Q19"/>
    </row>
    <row r="20" spans="1:17" x14ac:dyDescent="0.25">
      <c r="A20" t="s">
        <v>3</v>
      </c>
      <c r="B20" s="3">
        <v>46076.845659722225</v>
      </c>
      <c r="C20">
        <v>13</v>
      </c>
      <c r="D20" t="s">
        <v>22</v>
      </c>
      <c r="E20">
        <v>8000</v>
      </c>
      <c r="F20" t="s">
        <v>8</v>
      </c>
      <c r="G20">
        <v>1</v>
      </c>
      <c r="H20" s="4">
        <v>1</v>
      </c>
      <c r="I20" s="10">
        <f t="shared" si="0"/>
        <v>8000</v>
      </c>
      <c r="Q20"/>
    </row>
    <row r="21" spans="1:17" x14ac:dyDescent="0.25">
      <c r="A21" t="s">
        <v>3</v>
      </c>
      <c r="D21" t="s">
        <v>25</v>
      </c>
      <c r="E21">
        <v>3000</v>
      </c>
      <c r="F21" t="s">
        <v>8</v>
      </c>
      <c r="G21">
        <v>1</v>
      </c>
      <c r="H21" s="4">
        <v>1</v>
      </c>
      <c r="I21" s="10">
        <f t="shared" si="0"/>
        <v>3000</v>
      </c>
      <c r="Q21"/>
    </row>
    <row r="22" spans="1:17" x14ac:dyDescent="0.25">
      <c r="A22" t="s">
        <v>3</v>
      </c>
      <c r="B22" s="3">
        <v>46076.850243055553</v>
      </c>
      <c r="C22">
        <v>14</v>
      </c>
      <c r="D22" t="s">
        <v>22</v>
      </c>
      <c r="E22">
        <v>8000</v>
      </c>
      <c r="F22" t="s">
        <v>8</v>
      </c>
      <c r="G22">
        <v>3</v>
      </c>
      <c r="H22" s="4">
        <v>1</v>
      </c>
      <c r="I22" s="10">
        <f t="shared" si="0"/>
        <v>24000</v>
      </c>
      <c r="Q22"/>
    </row>
    <row r="23" spans="1:17" x14ac:dyDescent="0.25">
      <c r="A23" t="s">
        <v>3</v>
      </c>
      <c r="B23" s="3">
        <v>46076.852650462963</v>
      </c>
      <c r="C23">
        <v>15</v>
      </c>
      <c r="D23" t="s">
        <v>22</v>
      </c>
      <c r="E23">
        <v>8000</v>
      </c>
      <c r="F23" t="s">
        <v>8</v>
      </c>
      <c r="G23">
        <v>1</v>
      </c>
      <c r="H23" s="4">
        <v>1</v>
      </c>
      <c r="I23" s="10">
        <f t="shared" si="0"/>
        <v>8000</v>
      </c>
      <c r="Q23"/>
    </row>
    <row r="24" spans="1:17" x14ac:dyDescent="0.25">
      <c r="A24" t="s">
        <v>4</v>
      </c>
      <c r="B24" s="3">
        <v>46077.648680555554</v>
      </c>
      <c r="C24">
        <v>16</v>
      </c>
      <c r="D24" t="s">
        <v>22</v>
      </c>
      <c r="E24">
        <v>8000</v>
      </c>
      <c r="F24" t="s">
        <v>8</v>
      </c>
      <c r="G24">
        <v>5</v>
      </c>
      <c r="H24" s="4">
        <v>1</v>
      </c>
      <c r="I24" s="10">
        <f t="shared" si="0"/>
        <v>40000</v>
      </c>
      <c r="Q24"/>
    </row>
    <row r="25" spans="1:17" x14ac:dyDescent="0.25">
      <c r="A25" t="s">
        <v>4</v>
      </c>
      <c r="B25" s="3">
        <v>46077.649351851855</v>
      </c>
      <c r="C25">
        <v>17</v>
      </c>
      <c r="D25" t="s">
        <v>22</v>
      </c>
      <c r="E25">
        <v>8000</v>
      </c>
      <c r="F25" t="s">
        <v>8</v>
      </c>
      <c r="G25">
        <v>3</v>
      </c>
      <c r="H25" s="4">
        <v>1</v>
      </c>
      <c r="I25" s="10">
        <f t="shared" si="0"/>
        <v>24000</v>
      </c>
      <c r="Q25"/>
    </row>
    <row r="26" spans="1:17" x14ac:dyDescent="0.25">
      <c r="A26" t="s">
        <v>4</v>
      </c>
      <c r="B26" s="3">
        <v>46077.740034722221</v>
      </c>
      <c r="C26">
        <v>18</v>
      </c>
      <c r="D26" t="s">
        <v>22</v>
      </c>
      <c r="E26">
        <v>8000</v>
      </c>
      <c r="F26" t="s">
        <v>8</v>
      </c>
      <c r="G26">
        <v>1</v>
      </c>
      <c r="H26" s="4">
        <v>1</v>
      </c>
      <c r="I26" s="10">
        <f t="shared" si="0"/>
        <v>8000</v>
      </c>
      <c r="Q26"/>
    </row>
    <row r="27" spans="1:17" x14ac:dyDescent="0.25">
      <c r="A27" t="s">
        <v>4</v>
      </c>
      <c r="B27" s="3">
        <v>46077.759606481479</v>
      </c>
      <c r="C27">
        <v>19</v>
      </c>
      <c r="D27" t="s">
        <v>22</v>
      </c>
      <c r="E27">
        <v>8000</v>
      </c>
      <c r="F27" t="s">
        <v>8</v>
      </c>
      <c r="G27">
        <v>1</v>
      </c>
      <c r="H27" s="4">
        <v>1</v>
      </c>
      <c r="I27" s="10">
        <f t="shared" si="0"/>
        <v>8000</v>
      </c>
      <c r="Q27"/>
    </row>
    <row r="28" spans="1:17" x14ac:dyDescent="0.25">
      <c r="A28" t="s">
        <v>4</v>
      </c>
      <c r="B28" s="3">
        <v>46077.774178240739</v>
      </c>
      <c r="C28">
        <v>20</v>
      </c>
      <c r="D28" t="s">
        <v>22</v>
      </c>
      <c r="E28">
        <v>8000</v>
      </c>
      <c r="F28" t="s">
        <v>8</v>
      </c>
      <c r="G28">
        <v>2</v>
      </c>
      <c r="H28" s="4">
        <v>1</v>
      </c>
      <c r="I28" s="10">
        <f t="shared" si="0"/>
        <v>16000</v>
      </c>
      <c r="Q28"/>
    </row>
    <row r="29" spans="1:17" x14ac:dyDescent="0.25">
      <c r="A29" t="s">
        <v>4</v>
      </c>
      <c r="B29" s="3">
        <v>46077.775185185186</v>
      </c>
      <c r="C29">
        <v>21</v>
      </c>
      <c r="D29" t="s">
        <v>22</v>
      </c>
      <c r="E29">
        <v>8000</v>
      </c>
      <c r="F29" t="s">
        <v>8</v>
      </c>
      <c r="G29">
        <v>1</v>
      </c>
      <c r="H29" s="4">
        <v>1</v>
      </c>
      <c r="I29" s="10">
        <f t="shared" si="0"/>
        <v>8000</v>
      </c>
      <c r="Q29"/>
    </row>
    <row r="30" spans="1:17" x14ac:dyDescent="0.25">
      <c r="A30" t="s">
        <v>4</v>
      </c>
      <c r="B30" s="3">
        <v>46077.77952546296</v>
      </c>
      <c r="C30">
        <v>22</v>
      </c>
      <c r="D30" t="s">
        <v>21</v>
      </c>
      <c r="E30">
        <v>4500</v>
      </c>
      <c r="F30" t="s">
        <v>8</v>
      </c>
      <c r="G30">
        <v>2</v>
      </c>
      <c r="H30" s="4">
        <v>1</v>
      </c>
      <c r="I30" s="10">
        <f t="shared" si="0"/>
        <v>9000</v>
      </c>
      <c r="Q30"/>
    </row>
    <row r="31" spans="1:17" x14ac:dyDescent="0.25">
      <c r="A31" t="s">
        <v>4</v>
      </c>
      <c r="D31" t="s">
        <v>22</v>
      </c>
      <c r="E31">
        <v>8000</v>
      </c>
      <c r="F31" t="s">
        <v>8</v>
      </c>
      <c r="G31">
        <v>1</v>
      </c>
      <c r="H31" s="4">
        <v>1</v>
      </c>
      <c r="I31" s="10">
        <f t="shared" si="0"/>
        <v>8000</v>
      </c>
      <c r="Q31"/>
    </row>
    <row r="32" spans="1:17" x14ac:dyDescent="0.25">
      <c r="A32" t="s">
        <v>4</v>
      </c>
      <c r="B32" s="3">
        <v>46077.797152777777</v>
      </c>
      <c r="C32">
        <v>23</v>
      </c>
      <c r="D32" t="s">
        <v>22</v>
      </c>
      <c r="E32">
        <v>8000</v>
      </c>
      <c r="F32" t="s">
        <v>8</v>
      </c>
      <c r="G32">
        <v>1</v>
      </c>
      <c r="H32" s="4">
        <v>1</v>
      </c>
      <c r="I32" s="10">
        <f t="shared" si="0"/>
        <v>8000</v>
      </c>
      <c r="Q32"/>
    </row>
    <row r="33" spans="1:17" x14ac:dyDescent="0.25">
      <c r="A33" t="s">
        <v>4</v>
      </c>
      <c r="B33" s="3">
        <v>46077.834386574075</v>
      </c>
      <c r="C33">
        <v>24</v>
      </c>
      <c r="D33" t="s">
        <v>22</v>
      </c>
      <c r="E33">
        <v>8000</v>
      </c>
      <c r="F33" t="s">
        <v>9</v>
      </c>
      <c r="G33">
        <v>1</v>
      </c>
      <c r="H33" s="4">
        <v>1</v>
      </c>
      <c r="I33" s="10">
        <f t="shared" si="0"/>
        <v>8000</v>
      </c>
      <c r="Q33"/>
    </row>
    <row r="34" spans="1:17" x14ac:dyDescent="0.25">
      <c r="A34" t="s">
        <v>4</v>
      </c>
      <c r="B34" s="3">
        <v>46077.836875000001</v>
      </c>
      <c r="C34">
        <v>25</v>
      </c>
      <c r="D34" t="s">
        <v>22</v>
      </c>
      <c r="E34">
        <v>8000</v>
      </c>
      <c r="F34" t="s">
        <v>8</v>
      </c>
      <c r="G34">
        <v>1</v>
      </c>
      <c r="H34" s="4">
        <v>1</v>
      </c>
      <c r="I34" s="10">
        <f t="shared" si="0"/>
        <v>8000</v>
      </c>
      <c r="Q34"/>
    </row>
    <row r="35" spans="1:17" x14ac:dyDescent="0.25">
      <c r="A35" t="s">
        <v>4</v>
      </c>
      <c r="B35" s="3">
        <v>46077.847013888888</v>
      </c>
      <c r="C35">
        <v>26</v>
      </c>
      <c r="D35" t="s">
        <v>20</v>
      </c>
      <c r="E35">
        <v>3000</v>
      </c>
      <c r="F35" t="s">
        <v>8</v>
      </c>
      <c r="G35">
        <v>1</v>
      </c>
      <c r="H35" s="4">
        <v>1</v>
      </c>
      <c r="I35" s="10">
        <f t="shared" si="0"/>
        <v>3000</v>
      </c>
      <c r="Q35"/>
    </row>
    <row r="36" spans="1:17" x14ac:dyDescent="0.25">
      <c r="A36" t="s">
        <v>4</v>
      </c>
      <c r="D36" t="s">
        <v>22</v>
      </c>
      <c r="E36">
        <v>8000</v>
      </c>
      <c r="F36" t="s">
        <v>8</v>
      </c>
      <c r="G36">
        <v>3</v>
      </c>
      <c r="H36" s="4">
        <v>1</v>
      </c>
      <c r="I36" s="10">
        <f t="shared" si="0"/>
        <v>24000</v>
      </c>
      <c r="Q36"/>
    </row>
    <row r="37" spans="1:17" x14ac:dyDescent="0.25">
      <c r="A37" t="s">
        <v>4</v>
      </c>
      <c r="D37" t="s">
        <v>25</v>
      </c>
      <c r="E37">
        <v>3000</v>
      </c>
      <c r="F37" t="s">
        <v>8</v>
      </c>
      <c r="G37">
        <v>1</v>
      </c>
      <c r="H37" s="4">
        <v>1</v>
      </c>
      <c r="I37" s="10">
        <f t="shared" si="0"/>
        <v>3000</v>
      </c>
      <c r="Q37"/>
    </row>
    <row r="38" spans="1:17" x14ac:dyDescent="0.25">
      <c r="A38" t="s">
        <v>4</v>
      </c>
      <c r="B38" s="3">
        <v>46077.849872685183</v>
      </c>
      <c r="C38">
        <v>27</v>
      </c>
      <c r="D38" t="s">
        <v>22</v>
      </c>
      <c r="E38">
        <v>8000</v>
      </c>
      <c r="F38" t="s">
        <v>8</v>
      </c>
      <c r="G38">
        <v>4</v>
      </c>
      <c r="H38" s="4">
        <v>1</v>
      </c>
      <c r="I38" s="10">
        <f t="shared" si="0"/>
        <v>32000</v>
      </c>
      <c r="Q38"/>
    </row>
    <row r="39" spans="1:17" x14ac:dyDescent="0.25">
      <c r="A39" t="s">
        <v>4</v>
      </c>
      <c r="D39" t="s">
        <v>23</v>
      </c>
      <c r="E39">
        <v>3000</v>
      </c>
      <c r="F39" t="s">
        <v>8</v>
      </c>
      <c r="G39">
        <v>2</v>
      </c>
      <c r="H39" s="4">
        <v>1</v>
      </c>
      <c r="I39" s="10">
        <f t="shared" si="0"/>
        <v>6000</v>
      </c>
      <c r="Q39"/>
    </row>
    <row r="40" spans="1:17" x14ac:dyDescent="0.25">
      <c r="A40" t="s">
        <v>4</v>
      </c>
      <c r="B40" s="3">
        <v>46077.867604166669</v>
      </c>
      <c r="C40">
        <v>28</v>
      </c>
      <c r="D40" t="s">
        <v>22</v>
      </c>
      <c r="E40">
        <v>8000</v>
      </c>
      <c r="F40" t="s">
        <v>8</v>
      </c>
      <c r="G40">
        <v>1</v>
      </c>
      <c r="H40" s="4">
        <v>1</v>
      </c>
      <c r="I40" s="10">
        <f t="shared" si="0"/>
        <v>8000</v>
      </c>
      <c r="Q40"/>
    </row>
    <row r="41" spans="1:17" x14ac:dyDescent="0.25">
      <c r="A41" t="s">
        <v>5</v>
      </c>
      <c r="B41" s="3">
        <v>46078.578043981484</v>
      </c>
      <c r="C41">
        <v>29</v>
      </c>
      <c r="D41" t="s">
        <v>22</v>
      </c>
      <c r="E41">
        <v>8000</v>
      </c>
      <c r="F41" t="s">
        <v>8</v>
      </c>
      <c r="G41">
        <v>1</v>
      </c>
      <c r="H41" s="4">
        <v>1</v>
      </c>
      <c r="I41" s="10">
        <f t="shared" si="0"/>
        <v>8000</v>
      </c>
      <c r="Q41"/>
    </row>
    <row r="42" spans="1:17" x14ac:dyDescent="0.25">
      <c r="A42" t="s">
        <v>5</v>
      </c>
      <c r="B42" s="3">
        <v>46078.579907407409</v>
      </c>
      <c r="C42">
        <v>30</v>
      </c>
      <c r="D42" t="s">
        <v>22</v>
      </c>
      <c r="E42">
        <v>8000</v>
      </c>
      <c r="F42" t="s">
        <v>8</v>
      </c>
      <c r="G42">
        <v>1</v>
      </c>
      <c r="H42" s="4">
        <v>1</v>
      </c>
      <c r="I42" s="10">
        <f t="shared" si="0"/>
        <v>8000</v>
      </c>
      <c r="Q42"/>
    </row>
    <row r="43" spans="1:17" x14ac:dyDescent="0.25">
      <c r="A43" t="s">
        <v>5</v>
      </c>
      <c r="B43" s="3">
        <v>46078.58693287037</v>
      </c>
      <c r="C43">
        <v>31</v>
      </c>
      <c r="D43" t="s">
        <v>22</v>
      </c>
      <c r="E43">
        <v>8000</v>
      </c>
      <c r="F43" t="s">
        <v>8</v>
      </c>
      <c r="G43">
        <v>1</v>
      </c>
      <c r="H43" s="4">
        <v>1</v>
      </c>
      <c r="I43" s="10">
        <f t="shared" si="0"/>
        <v>8000</v>
      </c>
      <c r="Q43"/>
    </row>
    <row r="44" spans="1:17" x14ac:dyDescent="0.25">
      <c r="A44" t="s">
        <v>5</v>
      </c>
      <c r="B44" s="3">
        <v>46078.59138888889</v>
      </c>
      <c r="C44">
        <v>32</v>
      </c>
      <c r="D44" t="s">
        <v>24</v>
      </c>
      <c r="E44">
        <v>35000</v>
      </c>
      <c r="F44" t="s">
        <v>8</v>
      </c>
      <c r="G44">
        <v>1</v>
      </c>
      <c r="H44" s="4">
        <v>1</v>
      </c>
      <c r="I44" s="10">
        <f t="shared" si="0"/>
        <v>35000</v>
      </c>
      <c r="Q44"/>
    </row>
    <row r="45" spans="1:17" x14ac:dyDescent="0.25">
      <c r="A45" t="s">
        <v>5</v>
      </c>
      <c r="B45" s="3">
        <v>46078.600636574076</v>
      </c>
      <c r="C45">
        <v>34</v>
      </c>
      <c r="D45" t="s">
        <v>24</v>
      </c>
      <c r="E45">
        <v>35000</v>
      </c>
      <c r="F45" t="s">
        <v>8</v>
      </c>
      <c r="G45">
        <v>1</v>
      </c>
      <c r="H45" s="4">
        <v>1</v>
      </c>
      <c r="I45" s="10">
        <f t="shared" si="0"/>
        <v>35000</v>
      </c>
      <c r="Q45"/>
    </row>
    <row r="46" spans="1:17" x14ac:dyDescent="0.25">
      <c r="A46" t="s">
        <v>5</v>
      </c>
      <c r="B46" s="3">
        <v>46078.601261574076</v>
      </c>
      <c r="C46">
        <v>35</v>
      </c>
      <c r="D46" t="s">
        <v>22</v>
      </c>
      <c r="E46">
        <v>8000</v>
      </c>
      <c r="F46" t="s">
        <v>8</v>
      </c>
      <c r="G46">
        <v>2</v>
      </c>
      <c r="H46" s="4">
        <v>1</v>
      </c>
      <c r="I46" s="10">
        <f t="shared" si="0"/>
        <v>16000</v>
      </c>
      <c r="Q46"/>
    </row>
    <row r="47" spans="1:17" x14ac:dyDescent="0.25">
      <c r="A47" t="s">
        <v>5</v>
      </c>
      <c r="B47" s="3">
        <v>46078.694513888891</v>
      </c>
      <c r="C47">
        <v>36</v>
      </c>
      <c r="D47" t="s">
        <v>22</v>
      </c>
      <c r="E47">
        <v>8000</v>
      </c>
      <c r="F47" t="s">
        <v>8</v>
      </c>
      <c r="G47">
        <v>1</v>
      </c>
      <c r="H47" s="4">
        <v>1</v>
      </c>
      <c r="I47" s="10">
        <f t="shared" si="0"/>
        <v>8000</v>
      </c>
      <c r="Q47"/>
    </row>
    <row r="48" spans="1:17" x14ac:dyDescent="0.25">
      <c r="A48" t="s">
        <v>5</v>
      </c>
      <c r="B48" s="3">
        <v>46078.695300925923</v>
      </c>
      <c r="C48">
        <v>37</v>
      </c>
      <c r="D48" t="s">
        <v>22</v>
      </c>
      <c r="E48">
        <v>8000</v>
      </c>
      <c r="F48" t="s">
        <v>9</v>
      </c>
      <c r="G48">
        <v>1</v>
      </c>
      <c r="H48" s="4">
        <v>1</v>
      </c>
      <c r="I48" s="10">
        <f t="shared" si="0"/>
        <v>8000</v>
      </c>
      <c r="Q48"/>
    </row>
    <row r="49" spans="1:17" x14ac:dyDescent="0.25">
      <c r="A49" t="s">
        <v>5</v>
      </c>
      <c r="B49" s="3">
        <v>46078.762141203704</v>
      </c>
      <c r="C49">
        <v>38</v>
      </c>
      <c r="D49" t="s">
        <v>22</v>
      </c>
      <c r="E49">
        <v>8000</v>
      </c>
      <c r="F49" t="s">
        <v>8</v>
      </c>
      <c r="G49">
        <v>1</v>
      </c>
      <c r="H49" s="4">
        <v>1</v>
      </c>
      <c r="I49" s="10">
        <f t="shared" si="0"/>
        <v>8000</v>
      </c>
      <c r="Q49"/>
    </row>
    <row r="50" spans="1:17" x14ac:dyDescent="0.25">
      <c r="A50" t="s">
        <v>5</v>
      </c>
      <c r="B50" s="3">
        <v>46078.764027777775</v>
      </c>
      <c r="C50">
        <v>39</v>
      </c>
      <c r="D50" t="s">
        <v>22</v>
      </c>
      <c r="E50">
        <v>8000</v>
      </c>
      <c r="F50" t="s">
        <v>8</v>
      </c>
      <c r="G50">
        <v>1</v>
      </c>
      <c r="H50" s="4">
        <v>1</v>
      </c>
      <c r="I50" s="10">
        <f t="shared" si="0"/>
        <v>8000</v>
      </c>
      <c r="Q50"/>
    </row>
    <row r="51" spans="1:17" x14ac:dyDescent="0.25">
      <c r="A51" t="s">
        <v>5</v>
      </c>
      <c r="B51" s="3">
        <v>46078.768379629626</v>
      </c>
      <c r="C51">
        <v>41</v>
      </c>
      <c r="D51" t="s">
        <v>22</v>
      </c>
      <c r="E51">
        <v>8000</v>
      </c>
      <c r="F51" t="s">
        <v>8</v>
      </c>
      <c r="G51">
        <v>1</v>
      </c>
      <c r="H51" s="4">
        <v>1</v>
      </c>
      <c r="I51" s="10">
        <f t="shared" si="0"/>
        <v>8000</v>
      </c>
      <c r="Q51"/>
    </row>
    <row r="52" spans="1:17" x14ac:dyDescent="0.25">
      <c r="A52" t="s">
        <v>5</v>
      </c>
      <c r="B52" s="3">
        <v>46078.77375</v>
      </c>
      <c r="C52">
        <v>42</v>
      </c>
      <c r="D52" t="s">
        <v>22</v>
      </c>
      <c r="E52">
        <v>8000</v>
      </c>
      <c r="F52" t="s">
        <v>8</v>
      </c>
      <c r="G52">
        <v>5</v>
      </c>
      <c r="H52" s="4">
        <v>1</v>
      </c>
      <c r="I52" s="10">
        <f t="shared" si="0"/>
        <v>40000</v>
      </c>
      <c r="Q52"/>
    </row>
    <row r="53" spans="1:17" x14ac:dyDescent="0.25">
      <c r="A53" t="s">
        <v>5</v>
      </c>
      <c r="B53" s="3">
        <v>46078.774247685185</v>
      </c>
      <c r="C53">
        <v>43</v>
      </c>
      <c r="D53" t="s">
        <v>23</v>
      </c>
      <c r="E53">
        <v>3000</v>
      </c>
      <c r="F53" t="s">
        <v>8</v>
      </c>
      <c r="G53">
        <v>2</v>
      </c>
      <c r="H53" s="4">
        <v>1</v>
      </c>
      <c r="I53" s="10">
        <f t="shared" si="0"/>
        <v>6000</v>
      </c>
      <c r="Q53"/>
    </row>
    <row r="54" spans="1:17" x14ac:dyDescent="0.25">
      <c r="A54" t="s">
        <v>5</v>
      </c>
      <c r="D54" t="s">
        <v>25</v>
      </c>
      <c r="E54">
        <v>3000</v>
      </c>
      <c r="F54" t="s">
        <v>8</v>
      </c>
      <c r="G54">
        <v>1</v>
      </c>
      <c r="H54" s="4">
        <v>1</v>
      </c>
      <c r="I54" s="10">
        <f t="shared" si="0"/>
        <v>3000</v>
      </c>
      <c r="Q54"/>
    </row>
    <row r="55" spans="1:17" x14ac:dyDescent="0.25">
      <c r="A55" t="s">
        <v>5</v>
      </c>
      <c r="B55" s="3">
        <v>46078.777766203704</v>
      </c>
      <c r="C55">
        <v>44</v>
      </c>
      <c r="D55" t="s">
        <v>22</v>
      </c>
      <c r="E55">
        <v>8000</v>
      </c>
      <c r="F55" t="s">
        <v>8</v>
      </c>
      <c r="G55">
        <v>3</v>
      </c>
      <c r="H55" s="4">
        <v>1</v>
      </c>
      <c r="I55" s="10">
        <f t="shared" si="0"/>
        <v>24000</v>
      </c>
      <c r="Q55"/>
    </row>
    <row r="56" spans="1:17" x14ac:dyDescent="0.25">
      <c r="A56" t="s">
        <v>5</v>
      </c>
      <c r="B56" s="3">
        <v>46078.799016203702</v>
      </c>
      <c r="C56">
        <v>45</v>
      </c>
      <c r="D56" t="s">
        <v>22</v>
      </c>
      <c r="E56">
        <v>8000</v>
      </c>
      <c r="F56" t="s">
        <v>9</v>
      </c>
      <c r="G56">
        <v>1</v>
      </c>
      <c r="H56" s="4">
        <v>1</v>
      </c>
      <c r="I56" s="10">
        <f t="shared" si="0"/>
        <v>8000</v>
      </c>
      <c r="Q56"/>
    </row>
    <row r="57" spans="1:17" x14ac:dyDescent="0.25">
      <c r="A57" t="s">
        <v>5</v>
      </c>
      <c r="B57" s="3">
        <v>46078.800497685188</v>
      </c>
      <c r="C57">
        <v>46</v>
      </c>
      <c r="D57" t="s">
        <v>22</v>
      </c>
      <c r="E57">
        <v>8000</v>
      </c>
      <c r="F57" t="s">
        <v>8</v>
      </c>
      <c r="G57">
        <v>1</v>
      </c>
      <c r="H57" s="4">
        <v>1</v>
      </c>
      <c r="I57" s="10">
        <f t="shared" si="0"/>
        <v>8000</v>
      </c>
      <c r="Q57"/>
    </row>
    <row r="58" spans="1:17" x14ac:dyDescent="0.25">
      <c r="A58" t="s">
        <v>5</v>
      </c>
      <c r="D58" t="s">
        <v>23</v>
      </c>
      <c r="E58">
        <v>3000</v>
      </c>
      <c r="F58" t="s">
        <v>8</v>
      </c>
      <c r="G58">
        <v>1</v>
      </c>
      <c r="H58" s="4">
        <v>1</v>
      </c>
      <c r="I58" s="10">
        <f t="shared" si="0"/>
        <v>3000</v>
      </c>
      <c r="Q58"/>
    </row>
    <row r="59" spans="1:17" x14ac:dyDescent="0.25">
      <c r="A59" t="s">
        <v>5</v>
      </c>
      <c r="B59" s="3">
        <v>46078.806875000002</v>
      </c>
      <c r="C59">
        <v>47</v>
      </c>
      <c r="D59" t="s">
        <v>21</v>
      </c>
      <c r="E59">
        <v>4500</v>
      </c>
      <c r="F59" t="s">
        <v>9</v>
      </c>
      <c r="G59">
        <v>5</v>
      </c>
      <c r="H59" s="4">
        <v>1</v>
      </c>
      <c r="I59" s="10">
        <f t="shared" si="0"/>
        <v>22500</v>
      </c>
      <c r="Q59"/>
    </row>
    <row r="60" spans="1:17" x14ac:dyDescent="0.25">
      <c r="A60" t="s">
        <v>5</v>
      </c>
      <c r="B60" s="3">
        <v>46078.81894675926</v>
      </c>
      <c r="C60">
        <v>48</v>
      </c>
      <c r="D60" t="s">
        <v>24</v>
      </c>
      <c r="E60">
        <v>35000</v>
      </c>
      <c r="F60" t="s">
        <v>8</v>
      </c>
      <c r="G60">
        <v>1</v>
      </c>
      <c r="H60" s="4">
        <v>1</v>
      </c>
      <c r="I60" s="10">
        <f t="shared" si="0"/>
        <v>35000</v>
      </c>
      <c r="Q60"/>
    </row>
    <row r="61" spans="1:17" x14ac:dyDescent="0.25">
      <c r="A61" t="s">
        <v>5</v>
      </c>
      <c r="D61" t="s">
        <v>25</v>
      </c>
      <c r="E61">
        <v>3000</v>
      </c>
      <c r="F61" t="s">
        <v>8</v>
      </c>
      <c r="G61">
        <v>1</v>
      </c>
      <c r="H61" s="4">
        <v>1</v>
      </c>
      <c r="I61" s="10">
        <f t="shared" si="0"/>
        <v>3000</v>
      </c>
      <c r="Q61"/>
    </row>
    <row r="62" spans="1:17" x14ac:dyDescent="0.25">
      <c r="A62" t="s">
        <v>5</v>
      </c>
      <c r="B62" s="3">
        <v>46078.819791666669</v>
      </c>
      <c r="C62">
        <v>49</v>
      </c>
      <c r="D62" t="s">
        <v>22</v>
      </c>
      <c r="E62">
        <v>8000</v>
      </c>
      <c r="F62" t="s">
        <v>8</v>
      </c>
      <c r="G62">
        <v>2</v>
      </c>
      <c r="H62" s="4">
        <v>1</v>
      </c>
      <c r="I62" s="10">
        <f t="shared" si="0"/>
        <v>16000</v>
      </c>
      <c r="Q62"/>
    </row>
    <row r="63" spans="1:17" x14ac:dyDescent="0.25">
      <c r="A63" t="s">
        <v>5</v>
      </c>
      <c r="B63" s="3">
        <v>46078.83253472222</v>
      </c>
      <c r="C63">
        <v>50</v>
      </c>
      <c r="D63" t="s">
        <v>22</v>
      </c>
      <c r="E63">
        <v>8000</v>
      </c>
      <c r="F63" t="s">
        <v>8</v>
      </c>
      <c r="G63">
        <v>2</v>
      </c>
      <c r="H63" s="4">
        <v>1</v>
      </c>
      <c r="I63" s="10">
        <f t="shared" si="0"/>
        <v>16000</v>
      </c>
      <c r="Q63"/>
    </row>
    <row r="64" spans="1:17" x14ac:dyDescent="0.25">
      <c r="A64" t="s">
        <v>5</v>
      </c>
      <c r="B64" s="3">
        <v>46078.838090277779</v>
      </c>
      <c r="C64">
        <v>51</v>
      </c>
      <c r="D64" t="s">
        <v>22</v>
      </c>
      <c r="E64">
        <v>8000</v>
      </c>
      <c r="F64" t="s">
        <v>8</v>
      </c>
      <c r="G64">
        <v>4</v>
      </c>
      <c r="H64" s="4">
        <v>1</v>
      </c>
      <c r="I64" s="10">
        <f t="shared" si="0"/>
        <v>32000</v>
      </c>
      <c r="Q64"/>
    </row>
    <row r="65" spans="1:17" x14ac:dyDescent="0.25">
      <c r="A65" t="s">
        <v>5</v>
      </c>
      <c r="B65" s="3">
        <v>46078.841678240744</v>
      </c>
      <c r="C65">
        <v>52</v>
      </c>
      <c r="D65" t="s">
        <v>22</v>
      </c>
      <c r="E65">
        <v>8000</v>
      </c>
      <c r="F65" t="s">
        <v>9</v>
      </c>
      <c r="G65">
        <v>1</v>
      </c>
      <c r="H65" s="4">
        <v>1</v>
      </c>
      <c r="I65" s="10">
        <f t="shared" si="0"/>
        <v>8000</v>
      </c>
      <c r="Q65"/>
    </row>
    <row r="66" spans="1:17" x14ac:dyDescent="0.25">
      <c r="A66" t="s">
        <v>5</v>
      </c>
      <c r="B66" s="3">
        <v>46078.848043981481</v>
      </c>
      <c r="C66">
        <v>53</v>
      </c>
      <c r="D66" t="s">
        <v>22</v>
      </c>
      <c r="E66">
        <v>8000</v>
      </c>
      <c r="F66" t="s">
        <v>8</v>
      </c>
      <c r="G66">
        <v>2</v>
      </c>
      <c r="H66" s="4">
        <v>1</v>
      </c>
      <c r="I66" s="10">
        <f t="shared" si="0"/>
        <v>16000</v>
      </c>
      <c r="Q66"/>
    </row>
    <row r="67" spans="1:17" x14ac:dyDescent="0.25">
      <c r="A67" t="s">
        <v>6</v>
      </c>
      <c r="B67" s="3">
        <v>46079.557025462964</v>
      </c>
      <c r="C67">
        <v>54</v>
      </c>
      <c r="D67" t="s">
        <v>21</v>
      </c>
      <c r="E67">
        <v>4500</v>
      </c>
      <c r="F67" t="s">
        <v>8</v>
      </c>
      <c r="G67">
        <v>2</v>
      </c>
      <c r="H67" s="4">
        <v>1</v>
      </c>
      <c r="I67" s="10">
        <f t="shared" si="0"/>
        <v>9000</v>
      </c>
      <c r="Q67"/>
    </row>
    <row r="68" spans="1:17" x14ac:dyDescent="0.25">
      <c r="A68" t="s">
        <v>6</v>
      </c>
      <c r="B68" s="3">
        <v>46079.560671296298</v>
      </c>
      <c r="C68">
        <v>55</v>
      </c>
      <c r="D68" t="s">
        <v>22</v>
      </c>
      <c r="E68">
        <v>8000</v>
      </c>
      <c r="F68" t="s">
        <v>8</v>
      </c>
      <c r="G68">
        <v>2</v>
      </c>
      <c r="H68" s="4">
        <v>1</v>
      </c>
      <c r="I68" s="10">
        <f t="shared" si="0"/>
        <v>16000</v>
      </c>
      <c r="Q68"/>
    </row>
    <row r="69" spans="1:17" x14ac:dyDescent="0.25">
      <c r="A69" t="s">
        <v>6</v>
      </c>
      <c r="B69" s="3">
        <v>46079.634108796294</v>
      </c>
      <c r="C69">
        <v>56</v>
      </c>
      <c r="D69" t="s">
        <v>37</v>
      </c>
      <c r="E69">
        <v>25000</v>
      </c>
      <c r="F69" t="s">
        <v>9</v>
      </c>
      <c r="G69">
        <v>1</v>
      </c>
      <c r="H69" s="4">
        <v>1</v>
      </c>
      <c r="I69" s="10">
        <f t="shared" si="0"/>
        <v>25000</v>
      </c>
      <c r="Q69"/>
    </row>
    <row r="70" spans="1:17" x14ac:dyDescent="0.25">
      <c r="A70" t="s">
        <v>6</v>
      </c>
      <c r="B70" s="3">
        <v>46079.72755787037</v>
      </c>
      <c r="C70">
        <v>57</v>
      </c>
      <c r="D70" t="s">
        <v>22</v>
      </c>
      <c r="E70">
        <v>8000</v>
      </c>
      <c r="F70" t="s">
        <v>9</v>
      </c>
      <c r="G70">
        <v>5</v>
      </c>
      <c r="H70" s="4">
        <v>1</v>
      </c>
      <c r="I70" s="10">
        <f t="shared" ref="I70:I103" si="1">+E70*G70</f>
        <v>40000</v>
      </c>
      <c r="Q70"/>
    </row>
    <row r="71" spans="1:17" x14ac:dyDescent="0.25">
      <c r="A71" t="s">
        <v>6</v>
      </c>
      <c r="D71" t="s">
        <v>25</v>
      </c>
      <c r="E71">
        <v>3000</v>
      </c>
      <c r="F71" t="s">
        <v>9</v>
      </c>
      <c r="G71">
        <v>3</v>
      </c>
      <c r="H71" s="4">
        <v>1</v>
      </c>
      <c r="I71" s="10">
        <f t="shared" si="1"/>
        <v>9000</v>
      </c>
      <c r="Q71"/>
    </row>
    <row r="72" spans="1:17" x14ac:dyDescent="0.25">
      <c r="A72" t="s">
        <v>6</v>
      </c>
      <c r="B72" s="3">
        <v>46079.752893518518</v>
      </c>
      <c r="C72">
        <v>58</v>
      </c>
      <c r="D72" t="s">
        <v>22</v>
      </c>
      <c r="E72">
        <v>8000</v>
      </c>
      <c r="F72" t="s">
        <v>8</v>
      </c>
      <c r="G72">
        <v>1</v>
      </c>
      <c r="H72" s="4">
        <v>1</v>
      </c>
      <c r="I72" s="10">
        <f t="shared" si="1"/>
        <v>8000</v>
      </c>
      <c r="Q72"/>
    </row>
    <row r="73" spans="1:17" x14ac:dyDescent="0.25">
      <c r="A73" t="s">
        <v>6</v>
      </c>
      <c r="B73" s="3">
        <v>46079.763055555559</v>
      </c>
      <c r="C73">
        <v>59</v>
      </c>
      <c r="D73" t="s">
        <v>22</v>
      </c>
      <c r="E73">
        <v>8000</v>
      </c>
      <c r="F73" t="s">
        <v>9</v>
      </c>
      <c r="G73">
        <v>1</v>
      </c>
      <c r="H73" s="4">
        <v>1</v>
      </c>
      <c r="I73" s="10">
        <f t="shared" si="1"/>
        <v>8000</v>
      </c>
      <c r="Q73"/>
    </row>
    <row r="74" spans="1:17" x14ac:dyDescent="0.25">
      <c r="A74" t="s">
        <v>6</v>
      </c>
      <c r="B74" s="3">
        <v>46079.764050925929</v>
      </c>
      <c r="C74">
        <v>60</v>
      </c>
      <c r="D74" t="s">
        <v>22</v>
      </c>
      <c r="E74">
        <v>8000</v>
      </c>
      <c r="F74" t="s">
        <v>8</v>
      </c>
      <c r="G74">
        <v>1</v>
      </c>
      <c r="H74" s="4">
        <v>1</v>
      </c>
      <c r="I74" s="10">
        <f t="shared" si="1"/>
        <v>8000</v>
      </c>
      <c r="Q74"/>
    </row>
    <row r="75" spans="1:17" x14ac:dyDescent="0.25">
      <c r="A75" t="s">
        <v>6</v>
      </c>
      <c r="B75" s="3">
        <v>46079.773599537039</v>
      </c>
      <c r="C75">
        <v>61</v>
      </c>
      <c r="D75" t="s">
        <v>22</v>
      </c>
      <c r="E75">
        <v>8000</v>
      </c>
      <c r="F75" t="s">
        <v>9</v>
      </c>
      <c r="G75">
        <v>1</v>
      </c>
      <c r="H75" s="4">
        <v>1</v>
      </c>
      <c r="I75" s="10">
        <f t="shared" si="1"/>
        <v>8000</v>
      </c>
      <c r="Q75"/>
    </row>
    <row r="76" spans="1:17" x14ac:dyDescent="0.25">
      <c r="A76" t="s">
        <v>6</v>
      </c>
      <c r="B76" s="3">
        <v>46079.794652777775</v>
      </c>
      <c r="C76">
        <v>62</v>
      </c>
      <c r="D76" t="s">
        <v>22</v>
      </c>
      <c r="E76">
        <v>8000</v>
      </c>
      <c r="F76" t="s">
        <v>8</v>
      </c>
      <c r="G76">
        <v>2</v>
      </c>
      <c r="H76" s="4">
        <v>1</v>
      </c>
      <c r="I76" s="10">
        <f t="shared" si="1"/>
        <v>16000</v>
      </c>
      <c r="Q76"/>
    </row>
    <row r="77" spans="1:17" x14ac:dyDescent="0.25">
      <c r="A77" t="s">
        <v>6</v>
      </c>
      <c r="B77" s="3">
        <v>46079.812418981484</v>
      </c>
      <c r="C77">
        <v>63</v>
      </c>
      <c r="D77" t="s">
        <v>22</v>
      </c>
      <c r="E77">
        <v>8000</v>
      </c>
      <c r="F77" t="s">
        <v>9</v>
      </c>
      <c r="G77">
        <v>2</v>
      </c>
      <c r="H77" s="4">
        <v>1</v>
      </c>
      <c r="I77" s="10">
        <f t="shared" si="1"/>
        <v>16000</v>
      </c>
      <c r="Q77"/>
    </row>
    <row r="78" spans="1:17" x14ac:dyDescent="0.25">
      <c r="A78" t="s">
        <v>6</v>
      </c>
      <c r="D78" t="s">
        <v>23</v>
      </c>
      <c r="E78">
        <v>3000</v>
      </c>
      <c r="F78" t="s">
        <v>9</v>
      </c>
      <c r="G78">
        <v>1</v>
      </c>
      <c r="H78" s="4">
        <v>1</v>
      </c>
      <c r="I78" s="10">
        <f t="shared" si="1"/>
        <v>3000</v>
      </c>
      <c r="Q78"/>
    </row>
    <row r="79" spans="1:17" x14ac:dyDescent="0.25">
      <c r="A79" t="s">
        <v>6</v>
      </c>
      <c r="B79" s="3">
        <v>46079.81355324074</v>
      </c>
      <c r="C79">
        <v>64</v>
      </c>
      <c r="D79" t="s">
        <v>22</v>
      </c>
      <c r="E79">
        <v>8000</v>
      </c>
      <c r="F79" t="s">
        <v>8</v>
      </c>
      <c r="G79">
        <v>1</v>
      </c>
      <c r="H79" s="4">
        <v>1</v>
      </c>
      <c r="I79" s="10">
        <f t="shared" si="1"/>
        <v>8000</v>
      </c>
      <c r="Q79"/>
    </row>
    <row r="80" spans="1:17" x14ac:dyDescent="0.25">
      <c r="A80" t="s">
        <v>6</v>
      </c>
      <c r="B80" s="3">
        <v>46079.814722222225</v>
      </c>
      <c r="C80">
        <v>65</v>
      </c>
      <c r="D80" t="s">
        <v>22</v>
      </c>
      <c r="E80">
        <v>8000</v>
      </c>
      <c r="F80" t="s">
        <v>8</v>
      </c>
      <c r="G80">
        <v>1</v>
      </c>
      <c r="H80" s="4">
        <v>1</v>
      </c>
      <c r="I80" s="10">
        <f t="shared" si="1"/>
        <v>8000</v>
      </c>
      <c r="Q80"/>
    </row>
    <row r="81" spans="1:17" x14ac:dyDescent="0.25">
      <c r="A81" t="s">
        <v>6</v>
      </c>
      <c r="B81" s="3">
        <v>46079.84375</v>
      </c>
      <c r="C81">
        <v>66</v>
      </c>
      <c r="D81" t="s">
        <v>22</v>
      </c>
      <c r="E81">
        <v>8000</v>
      </c>
      <c r="F81" t="s">
        <v>8</v>
      </c>
      <c r="G81">
        <v>1</v>
      </c>
      <c r="H81" s="4">
        <v>1</v>
      </c>
      <c r="I81" s="10">
        <f t="shared" si="1"/>
        <v>8000</v>
      </c>
      <c r="Q81"/>
    </row>
    <row r="82" spans="1:17" x14ac:dyDescent="0.25">
      <c r="A82" t="s">
        <v>6</v>
      </c>
      <c r="D82" t="s">
        <v>25</v>
      </c>
      <c r="E82">
        <v>3000</v>
      </c>
      <c r="F82" t="s">
        <v>8</v>
      </c>
      <c r="G82">
        <v>1</v>
      </c>
      <c r="H82" s="4">
        <v>1</v>
      </c>
      <c r="I82" s="10">
        <f t="shared" si="1"/>
        <v>3000</v>
      </c>
      <c r="Q82"/>
    </row>
    <row r="83" spans="1:17" x14ac:dyDescent="0.25">
      <c r="A83" t="s">
        <v>6</v>
      </c>
      <c r="B83" s="3">
        <v>46079.843946759262</v>
      </c>
      <c r="C83">
        <v>67</v>
      </c>
      <c r="D83" t="s">
        <v>22</v>
      </c>
      <c r="E83">
        <v>8000</v>
      </c>
      <c r="F83" t="s">
        <v>9</v>
      </c>
      <c r="G83">
        <v>1</v>
      </c>
      <c r="H83" s="4">
        <v>1</v>
      </c>
      <c r="I83" s="10">
        <f t="shared" si="1"/>
        <v>8000</v>
      </c>
      <c r="Q83"/>
    </row>
    <row r="84" spans="1:17" x14ac:dyDescent="0.25">
      <c r="A84" t="s">
        <v>6</v>
      </c>
      <c r="B84" s="3">
        <v>46079.844108796293</v>
      </c>
      <c r="C84">
        <v>68</v>
      </c>
      <c r="D84" t="s">
        <v>22</v>
      </c>
      <c r="E84">
        <v>8000</v>
      </c>
      <c r="F84" t="s">
        <v>9</v>
      </c>
      <c r="G84">
        <v>1</v>
      </c>
      <c r="H84" s="4">
        <v>1</v>
      </c>
      <c r="I84" s="10">
        <f t="shared" si="1"/>
        <v>8000</v>
      </c>
      <c r="Q84"/>
    </row>
    <row r="85" spans="1:17" x14ac:dyDescent="0.25">
      <c r="A85" t="s">
        <v>35</v>
      </c>
      <c r="B85" s="3">
        <v>46080.630173611113</v>
      </c>
      <c r="C85">
        <v>69</v>
      </c>
      <c r="D85" t="s">
        <v>22</v>
      </c>
      <c r="E85">
        <v>8000</v>
      </c>
      <c r="F85" t="s">
        <v>9</v>
      </c>
      <c r="G85">
        <v>1</v>
      </c>
      <c r="H85" s="4">
        <v>1</v>
      </c>
      <c r="I85" s="10">
        <f t="shared" si="1"/>
        <v>8000</v>
      </c>
      <c r="Q85"/>
    </row>
    <row r="86" spans="1:17" x14ac:dyDescent="0.25">
      <c r="A86" t="s">
        <v>35</v>
      </c>
      <c r="D86" t="s">
        <v>25</v>
      </c>
      <c r="E86">
        <v>3000</v>
      </c>
      <c r="F86" t="s">
        <v>9</v>
      </c>
      <c r="G86">
        <v>1</v>
      </c>
      <c r="H86" s="4">
        <v>1</v>
      </c>
      <c r="I86" s="10">
        <f t="shared" si="1"/>
        <v>3000</v>
      </c>
      <c r="Q86"/>
    </row>
    <row r="87" spans="1:17" x14ac:dyDescent="0.25">
      <c r="A87" t="s">
        <v>35</v>
      </c>
      <c r="B87" s="3">
        <v>46080.631249999999</v>
      </c>
      <c r="C87">
        <v>70</v>
      </c>
      <c r="D87" t="s">
        <v>22</v>
      </c>
      <c r="E87">
        <v>8000</v>
      </c>
      <c r="F87" t="s">
        <v>8</v>
      </c>
      <c r="G87">
        <v>1</v>
      </c>
      <c r="H87" s="4">
        <v>1</v>
      </c>
      <c r="I87" s="10">
        <f t="shared" si="1"/>
        <v>8000</v>
      </c>
      <c r="Q87"/>
    </row>
    <row r="88" spans="1:17" x14ac:dyDescent="0.25">
      <c r="A88" t="s">
        <v>35</v>
      </c>
      <c r="B88" s="3">
        <v>46080.715798611112</v>
      </c>
      <c r="C88">
        <v>71</v>
      </c>
      <c r="D88" t="s">
        <v>22</v>
      </c>
      <c r="E88">
        <v>8000</v>
      </c>
      <c r="F88" t="s">
        <v>8</v>
      </c>
      <c r="G88">
        <v>1</v>
      </c>
      <c r="H88" s="4">
        <v>1</v>
      </c>
      <c r="I88" s="10">
        <f t="shared" si="1"/>
        <v>8000</v>
      </c>
      <c r="Q88"/>
    </row>
    <row r="89" spans="1:17" x14ac:dyDescent="0.25">
      <c r="A89" t="s">
        <v>35</v>
      </c>
      <c r="D89" t="s">
        <v>24</v>
      </c>
      <c r="E89">
        <v>35000</v>
      </c>
      <c r="F89" t="s">
        <v>8</v>
      </c>
      <c r="G89">
        <v>1</v>
      </c>
      <c r="H89" s="4">
        <v>1</v>
      </c>
      <c r="I89" s="10">
        <f t="shared" si="1"/>
        <v>35000</v>
      </c>
      <c r="Q89"/>
    </row>
    <row r="90" spans="1:17" x14ac:dyDescent="0.25">
      <c r="A90" t="s">
        <v>35</v>
      </c>
      <c r="D90" t="s">
        <v>36</v>
      </c>
      <c r="E90">
        <v>2000</v>
      </c>
      <c r="F90" t="s">
        <v>8</v>
      </c>
      <c r="G90">
        <v>1</v>
      </c>
      <c r="H90" s="4">
        <v>1</v>
      </c>
      <c r="I90" s="10">
        <f t="shared" si="1"/>
        <v>2000</v>
      </c>
      <c r="Q90"/>
    </row>
    <row r="91" spans="1:17" x14ac:dyDescent="0.25">
      <c r="A91" t="s">
        <v>35</v>
      </c>
      <c r="B91" s="3">
        <v>46080.725428240738</v>
      </c>
      <c r="C91">
        <v>72</v>
      </c>
      <c r="D91" t="s">
        <v>22</v>
      </c>
      <c r="E91">
        <v>8000</v>
      </c>
      <c r="F91" t="s">
        <v>8</v>
      </c>
      <c r="G91">
        <v>3</v>
      </c>
      <c r="H91" s="4">
        <v>1</v>
      </c>
      <c r="I91" s="10">
        <f t="shared" si="1"/>
        <v>24000</v>
      </c>
      <c r="Q91"/>
    </row>
    <row r="92" spans="1:17" x14ac:dyDescent="0.25">
      <c r="A92" t="s">
        <v>35</v>
      </c>
      <c r="D92" t="s">
        <v>23</v>
      </c>
      <c r="E92">
        <v>3000</v>
      </c>
      <c r="F92" t="s">
        <v>8</v>
      </c>
      <c r="G92">
        <v>2</v>
      </c>
      <c r="H92" s="4">
        <v>1</v>
      </c>
      <c r="I92" s="10">
        <f t="shared" si="1"/>
        <v>6000</v>
      </c>
      <c r="Q92"/>
    </row>
    <row r="93" spans="1:17" x14ac:dyDescent="0.25">
      <c r="A93" t="s">
        <v>35</v>
      </c>
      <c r="D93" t="s">
        <v>24</v>
      </c>
      <c r="E93">
        <v>35000</v>
      </c>
      <c r="F93" t="s">
        <v>8</v>
      </c>
      <c r="G93">
        <v>1</v>
      </c>
      <c r="H93" s="4">
        <v>1</v>
      </c>
      <c r="I93" s="10">
        <f t="shared" si="1"/>
        <v>35000</v>
      </c>
      <c r="Q93"/>
    </row>
    <row r="94" spans="1:17" x14ac:dyDescent="0.25">
      <c r="A94" t="s">
        <v>35</v>
      </c>
      <c r="B94" s="3">
        <v>46080.742268518516</v>
      </c>
      <c r="C94">
        <v>73</v>
      </c>
      <c r="D94" t="s">
        <v>22</v>
      </c>
      <c r="E94">
        <v>8000</v>
      </c>
      <c r="F94" t="s">
        <v>8</v>
      </c>
      <c r="G94">
        <v>2</v>
      </c>
      <c r="H94" s="4">
        <v>1</v>
      </c>
      <c r="I94" s="10">
        <f t="shared" si="1"/>
        <v>16000</v>
      </c>
      <c r="Q94"/>
    </row>
    <row r="95" spans="1:17" x14ac:dyDescent="0.25">
      <c r="A95" t="s">
        <v>35</v>
      </c>
      <c r="D95" t="s">
        <v>23</v>
      </c>
      <c r="E95">
        <v>3000</v>
      </c>
      <c r="F95" t="s">
        <v>8</v>
      </c>
      <c r="G95">
        <v>1</v>
      </c>
      <c r="H95" s="4">
        <v>1</v>
      </c>
      <c r="I95" s="10">
        <f t="shared" si="1"/>
        <v>3000</v>
      </c>
      <c r="Q95"/>
    </row>
    <row r="96" spans="1:17" x14ac:dyDescent="0.25">
      <c r="A96" t="s">
        <v>35</v>
      </c>
      <c r="B96" s="3">
        <v>46080.761412037034</v>
      </c>
      <c r="C96">
        <v>74</v>
      </c>
      <c r="D96" t="s">
        <v>22</v>
      </c>
      <c r="E96">
        <v>8000</v>
      </c>
      <c r="F96" t="s">
        <v>9</v>
      </c>
      <c r="G96">
        <v>3</v>
      </c>
      <c r="H96" s="4">
        <v>1</v>
      </c>
      <c r="I96" s="10">
        <f t="shared" si="1"/>
        <v>24000</v>
      </c>
      <c r="Q96"/>
    </row>
    <row r="97" spans="1:17" x14ac:dyDescent="0.25">
      <c r="A97" t="s">
        <v>35</v>
      </c>
      <c r="B97" s="3">
        <v>46080.824016203704</v>
      </c>
      <c r="C97">
        <v>75</v>
      </c>
      <c r="D97" t="s">
        <v>20</v>
      </c>
      <c r="E97">
        <v>3000</v>
      </c>
      <c r="F97" t="s">
        <v>38</v>
      </c>
      <c r="G97">
        <v>1</v>
      </c>
      <c r="H97" s="4">
        <v>1</v>
      </c>
      <c r="I97" s="10">
        <f t="shared" si="1"/>
        <v>3000</v>
      </c>
      <c r="Q97"/>
    </row>
    <row r="98" spans="1:17" x14ac:dyDescent="0.25">
      <c r="A98" t="s">
        <v>35</v>
      </c>
      <c r="D98" t="s">
        <v>22</v>
      </c>
      <c r="E98">
        <v>8000</v>
      </c>
      <c r="F98" t="s">
        <v>38</v>
      </c>
      <c r="G98">
        <v>1</v>
      </c>
      <c r="H98" s="4">
        <v>1</v>
      </c>
      <c r="I98" s="10">
        <f t="shared" si="1"/>
        <v>8000</v>
      </c>
      <c r="Q98"/>
    </row>
    <row r="99" spans="1:17" x14ac:dyDescent="0.25">
      <c r="A99" t="s">
        <v>35</v>
      </c>
      <c r="B99" s="3">
        <v>46080.836365740739</v>
      </c>
      <c r="C99">
        <v>76</v>
      </c>
      <c r="D99" t="s">
        <v>22</v>
      </c>
      <c r="E99">
        <v>8000</v>
      </c>
      <c r="F99" t="s">
        <v>9</v>
      </c>
      <c r="G99">
        <v>2</v>
      </c>
      <c r="H99" s="4">
        <v>1</v>
      </c>
      <c r="I99" s="10">
        <f t="shared" si="1"/>
        <v>16000</v>
      </c>
      <c r="Q99"/>
    </row>
    <row r="100" spans="1:17" x14ac:dyDescent="0.25">
      <c r="A100" t="s">
        <v>35</v>
      </c>
      <c r="B100" s="3">
        <v>46080.837210648147</v>
      </c>
      <c r="C100">
        <v>77</v>
      </c>
      <c r="D100" t="s">
        <v>22</v>
      </c>
      <c r="E100">
        <v>8000</v>
      </c>
      <c r="F100" t="s">
        <v>8</v>
      </c>
      <c r="G100">
        <v>4</v>
      </c>
      <c r="H100" s="4">
        <v>1</v>
      </c>
      <c r="I100" s="10">
        <f t="shared" si="1"/>
        <v>32000</v>
      </c>
      <c r="Q100"/>
    </row>
    <row r="101" spans="1:17" x14ac:dyDescent="0.25">
      <c r="A101" t="s">
        <v>35</v>
      </c>
      <c r="D101" t="s">
        <v>23</v>
      </c>
      <c r="E101">
        <v>3000</v>
      </c>
      <c r="F101" t="s">
        <v>8</v>
      </c>
      <c r="G101">
        <v>3</v>
      </c>
      <c r="H101" s="4">
        <v>1</v>
      </c>
      <c r="I101" s="10">
        <f t="shared" si="1"/>
        <v>9000</v>
      </c>
      <c r="Q101"/>
    </row>
    <row r="102" spans="1:17" x14ac:dyDescent="0.25">
      <c r="A102" t="s">
        <v>35</v>
      </c>
      <c r="B102" s="3">
        <v>46080.83902777778</v>
      </c>
      <c r="C102">
        <v>78</v>
      </c>
      <c r="D102" t="s">
        <v>22</v>
      </c>
      <c r="E102">
        <v>8000</v>
      </c>
      <c r="F102" t="s">
        <v>8</v>
      </c>
      <c r="G102">
        <v>1</v>
      </c>
      <c r="H102" s="4">
        <v>1</v>
      </c>
      <c r="I102" s="10">
        <f t="shared" si="1"/>
        <v>8000</v>
      </c>
      <c r="Q102"/>
    </row>
    <row r="103" spans="1:17" x14ac:dyDescent="0.25">
      <c r="A103" t="s">
        <v>2</v>
      </c>
      <c r="G103"/>
      <c r="H103" s="4">
        <v>98</v>
      </c>
      <c r="I103" s="10">
        <f t="shared" si="1"/>
        <v>0</v>
      </c>
      <c r="Q10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6583-658F-4EBE-AB28-B78B4C4D6BD1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32</v>
      </c>
      <c r="B1" s="8" t="s">
        <v>29</v>
      </c>
    </row>
    <row r="2" spans="1:2" x14ac:dyDescent="0.25">
      <c r="A2" t="s">
        <v>33</v>
      </c>
      <c r="B2" s="8" t="s">
        <v>30</v>
      </c>
    </row>
    <row r="3" spans="1:2" x14ac:dyDescent="0.25">
      <c r="A3" t="s">
        <v>34</v>
      </c>
      <c r="B3" s="8" t="s">
        <v>31</v>
      </c>
    </row>
  </sheetData>
  <hyperlinks>
    <hyperlink ref="B1" r:id="rId1" xr:uid="{DB5E9642-D3FB-49DF-A87C-8783F5932198}"/>
    <hyperlink ref="B2" r:id="rId2" xr:uid="{E7C82C56-78E7-4AD5-8F24-424C4D444B24}"/>
    <hyperlink ref="B3" r:id="rId3" xr:uid="{76244BCC-3398-4769-BEB1-4343A9DCB09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45FC6974-0190-4FD5-8A3E-E2BFFBF9BA06}">
  <ds:schemaRefs/>
</ds:datastoreItem>
</file>

<file path=customXml/itemProps2.xml><?xml version="1.0" encoding="utf-8"?>
<ds:datastoreItem xmlns:ds="http://schemas.openxmlformats.org/officeDocument/2006/customXml" ds:itemID="{FB1D0CD9-7ED3-48D8-A3AB-0AA528A1780A}">
  <ds:schemaRefs/>
</ds:datastoreItem>
</file>

<file path=customXml/itemProps3.xml><?xml version="1.0" encoding="utf-8"?>
<ds:datastoreItem xmlns:ds="http://schemas.openxmlformats.org/officeDocument/2006/customXml" ds:itemID="{63D48641-18DD-40CE-9EE1-4A67630B95CD}">
  <ds:schemaRefs/>
</ds:datastoreItem>
</file>

<file path=customXml/itemProps4.xml><?xml version="1.0" encoding="utf-8"?>
<ds:datastoreItem xmlns:ds="http://schemas.openxmlformats.org/officeDocument/2006/customXml" ds:itemID="{0923900A-484E-4754-B4CA-7CD7455B29F8}">
  <ds:schemaRefs/>
</ds:datastoreItem>
</file>

<file path=customXml/itemProps5.xml><?xml version="1.0" encoding="utf-8"?>
<ds:datastoreItem xmlns:ds="http://schemas.openxmlformats.org/officeDocument/2006/customXml" ds:itemID="{AFCE4F4F-8B07-4A23-9CE3-B3362828CA16}">
  <ds:schemaRefs/>
</ds:datastoreItem>
</file>

<file path=customXml/itemProps6.xml><?xml version="1.0" encoding="utf-8"?>
<ds:datastoreItem xmlns:ds="http://schemas.openxmlformats.org/officeDocument/2006/customXml" ds:itemID="{D7FE6DC1-B767-470D-8489-3CAA60CF0C5D}">
  <ds:schemaRefs/>
</ds:datastoreItem>
</file>

<file path=customXml/itemProps7.xml><?xml version="1.0" encoding="utf-8"?>
<ds:datastoreItem xmlns:ds="http://schemas.openxmlformats.org/officeDocument/2006/customXml" ds:itemID="{BACC00BD-3502-47AC-941E-7A1E8D4D2542}">
  <ds:schemaRefs/>
</ds:datastoreItem>
</file>

<file path=customXml/itemProps8.xml><?xml version="1.0" encoding="utf-8"?>
<ds:datastoreItem xmlns:ds="http://schemas.openxmlformats.org/officeDocument/2006/customXml" ds:itemID="{F948004D-76CA-46D7-9E0F-4E5D474F9C46}">
  <ds:schemaRefs/>
</ds:datastoreItem>
</file>

<file path=customXml/itemProps9.xml><?xml version="1.0" encoding="utf-8"?>
<ds:datastoreItem xmlns:ds="http://schemas.openxmlformats.org/officeDocument/2006/customXml" ds:itemID="{39D61B41-5A67-43EE-9419-C185D49D9134}">
  <ds:schemaRefs/>
</ds:datastoreItem>
</file>

<file path=customXml/itemProps10.xml><?xml version="1.0" encoding="utf-8"?>
<ds:datastoreItem xmlns:ds="http://schemas.openxmlformats.org/officeDocument/2006/customXml" ds:itemID="{A91E5C76-40E7-4996-8584-0118F04FBEF4}">
  <ds:schemaRefs/>
</ds:datastoreItem>
</file>

<file path=customXml/itemProps11.xml><?xml version="1.0" encoding="utf-8"?>
<ds:datastoreItem xmlns:ds="http://schemas.openxmlformats.org/officeDocument/2006/customXml" ds:itemID="{B63E7085-228C-46D5-BA95-D5BD8D46D3BC}">
  <ds:schemaRefs/>
</ds:datastoreItem>
</file>

<file path=customXml/itemProps12.xml><?xml version="1.0" encoding="utf-8"?>
<ds:datastoreItem xmlns:ds="http://schemas.openxmlformats.org/officeDocument/2006/customXml" ds:itemID="{BB25C675-0142-46C0-B119-B964A69C36F7}">
  <ds:schemaRefs/>
</ds:datastoreItem>
</file>

<file path=customXml/itemProps13.xml><?xml version="1.0" encoding="utf-8"?>
<ds:datastoreItem xmlns:ds="http://schemas.openxmlformats.org/officeDocument/2006/customXml" ds:itemID="{29466B21-50A0-4711-8C3B-BA3D21363A53}">
  <ds:schemaRefs/>
</ds:datastoreItem>
</file>

<file path=customXml/itemProps14.xml><?xml version="1.0" encoding="utf-8"?>
<ds:datastoreItem xmlns:ds="http://schemas.openxmlformats.org/officeDocument/2006/customXml" ds:itemID="{098E4327-974B-4B0D-91F5-162E9D75323A}">
  <ds:schemaRefs/>
</ds:datastoreItem>
</file>

<file path=customXml/itemProps15.xml><?xml version="1.0" encoding="utf-8"?>
<ds:datastoreItem xmlns:ds="http://schemas.openxmlformats.org/officeDocument/2006/customXml" ds:itemID="{A8C41FBF-174E-45B2-B0BA-73A832AA7326}">
  <ds:schemaRefs/>
</ds:datastoreItem>
</file>

<file path=customXml/itemProps16.xml><?xml version="1.0" encoding="utf-8"?>
<ds:datastoreItem xmlns:ds="http://schemas.openxmlformats.org/officeDocument/2006/customXml" ds:itemID="{537CA801-B62F-4F55-B4C0-348E472E09E8}">
  <ds:schemaRefs/>
</ds:datastoreItem>
</file>

<file path=customXml/itemProps17.xml><?xml version="1.0" encoding="utf-8"?>
<ds:datastoreItem xmlns:ds="http://schemas.openxmlformats.org/officeDocument/2006/customXml" ds:itemID="{3EC34395-E632-4875-8B6F-C2A8A996A5BE}">
  <ds:schemaRefs/>
</ds:datastoreItem>
</file>

<file path=customXml/itemProps18.xml><?xml version="1.0" encoding="utf-8"?>
<ds:datastoreItem xmlns:ds="http://schemas.openxmlformats.org/officeDocument/2006/customXml" ds:itemID="{FC409827-E32F-4F48-9FF4-3818E929E424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2026-02-28T05:15:42Z</dcterms:modified>
</cp:coreProperties>
</file>