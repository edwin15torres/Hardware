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andes\2025_DigiLivo\GERENTE DE PROYECTOS\Proyecto Evirion\EVIRION SAS\"/>
    </mc:Choice>
  </mc:AlternateContent>
  <xr:revisionPtr revIDLastSave="0" documentId="13_ncr:1_{A44867E6-1B73-47F8-9C81-81F7E055CBC1}" xr6:coauthVersionLast="47" xr6:coauthVersionMax="47" xr10:uidLastSave="{00000000-0000-0000-0000-000000000000}"/>
  <bookViews>
    <workbookView xWindow="20370" yWindow="-2070" windowWidth="21840" windowHeight="13140" xr2:uid="{00000000-000D-0000-FFFF-FFFF00000000}"/>
  </bookViews>
  <sheets>
    <sheet name="Balance General" sheetId="1" r:id="rId1"/>
    <sheet name="Balance General (2)" sheetId="5" r:id="rId2"/>
    <sheet name="Hoja2" sheetId="4" r:id="rId3"/>
    <sheet name="Libros" sheetId="2" r:id="rId4"/>
    <sheet name="Balanc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E8" i="5"/>
  <c r="F8" i="5"/>
  <c r="G8" i="5"/>
  <c r="H8" i="5"/>
  <c r="I8" i="5"/>
  <c r="J8" i="5"/>
  <c r="K8" i="5"/>
  <c r="L8" i="5"/>
  <c r="M8" i="5"/>
  <c r="C16" i="5"/>
  <c r="C18" i="5"/>
  <c r="C20" i="5"/>
  <c r="C21" i="5"/>
  <c r="C4" i="5"/>
  <c r="C6" i="5"/>
  <c r="C23" i="5"/>
  <c r="C17" i="1"/>
  <c r="C20" i="1"/>
  <c r="C22" i="1" s="1"/>
  <c r="C19" i="1" s="1"/>
  <c r="C15" i="1"/>
</calcChain>
</file>

<file path=xl/sharedStrings.xml><?xml version="1.0" encoding="utf-8"?>
<sst xmlns="http://schemas.openxmlformats.org/spreadsheetml/2006/main" count="96" uniqueCount="50">
  <si>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</si>
  <si>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</si>
  <si>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</si>
  <si>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</si>
  <si>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</si>
  <si>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</si>
  <si>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</si>
  <si>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</si>
  <si>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</si>
  <si>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</si>
  <si>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</si>
  <si>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Activos</t>
  </si>
  <si>
    <t>Total Activos</t>
  </si>
  <si>
    <t>Marca</t>
  </si>
  <si>
    <t>Ene</t>
  </si>
  <si>
    <t>Pasivos</t>
  </si>
  <si>
    <t>Patrimonio</t>
  </si>
  <si>
    <t>APORTES SOCIALES</t>
  </si>
  <si>
    <t>Páginas web - landing page optimizada</t>
  </si>
  <si>
    <t>Proceso de UX</t>
  </si>
  <si>
    <t>Diseño UI</t>
  </si>
  <si>
    <t>Documentación de arquitectura</t>
  </si>
  <si>
    <t>Desarrollo de software (30 historias de usuario)</t>
  </si>
  <si>
    <t>Guia de estilos
Simbología, fografía y edición de fotos</t>
  </si>
  <si>
    <t>Dominio y hosting y configuración</t>
  </si>
  <si>
    <t>Nomina 6 meses</t>
  </si>
  <si>
    <t>Infraestructura de Software</t>
  </si>
  <si>
    <t>Seguridad Social</t>
  </si>
  <si>
    <t>Libro de registros de accionistas</t>
  </si>
  <si>
    <t>Libro de actas de asamblea general</t>
  </si>
  <si>
    <t>Libro contables</t>
  </si>
  <si>
    <t>Estatutos</t>
  </si>
  <si>
    <t>Acta 01</t>
  </si>
  <si>
    <t>Acta 02</t>
  </si>
  <si>
    <t>Acta 03</t>
  </si>
  <si>
    <t>LIBROS</t>
  </si>
  <si>
    <t>Libro diario - transacciones diarias</t>
  </si>
  <si>
    <t>Libro Mayor - transacciiones por cuenta</t>
  </si>
  <si>
    <t>Mauro</t>
  </si>
  <si>
    <t>Edwin</t>
  </si>
  <si>
    <t>Proveedores de hosting (servidores)</t>
  </si>
  <si>
    <t>Costos Variables</t>
  </si>
  <si>
    <t>Gastos Fijos</t>
  </si>
  <si>
    <t>Registro de marca</t>
  </si>
  <si>
    <t>Otros</t>
  </si>
  <si>
    <t>Sistema de Seguridad y Salud en el trabajo</t>
  </si>
  <si>
    <t>activo</t>
  </si>
  <si>
    <t>pasivo</t>
  </si>
  <si>
    <t>patrimonio</t>
  </si>
  <si>
    <t>Contenido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</si>
</sst>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B9D9A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9D9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7F5F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</fills>
  <borders count="5">
    <border>
      <left/>
      <right/>
      <top/>
      <bottom/>
      <diagonal/>
    </border>
    <border>
      <left style="thin">
        <color rgb="FFAFEBF3"/>
      </left>
      <right style="thin">
        <color rgb="FFAFEBF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0" xfId="0" applyFont="1"/>
    <xf numFmtId="0" fontId="1" fillId="6" borderId="0" xfId="0" applyFont="1" applyFill="1" applyAlignment="1">
      <alignment horizontal="center"/>
    </xf>
    <xf numFmtId="164" fontId="5" fillId="0" borderId="0" xfId="1" applyNumberFormat="1" applyFont="1"/>
    <xf numFmtId="164" fontId="5" fillId="0" borderId="0" xfId="1" applyNumberFormat="1" applyFont="1" applyAlignment="1">
      <alignment horizontal="center"/>
    </xf>
    <xf numFmtId="164" fontId="6" fillId="5" borderId="2" xfId="1" applyNumberFormat="1" applyFont="1" applyFill="1" applyBorder="1"/>
    <xf numFmtId="164" fontId="6" fillId="3" borderId="2" xfId="1" applyNumberFormat="1" applyFont="1" applyFill="1" applyBorder="1" applyAlignment="1">
      <alignment horizontal="center"/>
    </xf>
    <xf numFmtId="164" fontId="6" fillId="3" borderId="0" xfId="1" applyNumberFormat="1" applyFont="1" applyFill="1"/>
    <xf numFmtId="164" fontId="6" fillId="3" borderId="4" xfId="1" applyNumberFormat="1" applyFont="1" applyFill="1" applyBorder="1"/>
    <xf numFmtId="164" fontId="5" fillId="0" borderId="1" xfId="1" applyNumberFormat="1" applyFont="1" applyBorder="1"/>
    <xf numFmtId="164" fontId="5" fillId="3" borderId="0" xfId="1" applyNumberFormat="1" applyFont="1" applyFill="1"/>
    <xf numFmtId="164" fontId="5" fillId="3" borderId="4" xfId="1" applyNumberFormat="1" applyFont="1" applyFill="1" applyBorder="1"/>
    <xf numFmtId="164" fontId="5" fillId="4" borderId="0" xfId="1" applyNumberFormat="1" applyFont="1" applyFill="1"/>
    <xf numFmtId="164" fontId="5" fillId="4" borderId="4" xfId="1" applyNumberFormat="1" applyFont="1" applyFill="1" applyBorder="1"/>
    <xf numFmtId="164" fontId="5" fillId="3" borderId="3" xfId="1" applyNumberFormat="1" applyFont="1" applyFill="1" applyBorder="1"/>
    <xf numFmtId="164" fontId="5" fillId="4" borderId="3" xfId="1" applyNumberFormat="1" applyFont="1" applyFill="1" applyBorder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164" fontId="5" fillId="0" borderId="0" xfId="1" applyNumberFormat="1" applyFont="1" applyAlignment="1">
      <alignment vertical="center"/>
    </xf>
    <xf numFmtId="164" fontId="5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wrapText="1" indent="2"/>
    </xf>
    <xf numFmtId="164" fontId="5" fillId="0" borderId="0" xfId="1" applyNumberFormat="1" applyFont="1" applyBorder="1" applyAlignment="1">
      <alignment vertical="center"/>
    </xf>
    <xf numFmtId="0" fontId="5" fillId="7" borderId="0" xfId="0" applyFont="1" applyFill="1" applyAlignment="1">
      <alignment horizontal="left" vertical="center" indent="2"/>
    </xf>
    <xf numFmtId="164" fontId="5" fillId="7" borderId="1" xfId="1" applyNumberFormat="1" applyFont="1" applyFill="1" applyBorder="1" applyAlignment="1">
      <alignment vertical="center"/>
    </xf>
    <xf numFmtId="0" fontId="5" fillId="7" borderId="0" xfId="0" applyFont="1" applyFill="1" applyAlignment="1">
      <alignment horizontal="left" vertical="center" wrapText="1" indent="2"/>
    </xf>
    <xf numFmtId="164" fontId="5" fillId="0" borderId="0" xfId="1" applyNumberFormat="1" applyFont="1" applyBorder="1"/>
    <xf numFmtId="164" fontId="5" fillId="5" borderId="1" xfId="1" applyNumberFormat="1" applyFont="1" applyFill="1" applyBorder="1" applyAlignment="1">
      <alignment vertical="center"/>
    </xf>
    <xf numFmtId="164" fontId="5" fillId="8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2" applyNumberFormat="1" applyFont="1"/>
    <xf numFmtId="0" fontId="5" fillId="9" borderId="0" xfId="0" applyFont="1" applyFill="1" applyAlignment="1">
      <alignment horizontal="left" vertical="center" indent="2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33CCFF"/>
      <color rgb="FF24D2CE"/>
      <color rgb="FFAFEBF3"/>
      <color rgb="FF9AE6F0"/>
      <color rgb="FFC7F5F4"/>
      <color rgb="FF1B9D9A"/>
      <color rgb="FFD0F3F8"/>
      <color rgb="FF83BFDD"/>
      <color rgb="FF5FAC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showGridLines="0" tabSelected="1" zoomScale="115" zoomScaleNormal="115" workbookViewId="0">
      <selection activeCell="B18" sqref="B18"/>
    </sheetView>
  </sheetViews>
  <sheetFormatPr baseColWidth="10" defaultColWidth="9.140625" defaultRowHeight="15" x14ac:dyDescent="0.25"/>
  <cols>
    <col min="1" max="1" width="14.140625" customWidth="1"/>
    <col min="2" max="2" width="40.5703125" customWidth="1"/>
    <col min="3" max="4" width="11.85546875" customWidth="1"/>
    <col min="5" max="15" width="10.7109375" style="2" customWidth="1"/>
    <col min="16" max="16" width="10.7109375" customWidth="1"/>
  </cols>
  <sheetData>
    <row r="1" spans="1:19" x14ac:dyDescent="0.25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9" x14ac:dyDescent="0.25">
      <c r="B2" s="4" t="s">
        <v>17</v>
      </c>
      <c r="C2" s="5" t="s">
        <v>11</v>
      </c>
      <c r="D2" s="5"/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14</v>
      </c>
    </row>
    <row r="3" spans="1:19" x14ac:dyDescent="0.25">
      <c r="B3" s="19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9" x14ac:dyDescent="0.25">
      <c r="B4" s="21" t="s">
        <v>12</v>
      </c>
      <c r="C4" s="8">
        <f>+C6+C19</f>
        <v>64900000</v>
      </c>
      <c r="D4" s="8"/>
      <c r="E4" s="9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6"/>
    </row>
    <row r="5" spans="1:19" x14ac:dyDescent="0.25">
      <c r="B5" s="1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9" x14ac:dyDescent="0.25">
      <c r="B6" s="20" t="s">
        <v>16</v>
      </c>
      <c r="C6" s="14">
        <f>+C15+C17</f>
        <v>34900000</v>
      </c>
      <c r="D6" s="14"/>
      <c r="E6" s="14"/>
      <c r="F6" s="14"/>
      <c r="G6" s="14"/>
      <c r="H6" s="13"/>
      <c r="I6" s="14"/>
      <c r="J6" s="14"/>
      <c r="K6" s="14"/>
      <c r="L6" s="14"/>
      <c r="M6" s="14"/>
      <c r="N6" s="14"/>
      <c r="O6" s="14"/>
      <c r="P6" s="14"/>
      <c r="Q6" s="6"/>
    </row>
    <row r="7" spans="1:19" x14ac:dyDescent="0.25">
      <c r="B7" s="25" t="s">
        <v>13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6"/>
      <c r="S7" s="3"/>
    </row>
    <row r="8" spans="1:19" s="24" customFormat="1" x14ac:dyDescent="0.25">
      <c r="A8" s="24">
        <v>3114</v>
      </c>
      <c r="B8" s="28" t="s">
        <v>24</v>
      </c>
      <c r="C8" s="32">
        <v>1000000</v>
      </c>
      <c r="D8" s="32" t="s">
        <v>38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2"/>
    </row>
    <row r="9" spans="1:19" s="24" customFormat="1" ht="25.5" x14ac:dyDescent="0.25">
      <c r="A9" s="24">
        <v>3102</v>
      </c>
      <c r="B9" s="30" t="s">
        <v>23</v>
      </c>
      <c r="C9" s="32">
        <v>1800000</v>
      </c>
      <c r="D9" s="32" t="s">
        <v>38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2"/>
    </row>
    <row r="10" spans="1:19" s="24" customFormat="1" x14ac:dyDescent="0.25">
      <c r="B10" s="28" t="s">
        <v>18</v>
      </c>
      <c r="C10" s="33">
        <v>1900000</v>
      </c>
      <c r="D10" s="33" t="s">
        <v>39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2"/>
    </row>
    <row r="11" spans="1:19" s="24" customFormat="1" x14ac:dyDescent="0.25">
      <c r="B11" s="25" t="s">
        <v>19</v>
      </c>
      <c r="C11" s="33">
        <v>4000000</v>
      </c>
      <c r="D11" s="33" t="s">
        <v>39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2"/>
    </row>
    <row r="12" spans="1:19" s="24" customFormat="1" x14ac:dyDescent="0.25">
      <c r="B12" s="25" t="s">
        <v>20</v>
      </c>
      <c r="C12" s="32">
        <v>1500000</v>
      </c>
      <c r="D12" s="32" t="s">
        <v>38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2"/>
    </row>
    <row r="13" spans="1:19" s="24" customFormat="1" x14ac:dyDescent="0.25">
      <c r="B13" s="25" t="s">
        <v>21</v>
      </c>
      <c r="C13" s="32">
        <v>1700000</v>
      </c>
      <c r="D13" s="32" t="s">
        <v>38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2"/>
    </row>
    <row r="14" spans="1:19" s="24" customFormat="1" x14ac:dyDescent="0.25">
      <c r="B14" s="25" t="s">
        <v>22</v>
      </c>
      <c r="C14" s="23">
        <v>20000000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2"/>
    </row>
    <row r="15" spans="1:19" x14ac:dyDescent="0.25">
      <c r="B15" s="21" t="s">
        <v>26</v>
      </c>
      <c r="C15" s="16">
        <f>+SUM(C7:C14)</f>
        <v>31900000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6"/>
    </row>
    <row r="16" spans="1:19" s="24" customFormat="1" x14ac:dyDescent="0.25">
      <c r="B16" s="25" t="s">
        <v>43</v>
      </c>
      <c r="C16" s="23">
        <v>3000000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2"/>
    </row>
    <row r="17" spans="2:17" x14ac:dyDescent="0.25">
      <c r="B17" s="21" t="s">
        <v>43</v>
      </c>
      <c r="C17" s="16">
        <f>+C16</f>
        <v>3000000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6"/>
    </row>
    <row r="18" spans="2:17" x14ac:dyDescent="0.25">
      <c r="B18" s="25" t="s">
        <v>45</v>
      </c>
      <c r="C18" s="29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6"/>
    </row>
    <row r="19" spans="2:17" x14ac:dyDescent="0.25">
      <c r="B19" s="20" t="s">
        <v>15</v>
      </c>
      <c r="C19" s="17">
        <f>+C22+C25</f>
        <v>30000000</v>
      </c>
      <c r="D19" s="17"/>
      <c r="E19" s="1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6"/>
    </row>
    <row r="20" spans="2:17" s="24" customFormat="1" x14ac:dyDescent="0.2">
      <c r="B20" s="25" t="s">
        <v>25</v>
      </c>
      <c r="C20" s="12">
        <f>2500000*12</f>
        <v>30000000</v>
      </c>
      <c r="D20" s="31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2"/>
    </row>
    <row r="21" spans="2:17" x14ac:dyDescent="0.25">
      <c r="B21" s="26" t="s">
        <v>27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6"/>
    </row>
    <row r="22" spans="2:17" x14ac:dyDescent="0.25">
      <c r="B22" s="21" t="s">
        <v>42</v>
      </c>
      <c r="C22" s="16">
        <f>+SUM(C20:C21)</f>
        <v>30000000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6"/>
    </row>
    <row r="23" spans="2:17" x14ac:dyDescent="0.25">
      <c r="B23" s="26" t="s">
        <v>40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6"/>
    </row>
    <row r="24" spans="2:17" x14ac:dyDescent="0.25">
      <c r="B24" s="26" t="s">
        <v>44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6"/>
    </row>
    <row r="25" spans="2:17" x14ac:dyDescent="0.25">
      <c r="B25" s="21" t="s">
        <v>41</v>
      </c>
      <c r="C25" s="18">
        <v>0</v>
      </c>
      <c r="D25" s="18"/>
      <c r="E25" s="18"/>
      <c r="F25" s="18"/>
      <c r="G25" s="15"/>
      <c r="H25" s="16"/>
      <c r="I25" s="16"/>
      <c r="J25" s="16"/>
      <c r="K25" s="16"/>
      <c r="L25" s="16"/>
      <c r="M25" s="16"/>
      <c r="N25" s="16"/>
      <c r="O25" s="16"/>
      <c r="P25" s="16"/>
      <c r="Q25" s="6"/>
    </row>
    <row r="26" spans="2:17" x14ac:dyDescent="0.25">
      <c r="B26" s="19"/>
      <c r="C26" s="6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"/>
      <c r="Q26" s="6"/>
    </row>
    <row r="27" spans="2:17" x14ac:dyDescent="0.25">
      <c r="B27" s="19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"/>
      <c r="Q27" s="6"/>
    </row>
    <row r="28" spans="2:17" x14ac:dyDescent="0.25">
      <c r="B28" s="19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"/>
      <c r="Q28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471-2EEE-4864-921D-450B37B9817A}">
  <dimension ref="A1:S29"/>
  <sheetViews>
    <sheetView showGridLines="0" zoomScale="115" zoomScaleNormal="115" workbookViewId="0">
      <selection activeCell="B2" sqref="B2"/>
    </sheetView>
  </sheetViews>
  <sheetFormatPr baseColWidth="10" defaultColWidth="9.140625" defaultRowHeight="15" x14ac:dyDescent="0.25"/>
  <cols>
    <col min="1" max="1" width="14.140625" customWidth="1"/>
    <col min="2" max="2" width="40.5703125" customWidth="1"/>
    <col min="3" max="4" width="11.85546875" customWidth="1"/>
    <col min="5" max="15" width="10.7109375" style="2" customWidth="1"/>
    <col min="16" max="16" width="10.7109375" customWidth="1"/>
  </cols>
  <sheetData>
    <row r="1" spans="1:19" x14ac:dyDescent="0.25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9" x14ac:dyDescent="0.25">
      <c r="B2" s="4" t="s">
        <v>17</v>
      </c>
      <c r="C2" s="5" t="s">
        <v>11</v>
      </c>
      <c r="D2" s="5"/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14</v>
      </c>
    </row>
    <row r="3" spans="1:19" x14ac:dyDescent="0.25">
      <c r="B3" s="19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9" x14ac:dyDescent="0.25">
      <c r="B4" s="21" t="s">
        <v>12</v>
      </c>
      <c r="C4" s="8">
        <f>+C6+C20</f>
        <v>64900000</v>
      </c>
      <c r="D4" s="8"/>
      <c r="E4" s="9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6"/>
    </row>
    <row r="5" spans="1:19" x14ac:dyDescent="0.25">
      <c r="B5" s="1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9" x14ac:dyDescent="0.25">
      <c r="B6" s="20" t="s">
        <v>16</v>
      </c>
      <c r="C6" s="14">
        <f>+C16+C18</f>
        <v>34900000</v>
      </c>
      <c r="D6" s="14"/>
      <c r="E6" s="14"/>
      <c r="F6" s="14"/>
      <c r="G6" s="14"/>
      <c r="H6" s="13"/>
      <c r="I6" s="14"/>
      <c r="J6" s="14"/>
      <c r="K6" s="14"/>
      <c r="L6" s="14"/>
      <c r="M6" s="14"/>
      <c r="N6" s="14"/>
      <c r="O6" s="14"/>
      <c r="P6" s="14"/>
      <c r="Q6" s="6"/>
    </row>
    <row r="7" spans="1:19" x14ac:dyDescent="0.25">
      <c r="B7" s="25" t="s">
        <v>13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6"/>
      <c r="S7" s="3"/>
    </row>
    <row r="8" spans="1:19" s="24" customFormat="1" x14ac:dyDescent="0.25">
      <c r="A8" s="24">
        <v>3114</v>
      </c>
      <c r="B8" s="28" t="s">
        <v>24</v>
      </c>
      <c r="C8" s="32">
        <v>1000000</v>
      </c>
      <c r="D8" s="32" t="s">
        <v>38</v>
      </c>
      <c r="E8" s="23">
        <f>+C8/12</f>
        <v>83333.333333333328</v>
      </c>
      <c r="F8" s="23">
        <f t="shared" ref="F8:M8" si="0">$E$8</f>
        <v>83333.333333333328</v>
      </c>
      <c r="G8" s="23">
        <f t="shared" si="0"/>
        <v>83333.333333333328</v>
      </c>
      <c r="H8" s="23">
        <f t="shared" si="0"/>
        <v>83333.333333333328</v>
      </c>
      <c r="I8" s="23">
        <f t="shared" si="0"/>
        <v>83333.333333333328</v>
      </c>
      <c r="J8" s="23">
        <f t="shared" si="0"/>
        <v>83333.333333333328</v>
      </c>
      <c r="K8" s="23">
        <f t="shared" si="0"/>
        <v>83333.333333333328</v>
      </c>
      <c r="L8" s="23">
        <f t="shared" si="0"/>
        <v>83333.333333333328</v>
      </c>
      <c r="M8" s="23">
        <f t="shared" si="0"/>
        <v>83333.333333333328</v>
      </c>
      <c r="N8" s="23"/>
      <c r="O8" s="23"/>
      <c r="P8" s="23"/>
      <c r="Q8" s="22"/>
    </row>
    <row r="9" spans="1:19" s="24" customFormat="1" ht="25.5" x14ac:dyDescent="0.25">
      <c r="A9" s="24">
        <v>3102</v>
      </c>
      <c r="B9" s="30" t="s">
        <v>23</v>
      </c>
      <c r="C9" s="32">
        <v>1800000</v>
      </c>
      <c r="D9" s="32" t="s">
        <v>38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2"/>
    </row>
    <row r="10" spans="1:19" s="24" customFormat="1" x14ac:dyDescent="0.25">
      <c r="B10" s="28" t="s">
        <v>18</v>
      </c>
      <c r="C10" s="33">
        <v>1900000</v>
      </c>
      <c r="D10" s="33" t="s">
        <v>39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2"/>
    </row>
    <row r="11" spans="1:19" s="24" customFormat="1" x14ac:dyDescent="0.25">
      <c r="B11" s="25" t="s">
        <v>19</v>
      </c>
      <c r="C11" s="33">
        <v>4000000</v>
      </c>
      <c r="D11" s="33" t="s">
        <v>39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2"/>
    </row>
    <row r="12" spans="1:19" s="24" customFormat="1" x14ac:dyDescent="0.25">
      <c r="B12" s="25" t="s">
        <v>20</v>
      </c>
      <c r="C12" s="32">
        <v>1500000</v>
      </c>
      <c r="D12" s="32" t="s">
        <v>38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2"/>
    </row>
    <row r="13" spans="1:19" s="24" customFormat="1" x14ac:dyDescent="0.25">
      <c r="B13" s="25" t="s">
        <v>21</v>
      </c>
      <c r="C13" s="32">
        <v>1700000</v>
      </c>
      <c r="D13" s="32" t="s">
        <v>38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2"/>
    </row>
    <row r="14" spans="1:19" s="24" customFormat="1" x14ac:dyDescent="0.25">
      <c r="B14" s="25" t="s">
        <v>22</v>
      </c>
      <c r="C14" s="23">
        <v>20000000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2"/>
    </row>
    <row r="15" spans="1:19" s="24" customFormat="1" x14ac:dyDescent="0.25">
      <c r="B15" s="36" t="s">
        <v>49</v>
      </c>
      <c r="C15" s="23">
        <v>20000000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2"/>
    </row>
    <row r="16" spans="1:19" x14ac:dyDescent="0.25">
      <c r="B16" s="21" t="s">
        <v>26</v>
      </c>
      <c r="C16" s="16">
        <f>+SUM(C7:C14)</f>
        <v>31900000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6"/>
    </row>
    <row r="17" spans="2:17" s="24" customFormat="1" x14ac:dyDescent="0.25">
      <c r="B17" s="25" t="s">
        <v>43</v>
      </c>
      <c r="C17" s="23">
        <v>3000000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2"/>
    </row>
    <row r="18" spans="2:17" x14ac:dyDescent="0.25">
      <c r="B18" s="21" t="s">
        <v>43</v>
      </c>
      <c r="C18" s="16">
        <f>+C17</f>
        <v>3000000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6"/>
    </row>
    <row r="19" spans="2:17" x14ac:dyDescent="0.25">
      <c r="B19" s="25" t="s">
        <v>45</v>
      </c>
      <c r="C19" s="2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6"/>
    </row>
    <row r="20" spans="2:17" x14ac:dyDescent="0.25">
      <c r="B20" s="20" t="s">
        <v>15</v>
      </c>
      <c r="C20" s="17">
        <f>+C23+C26</f>
        <v>30000000</v>
      </c>
      <c r="D20" s="17"/>
      <c r="E20" s="17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6"/>
    </row>
    <row r="21" spans="2:17" s="24" customFormat="1" x14ac:dyDescent="0.2">
      <c r="B21" s="25" t="s">
        <v>25</v>
      </c>
      <c r="C21" s="12">
        <f>2500000*12</f>
        <v>30000000</v>
      </c>
      <c r="D21" s="31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2"/>
    </row>
    <row r="22" spans="2:17" x14ac:dyDescent="0.25">
      <c r="B22" s="26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6"/>
    </row>
    <row r="23" spans="2:17" x14ac:dyDescent="0.25">
      <c r="B23" s="21" t="s">
        <v>42</v>
      </c>
      <c r="C23" s="16">
        <f>+SUM(C21:C22)</f>
        <v>30000000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6"/>
    </row>
    <row r="24" spans="2:17" x14ac:dyDescent="0.25">
      <c r="B24" s="26" t="s">
        <v>40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6"/>
    </row>
    <row r="25" spans="2:17" x14ac:dyDescent="0.25">
      <c r="B25" s="26" t="s">
        <v>44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6"/>
    </row>
    <row r="26" spans="2:17" x14ac:dyDescent="0.25">
      <c r="B26" s="21" t="s">
        <v>41</v>
      </c>
      <c r="C26" s="18">
        <v>0</v>
      </c>
      <c r="D26" s="18"/>
      <c r="E26" s="18"/>
      <c r="F26" s="18"/>
      <c r="G26" s="15"/>
      <c r="H26" s="16"/>
      <c r="I26" s="16"/>
      <c r="J26" s="16"/>
      <c r="K26" s="16"/>
      <c r="L26" s="16"/>
      <c r="M26" s="16"/>
      <c r="N26" s="16"/>
      <c r="O26" s="16"/>
      <c r="P26" s="16"/>
      <c r="Q26" s="6"/>
    </row>
    <row r="27" spans="2:17" x14ac:dyDescent="0.25">
      <c r="B27" s="19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"/>
      <c r="Q27" s="6"/>
    </row>
    <row r="28" spans="2:17" x14ac:dyDescent="0.25">
      <c r="B28" s="19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"/>
      <c r="Q28" s="6"/>
    </row>
    <row r="29" spans="2:17" x14ac:dyDescent="0.25">
      <c r="B29" s="19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6"/>
      <c r="Q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B28-2FA1-48AB-8CEC-A98817D90D2D}">
  <dimension ref="A1"/>
  <sheetViews>
    <sheetView workbookViewId="0">
      <selection activeCell="B8" sqref="B8:C8"/>
    </sheetView>
  </sheetViews>
  <sheetFormatPr baseColWidth="10" defaultRowHeight="15" x14ac:dyDescent="0.25"/>
  <cols>
    <col min="3" max="3" width="11.425781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322A-708B-4E35-9739-30C1B4D4A173}">
  <dimension ref="B2:B12"/>
  <sheetViews>
    <sheetView showGridLines="0" zoomScale="115" zoomScaleNormal="115" workbookViewId="0">
      <selection activeCell="B11" sqref="B11"/>
    </sheetView>
  </sheetViews>
  <sheetFormatPr baseColWidth="10" defaultRowHeight="15" x14ac:dyDescent="0.25"/>
  <cols>
    <col min="1" max="1" width="2.42578125" customWidth="1"/>
    <col min="2" max="2" width="36.28515625" customWidth="1"/>
    <col min="3" max="3" width="32.7109375" bestFit="1" customWidth="1"/>
  </cols>
  <sheetData>
    <row r="2" spans="2:2" x14ac:dyDescent="0.25">
      <c r="B2" s="4" t="s">
        <v>35</v>
      </c>
    </row>
    <row r="4" spans="2:2" x14ac:dyDescent="0.25">
      <c r="B4" s="21" t="s">
        <v>28</v>
      </c>
    </row>
    <row r="5" spans="2:2" x14ac:dyDescent="0.25">
      <c r="B5" s="25" t="s">
        <v>31</v>
      </c>
    </row>
    <row r="6" spans="2:2" x14ac:dyDescent="0.25">
      <c r="B6" s="21" t="s">
        <v>29</v>
      </c>
    </row>
    <row r="7" spans="2:2" x14ac:dyDescent="0.25">
      <c r="B7" s="25" t="s">
        <v>32</v>
      </c>
    </row>
    <row r="8" spans="2:2" x14ac:dyDescent="0.25">
      <c r="B8" s="25" t="s">
        <v>33</v>
      </c>
    </row>
    <row r="9" spans="2:2" x14ac:dyDescent="0.25">
      <c r="B9" s="25" t="s">
        <v>34</v>
      </c>
    </row>
    <row r="10" spans="2:2" x14ac:dyDescent="0.25">
      <c r="B10" s="21" t="s">
        <v>30</v>
      </c>
    </row>
    <row r="11" spans="2:2" x14ac:dyDescent="0.25">
      <c r="B11" s="28" t="s">
        <v>36</v>
      </c>
    </row>
    <row r="12" spans="2:2" x14ac:dyDescent="0.25">
      <c r="B12" s="28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6E36-E6D2-4BAD-ACB5-F542CD7E0A3A}">
  <dimension ref="E7:H8"/>
  <sheetViews>
    <sheetView workbookViewId="0">
      <selection activeCell="I7" sqref="I7:I8"/>
    </sheetView>
  </sheetViews>
  <sheetFormatPr baseColWidth="10" defaultRowHeight="15" x14ac:dyDescent="0.25"/>
  <cols>
    <col min="6" max="6" width="13.140625" bestFit="1" customWidth="1"/>
  </cols>
  <sheetData>
    <row r="7" spans="5:8" x14ac:dyDescent="0.25">
      <c r="E7" t="s">
        <v>47</v>
      </c>
      <c r="F7" s="35">
        <v>10000000</v>
      </c>
      <c r="H7" s="34" t="s">
        <v>46</v>
      </c>
    </row>
    <row r="8" spans="5:8" x14ac:dyDescent="0.25">
      <c r="E8" t="s">
        <v>48</v>
      </c>
      <c r="F8" s="35">
        <v>30000000</v>
      </c>
      <c r="H8" s="34"/>
    </row>
  </sheetData>
  <mergeCells count="1"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Balance General</vt:lpstr>
      <vt:lpstr>Balance General (2)</vt:lpstr>
      <vt:lpstr>Hoja2</vt:lpstr>
      <vt:lpstr>Libros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Torres</cp:lastModifiedBy>
  <dcterms:created xsi:type="dcterms:W3CDTF">2015-06-05T18:19:34Z</dcterms:created>
  <dcterms:modified xsi:type="dcterms:W3CDTF">2025-12-05T23:04:04Z</dcterms:modified>
</cp:coreProperties>
</file>