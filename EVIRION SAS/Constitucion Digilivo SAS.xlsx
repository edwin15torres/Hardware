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2025_DigiLivo\GERENTE DE PROYECTOS\Proyecto Evirion\EVIRION SAS\"/>
    </mc:Choice>
  </mc:AlternateContent>
  <xr:revisionPtr revIDLastSave="0" documentId="13_ncr:1_{A3E4099E-E4E9-4892-90E1-915AC1188B62}" xr6:coauthVersionLast="47" xr6:coauthVersionMax="47" xr10:uidLastSave="{00000000-0000-0000-0000-000000000000}"/>
  <bookViews>
    <workbookView xWindow="20370" yWindow="-2070" windowWidth="21840" windowHeight="13140" activeTab="1" xr2:uid="{00000000-000D-0000-FFFF-FFFF00000000}"/>
  </bookViews>
  <sheets>
    <sheet name="Balance General" sheetId="1" r:id="rId1"/>
    <sheet name="PYG" sheetId="5" r:id="rId2"/>
    <sheet name="Hoja2" sheetId="4" r:id="rId3"/>
    <sheet name="Libros" sheetId="2" r:id="rId4"/>
    <sheet name="Balanc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18" i="5"/>
  <c r="H19" i="5" s="1"/>
  <c r="F17" i="5"/>
  <c r="F18" i="5"/>
  <c r="F19" i="5" s="1"/>
  <c r="D18" i="5"/>
  <c r="D19" i="5" s="1"/>
  <c r="C9" i="4"/>
  <c r="C9" i="5"/>
  <c r="H14" i="3"/>
  <c r="E8" i="1"/>
  <c r="F8" i="1" s="1"/>
  <c r="I5" i="3"/>
  <c r="K6" i="3" s="1"/>
  <c r="C18" i="1"/>
  <c r="C21" i="1"/>
  <c r="C23" i="1" s="1"/>
  <c r="C20" i="1" s="1"/>
  <c r="C16" i="1"/>
  <c r="J8" i="1" l="1"/>
  <c r="C6" i="1"/>
  <c r="C4" i="1" s="1"/>
  <c r="G8" i="1"/>
  <c r="K8" i="1"/>
  <c r="I8" i="1"/>
  <c r="M8" i="1"/>
  <c r="H8" i="1"/>
  <c r="L8" i="1"/>
</calcChain>
</file>

<file path=xl/sharedStrings.xml><?xml version="1.0" encoding="utf-8"?>
<sst xmlns="http://schemas.openxmlformats.org/spreadsheetml/2006/main" count="93" uniqueCount="65">
  <si>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</si>
  <si>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</si>
  <si>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</si>
  <si>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</si>
  <si>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</si>
  <si>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</si>
  <si>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</si>
  <si>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</si>
  <si>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</si>
  <si>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</si>
  <si>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</si>
  <si>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Activos</t>
  </si>
  <si>
    <t>Total Activos</t>
  </si>
  <si>
    <t>Marca</t>
  </si>
  <si>
    <t>Ene</t>
  </si>
  <si>
    <t>Pasivos</t>
  </si>
  <si>
    <t>Patrimonio</t>
  </si>
  <si>
    <t>APORTES SOCIALES</t>
  </si>
  <si>
    <t>Páginas web - landing page optimizada</t>
  </si>
  <si>
    <t>Proceso de UX</t>
  </si>
  <si>
    <t>Diseño UI</t>
  </si>
  <si>
    <t>Documentación de arquitectura</t>
  </si>
  <si>
    <t>Desarrollo de software (30 historias de usuario)</t>
  </si>
  <si>
    <t>Guia de estilos
Simbología, fografía y edición de fotos</t>
  </si>
  <si>
    <t>Dominio y hosting y configuración</t>
  </si>
  <si>
    <t>Nomina 6 meses</t>
  </si>
  <si>
    <t>Infraestructura de Software</t>
  </si>
  <si>
    <t>Seguridad Social</t>
  </si>
  <si>
    <t>Libro de registros de accionistas</t>
  </si>
  <si>
    <t>Libro de actas de asamblea general</t>
  </si>
  <si>
    <t>Libro contables</t>
  </si>
  <si>
    <t>Estatutos</t>
  </si>
  <si>
    <t>Acta 01</t>
  </si>
  <si>
    <t>Acta 02</t>
  </si>
  <si>
    <t>Acta 03</t>
  </si>
  <si>
    <t>LIBROS</t>
  </si>
  <si>
    <t>Libro diario - transacciones diarias</t>
  </si>
  <si>
    <t>Libro Mayor - transacciiones por cuenta</t>
  </si>
  <si>
    <t>Mauro</t>
  </si>
  <si>
    <t>Edwin</t>
  </si>
  <si>
    <t>Proveedores de hosting (servidores)</t>
  </si>
  <si>
    <t>Costos Variables</t>
  </si>
  <si>
    <t>Gastos Fijos</t>
  </si>
  <si>
    <t>Registro de marca</t>
  </si>
  <si>
    <t>Otros</t>
  </si>
  <si>
    <t>Sistema de Seguridad y Salud en el trabajo</t>
  </si>
  <si>
    <t>activo</t>
  </si>
  <si>
    <t>pasivo</t>
  </si>
  <si>
    <t>patrimonio</t>
  </si>
  <si>
    <t>Estado Financieros: Balance General</t>
  </si>
  <si>
    <t>Contenido Digital</t>
  </si>
  <si>
    <t xml:space="preserve">Edwin </t>
  </si>
  <si>
    <t>Yuly</t>
  </si>
  <si>
    <t>Estado de Resultados</t>
  </si>
  <si>
    <t>Total Ventas</t>
  </si>
  <si>
    <t>Softtware</t>
  </si>
  <si>
    <t>Contenido multomedia</t>
  </si>
  <si>
    <t>Enero</t>
  </si>
  <si>
    <t>Software</t>
  </si>
  <si>
    <t>ene</t>
  </si>
  <si>
    <t>feb</t>
  </si>
  <si>
    <t>mar</t>
  </si>
  <si>
    <t>Pasivo</t>
  </si>
  <si>
    <t>inmobiliario</t>
  </si>
  <si>
    <t>Edwin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</si>
</sst>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73" formatCode="0.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B9D9A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9D9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7F5F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</fills>
  <borders count="6">
    <border>
      <left/>
      <right/>
      <top/>
      <bottom/>
      <diagonal/>
    </border>
    <border>
      <left style="thin">
        <color rgb="FFAFEBF3"/>
      </left>
      <right style="thin">
        <color rgb="FFAFEBF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AFEBF3"/>
      </left>
      <right style="thin">
        <color rgb="FFAFEBF3"/>
      </right>
      <top/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0" xfId="0" applyFont="1"/>
    <xf numFmtId="0" fontId="1" fillId="6" borderId="0" xfId="0" applyFont="1" applyFill="1" applyAlignment="1">
      <alignment horizontal="center"/>
    </xf>
    <xf numFmtId="164" fontId="5" fillId="0" borderId="0" xfId="1" applyNumberFormat="1" applyFont="1"/>
    <xf numFmtId="164" fontId="5" fillId="0" borderId="0" xfId="1" applyNumberFormat="1" applyFont="1" applyAlignment="1">
      <alignment horizontal="center"/>
    </xf>
    <xf numFmtId="164" fontId="6" fillId="5" borderId="2" xfId="1" applyNumberFormat="1" applyFont="1" applyFill="1" applyBorder="1"/>
    <xf numFmtId="164" fontId="6" fillId="3" borderId="2" xfId="1" applyNumberFormat="1" applyFont="1" applyFill="1" applyBorder="1" applyAlignment="1">
      <alignment horizontal="center"/>
    </xf>
    <xf numFmtId="164" fontId="6" fillId="3" borderId="0" xfId="1" applyNumberFormat="1" applyFont="1" applyFill="1"/>
    <xf numFmtId="164" fontId="6" fillId="3" borderId="4" xfId="1" applyNumberFormat="1" applyFont="1" applyFill="1" applyBorder="1"/>
    <xf numFmtId="164" fontId="5" fillId="0" borderId="1" xfId="1" applyNumberFormat="1" applyFont="1" applyBorder="1"/>
    <xf numFmtId="164" fontId="5" fillId="3" borderId="0" xfId="1" applyNumberFormat="1" applyFont="1" applyFill="1"/>
    <xf numFmtId="164" fontId="5" fillId="3" borderId="4" xfId="1" applyNumberFormat="1" applyFont="1" applyFill="1" applyBorder="1"/>
    <xf numFmtId="164" fontId="5" fillId="4" borderId="0" xfId="1" applyNumberFormat="1" applyFont="1" applyFill="1"/>
    <xf numFmtId="164" fontId="5" fillId="4" borderId="4" xfId="1" applyNumberFormat="1" applyFont="1" applyFill="1" applyBorder="1"/>
    <xf numFmtId="164" fontId="5" fillId="3" borderId="3" xfId="1" applyNumberFormat="1" applyFont="1" applyFill="1" applyBorder="1"/>
    <xf numFmtId="164" fontId="5" fillId="4" borderId="3" xfId="1" applyNumberFormat="1" applyFont="1" applyFill="1" applyBorder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164" fontId="5" fillId="0" borderId="0" xfId="1" applyNumberFormat="1" applyFont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wrapText="1" indent="2"/>
    </xf>
    <xf numFmtId="164" fontId="5" fillId="0" borderId="0" xfId="1" applyNumberFormat="1" applyFont="1" applyBorder="1" applyAlignment="1">
      <alignment vertical="center"/>
    </xf>
    <xf numFmtId="0" fontId="5" fillId="7" borderId="0" xfId="0" applyFont="1" applyFill="1" applyAlignment="1">
      <alignment horizontal="left" vertical="center" indent="2"/>
    </xf>
    <xf numFmtId="164" fontId="5" fillId="7" borderId="1" xfId="1" applyNumberFormat="1" applyFont="1" applyFill="1" applyBorder="1" applyAlignment="1">
      <alignment vertical="center"/>
    </xf>
    <xf numFmtId="0" fontId="5" fillId="7" borderId="0" xfId="0" applyFont="1" applyFill="1" applyAlignment="1">
      <alignment horizontal="left" vertical="center" wrapText="1" indent="2"/>
    </xf>
    <xf numFmtId="164" fontId="5" fillId="0" borderId="0" xfId="1" applyNumberFormat="1" applyFont="1" applyBorder="1"/>
    <xf numFmtId="164" fontId="5" fillId="5" borderId="1" xfId="1" applyNumberFormat="1" applyFont="1" applyFill="1" applyBorder="1" applyAlignment="1">
      <alignment vertical="center"/>
    </xf>
    <xf numFmtId="164" fontId="5" fillId="8" borderId="1" xfId="1" applyNumberFormat="1" applyFont="1" applyFill="1" applyBorder="1" applyAlignment="1">
      <alignment vertical="center"/>
    </xf>
    <xf numFmtId="165" fontId="0" fillId="0" borderId="0" xfId="2" applyNumberFormat="1" applyFont="1"/>
    <xf numFmtId="0" fontId="7" fillId="0" borderId="0" xfId="0" applyFont="1"/>
    <xf numFmtId="9" fontId="0" fillId="0" borderId="0" xfId="3" applyFont="1"/>
    <xf numFmtId="0" fontId="5" fillId="9" borderId="0" xfId="0" applyFont="1" applyFill="1" applyAlignment="1">
      <alignment horizontal="left" vertical="center" indent="2"/>
    </xf>
    <xf numFmtId="164" fontId="0" fillId="0" borderId="0" xfId="1" applyNumberFormat="1" applyFont="1"/>
    <xf numFmtId="164" fontId="0" fillId="0" borderId="0" xfId="0" applyNumberFormat="1"/>
    <xf numFmtId="164" fontId="5" fillId="7" borderId="5" xfId="1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64" fontId="6" fillId="0" borderId="0" xfId="1" applyNumberFormat="1" applyFont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33CCFF"/>
      <color rgb="FF24D2CE"/>
      <color rgb="FFAFEBF3"/>
      <color rgb="FF9AE6F0"/>
      <color rgb="FFC7F5F4"/>
      <color rgb="FF1B9D9A"/>
      <color rgb="FFD0F3F8"/>
      <color rgb="FF83BFDD"/>
      <color rgb="FF5FAC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FF-4FD7-B839-22965BDCF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FF-4FD7-B839-22965BDCFF2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Hoja2!$B$7:$B$8</c:f>
              <c:strCache>
                <c:ptCount val="2"/>
                <c:pt idx="0">
                  <c:v>Software</c:v>
                </c:pt>
                <c:pt idx="1">
                  <c:v>Contenido Digital</c:v>
                </c:pt>
              </c:strCache>
            </c:strRef>
          </c:cat>
          <c:val>
            <c:numRef>
              <c:f>Hoja2!$C$7:$C$8</c:f>
              <c:numCache>
                <c:formatCode>_-"$"\ * #,##0_-;\-"$"\ * #,##0_-;_-"$"\ * "-"??_-;_-@_-</c:formatCode>
                <c:ptCount val="2"/>
                <c:pt idx="0">
                  <c:v>20000000</c:v>
                </c:pt>
                <c:pt idx="1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D-46A1-9233-DB3E336DD1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0</xdr:rowOff>
    </xdr:from>
    <xdr:to>
      <xdr:col>8</xdr:col>
      <xdr:colOff>457200</xdr:colOff>
      <xdr:row>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D4AB65-1BEF-CFFF-C600-2B2F2F966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showGridLines="0" zoomScale="115" zoomScaleNormal="115" workbookViewId="0">
      <selection activeCell="B6" sqref="B6"/>
    </sheetView>
  </sheetViews>
  <sheetFormatPr baseColWidth="10" defaultColWidth="9.140625" defaultRowHeight="15" x14ac:dyDescent="0.25"/>
  <cols>
    <col min="1" max="1" width="14.140625" customWidth="1"/>
    <col min="2" max="2" width="40.5703125" customWidth="1"/>
    <col min="3" max="4" width="11.85546875" customWidth="1"/>
    <col min="5" max="15" width="10.7109375" style="2" customWidth="1"/>
    <col min="16" max="16" width="10.7109375" customWidth="1"/>
  </cols>
  <sheetData>
    <row r="1" spans="1:19" x14ac:dyDescent="0.2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9" x14ac:dyDescent="0.25">
      <c r="B2" s="4" t="s">
        <v>17</v>
      </c>
      <c r="C2" s="5" t="s">
        <v>11</v>
      </c>
      <c r="D2" s="5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14</v>
      </c>
    </row>
    <row r="3" spans="1:19" x14ac:dyDescent="0.25">
      <c r="B3" s="1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9" x14ac:dyDescent="0.25">
      <c r="B4" s="21" t="s">
        <v>12</v>
      </c>
      <c r="C4" s="8">
        <f>+C6+C20</f>
        <v>64900000</v>
      </c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6"/>
    </row>
    <row r="5" spans="1:19" x14ac:dyDescent="0.25">
      <c r="B5" s="1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9" x14ac:dyDescent="0.25">
      <c r="B6" s="20" t="s">
        <v>16</v>
      </c>
      <c r="C6" s="14">
        <f>+C16+C18</f>
        <v>34900000</v>
      </c>
      <c r="D6" s="14"/>
      <c r="E6" s="14"/>
      <c r="F6" s="14"/>
      <c r="G6" s="14"/>
      <c r="H6" s="13"/>
      <c r="I6" s="14"/>
      <c r="J6" s="14"/>
      <c r="K6" s="14"/>
      <c r="L6" s="14"/>
      <c r="M6" s="14"/>
      <c r="N6" s="14"/>
      <c r="O6" s="14"/>
      <c r="P6" s="14"/>
      <c r="Q6" s="6"/>
    </row>
    <row r="7" spans="1:19" x14ac:dyDescent="0.25">
      <c r="B7" s="25" t="s">
        <v>13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6"/>
      <c r="S7" s="3"/>
    </row>
    <row r="8" spans="1:19" s="24" customFormat="1" x14ac:dyDescent="0.25">
      <c r="A8" s="24">
        <v>3114</v>
      </c>
      <c r="B8" s="28" t="s">
        <v>24</v>
      </c>
      <c r="C8" s="32">
        <v>1000000</v>
      </c>
      <c r="D8" s="32" t="s">
        <v>38</v>
      </c>
      <c r="E8" s="23">
        <f>+C8/12</f>
        <v>83333.333333333328</v>
      </c>
      <c r="F8" s="23">
        <f t="shared" ref="F8:M8" si="0">$E$8</f>
        <v>83333.333333333328</v>
      </c>
      <c r="G8" s="23">
        <f t="shared" si="0"/>
        <v>83333.333333333328</v>
      </c>
      <c r="H8" s="23">
        <f t="shared" si="0"/>
        <v>83333.333333333328</v>
      </c>
      <c r="I8" s="23">
        <f t="shared" si="0"/>
        <v>83333.333333333328</v>
      </c>
      <c r="J8" s="23">
        <f t="shared" si="0"/>
        <v>83333.333333333328</v>
      </c>
      <c r="K8" s="23">
        <f t="shared" si="0"/>
        <v>83333.333333333328</v>
      </c>
      <c r="L8" s="23">
        <f t="shared" si="0"/>
        <v>83333.333333333328</v>
      </c>
      <c r="M8" s="23">
        <f t="shared" si="0"/>
        <v>83333.333333333328</v>
      </c>
      <c r="N8" s="23"/>
      <c r="O8" s="23"/>
      <c r="P8" s="23"/>
      <c r="Q8" s="22"/>
    </row>
    <row r="9" spans="1:19" s="24" customFormat="1" ht="25.5" x14ac:dyDescent="0.25">
      <c r="A9" s="24">
        <v>3102</v>
      </c>
      <c r="B9" s="30" t="s">
        <v>23</v>
      </c>
      <c r="C9" s="32">
        <v>1800000</v>
      </c>
      <c r="D9" s="32" t="s">
        <v>38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2"/>
    </row>
    <row r="10" spans="1:19" s="24" customFormat="1" x14ac:dyDescent="0.25">
      <c r="B10" s="28" t="s">
        <v>18</v>
      </c>
      <c r="C10" s="33">
        <v>1900000</v>
      </c>
      <c r="D10" s="33" t="s">
        <v>39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2"/>
    </row>
    <row r="11" spans="1:19" s="24" customFormat="1" x14ac:dyDescent="0.25">
      <c r="B11" s="25" t="s">
        <v>19</v>
      </c>
      <c r="C11" s="33">
        <v>4000000</v>
      </c>
      <c r="D11" s="33" t="s">
        <v>39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2"/>
    </row>
    <row r="12" spans="1:19" s="24" customFormat="1" x14ac:dyDescent="0.25">
      <c r="B12" s="25" t="s">
        <v>20</v>
      </c>
      <c r="C12" s="32">
        <v>1500000</v>
      </c>
      <c r="D12" s="32" t="s">
        <v>38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2"/>
    </row>
    <row r="13" spans="1:19" s="24" customFormat="1" x14ac:dyDescent="0.25">
      <c r="B13" s="25" t="s">
        <v>21</v>
      </c>
      <c r="C13" s="32">
        <v>1700000</v>
      </c>
      <c r="D13" s="32" t="s">
        <v>38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2"/>
    </row>
    <row r="14" spans="1:19" s="24" customFormat="1" x14ac:dyDescent="0.25">
      <c r="B14" s="25" t="s">
        <v>22</v>
      </c>
      <c r="C14" s="23">
        <v>20000000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2"/>
    </row>
    <row r="15" spans="1:19" s="24" customFormat="1" x14ac:dyDescent="0.25">
      <c r="B15" s="37" t="s">
        <v>50</v>
      </c>
      <c r="C15" s="23">
        <v>20000000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2"/>
    </row>
    <row r="16" spans="1:19" x14ac:dyDescent="0.25">
      <c r="B16" s="21" t="s">
        <v>26</v>
      </c>
      <c r="C16" s="16">
        <f>+SUM(C7:C14)</f>
        <v>31900000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6"/>
    </row>
    <row r="17" spans="2:17" s="24" customFormat="1" x14ac:dyDescent="0.25">
      <c r="B17" s="25" t="s">
        <v>43</v>
      </c>
      <c r="C17" s="23">
        <v>3000000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2"/>
    </row>
    <row r="18" spans="2:17" x14ac:dyDescent="0.25">
      <c r="B18" s="21" t="s">
        <v>43</v>
      </c>
      <c r="C18" s="16">
        <f>+C17</f>
        <v>3000000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6"/>
    </row>
    <row r="19" spans="2:17" x14ac:dyDescent="0.25">
      <c r="B19" s="25" t="s">
        <v>45</v>
      </c>
      <c r="C19" s="2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6"/>
    </row>
    <row r="20" spans="2:17" x14ac:dyDescent="0.25">
      <c r="B20" s="20" t="s">
        <v>15</v>
      </c>
      <c r="C20" s="17">
        <f>+C23+C26</f>
        <v>30000000</v>
      </c>
      <c r="D20" s="17"/>
      <c r="E20" s="17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6"/>
    </row>
    <row r="21" spans="2:17" s="24" customFormat="1" x14ac:dyDescent="0.2">
      <c r="B21" s="25" t="s">
        <v>25</v>
      </c>
      <c r="C21" s="12">
        <f>2500000*12</f>
        <v>30000000</v>
      </c>
      <c r="D21" s="31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2"/>
    </row>
    <row r="22" spans="2:17" x14ac:dyDescent="0.25">
      <c r="B22" s="26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6"/>
    </row>
    <row r="23" spans="2:17" x14ac:dyDescent="0.25">
      <c r="B23" s="21" t="s">
        <v>42</v>
      </c>
      <c r="C23" s="16">
        <f>+SUM(C21:C22)</f>
        <v>30000000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6"/>
    </row>
    <row r="24" spans="2:17" x14ac:dyDescent="0.25">
      <c r="B24" s="26" t="s">
        <v>40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6"/>
    </row>
    <row r="25" spans="2:17" x14ac:dyDescent="0.25">
      <c r="B25" s="26" t="s">
        <v>44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6"/>
    </row>
    <row r="26" spans="2:17" x14ac:dyDescent="0.25">
      <c r="B26" s="21" t="s">
        <v>41</v>
      </c>
      <c r="C26" s="18">
        <v>0</v>
      </c>
      <c r="D26" s="18"/>
      <c r="E26" s="18"/>
      <c r="F26" s="18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6"/>
    </row>
    <row r="27" spans="2:17" x14ac:dyDescent="0.25">
      <c r="B27" s="19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6"/>
    </row>
    <row r="28" spans="2:17" x14ac:dyDescent="0.25">
      <c r="B28" s="19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6"/>
    </row>
    <row r="29" spans="2:17" x14ac:dyDescent="0.25">
      <c r="B29" s="19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471-2EEE-4864-921D-450B37B9817A}">
  <dimension ref="B1:R19"/>
  <sheetViews>
    <sheetView showGridLines="0" tabSelected="1" topLeftCell="B10" zoomScale="115" zoomScaleNormal="115" workbookViewId="0">
      <selection activeCell="J12" sqref="J12"/>
    </sheetView>
  </sheetViews>
  <sheetFormatPr baseColWidth="10" defaultColWidth="9.140625" defaultRowHeight="15" x14ac:dyDescent="0.25"/>
  <cols>
    <col min="1" max="1" width="14.140625" customWidth="1"/>
    <col min="2" max="2" width="40.5703125" customWidth="1"/>
    <col min="3" max="3" width="11.85546875" customWidth="1"/>
    <col min="4" max="4" width="15" style="2" customWidth="1"/>
    <col min="5" max="5" width="10.7109375" style="2" customWidth="1"/>
    <col min="6" max="6" width="13.85546875" style="2" customWidth="1"/>
    <col min="7" max="7" width="10.7109375" style="2" customWidth="1"/>
    <col min="8" max="8" width="15.5703125" style="2" customWidth="1"/>
    <col min="9" max="14" width="10.7109375" style="2" customWidth="1"/>
    <col min="15" max="15" width="10.7109375" customWidth="1"/>
  </cols>
  <sheetData>
    <row r="1" spans="2:18" x14ac:dyDescent="0.2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8" x14ac:dyDescent="0.25">
      <c r="B2" s="4" t="s">
        <v>53</v>
      </c>
      <c r="C2" s="5" t="s">
        <v>57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14</v>
      </c>
    </row>
    <row r="3" spans="2:18" x14ac:dyDescent="0.25">
      <c r="B3" s="1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8" x14ac:dyDescent="0.25">
      <c r="B4" s="21" t="s">
        <v>54</v>
      </c>
      <c r="C4" s="8"/>
      <c r="D4" s="9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6"/>
    </row>
    <row r="5" spans="2:18" x14ac:dyDescent="0.25">
      <c r="B5" s="1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8" x14ac:dyDescent="0.25">
      <c r="B6" s="20" t="s">
        <v>55</v>
      </c>
      <c r="C6" s="14">
        <v>3000000</v>
      </c>
      <c r="D6" s="14">
        <v>3000000</v>
      </c>
      <c r="E6" s="14">
        <v>3000000</v>
      </c>
      <c r="F6" s="14">
        <v>6000000</v>
      </c>
      <c r="G6" s="14">
        <v>8000000</v>
      </c>
      <c r="H6" s="14"/>
      <c r="I6" s="14"/>
      <c r="J6" s="14"/>
      <c r="K6" s="14"/>
      <c r="L6" s="14"/>
      <c r="M6" s="14"/>
      <c r="N6" s="14"/>
      <c r="O6" s="14"/>
      <c r="P6" s="6"/>
    </row>
    <row r="7" spans="2:18" x14ac:dyDescent="0.25">
      <c r="B7" s="20" t="s">
        <v>56</v>
      </c>
      <c r="C7" s="12">
        <v>1000000</v>
      </c>
      <c r="D7" s="12">
        <v>2000000</v>
      </c>
      <c r="E7" s="12">
        <v>2000000</v>
      </c>
      <c r="F7" s="12">
        <v>2000000</v>
      </c>
      <c r="G7" s="12">
        <v>6000000</v>
      </c>
      <c r="H7" s="12"/>
      <c r="I7" s="12"/>
      <c r="J7" s="12"/>
      <c r="K7" s="12"/>
      <c r="L7" s="12"/>
      <c r="M7" s="12"/>
      <c r="N7" s="12"/>
      <c r="O7" s="12"/>
      <c r="P7" s="6"/>
      <c r="R7" s="3"/>
    </row>
    <row r="8" spans="2:18" x14ac:dyDescent="0.25">
      <c r="B8" s="26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6"/>
    </row>
    <row r="9" spans="2:18" x14ac:dyDescent="0.25">
      <c r="B9" s="21" t="s">
        <v>42</v>
      </c>
      <c r="C9" s="16">
        <f>+SUM(C8:C8)</f>
        <v>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6"/>
    </row>
    <row r="10" spans="2:18" x14ac:dyDescent="0.25">
      <c r="B10" s="26" t="s">
        <v>40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6"/>
    </row>
    <row r="11" spans="2:18" x14ac:dyDescent="0.25">
      <c r="B11" s="26" t="s">
        <v>44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6"/>
    </row>
    <row r="12" spans="2:18" x14ac:dyDescent="0.25">
      <c r="B12" s="21" t="s">
        <v>41</v>
      </c>
      <c r="C12" s="18">
        <v>0</v>
      </c>
      <c r="D12" s="18"/>
      <c r="E12" s="18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6"/>
    </row>
    <row r="13" spans="2:18" x14ac:dyDescent="0.25">
      <c r="B13" s="19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6"/>
      <c r="P13" s="6"/>
    </row>
    <row r="14" spans="2:18" x14ac:dyDescent="0.25">
      <c r="B14" s="19"/>
      <c r="C14" s="6"/>
      <c r="D14" s="7"/>
      <c r="E14" s="7"/>
      <c r="F14" s="7" t="s">
        <v>38</v>
      </c>
      <c r="G14" s="7"/>
      <c r="H14" s="7" t="s">
        <v>64</v>
      </c>
      <c r="I14" s="7"/>
      <c r="J14" s="7"/>
      <c r="K14" s="7"/>
      <c r="L14" s="7"/>
      <c r="M14" s="7"/>
      <c r="N14" s="7"/>
      <c r="O14" s="6"/>
      <c r="P14" s="6"/>
    </row>
    <row r="15" spans="2:18" x14ac:dyDescent="0.25">
      <c r="B15" s="19"/>
      <c r="C15" s="6"/>
      <c r="D15" s="48" t="s">
        <v>63</v>
      </c>
      <c r="E15" s="7"/>
      <c r="F15" s="48" t="s">
        <v>58</v>
      </c>
      <c r="G15" s="7"/>
      <c r="H15" s="48" t="s">
        <v>58</v>
      </c>
      <c r="I15" s="7"/>
      <c r="J15" s="7"/>
      <c r="K15" s="7"/>
      <c r="L15" s="7"/>
      <c r="M15" s="7"/>
      <c r="N15" s="7"/>
      <c r="O15" s="6"/>
      <c r="P15" s="6"/>
    </row>
    <row r="16" spans="2:18" x14ac:dyDescent="0.25">
      <c r="D16" s="45">
        <v>300000000</v>
      </c>
      <c r="F16" s="45">
        <v>15000000</v>
      </c>
      <c r="H16" s="45">
        <v>30000000</v>
      </c>
    </row>
    <row r="17" spans="4:8" x14ac:dyDescent="0.25">
      <c r="D17" s="45">
        <v>1500000</v>
      </c>
      <c r="F17" s="45">
        <f>750000*6</f>
        <v>4500000</v>
      </c>
      <c r="H17" s="45">
        <f>1500000*2</f>
        <v>3000000</v>
      </c>
    </row>
    <row r="18" spans="4:8" x14ac:dyDescent="0.25">
      <c r="D18" s="46">
        <f>+D16/D17</f>
        <v>200</v>
      </c>
      <c r="F18" s="46">
        <f>+F16/F17</f>
        <v>3.3333333333333335</v>
      </c>
      <c r="H18" s="46">
        <f>+H16/H17</f>
        <v>10</v>
      </c>
    </row>
    <row r="19" spans="4:8" x14ac:dyDescent="0.25">
      <c r="D19" s="47">
        <f>+D18/12</f>
        <v>16.666666666666668</v>
      </c>
      <c r="E19" s="47"/>
      <c r="F19" s="47">
        <f>+F18/12</f>
        <v>0.27777777777777779</v>
      </c>
      <c r="H19" s="47">
        <f>+H18/12</f>
        <v>0.83333333333333337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B28-2FA1-48AB-8CEC-A98817D90D2D}">
  <dimension ref="A6:F14"/>
  <sheetViews>
    <sheetView workbookViewId="0">
      <selection activeCell="C20" sqref="C20"/>
    </sheetView>
  </sheetViews>
  <sheetFormatPr baseColWidth="10" defaultRowHeight="15" x14ac:dyDescent="0.25"/>
  <cols>
    <col min="2" max="2" width="17.42578125" bestFit="1" customWidth="1"/>
    <col min="3" max="3" width="31" customWidth="1"/>
    <col min="4" max="4" width="13" bestFit="1" customWidth="1"/>
    <col min="5" max="6" width="12" bestFit="1" customWidth="1"/>
  </cols>
  <sheetData>
    <row r="6" spans="1:6" x14ac:dyDescent="0.25">
      <c r="B6" t="s">
        <v>62</v>
      </c>
    </row>
    <row r="7" spans="1:6" x14ac:dyDescent="0.25">
      <c r="A7" t="s">
        <v>39</v>
      </c>
      <c r="B7" s="37" t="s">
        <v>58</v>
      </c>
      <c r="C7" s="29">
        <v>20000000</v>
      </c>
    </row>
    <row r="8" spans="1:6" x14ac:dyDescent="0.25">
      <c r="A8" t="s">
        <v>52</v>
      </c>
      <c r="B8" s="37" t="s">
        <v>50</v>
      </c>
      <c r="C8" s="40">
        <v>20000000</v>
      </c>
    </row>
    <row r="9" spans="1:6" x14ac:dyDescent="0.25">
      <c r="C9" s="39">
        <f>+SUM(C7:C8)</f>
        <v>40000000</v>
      </c>
    </row>
    <row r="10" spans="1:6" x14ac:dyDescent="0.25">
      <c r="C10" s="34"/>
    </row>
    <row r="13" spans="1:6" x14ac:dyDescent="0.25">
      <c r="D13" t="s">
        <v>59</v>
      </c>
      <c r="E13" t="s">
        <v>60</v>
      </c>
      <c r="F13" t="s">
        <v>61</v>
      </c>
    </row>
    <row r="14" spans="1:6" s="38" customFormat="1" x14ac:dyDescent="0.25">
      <c r="D14" s="38">
        <v>600000</v>
      </c>
      <c r="E14" s="38">
        <v>1500000</v>
      </c>
      <c r="F14" s="38">
        <v>2500000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322A-708B-4E35-9739-30C1B4D4A173}">
  <dimension ref="B2:B12"/>
  <sheetViews>
    <sheetView showGridLines="0" zoomScale="115" zoomScaleNormal="115" workbookViewId="0">
      <selection activeCell="B11" sqref="B11"/>
    </sheetView>
  </sheetViews>
  <sheetFormatPr baseColWidth="10" defaultRowHeight="15" x14ac:dyDescent="0.25"/>
  <cols>
    <col min="1" max="1" width="2.42578125" customWidth="1"/>
    <col min="2" max="2" width="36.28515625" customWidth="1"/>
    <col min="3" max="3" width="32.7109375" bestFit="1" customWidth="1"/>
  </cols>
  <sheetData>
    <row r="2" spans="2:2" x14ac:dyDescent="0.25">
      <c r="B2" s="4" t="s">
        <v>35</v>
      </c>
    </row>
    <row r="4" spans="2:2" x14ac:dyDescent="0.25">
      <c r="B4" s="21" t="s">
        <v>28</v>
      </c>
    </row>
    <row r="5" spans="2:2" x14ac:dyDescent="0.25">
      <c r="B5" s="25" t="s">
        <v>31</v>
      </c>
    </row>
    <row r="6" spans="2:2" x14ac:dyDescent="0.25">
      <c r="B6" s="21" t="s">
        <v>29</v>
      </c>
    </row>
    <row r="7" spans="2:2" x14ac:dyDescent="0.25">
      <c r="B7" s="25" t="s">
        <v>32</v>
      </c>
    </row>
    <row r="8" spans="2:2" x14ac:dyDescent="0.25">
      <c r="B8" s="25" t="s">
        <v>33</v>
      </c>
    </row>
    <row r="9" spans="2:2" x14ac:dyDescent="0.25">
      <c r="B9" s="25" t="s">
        <v>34</v>
      </c>
    </row>
    <row r="10" spans="2:2" x14ac:dyDescent="0.25">
      <c r="B10" s="21" t="s">
        <v>30</v>
      </c>
    </row>
    <row r="11" spans="2:2" x14ac:dyDescent="0.25">
      <c r="B11" s="28" t="s">
        <v>36</v>
      </c>
    </row>
    <row r="12" spans="2:2" x14ac:dyDescent="0.25">
      <c r="B12" s="28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6E36-E6D2-4BAD-ACB5-F542CD7E0A3A}">
  <dimension ref="E2:K16"/>
  <sheetViews>
    <sheetView workbookViewId="0">
      <selection activeCell="E12" sqref="E10:H12"/>
    </sheetView>
  </sheetViews>
  <sheetFormatPr baseColWidth="10" defaultRowHeight="15" x14ac:dyDescent="0.25"/>
  <cols>
    <col min="6" max="6" width="13.140625" bestFit="1" customWidth="1"/>
  </cols>
  <sheetData>
    <row r="2" spans="5:11" x14ac:dyDescent="0.25">
      <c r="E2" s="44" t="s">
        <v>49</v>
      </c>
      <c r="F2" s="44"/>
      <c r="G2" s="44"/>
      <c r="H2" s="44"/>
      <c r="I2" s="44"/>
    </row>
    <row r="5" spans="5:11" x14ac:dyDescent="0.25">
      <c r="E5" s="35" t="s">
        <v>47</v>
      </c>
      <c r="F5" s="34">
        <v>0</v>
      </c>
      <c r="H5" s="41" t="s">
        <v>46</v>
      </c>
      <c r="I5" s="42">
        <f>+F5+F6</f>
        <v>30000000</v>
      </c>
    </row>
    <row r="6" spans="5:11" x14ac:dyDescent="0.25">
      <c r="E6" s="35" t="s">
        <v>48</v>
      </c>
      <c r="F6" s="34">
        <v>30000000</v>
      </c>
      <c r="H6" s="41"/>
      <c r="I6" s="43"/>
      <c r="K6" s="36">
        <f>+F5/I5</f>
        <v>0</v>
      </c>
    </row>
    <row r="12" spans="5:11" x14ac:dyDescent="0.25">
      <c r="E12" s="35" t="s">
        <v>48</v>
      </c>
      <c r="F12" s="34">
        <v>30000000</v>
      </c>
    </row>
    <row r="14" spans="5:11" x14ac:dyDescent="0.25">
      <c r="E14" t="s">
        <v>51</v>
      </c>
      <c r="F14" s="34">
        <v>20000000</v>
      </c>
      <c r="H14" s="36">
        <f>+F14/$F$12</f>
        <v>0.66666666666666663</v>
      </c>
    </row>
    <row r="15" spans="5:11" x14ac:dyDescent="0.25">
      <c r="E15" t="s">
        <v>52</v>
      </c>
      <c r="F15" s="34">
        <v>10000000</v>
      </c>
      <c r="H15" s="36">
        <v>0.6</v>
      </c>
    </row>
    <row r="16" spans="5:11" x14ac:dyDescent="0.25">
      <c r="F16" s="34"/>
    </row>
  </sheetData>
  <mergeCells count="3">
    <mergeCell ref="H5:H6"/>
    <mergeCell ref="I5:I6"/>
    <mergeCell ref="E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Balance General</vt:lpstr>
      <vt:lpstr>PYG</vt:lpstr>
      <vt:lpstr>Hoja2</vt:lpstr>
      <vt:lpstr>Libros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2025-12-11T17:21:44Z</dcterms:modified>
</cp:coreProperties>
</file>