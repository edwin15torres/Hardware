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1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1. Finance System\"/>
    </mc:Choice>
  </mc:AlternateContent>
  <xr:revisionPtr revIDLastSave="0" documentId="13_ncr:1_{7C6BE2FC-A9D3-40D9-A217-E584E8A834E0}" xr6:coauthVersionLast="47" xr6:coauthVersionMax="47" xr10:uidLastSave="{00000000-0000-0000-0000-000000000000}"/>
  <bookViews>
    <workbookView xWindow="20370" yWindow="-2070" windowWidth="21840" windowHeight="13140" tabRatio="689" activeTab="3" xr2:uid="{00000000-000D-0000-FFFF-FFFF00000000}"/>
  </bookViews>
  <sheets>
    <sheet name="Inicio" sheetId="34" r:id="rId1"/>
    <sheet name="OPEX_VE" sheetId="48" r:id="rId2"/>
    <sheet name="Historia" sheetId="53" r:id="rId3"/>
    <sheet name="Forecast" sheetId="45" r:id="rId4"/>
    <sheet name="products" sheetId="52" r:id="rId5"/>
    <sheet name="sales" sheetId="28" r:id="rId6"/>
    <sheet name="Opex" sheetId="43" r:id="rId7"/>
    <sheet name="Activos" sheetId="35" r:id="rId8"/>
    <sheet name="Ingresos" sheetId="33" r:id="rId9"/>
    <sheet name="Cuentas x Pagar" sheetId="23" r:id="rId10"/>
    <sheet name="Opex (2)" sheetId="47" state="hidden" r:id="rId11"/>
  </sheets>
  <externalReferences>
    <externalReference r:id="rId12"/>
  </externalReferences>
  <definedNames>
    <definedName name="_Fill" localSheetId="7" hidden="1">#REF!</definedName>
    <definedName name="_Fill" hidden="1">#REF!</definedName>
    <definedName name="_xlnm._FilterDatabase" localSheetId="1" hidden="1">OPEX_VE!$A$2:$E$324</definedName>
    <definedName name="Costo_MP">#REF!</definedName>
    <definedName name="Cuentas_x_pagar" localSheetId="7">Pasivos[]</definedName>
    <definedName name="Cuentas_x_pagar" localSheetId="10">Pasivos[]</definedName>
    <definedName name="Cuentas_x_pagar">Pasivos[]</definedName>
    <definedName name="Efectivo">#REF!</definedName>
    <definedName name="SegmentaciónDeDatos_Tipo_día">#N/A</definedName>
    <definedName name="Stock_Inventario">#REF!</definedName>
  </definedNames>
  <calcPr calcId="191029"/>
  <pivotCaches>
    <pivotCache cacheId="5" r:id="rId13"/>
    <pivotCache cacheId="6" r:id="rId14"/>
  </pivotCaches>
  <extLst>
    <ext xmlns:x14="http://schemas.microsoft.com/office/spreadsheetml/2009/9/main" uri="{BBE1A952-AA13-448e-AADC-164F8A28A991}">
      <x14:slicerCaches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48" l="1"/>
  <c r="R4" i="48"/>
  <c r="R5" i="48"/>
  <c r="R6" i="48"/>
  <c r="R7" i="48"/>
  <c r="R8" i="48"/>
  <c r="R9" i="48"/>
  <c r="R10" i="48"/>
  <c r="R11" i="48"/>
  <c r="R12" i="48"/>
  <c r="R13" i="48"/>
  <c r="R14" i="48"/>
  <c r="R15" i="48"/>
  <c r="R16" i="48"/>
  <c r="R17" i="48"/>
  <c r="R18" i="48"/>
  <c r="R19" i="48"/>
  <c r="R20" i="48"/>
  <c r="R21" i="48"/>
  <c r="R22" i="48"/>
  <c r="R23" i="48"/>
  <c r="R24" i="48"/>
  <c r="R25" i="48"/>
  <c r="R26" i="48"/>
  <c r="R27" i="48"/>
  <c r="R28" i="48"/>
  <c r="R29" i="48"/>
  <c r="R30" i="48"/>
  <c r="R31" i="48"/>
  <c r="R32" i="48"/>
  <c r="R33" i="48"/>
  <c r="R34" i="48"/>
  <c r="R35" i="48"/>
  <c r="R36" i="48"/>
  <c r="R37" i="48"/>
  <c r="R38" i="48"/>
  <c r="R39" i="48"/>
  <c r="R40" i="48"/>
  <c r="R41" i="48"/>
  <c r="R42" i="48"/>
  <c r="R43" i="48"/>
  <c r="R44" i="48"/>
  <c r="R45" i="48"/>
  <c r="R46" i="48"/>
  <c r="R47" i="48"/>
  <c r="R48" i="48"/>
  <c r="R49" i="48"/>
  <c r="R50" i="48"/>
  <c r="R51" i="48"/>
  <c r="R52" i="48"/>
  <c r="R53" i="48"/>
  <c r="R54" i="48"/>
  <c r="R55" i="48"/>
  <c r="R56" i="48"/>
  <c r="R57" i="48"/>
  <c r="R58" i="48"/>
  <c r="R59" i="48"/>
  <c r="R60" i="48"/>
  <c r="R61" i="48"/>
  <c r="R62" i="48"/>
  <c r="R63" i="48"/>
  <c r="R64" i="48"/>
  <c r="R65" i="48"/>
  <c r="R66" i="48"/>
  <c r="R67" i="48"/>
  <c r="R68" i="48"/>
  <c r="R69" i="48"/>
  <c r="R70" i="48"/>
  <c r="R71" i="48"/>
  <c r="R72" i="48"/>
  <c r="R73" i="48"/>
  <c r="R74" i="48"/>
  <c r="R75" i="48"/>
  <c r="R76" i="48"/>
  <c r="R77" i="48"/>
  <c r="R78" i="48"/>
  <c r="R79" i="48"/>
  <c r="R80" i="48"/>
  <c r="R81" i="48"/>
  <c r="R82" i="48"/>
  <c r="R83" i="48"/>
  <c r="R84" i="48"/>
  <c r="R85" i="48"/>
  <c r="R86" i="48"/>
  <c r="R87" i="48"/>
  <c r="R88" i="48"/>
  <c r="R89" i="48"/>
  <c r="R90" i="48"/>
  <c r="R91" i="48"/>
  <c r="R92" i="48"/>
  <c r="R93" i="48"/>
  <c r="R94" i="48"/>
  <c r="R95" i="48"/>
  <c r="R96" i="48"/>
  <c r="R97" i="48"/>
  <c r="R98" i="48"/>
  <c r="R99" i="48"/>
  <c r="R100" i="48"/>
  <c r="R101" i="48"/>
  <c r="R102" i="48"/>
  <c r="R103" i="48"/>
  <c r="R104" i="48"/>
  <c r="R105" i="48"/>
  <c r="R106" i="48"/>
  <c r="R107" i="48"/>
  <c r="R108" i="48"/>
  <c r="R109" i="48"/>
  <c r="R110" i="48"/>
  <c r="R111" i="48"/>
  <c r="R112" i="48"/>
  <c r="R113" i="48"/>
  <c r="R114" i="48"/>
  <c r="R115" i="48"/>
  <c r="R116" i="48"/>
  <c r="R117" i="48"/>
  <c r="R118" i="48"/>
  <c r="R119" i="48"/>
  <c r="R120" i="48"/>
  <c r="R121" i="48"/>
  <c r="R122" i="48"/>
  <c r="R123" i="48"/>
  <c r="R124" i="48"/>
  <c r="R125" i="48"/>
  <c r="R126" i="48"/>
  <c r="R127" i="48"/>
  <c r="R128" i="48"/>
  <c r="R129" i="48"/>
  <c r="R130" i="48"/>
  <c r="R131" i="48"/>
  <c r="R132" i="48"/>
  <c r="R133" i="48"/>
  <c r="R134" i="48"/>
  <c r="R135" i="48"/>
  <c r="R136" i="48"/>
  <c r="R137" i="48"/>
  <c r="R138" i="48"/>
  <c r="R139" i="48"/>
  <c r="R140" i="48"/>
  <c r="R141" i="48"/>
  <c r="R142" i="48"/>
  <c r="R143" i="48"/>
  <c r="R144" i="48"/>
  <c r="R145" i="48"/>
  <c r="R146" i="48"/>
  <c r="R147" i="48"/>
  <c r="R148" i="48"/>
  <c r="R149" i="48"/>
  <c r="R150" i="48"/>
  <c r="R151" i="48"/>
  <c r="R152" i="48"/>
  <c r="R153" i="48"/>
  <c r="R154" i="48"/>
  <c r="R155" i="48"/>
  <c r="R156" i="48"/>
  <c r="R157" i="48"/>
  <c r="R158" i="48"/>
  <c r="R159" i="48"/>
  <c r="R160" i="48"/>
  <c r="R161" i="48"/>
  <c r="R162" i="48"/>
  <c r="R163" i="48"/>
  <c r="R164" i="48"/>
  <c r="R165" i="48"/>
  <c r="R166" i="48"/>
  <c r="R167" i="48"/>
  <c r="R168" i="48"/>
  <c r="R169" i="48"/>
  <c r="R170" i="48"/>
  <c r="R171" i="48"/>
  <c r="R172" i="48"/>
  <c r="R173" i="48"/>
  <c r="R174" i="48"/>
  <c r="R175" i="48"/>
  <c r="R176" i="48"/>
  <c r="R177" i="48"/>
  <c r="R178" i="48"/>
  <c r="R179" i="48"/>
  <c r="R180" i="48"/>
  <c r="R181" i="48"/>
  <c r="R182" i="48"/>
  <c r="R183" i="48"/>
  <c r="R184" i="48"/>
  <c r="R185" i="48"/>
  <c r="R186" i="48"/>
  <c r="R187" i="48"/>
  <c r="R188" i="48"/>
  <c r="R189" i="48"/>
  <c r="R190" i="48"/>
  <c r="R191" i="48"/>
  <c r="R192" i="48"/>
  <c r="R193" i="48"/>
  <c r="R194" i="48"/>
  <c r="R195" i="48"/>
  <c r="R196" i="48"/>
  <c r="R197" i="48"/>
  <c r="R198" i="48"/>
  <c r="R199" i="48"/>
  <c r="R200" i="48"/>
  <c r="R201" i="48"/>
  <c r="R202" i="48"/>
  <c r="R203" i="48"/>
  <c r="R204" i="48"/>
  <c r="R205" i="48"/>
  <c r="R206" i="48"/>
  <c r="R207" i="48"/>
  <c r="R208" i="48"/>
  <c r="R209" i="48"/>
  <c r="R210" i="48"/>
  <c r="R211" i="48"/>
  <c r="R212" i="48"/>
  <c r="R213" i="48"/>
  <c r="R214" i="48"/>
  <c r="R215" i="48"/>
  <c r="R216" i="48"/>
  <c r="R217" i="48"/>
  <c r="R218" i="48"/>
  <c r="R219" i="48"/>
  <c r="R220" i="48"/>
  <c r="R221" i="48"/>
  <c r="R222" i="48"/>
  <c r="R223" i="48"/>
  <c r="R224" i="48"/>
  <c r="R225" i="48"/>
  <c r="R226" i="48"/>
  <c r="R227" i="48"/>
  <c r="R228" i="48"/>
  <c r="R229" i="48"/>
  <c r="R230" i="48"/>
  <c r="R231" i="48"/>
  <c r="R232" i="48"/>
  <c r="R233" i="48"/>
  <c r="R234" i="48"/>
  <c r="R235" i="48"/>
  <c r="R236" i="48"/>
  <c r="R237" i="48"/>
  <c r="R238" i="48"/>
  <c r="R239" i="48"/>
  <c r="R240" i="48"/>
  <c r="R241" i="48"/>
  <c r="R242" i="48"/>
  <c r="R243" i="48"/>
  <c r="R244" i="48"/>
  <c r="R245" i="48"/>
  <c r="R246" i="48"/>
  <c r="R247" i="48"/>
  <c r="R248" i="48"/>
  <c r="R249" i="48"/>
  <c r="R250" i="48"/>
  <c r="R251" i="48"/>
  <c r="R252" i="48"/>
  <c r="R253" i="48"/>
  <c r="R254" i="48"/>
  <c r="R255" i="48"/>
  <c r="R256" i="48"/>
  <c r="R257" i="48"/>
  <c r="R258" i="48"/>
  <c r="R259" i="48"/>
  <c r="R260" i="48"/>
  <c r="R261" i="48"/>
  <c r="R262" i="48"/>
  <c r="R263" i="48"/>
  <c r="R264" i="48"/>
  <c r="R265" i="48"/>
  <c r="R266" i="48"/>
  <c r="R267" i="48"/>
  <c r="R268" i="48"/>
  <c r="R269" i="48"/>
  <c r="R270" i="48"/>
  <c r="R271" i="48"/>
  <c r="R272" i="48"/>
  <c r="R273" i="48"/>
  <c r="R274" i="48"/>
  <c r="R275" i="48"/>
  <c r="R276" i="48"/>
  <c r="R277" i="48"/>
  <c r="R278" i="48"/>
  <c r="R279" i="48"/>
  <c r="R280" i="48"/>
  <c r="R281" i="48"/>
  <c r="R282" i="48"/>
  <c r="R283" i="48"/>
  <c r="R284" i="48"/>
  <c r="R285" i="48"/>
  <c r="R286" i="48"/>
  <c r="R287" i="48"/>
  <c r="R288" i="48"/>
  <c r="R289" i="48"/>
  <c r="R290" i="48"/>
  <c r="R291" i="48"/>
  <c r="R292" i="48"/>
  <c r="R293" i="48"/>
  <c r="R294" i="48"/>
  <c r="R295" i="48"/>
  <c r="R296" i="48"/>
  <c r="R297" i="48"/>
  <c r="R298" i="48"/>
  <c r="R299" i="48"/>
  <c r="R300" i="48"/>
  <c r="R301" i="48"/>
  <c r="R302" i="48"/>
  <c r="R303" i="48"/>
  <c r="R304" i="48"/>
  <c r="R305" i="48"/>
  <c r="R306" i="48"/>
  <c r="R307" i="48"/>
  <c r="R308" i="48"/>
  <c r="R309" i="48"/>
  <c r="R310" i="48"/>
  <c r="R311" i="48"/>
  <c r="R312" i="48"/>
  <c r="R313" i="48"/>
  <c r="R314" i="48"/>
  <c r="R315" i="48"/>
  <c r="R316" i="48"/>
  <c r="R317" i="48"/>
  <c r="R318" i="48"/>
  <c r="R319" i="48"/>
  <c r="R320" i="48"/>
  <c r="R321" i="48"/>
  <c r="R322" i="48"/>
  <c r="R323" i="48"/>
  <c r="R324" i="48"/>
  <c r="R325" i="48"/>
  <c r="R326" i="48"/>
  <c r="R327" i="48"/>
  <c r="R328" i="48"/>
  <c r="R329" i="48"/>
  <c r="R330" i="48"/>
  <c r="R331" i="48"/>
  <c r="R332" i="48"/>
  <c r="R333" i="48"/>
  <c r="R334" i="48"/>
  <c r="R335" i="48"/>
  <c r="R336" i="48"/>
  <c r="R337" i="48"/>
  <c r="R338" i="48"/>
  <c r="R339" i="48"/>
  <c r="R340" i="48"/>
  <c r="R341" i="48"/>
  <c r="R342" i="48"/>
  <c r="R343" i="48"/>
  <c r="R344" i="48"/>
  <c r="R345" i="48"/>
  <c r="R346" i="48"/>
  <c r="R347" i="48"/>
  <c r="R348" i="48"/>
  <c r="R349" i="48"/>
  <c r="R350" i="48"/>
  <c r="R351" i="48"/>
  <c r="R352" i="48"/>
  <c r="R353" i="48"/>
  <c r="R354" i="48"/>
  <c r="R355" i="48"/>
  <c r="R356" i="48"/>
  <c r="R357" i="48"/>
  <c r="R358" i="48"/>
  <c r="R359" i="48"/>
  <c r="R360" i="48"/>
  <c r="R361" i="48"/>
  <c r="R362" i="48"/>
  <c r="R363" i="48"/>
  <c r="R364" i="48"/>
  <c r="R365" i="48"/>
  <c r="R366" i="48"/>
  <c r="R367" i="48"/>
  <c r="R368" i="48"/>
  <c r="R369" i="48"/>
  <c r="Q12" i="48"/>
  <c r="P12" i="48" s="1"/>
  <c r="O12" i="48"/>
  <c r="L12" i="48"/>
  <c r="C12" i="48"/>
  <c r="O3" i="48"/>
  <c r="O4" i="48"/>
  <c r="O5" i="48"/>
  <c r="O6" i="48"/>
  <c r="O7" i="48"/>
  <c r="O8" i="48"/>
  <c r="O9" i="48"/>
  <c r="O10" i="48"/>
  <c r="O11" i="48"/>
  <c r="O13" i="48"/>
  <c r="O14" i="48"/>
  <c r="O15" i="48"/>
  <c r="O16" i="48"/>
  <c r="O17" i="48"/>
  <c r="O18" i="48"/>
  <c r="O19" i="48"/>
  <c r="O20" i="48"/>
  <c r="O21" i="48"/>
  <c r="O22" i="48"/>
  <c r="O23" i="48"/>
  <c r="O24" i="48"/>
  <c r="O25" i="48"/>
  <c r="O26" i="48"/>
  <c r="O27" i="48"/>
  <c r="O28" i="48"/>
  <c r="O29" i="48"/>
  <c r="O30" i="48"/>
  <c r="O31" i="48"/>
  <c r="O32" i="48"/>
  <c r="O33" i="48"/>
  <c r="O34" i="48"/>
  <c r="O35" i="48"/>
  <c r="O36" i="48"/>
  <c r="O37" i="48"/>
  <c r="O38" i="48"/>
  <c r="O39" i="48"/>
  <c r="O40" i="48"/>
  <c r="O41" i="48"/>
  <c r="O42" i="48"/>
  <c r="O43" i="48"/>
  <c r="O44" i="48"/>
  <c r="O45" i="48"/>
  <c r="O46" i="48"/>
  <c r="O47" i="48"/>
  <c r="O48" i="48"/>
  <c r="O49" i="48"/>
  <c r="O50" i="48"/>
  <c r="O51" i="48"/>
  <c r="O52" i="48"/>
  <c r="O53" i="48"/>
  <c r="O54" i="48"/>
  <c r="O55" i="48"/>
  <c r="O56" i="48"/>
  <c r="O57" i="48"/>
  <c r="O58" i="48"/>
  <c r="O59" i="48"/>
  <c r="O60" i="48"/>
  <c r="O61" i="48"/>
  <c r="O62" i="48"/>
  <c r="O63" i="48"/>
  <c r="O64" i="48"/>
  <c r="O65" i="48"/>
  <c r="O66" i="48"/>
  <c r="O67" i="48"/>
  <c r="O68" i="48"/>
  <c r="O69" i="48"/>
  <c r="O70" i="48"/>
  <c r="O71" i="48"/>
  <c r="O72" i="48"/>
  <c r="O73" i="48"/>
  <c r="O74" i="48"/>
  <c r="O75" i="48"/>
  <c r="O76" i="48"/>
  <c r="O77" i="48"/>
  <c r="O78" i="48"/>
  <c r="O79" i="48"/>
  <c r="O80" i="48"/>
  <c r="O81" i="48"/>
  <c r="O82" i="48"/>
  <c r="O83" i="48"/>
  <c r="O84" i="48"/>
  <c r="O85" i="48"/>
  <c r="O86" i="48"/>
  <c r="O87" i="48"/>
  <c r="O88" i="48"/>
  <c r="O89" i="48"/>
  <c r="O90" i="48"/>
  <c r="O91" i="48"/>
  <c r="O92" i="48"/>
  <c r="O93" i="48"/>
  <c r="O94" i="48"/>
  <c r="O95" i="48"/>
  <c r="O96" i="48"/>
  <c r="O97" i="48"/>
  <c r="O98" i="48"/>
  <c r="O99" i="48"/>
  <c r="O100" i="48"/>
  <c r="O101" i="48"/>
  <c r="O102" i="48"/>
  <c r="O103" i="48"/>
  <c r="O104" i="48"/>
  <c r="O105" i="48"/>
  <c r="O106" i="48"/>
  <c r="O107" i="48"/>
  <c r="O108" i="48"/>
  <c r="O109" i="48"/>
  <c r="O110" i="48"/>
  <c r="O111" i="48"/>
  <c r="O112" i="48"/>
  <c r="O113" i="48"/>
  <c r="O114" i="48"/>
  <c r="O115" i="48"/>
  <c r="O116" i="48"/>
  <c r="O117" i="48"/>
  <c r="O118" i="48"/>
  <c r="O119" i="48"/>
  <c r="O120" i="48"/>
  <c r="O121" i="48"/>
  <c r="O122" i="48"/>
  <c r="O123" i="48"/>
  <c r="O124" i="48"/>
  <c r="O125" i="48"/>
  <c r="O126" i="48"/>
  <c r="O127" i="48"/>
  <c r="O128" i="48"/>
  <c r="O129" i="48"/>
  <c r="O130" i="48"/>
  <c r="O131" i="48"/>
  <c r="O132" i="48"/>
  <c r="O133" i="48"/>
  <c r="O134" i="48"/>
  <c r="O135" i="48"/>
  <c r="O136" i="48"/>
  <c r="O137" i="48"/>
  <c r="O138" i="48"/>
  <c r="O139" i="48"/>
  <c r="O140" i="48"/>
  <c r="O141" i="48"/>
  <c r="O142" i="48"/>
  <c r="O143" i="48"/>
  <c r="O144" i="48"/>
  <c r="O145" i="48"/>
  <c r="O146" i="48"/>
  <c r="O147" i="48"/>
  <c r="O148" i="48"/>
  <c r="O149" i="48"/>
  <c r="O150" i="48"/>
  <c r="O151" i="48"/>
  <c r="O152" i="48"/>
  <c r="O153" i="48"/>
  <c r="O154" i="48"/>
  <c r="O155" i="48"/>
  <c r="O156" i="48"/>
  <c r="O157" i="48"/>
  <c r="O158" i="48"/>
  <c r="O159" i="48"/>
  <c r="O160" i="48"/>
  <c r="O161" i="48"/>
  <c r="O162" i="48"/>
  <c r="O163" i="48"/>
  <c r="O164" i="48"/>
  <c r="O165" i="48"/>
  <c r="O166" i="48"/>
  <c r="O167" i="48"/>
  <c r="O168" i="48"/>
  <c r="O169" i="48"/>
  <c r="O170" i="48"/>
  <c r="O171" i="48"/>
  <c r="O172" i="48"/>
  <c r="O173" i="48"/>
  <c r="O174" i="48"/>
  <c r="O175" i="48"/>
  <c r="O176" i="48"/>
  <c r="O177" i="48"/>
  <c r="O178" i="48"/>
  <c r="O179" i="48"/>
  <c r="O180" i="48"/>
  <c r="O181" i="48"/>
  <c r="O182" i="48"/>
  <c r="O183" i="48"/>
  <c r="O184" i="48"/>
  <c r="O185" i="48"/>
  <c r="O186" i="48"/>
  <c r="O187" i="48"/>
  <c r="O188" i="48"/>
  <c r="O189" i="48"/>
  <c r="O190" i="48"/>
  <c r="O191" i="48"/>
  <c r="O192" i="48"/>
  <c r="O193" i="48"/>
  <c r="O194" i="48"/>
  <c r="O195" i="48"/>
  <c r="O196" i="48"/>
  <c r="O197" i="48"/>
  <c r="O198" i="48"/>
  <c r="O199" i="48"/>
  <c r="O200" i="48"/>
  <c r="O201" i="48"/>
  <c r="O202" i="48"/>
  <c r="O203" i="48"/>
  <c r="O204" i="48"/>
  <c r="O205" i="48"/>
  <c r="O206" i="48"/>
  <c r="O207" i="48"/>
  <c r="O208" i="48"/>
  <c r="O209" i="48"/>
  <c r="O210" i="48"/>
  <c r="O211" i="48"/>
  <c r="O212" i="48"/>
  <c r="O213" i="48"/>
  <c r="O214" i="48"/>
  <c r="O215" i="48"/>
  <c r="O216" i="48"/>
  <c r="O217" i="48"/>
  <c r="O218" i="48"/>
  <c r="O219" i="48"/>
  <c r="O220" i="48"/>
  <c r="O221" i="48"/>
  <c r="O222" i="48"/>
  <c r="O223" i="48"/>
  <c r="O224" i="48"/>
  <c r="O225" i="48"/>
  <c r="O226" i="48"/>
  <c r="O227" i="48"/>
  <c r="O228" i="48"/>
  <c r="O229" i="48"/>
  <c r="O230" i="48"/>
  <c r="O231" i="48"/>
  <c r="O232" i="48"/>
  <c r="O233" i="48"/>
  <c r="O234" i="48"/>
  <c r="O235" i="48"/>
  <c r="O236" i="48"/>
  <c r="O237" i="48"/>
  <c r="O238" i="48"/>
  <c r="O239" i="48"/>
  <c r="O240" i="48"/>
  <c r="O241" i="48"/>
  <c r="O242" i="48"/>
  <c r="O243" i="48"/>
  <c r="O244" i="48"/>
  <c r="O245" i="48"/>
  <c r="O246" i="48"/>
  <c r="O247" i="48"/>
  <c r="O248" i="48"/>
  <c r="O249" i="48"/>
  <c r="O250" i="48"/>
  <c r="O251" i="48"/>
  <c r="O252" i="48"/>
  <c r="O253" i="48"/>
  <c r="O254" i="48"/>
  <c r="O255" i="48"/>
  <c r="O256" i="48"/>
  <c r="O257" i="48"/>
  <c r="O258" i="48"/>
  <c r="O259" i="48"/>
  <c r="O260" i="48"/>
  <c r="O261" i="48"/>
  <c r="O262" i="48"/>
  <c r="O263" i="48"/>
  <c r="O264" i="48"/>
  <c r="O265" i="48"/>
  <c r="O266" i="48"/>
  <c r="O267" i="48"/>
  <c r="O268" i="48"/>
  <c r="O269" i="48"/>
  <c r="O270" i="48"/>
  <c r="O271" i="48"/>
  <c r="O272" i="48"/>
  <c r="O273" i="48"/>
  <c r="O274" i="48"/>
  <c r="O275" i="48"/>
  <c r="O276" i="48"/>
  <c r="O277" i="48"/>
  <c r="O278" i="48"/>
  <c r="O279" i="48"/>
  <c r="O280" i="48"/>
  <c r="O281" i="48"/>
  <c r="O282" i="48"/>
  <c r="O283" i="48"/>
  <c r="O284" i="48"/>
  <c r="O285" i="48"/>
  <c r="O286" i="48"/>
  <c r="O287" i="48"/>
  <c r="O288" i="48"/>
  <c r="O289" i="48"/>
  <c r="O290" i="48"/>
  <c r="O291" i="48"/>
  <c r="O292" i="48"/>
  <c r="O293" i="48"/>
  <c r="O294" i="48"/>
  <c r="O295" i="48"/>
  <c r="O296" i="48"/>
  <c r="O297" i="48"/>
  <c r="O298" i="48"/>
  <c r="O299" i="48"/>
  <c r="O300" i="48"/>
  <c r="O301" i="48"/>
  <c r="O302" i="48"/>
  <c r="O303" i="48"/>
  <c r="O304" i="48"/>
  <c r="O305" i="48"/>
  <c r="O306" i="48"/>
  <c r="O307" i="48"/>
  <c r="O308" i="48"/>
  <c r="O309" i="48"/>
  <c r="O310" i="48"/>
  <c r="O311" i="48"/>
  <c r="O312" i="48"/>
  <c r="O313" i="48"/>
  <c r="O314" i="48"/>
  <c r="O315" i="48"/>
  <c r="O316" i="48"/>
  <c r="O317" i="48"/>
  <c r="O318" i="48"/>
  <c r="O319" i="48"/>
  <c r="O320" i="48"/>
  <c r="O321" i="48"/>
  <c r="O322" i="48"/>
  <c r="O323" i="48"/>
  <c r="O324" i="48"/>
  <c r="O325" i="48"/>
  <c r="O326" i="48"/>
  <c r="O327" i="48"/>
  <c r="O328" i="48"/>
  <c r="O329" i="48"/>
  <c r="O330" i="48"/>
  <c r="O331" i="48"/>
  <c r="O332" i="48"/>
  <c r="O333" i="48"/>
  <c r="O334" i="48"/>
  <c r="O335" i="48"/>
  <c r="O336" i="48"/>
  <c r="O337" i="48"/>
  <c r="O338" i="48"/>
  <c r="O339" i="48"/>
  <c r="O340" i="48"/>
  <c r="O341" i="48"/>
  <c r="O342" i="48"/>
  <c r="O343" i="48"/>
  <c r="O344" i="48"/>
  <c r="O345" i="48"/>
  <c r="O346" i="48"/>
  <c r="O347" i="48"/>
  <c r="O348" i="48"/>
  <c r="O349" i="48"/>
  <c r="O350" i="48"/>
  <c r="O351" i="48"/>
  <c r="O352" i="48"/>
  <c r="O353" i="48"/>
  <c r="O354" i="48"/>
  <c r="O355" i="48"/>
  <c r="O356" i="48"/>
  <c r="O357" i="48"/>
  <c r="O358" i="48"/>
  <c r="O359" i="48"/>
  <c r="O360" i="48"/>
  <c r="O361" i="48"/>
  <c r="O362" i="48"/>
  <c r="O363" i="48"/>
  <c r="O364" i="48"/>
  <c r="O365" i="48"/>
  <c r="O366" i="48"/>
  <c r="O367" i="48"/>
  <c r="O368" i="48"/>
  <c r="O369" i="48"/>
  <c r="K227" i="28"/>
  <c r="J227" i="28"/>
  <c r="I227" i="28"/>
  <c r="H227" i="28" s="1"/>
  <c r="D227" i="28"/>
  <c r="B227" i="28"/>
  <c r="A227" i="28"/>
  <c r="G227" i="28" s="1"/>
  <c r="K226" i="28"/>
  <c r="J226" i="28"/>
  <c r="I226" i="28"/>
  <c r="H226" i="28" s="1"/>
  <c r="D226" i="28"/>
  <c r="B226" i="28"/>
  <c r="A226" i="28"/>
  <c r="F226" i="28" s="1"/>
  <c r="K225" i="28"/>
  <c r="J225" i="28"/>
  <c r="I225" i="28"/>
  <c r="H225" i="28" s="1"/>
  <c r="D225" i="28"/>
  <c r="B225" i="28"/>
  <c r="A225" i="28"/>
  <c r="G225" i="28" s="1"/>
  <c r="K224" i="28"/>
  <c r="J224" i="28"/>
  <c r="I224" i="28"/>
  <c r="H224" i="28" s="1"/>
  <c r="D224" i="28"/>
  <c r="B224" i="28"/>
  <c r="A224" i="28"/>
  <c r="F224" i="28" s="1"/>
  <c r="K223" i="28"/>
  <c r="J223" i="28"/>
  <c r="I223" i="28"/>
  <c r="H223" i="28" s="1"/>
  <c r="D223" i="28"/>
  <c r="B223" i="28"/>
  <c r="A223" i="28"/>
  <c r="G223" i="28" s="1"/>
  <c r="K222" i="28"/>
  <c r="J222" i="28"/>
  <c r="I222" i="28"/>
  <c r="H222" i="28"/>
  <c r="D222" i="28"/>
  <c r="B222" i="28"/>
  <c r="A222" i="28"/>
  <c r="K221" i="28"/>
  <c r="J221" i="28"/>
  <c r="I221" i="28"/>
  <c r="H221" i="28" s="1"/>
  <c r="D221" i="28"/>
  <c r="B221" i="28"/>
  <c r="A221" i="28"/>
  <c r="G221" i="28" s="1"/>
  <c r="K220" i="28"/>
  <c r="J220" i="28"/>
  <c r="I220" i="28"/>
  <c r="H220" i="28" s="1"/>
  <c r="D220" i="28"/>
  <c r="B220" i="28"/>
  <c r="A220" i="28"/>
  <c r="F220" i="28" s="1"/>
  <c r="K219" i="28"/>
  <c r="J219" i="28"/>
  <c r="I219" i="28"/>
  <c r="H219" i="28" s="1"/>
  <c r="D219" i="28"/>
  <c r="B219" i="28"/>
  <c r="A219" i="28"/>
  <c r="G219" i="28" s="1"/>
  <c r="K218" i="28"/>
  <c r="J218" i="28"/>
  <c r="I218" i="28"/>
  <c r="H218" i="28" s="1"/>
  <c r="D218" i="28"/>
  <c r="B218" i="28"/>
  <c r="A218" i="28"/>
  <c r="F218" i="28" s="1"/>
  <c r="K217" i="28"/>
  <c r="J217" i="28"/>
  <c r="I217" i="28"/>
  <c r="H217" i="28" s="1"/>
  <c r="D217" i="28"/>
  <c r="B217" i="28"/>
  <c r="A217" i="28"/>
  <c r="G217" i="28" s="1"/>
  <c r="K216" i="28"/>
  <c r="J216" i="28"/>
  <c r="I216" i="28"/>
  <c r="H216" i="28" s="1"/>
  <c r="D216" i="28"/>
  <c r="B216" i="28"/>
  <c r="A216" i="28"/>
  <c r="F216" i="28" s="1"/>
  <c r="K215" i="28"/>
  <c r="J215" i="28"/>
  <c r="I215" i="28"/>
  <c r="H215" i="28" s="1"/>
  <c r="D215" i="28"/>
  <c r="B215" i="28"/>
  <c r="A215" i="28"/>
  <c r="G215" i="28" s="1"/>
  <c r="K214" i="28"/>
  <c r="J214" i="28"/>
  <c r="I214" i="28"/>
  <c r="H214" i="28" s="1"/>
  <c r="D214" i="28"/>
  <c r="B214" i="28"/>
  <c r="A214" i="28"/>
  <c r="K213" i="28"/>
  <c r="J213" i="28"/>
  <c r="I213" i="28"/>
  <c r="H213" i="28" s="1"/>
  <c r="D213" i="28"/>
  <c r="B213" i="28"/>
  <c r="A213" i="28"/>
  <c r="G213" i="28" s="1"/>
  <c r="K212" i="28"/>
  <c r="J212" i="28"/>
  <c r="I212" i="28"/>
  <c r="H212" i="28" s="1"/>
  <c r="D212" i="28"/>
  <c r="B212" i="28"/>
  <c r="A212" i="28"/>
  <c r="F212" i="28" s="1"/>
  <c r="K211" i="28"/>
  <c r="J211" i="28"/>
  <c r="I211" i="28"/>
  <c r="H211" i="28" s="1"/>
  <c r="D211" i="28"/>
  <c r="B211" i="28"/>
  <c r="A211" i="28"/>
  <c r="G211" i="28" s="1"/>
  <c r="K210" i="28"/>
  <c r="J210" i="28"/>
  <c r="I210" i="28"/>
  <c r="H210" i="28" s="1"/>
  <c r="D210" i="28"/>
  <c r="B210" i="28"/>
  <c r="A210" i="28"/>
  <c r="F210" i="28" s="1"/>
  <c r="K209" i="28"/>
  <c r="J209" i="28"/>
  <c r="I209" i="28"/>
  <c r="H209" i="28"/>
  <c r="D209" i="28"/>
  <c r="B209" i="28"/>
  <c r="A209" i="28"/>
  <c r="G209" i="28" s="1"/>
  <c r="K208" i="28"/>
  <c r="J208" i="28"/>
  <c r="I208" i="28"/>
  <c r="H208" i="28" s="1"/>
  <c r="D208" i="28"/>
  <c r="B208" i="28"/>
  <c r="A208" i="28"/>
  <c r="F208" i="28" s="1"/>
  <c r="K207" i="28"/>
  <c r="J207" i="28"/>
  <c r="I207" i="28"/>
  <c r="H207" i="28" s="1"/>
  <c r="D207" i="28"/>
  <c r="B207" i="28"/>
  <c r="A207" i="28"/>
  <c r="G207" i="28" s="1"/>
  <c r="K206" i="28"/>
  <c r="J206" i="28"/>
  <c r="I206" i="28"/>
  <c r="H206" i="28" s="1"/>
  <c r="D206" i="28"/>
  <c r="B206" i="28"/>
  <c r="A206" i="28"/>
  <c r="K205" i="28"/>
  <c r="J205" i="28"/>
  <c r="I205" i="28"/>
  <c r="H205" i="28" s="1"/>
  <c r="D205" i="28"/>
  <c r="B205" i="28"/>
  <c r="A205" i="28"/>
  <c r="G205" i="28" s="1"/>
  <c r="K204" i="28"/>
  <c r="J204" i="28"/>
  <c r="I204" i="28"/>
  <c r="H204" i="28" s="1"/>
  <c r="D204" i="28"/>
  <c r="B204" i="28"/>
  <c r="A204" i="28"/>
  <c r="F204" i="28" s="1"/>
  <c r="K203" i="28"/>
  <c r="J203" i="28"/>
  <c r="I203" i="28"/>
  <c r="H203" i="28" s="1"/>
  <c r="D203" i="28"/>
  <c r="B203" i="28"/>
  <c r="A203" i="28"/>
  <c r="G203" i="28" s="1"/>
  <c r="K202" i="28"/>
  <c r="J202" i="28"/>
  <c r="I202" i="28"/>
  <c r="H202" i="28" s="1"/>
  <c r="D202" i="28"/>
  <c r="B202" i="28"/>
  <c r="A202" i="28"/>
  <c r="F202" i="28" s="1"/>
  <c r="K201" i="28"/>
  <c r="J201" i="28"/>
  <c r="I201" i="28"/>
  <c r="H201" i="28" s="1"/>
  <c r="D201" i="28"/>
  <c r="B201" i="28"/>
  <c r="A201" i="28"/>
  <c r="G201" i="28" s="1"/>
  <c r="K200" i="28"/>
  <c r="J200" i="28"/>
  <c r="I200" i="28"/>
  <c r="H200" i="28" s="1"/>
  <c r="D200" i="28"/>
  <c r="B200" i="28"/>
  <c r="A200" i="28"/>
  <c r="F200" i="28" s="1"/>
  <c r="K199" i="28"/>
  <c r="J199" i="28"/>
  <c r="I199" i="28"/>
  <c r="H199" i="28" s="1"/>
  <c r="D199" i="28"/>
  <c r="B199" i="28"/>
  <c r="A199" i="28"/>
  <c r="G199" i="28" s="1"/>
  <c r="K198" i="28"/>
  <c r="J198" i="28"/>
  <c r="I198" i="28"/>
  <c r="H198" i="28" s="1"/>
  <c r="D198" i="28"/>
  <c r="B198" i="28"/>
  <c r="A198" i="28"/>
  <c r="K197" i="28"/>
  <c r="J197" i="28"/>
  <c r="I197" i="28"/>
  <c r="H197" i="28" s="1"/>
  <c r="D197" i="28"/>
  <c r="B197" i="28"/>
  <c r="A197" i="28"/>
  <c r="G197" i="28" s="1"/>
  <c r="K196" i="28"/>
  <c r="J196" i="28"/>
  <c r="I196" i="28"/>
  <c r="H196" i="28" s="1"/>
  <c r="D196" i="28"/>
  <c r="B196" i="28"/>
  <c r="A196" i="28"/>
  <c r="F196" i="28" s="1"/>
  <c r="K195" i="28"/>
  <c r="J195" i="28"/>
  <c r="I195" i="28"/>
  <c r="H195" i="28" s="1"/>
  <c r="D195" i="28"/>
  <c r="B195" i="28"/>
  <c r="A195" i="28"/>
  <c r="G195" i="28" s="1"/>
  <c r="K194" i="28"/>
  <c r="J194" i="28"/>
  <c r="I194" i="28"/>
  <c r="H194" i="28" s="1"/>
  <c r="D194" i="28"/>
  <c r="B194" i="28"/>
  <c r="A194" i="28"/>
  <c r="F194" i="28" s="1"/>
  <c r="K193" i="28"/>
  <c r="J193" i="28"/>
  <c r="I193" i="28"/>
  <c r="H193" i="28" s="1"/>
  <c r="D193" i="28"/>
  <c r="B193" i="28"/>
  <c r="A193" i="28"/>
  <c r="G193" i="28" s="1"/>
  <c r="K192" i="28"/>
  <c r="J192" i="28"/>
  <c r="I192" i="28"/>
  <c r="H192" i="28" s="1"/>
  <c r="D192" i="28"/>
  <c r="B192" i="28"/>
  <c r="A192" i="28"/>
  <c r="F192" i="28" s="1"/>
  <c r="K191" i="28"/>
  <c r="J191" i="28"/>
  <c r="I191" i="28"/>
  <c r="H191" i="28" s="1"/>
  <c r="D191" i="28"/>
  <c r="B191" i="28"/>
  <c r="A191" i="28"/>
  <c r="G191" i="28" s="1"/>
  <c r="K190" i="28"/>
  <c r="J190" i="28"/>
  <c r="I190" i="28"/>
  <c r="H190" i="28" s="1"/>
  <c r="D190" i="28"/>
  <c r="B190" i="28"/>
  <c r="A190" i="28"/>
  <c r="K189" i="28"/>
  <c r="J189" i="28"/>
  <c r="I189" i="28"/>
  <c r="H189" i="28" s="1"/>
  <c r="D189" i="28"/>
  <c r="B189" i="28"/>
  <c r="A189" i="28"/>
  <c r="G189" i="28" s="1"/>
  <c r="K188" i="28"/>
  <c r="J188" i="28"/>
  <c r="I188" i="28"/>
  <c r="H188" i="28" s="1"/>
  <c r="F188" i="28"/>
  <c r="D188" i="28"/>
  <c r="B188" i="28"/>
  <c r="A188" i="28"/>
  <c r="K187" i="28"/>
  <c r="J187" i="28"/>
  <c r="I187" i="28"/>
  <c r="H187" i="28" s="1"/>
  <c r="D187" i="28"/>
  <c r="B187" i="28"/>
  <c r="A187" i="28"/>
  <c r="G187" i="28" s="1"/>
  <c r="K186" i="28"/>
  <c r="J186" i="28"/>
  <c r="I186" i="28"/>
  <c r="H186" i="28" s="1"/>
  <c r="D186" i="28"/>
  <c r="B186" i="28"/>
  <c r="A186" i="28"/>
  <c r="F186" i="28" s="1"/>
  <c r="K185" i="28"/>
  <c r="J185" i="28"/>
  <c r="I185" i="28"/>
  <c r="H185" i="28" s="1"/>
  <c r="D185" i="28"/>
  <c r="B185" i="28"/>
  <c r="A185" i="28"/>
  <c r="G185" i="28" s="1"/>
  <c r="K184" i="28"/>
  <c r="J184" i="28"/>
  <c r="I184" i="28"/>
  <c r="H184" i="28" s="1"/>
  <c r="D184" i="28"/>
  <c r="B184" i="28"/>
  <c r="A184" i="28"/>
  <c r="F184" i="28" s="1"/>
  <c r="K183" i="28"/>
  <c r="J183" i="28"/>
  <c r="I183" i="28"/>
  <c r="H183" i="28" s="1"/>
  <c r="D183" i="28"/>
  <c r="B183" i="28"/>
  <c r="A183" i="28"/>
  <c r="G183" i="28" s="1"/>
  <c r="K182" i="28"/>
  <c r="J182" i="28"/>
  <c r="I182" i="28"/>
  <c r="H182" i="28" s="1"/>
  <c r="D182" i="28"/>
  <c r="B182" i="28"/>
  <c r="A182" i="28"/>
  <c r="K181" i="28"/>
  <c r="J181" i="28"/>
  <c r="I181" i="28"/>
  <c r="H181" i="28" s="1"/>
  <c r="D181" i="28"/>
  <c r="B181" i="28"/>
  <c r="A181" i="28"/>
  <c r="G181" i="28" s="1"/>
  <c r="K180" i="28"/>
  <c r="J180" i="28"/>
  <c r="I180" i="28"/>
  <c r="H180" i="28" s="1"/>
  <c r="D180" i="28"/>
  <c r="B180" i="28"/>
  <c r="A180" i="28"/>
  <c r="F180" i="28" s="1"/>
  <c r="K179" i="28"/>
  <c r="J179" i="28"/>
  <c r="I179" i="28"/>
  <c r="H179" i="28" s="1"/>
  <c r="D179" i="28"/>
  <c r="B179" i="28"/>
  <c r="A179" i="28"/>
  <c r="G179" i="28" s="1"/>
  <c r="K178" i="28"/>
  <c r="J178" i="28"/>
  <c r="I178" i="28"/>
  <c r="H178" i="28"/>
  <c r="D178" i="28"/>
  <c r="B178" i="28"/>
  <c r="A178" i="28"/>
  <c r="F178" i="28" s="1"/>
  <c r="K177" i="28"/>
  <c r="J177" i="28"/>
  <c r="I177" i="28"/>
  <c r="H177" i="28" s="1"/>
  <c r="D177" i="28"/>
  <c r="B177" i="28"/>
  <c r="A177" i="28"/>
  <c r="G177" i="28" s="1"/>
  <c r="K176" i="28"/>
  <c r="J176" i="28"/>
  <c r="I176" i="28"/>
  <c r="H176" i="28" s="1"/>
  <c r="D176" i="28"/>
  <c r="B176" i="28"/>
  <c r="A176" i="28"/>
  <c r="F176" i="28" s="1"/>
  <c r="K175" i="28"/>
  <c r="J175" i="28"/>
  <c r="I175" i="28"/>
  <c r="H175" i="28" s="1"/>
  <c r="D175" i="28"/>
  <c r="B175" i="28"/>
  <c r="A175" i="28"/>
  <c r="G175" i="28" s="1"/>
  <c r="K174" i="28"/>
  <c r="J174" i="28"/>
  <c r="I174" i="28"/>
  <c r="H174" i="28" s="1"/>
  <c r="D174" i="28"/>
  <c r="B174" i="28"/>
  <c r="A174" i="28"/>
  <c r="K173" i="28"/>
  <c r="J173" i="28"/>
  <c r="I173" i="28"/>
  <c r="H173" i="28" s="1"/>
  <c r="D173" i="28"/>
  <c r="B173" i="28"/>
  <c r="A173" i="28"/>
  <c r="G173" i="28" s="1"/>
  <c r="K172" i="28"/>
  <c r="J172" i="28"/>
  <c r="I172" i="28"/>
  <c r="H172" i="28" s="1"/>
  <c r="D172" i="28"/>
  <c r="B172" i="28"/>
  <c r="A172" i="28"/>
  <c r="F172" i="28" s="1"/>
  <c r="K171" i="28"/>
  <c r="J171" i="28"/>
  <c r="I171" i="28"/>
  <c r="H171" i="28" s="1"/>
  <c r="D171" i="28"/>
  <c r="B171" i="28"/>
  <c r="A171" i="28"/>
  <c r="G171" i="28" s="1"/>
  <c r="K170" i="28"/>
  <c r="J170" i="28"/>
  <c r="I170" i="28"/>
  <c r="H170" i="28" s="1"/>
  <c r="D170" i="28"/>
  <c r="B170" i="28"/>
  <c r="A170" i="28"/>
  <c r="F170" i="28" s="1"/>
  <c r="K169" i="28"/>
  <c r="J169" i="28"/>
  <c r="I169" i="28"/>
  <c r="H169" i="28" s="1"/>
  <c r="D169" i="28"/>
  <c r="B169" i="28"/>
  <c r="A169" i="28"/>
  <c r="G169" i="28" s="1"/>
  <c r="K168" i="28"/>
  <c r="J168" i="28"/>
  <c r="I168" i="28"/>
  <c r="H168" i="28" s="1"/>
  <c r="D168" i="28"/>
  <c r="B168" i="28"/>
  <c r="A168" i="28"/>
  <c r="F168" i="28" s="1"/>
  <c r="K167" i="28"/>
  <c r="J167" i="28"/>
  <c r="I167" i="28"/>
  <c r="H167" i="28" s="1"/>
  <c r="D167" i="28"/>
  <c r="B167" i="28"/>
  <c r="A167" i="28"/>
  <c r="G167" i="28" s="1"/>
  <c r="K166" i="28"/>
  <c r="J166" i="28"/>
  <c r="I166" i="28"/>
  <c r="H166" i="28" s="1"/>
  <c r="D166" i="28"/>
  <c r="B166" i="28"/>
  <c r="A166" i="28"/>
  <c r="K165" i="28"/>
  <c r="J165" i="28"/>
  <c r="I165" i="28"/>
  <c r="H165" i="28" s="1"/>
  <c r="D165" i="28"/>
  <c r="B165" i="28"/>
  <c r="A165" i="28"/>
  <c r="G165" i="28" s="1"/>
  <c r="K164" i="28"/>
  <c r="J164" i="28"/>
  <c r="I164" i="28"/>
  <c r="H164" i="28" s="1"/>
  <c r="D164" i="28"/>
  <c r="B164" i="28"/>
  <c r="A164" i="28"/>
  <c r="F164" i="28" s="1"/>
  <c r="K163" i="28"/>
  <c r="J163" i="28"/>
  <c r="I163" i="28"/>
  <c r="H163" i="28" s="1"/>
  <c r="D163" i="28"/>
  <c r="B163" i="28"/>
  <c r="A163" i="28"/>
  <c r="G163" i="28" s="1"/>
  <c r="K162" i="28"/>
  <c r="J162" i="28"/>
  <c r="I162" i="28"/>
  <c r="H162" i="28" s="1"/>
  <c r="D162" i="28"/>
  <c r="B162" i="28"/>
  <c r="A162" i="28"/>
  <c r="F162" i="28" s="1"/>
  <c r="K161" i="28"/>
  <c r="J161" i="28"/>
  <c r="I161" i="28"/>
  <c r="H161" i="28"/>
  <c r="D161" i="28"/>
  <c r="B161" i="28"/>
  <c r="A161" i="28"/>
  <c r="G161" i="28" s="1"/>
  <c r="K160" i="28"/>
  <c r="J160" i="28"/>
  <c r="I160" i="28"/>
  <c r="H160" i="28" s="1"/>
  <c r="D160" i="28"/>
  <c r="B160" i="28"/>
  <c r="A160" i="28"/>
  <c r="F160" i="28" s="1"/>
  <c r="K159" i="28"/>
  <c r="J159" i="28"/>
  <c r="I159" i="28"/>
  <c r="H159" i="28" s="1"/>
  <c r="D159" i="28"/>
  <c r="B159" i="28"/>
  <c r="A159" i="28"/>
  <c r="G159" i="28" s="1"/>
  <c r="K158" i="28"/>
  <c r="J158" i="28"/>
  <c r="I158" i="28"/>
  <c r="H158" i="28" s="1"/>
  <c r="D158" i="28"/>
  <c r="B158" i="28"/>
  <c r="A158" i="28"/>
  <c r="K157" i="28"/>
  <c r="J157" i="28"/>
  <c r="I157" i="28"/>
  <c r="H157" i="28" s="1"/>
  <c r="D157" i="28"/>
  <c r="B157" i="28"/>
  <c r="A157" i="28"/>
  <c r="G157" i="28" s="1"/>
  <c r="K156" i="28"/>
  <c r="J156" i="28"/>
  <c r="I156" i="28"/>
  <c r="H156" i="28" s="1"/>
  <c r="D156" i="28"/>
  <c r="B156" i="28"/>
  <c r="A156" i="28"/>
  <c r="F156" i="28" s="1"/>
  <c r="K155" i="28"/>
  <c r="J155" i="28"/>
  <c r="I155" i="28"/>
  <c r="H155" i="28" s="1"/>
  <c r="D155" i="28"/>
  <c r="B155" i="28"/>
  <c r="A155" i="28"/>
  <c r="G155" i="28" s="1"/>
  <c r="K154" i="28"/>
  <c r="J154" i="28"/>
  <c r="I154" i="28"/>
  <c r="H154" i="28" s="1"/>
  <c r="D154" i="28"/>
  <c r="B154" i="28"/>
  <c r="A154" i="28"/>
  <c r="F154" i="28" s="1"/>
  <c r="K153" i="28"/>
  <c r="J153" i="28"/>
  <c r="I153" i="28"/>
  <c r="H153" i="28" s="1"/>
  <c r="D153" i="28"/>
  <c r="B153" i="28"/>
  <c r="A153" i="28"/>
  <c r="G153" i="28" s="1"/>
  <c r="K152" i="28"/>
  <c r="J152" i="28"/>
  <c r="I152" i="28"/>
  <c r="H152" i="28" s="1"/>
  <c r="D152" i="28"/>
  <c r="B152" i="28"/>
  <c r="A152" i="28"/>
  <c r="F152" i="28" s="1"/>
  <c r="K151" i="28"/>
  <c r="J151" i="28"/>
  <c r="I151" i="28"/>
  <c r="H151" i="28" s="1"/>
  <c r="D151" i="28"/>
  <c r="B151" i="28"/>
  <c r="A151" i="28"/>
  <c r="F151" i="28" s="1"/>
  <c r="K150" i="28"/>
  <c r="J150" i="28"/>
  <c r="I150" i="28"/>
  <c r="H150" i="28" s="1"/>
  <c r="D150" i="28"/>
  <c r="B150" i="28"/>
  <c r="A150" i="28"/>
  <c r="F150" i="28" s="1"/>
  <c r="K149" i="28"/>
  <c r="J149" i="28"/>
  <c r="I149" i="28"/>
  <c r="H149" i="28" s="1"/>
  <c r="D149" i="28"/>
  <c r="B149" i="28"/>
  <c r="A149" i="28"/>
  <c r="F149" i="28" s="1"/>
  <c r="K148" i="28"/>
  <c r="J148" i="28"/>
  <c r="I148" i="28"/>
  <c r="H148" i="28" s="1"/>
  <c r="D148" i="28"/>
  <c r="B148" i="28"/>
  <c r="A148" i="28"/>
  <c r="F148" i="28" s="1"/>
  <c r="K147" i="28"/>
  <c r="J147" i="28"/>
  <c r="I147" i="28"/>
  <c r="H147" i="28" s="1"/>
  <c r="D147" i="28"/>
  <c r="B147" i="28"/>
  <c r="A147" i="28"/>
  <c r="F147" i="28" s="1"/>
  <c r="K146" i="28"/>
  <c r="J146" i="28"/>
  <c r="I146" i="28"/>
  <c r="H146" i="28" s="1"/>
  <c r="D146" i="28"/>
  <c r="B146" i="28"/>
  <c r="A146" i="28"/>
  <c r="F146" i="28" s="1"/>
  <c r="K145" i="28"/>
  <c r="J145" i="28"/>
  <c r="I145" i="28"/>
  <c r="H145" i="28" s="1"/>
  <c r="D145" i="28"/>
  <c r="B145" i="28"/>
  <c r="A145" i="28"/>
  <c r="F145" i="28" s="1"/>
  <c r="K144" i="28"/>
  <c r="J144" i="28"/>
  <c r="I144" i="28"/>
  <c r="H144" i="28" s="1"/>
  <c r="D144" i="28"/>
  <c r="B144" i="28"/>
  <c r="A144" i="28"/>
  <c r="F144" i="28" s="1"/>
  <c r="K143" i="28"/>
  <c r="J143" i="28"/>
  <c r="I143" i="28"/>
  <c r="H143" i="28" s="1"/>
  <c r="D143" i="28"/>
  <c r="B143" i="28"/>
  <c r="A143" i="28"/>
  <c r="F143" i="28" s="1"/>
  <c r="K142" i="28"/>
  <c r="J142" i="28"/>
  <c r="I142" i="28"/>
  <c r="H142" i="28" s="1"/>
  <c r="D142" i="28"/>
  <c r="B142" i="28"/>
  <c r="A142" i="28"/>
  <c r="G142" i="28" s="1"/>
  <c r="K141" i="28"/>
  <c r="J141" i="28"/>
  <c r="I141" i="28"/>
  <c r="H141" i="28" s="1"/>
  <c r="D141" i="28"/>
  <c r="B141" i="28"/>
  <c r="A141" i="28"/>
  <c r="F141" i="28" s="1"/>
  <c r="K140" i="28"/>
  <c r="J140" i="28"/>
  <c r="I140" i="28"/>
  <c r="H140" i="28" s="1"/>
  <c r="D140" i="28"/>
  <c r="B140" i="28"/>
  <c r="A140" i="28"/>
  <c r="G140" i="28" s="1"/>
  <c r="K139" i="28"/>
  <c r="J139" i="28"/>
  <c r="I139" i="28"/>
  <c r="H139" i="28" s="1"/>
  <c r="D139" i="28"/>
  <c r="B139" i="28"/>
  <c r="A139" i="28"/>
  <c r="F139" i="28" s="1"/>
  <c r="K138" i="28"/>
  <c r="J138" i="28"/>
  <c r="I138" i="28"/>
  <c r="H138" i="28" s="1"/>
  <c r="D138" i="28"/>
  <c r="B138" i="28"/>
  <c r="A138" i="28"/>
  <c r="K137" i="28"/>
  <c r="J137" i="28"/>
  <c r="I137" i="28"/>
  <c r="H137" i="28"/>
  <c r="D137" i="28"/>
  <c r="B137" i="28"/>
  <c r="A137" i="28"/>
  <c r="K136" i="28"/>
  <c r="J136" i="28"/>
  <c r="I136" i="28"/>
  <c r="H136" i="28" s="1"/>
  <c r="D136" i="28"/>
  <c r="B136" i="28"/>
  <c r="A136" i="28"/>
  <c r="G136" i="28" s="1"/>
  <c r="K135" i="28"/>
  <c r="J135" i="28"/>
  <c r="I135" i="28"/>
  <c r="H135" i="28" s="1"/>
  <c r="D135" i="28"/>
  <c r="B135" i="28"/>
  <c r="A135" i="28"/>
  <c r="F135" i="28" s="1"/>
  <c r="K134" i="28"/>
  <c r="J134" i="28"/>
  <c r="I134" i="28"/>
  <c r="H134" i="28" s="1"/>
  <c r="D134" i="28"/>
  <c r="B134" i="28"/>
  <c r="A134" i="28"/>
  <c r="G134" i="28" s="1"/>
  <c r="K133" i="28"/>
  <c r="J133" i="28"/>
  <c r="I133" i="28"/>
  <c r="H133" i="28" s="1"/>
  <c r="D133" i="28"/>
  <c r="B133" i="28"/>
  <c r="A133" i="28"/>
  <c r="F133" i="28" s="1"/>
  <c r="K132" i="28"/>
  <c r="J132" i="28"/>
  <c r="I132" i="28"/>
  <c r="H132" i="28" s="1"/>
  <c r="D132" i="28"/>
  <c r="B132" i="28"/>
  <c r="A132" i="28"/>
  <c r="G132" i="28" s="1"/>
  <c r="K131" i="28"/>
  <c r="J131" i="28"/>
  <c r="I131" i="28"/>
  <c r="H131" i="28" s="1"/>
  <c r="D131" i="28"/>
  <c r="B131" i="28"/>
  <c r="A131" i="28"/>
  <c r="F131" i="28" s="1"/>
  <c r="K130" i="28"/>
  <c r="J130" i="28"/>
  <c r="I130" i="28"/>
  <c r="H130" i="28" s="1"/>
  <c r="D130" i="28"/>
  <c r="B130" i="28"/>
  <c r="A130" i="28"/>
  <c r="K129" i="28"/>
  <c r="J129" i="28"/>
  <c r="I129" i="28"/>
  <c r="H129" i="28" s="1"/>
  <c r="D129" i="28"/>
  <c r="B129" i="28"/>
  <c r="A129" i="28"/>
  <c r="K128" i="28"/>
  <c r="J128" i="28"/>
  <c r="I128" i="28"/>
  <c r="H128" i="28" s="1"/>
  <c r="D128" i="28"/>
  <c r="B128" i="28"/>
  <c r="A128" i="28"/>
  <c r="G128" i="28" s="1"/>
  <c r="K127" i="28"/>
  <c r="J127" i="28"/>
  <c r="I127" i="28"/>
  <c r="H127" i="28" s="1"/>
  <c r="D127" i="28"/>
  <c r="B127" i="28"/>
  <c r="A127" i="28"/>
  <c r="F127" i="28" s="1"/>
  <c r="K126" i="28"/>
  <c r="J126" i="28"/>
  <c r="I126" i="28"/>
  <c r="H126" i="28" s="1"/>
  <c r="D126" i="28"/>
  <c r="B126" i="28"/>
  <c r="A126" i="28"/>
  <c r="G126" i="28" s="1"/>
  <c r="K125" i="28"/>
  <c r="J125" i="28"/>
  <c r="I125" i="28"/>
  <c r="H125" i="28" s="1"/>
  <c r="D125" i="28"/>
  <c r="B125" i="28"/>
  <c r="A125" i="28"/>
  <c r="F125" i="28" s="1"/>
  <c r="K124" i="28"/>
  <c r="J124" i="28"/>
  <c r="I124" i="28"/>
  <c r="H124" i="28" s="1"/>
  <c r="D124" i="28"/>
  <c r="B124" i="28"/>
  <c r="A124" i="28"/>
  <c r="G124" i="28" s="1"/>
  <c r="K123" i="28"/>
  <c r="J123" i="28"/>
  <c r="I123" i="28"/>
  <c r="H123" i="28" s="1"/>
  <c r="D123" i="28"/>
  <c r="B123" i="28"/>
  <c r="A123" i="28"/>
  <c r="F123" i="28" s="1"/>
  <c r="K122" i="28"/>
  <c r="J122" i="28"/>
  <c r="I122" i="28"/>
  <c r="H122" i="28" s="1"/>
  <c r="D122" i="28"/>
  <c r="B122" i="28"/>
  <c r="A122" i="28"/>
  <c r="K121" i="28"/>
  <c r="J121" i="28"/>
  <c r="I121" i="28"/>
  <c r="H121" i="28" s="1"/>
  <c r="D121" i="28"/>
  <c r="B121" i="28"/>
  <c r="A121" i="28"/>
  <c r="K120" i="28"/>
  <c r="J120" i="28"/>
  <c r="I120" i="28"/>
  <c r="H120" i="28" s="1"/>
  <c r="D120" i="28"/>
  <c r="B120" i="28"/>
  <c r="A120" i="28"/>
  <c r="G120" i="28" s="1"/>
  <c r="K119" i="28"/>
  <c r="J119" i="28"/>
  <c r="I119" i="28"/>
  <c r="H119" i="28" s="1"/>
  <c r="G119" i="28"/>
  <c r="D119" i="28"/>
  <c r="B119" i="28"/>
  <c r="A119" i="28"/>
  <c r="F119" i="28" s="1"/>
  <c r="K118" i="28"/>
  <c r="J118" i="28"/>
  <c r="I118" i="28"/>
  <c r="H118" i="28" s="1"/>
  <c r="D118" i="28"/>
  <c r="B118" i="28"/>
  <c r="A118" i="28"/>
  <c r="G118" i="28" s="1"/>
  <c r="K117" i="28"/>
  <c r="J117" i="28"/>
  <c r="I117" i="28"/>
  <c r="H117" i="28" s="1"/>
  <c r="D117" i="28"/>
  <c r="B117" i="28"/>
  <c r="A117" i="28"/>
  <c r="F117" i="28" s="1"/>
  <c r="K116" i="28"/>
  <c r="J116" i="28"/>
  <c r="I116" i="28"/>
  <c r="H116" i="28" s="1"/>
  <c r="D116" i="28"/>
  <c r="B116" i="28"/>
  <c r="A116" i="28"/>
  <c r="G116" i="28" s="1"/>
  <c r="K115" i="28"/>
  <c r="J115" i="28"/>
  <c r="I115" i="28"/>
  <c r="H115" i="28" s="1"/>
  <c r="D115" i="28"/>
  <c r="B115" i="28"/>
  <c r="A115" i="28"/>
  <c r="F115" i="28" s="1"/>
  <c r="K114" i="28"/>
  <c r="J114" i="28"/>
  <c r="I114" i="28"/>
  <c r="H114" i="28" s="1"/>
  <c r="D114" i="28"/>
  <c r="B114" i="28"/>
  <c r="A114" i="28"/>
  <c r="K113" i="28"/>
  <c r="J113" i="28"/>
  <c r="I113" i="28"/>
  <c r="H113" i="28" s="1"/>
  <c r="D113" i="28"/>
  <c r="B113" i="28"/>
  <c r="A113" i="28"/>
  <c r="K112" i="28"/>
  <c r="J112" i="28"/>
  <c r="I112" i="28"/>
  <c r="H112" i="28" s="1"/>
  <c r="D112" i="28"/>
  <c r="B112" i="28"/>
  <c r="A112" i="28"/>
  <c r="G112" i="28" s="1"/>
  <c r="K111" i="28"/>
  <c r="J111" i="28"/>
  <c r="I111" i="28"/>
  <c r="H111" i="28" s="1"/>
  <c r="G111" i="28"/>
  <c r="D111" i="28"/>
  <c r="B111" i="28"/>
  <c r="A111" i="28"/>
  <c r="F111" i="28" s="1"/>
  <c r="K110" i="28"/>
  <c r="J110" i="28"/>
  <c r="I110" i="28"/>
  <c r="H110" i="28" s="1"/>
  <c r="D110" i="28"/>
  <c r="B110" i="28"/>
  <c r="A110" i="28"/>
  <c r="G110" i="28" s="1"/>
  <c r="K109" i="28"/>
  <c r="J109" i="28"/>
  <c r="I109" i="28"/>
  <c r="H109" i="28" s="1"/>
  <c r="D109" i="28"/>
  <c r="B109" i="28"/>
  <c r="A109" i="28"/>
  <c r="F109" i="28" s="1"/>
  <c r="K108" i="28"/>
  <c r="J108" i="28"/>
  <c r="I108" i="28"/>
  <c r="H108" i="28" s="1"/>
  <c r="D108" i="28"/>
  <c r="B108" i="28"/>
  <c r="A108" i="28"/>
  <c r="G108" i="28" s="1"/>
  <c r="K107" i="28"/>
  <c r="J107" i="28"/>
  <c r="I107" i="28"/>
  <c r="H107" i="28" s="1"/>
  <c r="D107" i="28"/>
  <c r="B107" i="28"/>
  <c r="A107" i="28"/>
  <c r="F107" i="28" s="1"/>
  <c r="K106" i="28"/>
  <c r="J106" i="28"/>
  <c r="I106" i="28"/>
  <c r="H106" i="28" s="1"/>
  <c r="D106" i="28"/>
  <c r="B106" i="28"/>
  <c r="A106" i="28"/>
  <c r="K105" i="28"/>
  <c r="J105" i="28"/>
  <c r="I105" i="28"/>
  <c r="H105" i="28" s="1"/>
  <c r="D105" i="28"/>
  <c r="B105" i="28"/>
  <c r="A105" i="28"/>
  <c r="K104" i="28"/>
  <c r="J104" i="28"/>
  <c r="I104" i="28"/>
  <c r="H104" i="28" s="1"/>
  <c r="D104" i="28"/>
  <c r="B104" i="28"/>
  <c r="A104" i="28"/>
  <c r="G104" i="28" s="1"/>
  <c r="K103" i="28"/>
  <c r="J103" i="28"/>
  <c r="I103" i="28"/>
  <c r="H103" i="28" s="1"/>
  <c r="D103" i="28"/>
  <c r="B103" i="28"/>
  <c r="A103" i="28"/>
  <c r="F103" i="28" s="1"/>
  <c r="K102" i="28"/>
  <c r="J102" i="28"/>
  <c r="I102" i="28"/>
  <c r="H102" i="28" s="1"/>
  <c r="D102" i="28"/>
  <c r="B102" i="28"/>
  <c r="A102" i="28"/>
  <c r="G102" i="28" s="1"/>
  <c r="K101" i="28"/>
  <c r="J101" i="28"/>
  <c r="I101" i="28"/>
  <c r="H101" i="28" s="1"/>
  <c r="D101" i="28"/>
  <c r="B101" i="28"/>
  <c r="A101" i="28"/>
  <c r="F101" i="28" s="1"/>
  <c r="K100" i="28"/>
  <c r="J100" i="28"/>
  <c r="I100" i="28"/>
  <c r="H100" i="28" s="1"/>
  <c r="E100" i="28"/>
  <c r="D100" i="28"/>
  <c r="B100" i="28"/>
  <c r="A100" i="28"/>
  <c r="G100" i="28" s="1"/>
  <c r="K99" i="28"/>
  <c r="J99" i="28"/>
  <c r="I99" i="28"/>
  <c r="H99" i="28" s="1"/>
  <c r="D99" i="28"/>
  <c r="B99" i="28"/>
  <c r="A99" i="28"/>
  <c r="F99" i="28" s="1"/>
  <c r="K98" i="28"/>
  <c r="J98" i="28"/>
  <c r="I98" i="28"/>
  <c r="H98" i="28" s="1"/>
  <c r="D98" i="28"/>
  <c r="B98" i="28"/>
  <c r="A98" i="28"/>
  <c r="K97" i="28"/>
  <c r="J97" i="28"/>
  <c r="I97" i="28"/>
  <c r="H97" i="28" s="1"/>
  <c r="D97" i="28"/>
  <c r="B97" i="28"/>
  <c r="A97" i="28"/>
  <c r="K96" i="28"/>
  <c r="J96" i="28"/>
  <c r="I96" i="28"/>
  <c r="H96" i="28" s="1"/>
  <c r="D96" i="28"/>
  <c r="B96" i="28"/>
  <c r="A96" i="28"/>
  <c r="G96" i="28" s="1"/>
  <c r="K95" i="28"/>
  <c r="J95" i="28"/>
  <c r="I95" i="28"/>
  <c r="H95" i="28" s="1"/>
  <c r="D95" i="28"/>
  <c r="B95" i="28"/>
  <c r="A95" i="28"/>
  <c r="F95" i="28" s="1"/>
  <c r="K94" i="28"/>
  <c r="J94" i="28"/>
  <c r="I94" i="28"/>
  <c r="H94" i="28" s="1"/>
  <c r="D94" i="28"/>
  <c r="B94" i="28"/>
  <c r="A94" i="28"/>
  <c r="G94" i="28" s="1"/>
  <c r="K93" i="28"/>
  <c r="J93" i="28"/>
  <c r="I93" i="28"/>
  <c r="H93" i="28" s="1"/>
  <c r="D93" i="28"/>
  <c r="B93" i="28"/>
  <c r="A93" i="28"/>
  <c r="F93" i="28" s="1"/>
  <c r="K92" i="28"/>
  <c r="J92" i="28"/>
  <c r="I92" i="28"/>
  <c r="H92" i="28" s="1"/>
  <c r="D92" i="28"/>
  <c r="B92" i="28"/>
  <c r="A92" i="28"/>
  <c r="G92" i="28" s="1"/>
  <c r="K91" i="28"/>
  <c r="J91" i="28"/>
  <c r="I91" i="28"/>
  <c r="H91" i="28" s="1"/>
  <c r="D91" i="28"/>
  <c r="B91" i="28"/>
  <c r="A91" i="28"/>
  <c r="F91" i="28" s="1"/>
  <c r="K90" i="28"/>
  <c r="J90" i="28"/>
  <c r="I90" i="28"/>
  <c r="H90" i="28" s="1"/>
  <c r="D90" i="28"/>
  <c r="B90" i="28"/>
  <c r="A90" i="28"/>
  <c r="K89" i="28"/>
  <c r="J89" i="28"/>
  <c r="I89" i="28"/>
  <c r="H89" i="28"/>
  <c r="D89" i="28"/>
  <c r="B89" i="28"/>
  <c r="A89" i="28"/>
  <c r="K88" i="28"/>
  <c r="J88" i="28"/>
  <c r="I88" i="28"/>
  <c r="H88" i="28" s="1"/>
  <c r="D88" i="28"/>
  <c r="B88" i="28"/>
  <c r="A88" i="28"/>
  <c r="G88" i="28" s="1"/>
  <c r="K87" i="28"/>
  <c r="J87" i="28"/>
  <c r="I87" i="28"/>
  <c r="H87" i="28" s="1"/>
  <c r="D87" i="28"/>
  <c r="B87" i="28"/>
  <c r="A87" i="28"/>
  <c r="F87" i="28" s="1"/>
  <c r="K86" i="28"/>
  <c r="J86" i="28"/>
  <c r="I86" i="28"/>
  <c r="H86" i="28" s="1"/>
  <c r="D86" i="28"/>
  <c r="B86" i="28"/>
  <c r="A86" i="28"/>
  <c r="G86" i="28" s="1"/>
  <c r="K85" i="28"/>
  <c r="J85" i="28"/>
  <c r="I85" i="28"/>
  <c r="H85" i="28" s="1"/>
  <c r="D85" i="28"/>
  <c r="B85" i="28"/>
  <c r="A85" i="28"/>
  <c r="F85" i="28" s="1"/>
  <c r="K84" i="28"/>
  <c r="J84" i="28"/>
  <c r="I84" i="28"/>
  <c r="H84" i="28" s="1"/>
  <c r="D84" i="28"/>
  <c r="B84" i="28"/>
  <c r="A84" i="28"/>
  <c r="G84" i="28" s="1"/>
  <c r="K83" i="28"/>
  <c r="J83" i="28"/>
  <c r="I83" i="28"/>
  <c r="H83" i="28" s="1"/>
  <c r="D83" i="28"/>
  <c r="B83" i="28"/>
  <c r="A83" i="28"/>
  <c r="E83" i="28" s="1"/>
  <c r="K82" i="28"/>
  <c r="J82" i="28"/>
  <c r="I82" i="28"/>
  <c r="H82" i="28" s="1"/>
  <c r="D82" i="28"/>
  <c r="B82" i="28"/>
  <c r="A82" i="28"/>
  <c r="K81" i="28"/>
  <c r="J81" i="28"/>
  <c r="I81" i="28"/>
  <c r="H81" i="28" s="1"/>
  <c r="D81" i="28"/>
  <c r="B81" i="28"/>
  <c r="A81" i="28"/>
  <c r="E81" i="28" s="1"/>
  <c r="K80" i="28"/>
  <c r="J80" i="28"/>
  <c r="I80" i="28"/>
  <c r="H80" i="28" s="1"/>
  <c r="D80" i="28"/>
  <c r="B80" i="28"/>
  <c r="A80" i="28"/>
  <c r="G80" i="28" s="1"/>
  <c r="K79" i="28"/>
  <c r="J79" i="28"/>
  <c r="I79" i="28"/>
  <c r="H79" i="28" s="1"/>
  <c r="D79" i="28"/>
  <c r="B79" i="28"/>
  <c r="A79" i="28"/>
  <c r="F79" i="28" s="1"/>
  <c r="K78" i="28"/>
  <c r="J78" i="28"/>
  <c r="I78" i="28"/>
  <c r="H78" i="28" s="1"/>
  <c r="D78" i="28"/>
  <c r="B78" i="28"/>
  <c r="A78" i="28"/>
  <c r="F78" i="28" s="1"/>
  <c r="K77" i="28"/>
  <c r="J77" i="28"/>
  <c r="I77" i="28"/>
  <c r="H77" i="28" s="1"/>
  <c r="E77" i="28"/>
  <c r="D77" i="28"/>
  <c r="B77" i="28"/>
  <c r="A77" i="28"/>
  <c r="F77" i="28" s="1"/>
  <c r="K76" i="28"/>
  <c r="J76" i="28"/>
  <c r="I76" i="28"/>
  <c r="H76" i="28" s="1"/>
  <c r="D76" i="28"/>
  <c r="B76" i="28"/>
  <c r="A76" i="28"/>
  <c r="F76" i="28" s="1"/>
  <c r="K75" i="28"/>
  <c r="J75" i="28"/>
  <c r="I75" i="28"/>
  <c r="H75" i="28" s="1"/>
  <c r="D75" i="28"/>
  <c r="B75" i="28"/>
  <c r="A75" i="28"/>
  <c r="F75" i="28" s="1"/>
  <c r="K74" i="28"/>
  <c r="J74" i="28"/>
  <c r="I74" i="28"/>
  <c r="H74" i="28" s="1"/>
  <c r="D74" i="28"/>
  <c r="B74" i="28"/>
  <c r="A74" i="28"/>
  <c r="F74" i="28" s="1"/>
  <c r="K73" i="28"/>
  <c r="J73" i="28"/>
  <c r="I73" i="28"/>
  <c r="H73" i="28" s="1"/>
  <c r="D73" i="28"/>
  <c r="B73" i="28"/>
  <c r="A73" i="28"/>
  <c r="F73" i="28" s="1"/>
  <c r="K72" i="28"/>
  <c r="J72" i="28"/>
  <c r="I72" i="28"/>
  <c r="H72" i="28" s="1"/>
  <c r="D72" i="28"/>
  <c r="B72" i="28"/>
  <c r="A72" i="28"/>
  <c r="F72" i="28" s="1"/>
  <c r="K71" i="28"/>
  <c r="J71" i="28"/>
  <c r="I71" i="28"/>
  <c r="H71" i="28" s="1"/>
  <c r="D71" i="28"/>
  <c r="B71" i="28"/>
  <c r="A71" i="28"/>
  <c r="F71" i="28" s="1"/>
  <c r="K70" i="28"/>
  <c r="J70" i="28"/>
  <c r="I70" i="28"/>
  <c r="H70" i="28" s="1"/>
  <c r="D70" i="28"/>
  <c r="B70" i="28"/>
  <c r="A70" i="28"/>
  <c r="F70" i="28" s="1"/>
  <c r="K69" i="28"/>
  <c r="J69" i="28"/>
  <c r="I69" i="28"/>
  <c r="H69" i="28" s="1"/>
  <c r="D69" i="28"/>
  <c r="B69" i="28"/>
  <c r="A69" i="28"/>
  <c r="F69" i="28" s="1"/>
  <c r="K68" i="28"/>
  <c r="J68" i="28"/>
  <c r="I68" i="28"/>
  <c r="H68" i="28" s="1"/>
  <c r="D68" i="28"/>
  <c r="B68" i="28"/>
  <c r="A68" i="28"/>
  <c r="F68" i="28" s="1"/>
  <c r="K67" i="28"/>
  <c r="J67" i="28"/>
  <c r="I67" i="28"/>
  <c r="H67" i="28" s="1"/>
  <c r="E67" i="28"/>
  <c r="D67" i="28"/>
  <c r="B67" i="28"/>
  <c r="A67" i="28"/>
  <c r="F67" i="28" s="1"/>
  <c r="K66" i="28"/>
  <c r="J66" i="28"/>
  <c r="I66" i="28"/>
  <c r="H66" i="28" s="1"/>
  <c r="D66" i="28"/>
  <c r="B66" i="28"/>
  <c r="A66" i="28"/>
  <c r="F66" i="28" s="1"/>
  <c r="K65" i="28"/>
  <c r="J65" i="28"/>
  <c r="I65" i="28"/>
  <c r="H65" i="28" s="1"/>
  <c r="D65" i="28"/>
  <c r="B65" i="28"/>
  <c r="A65" i="28"/>
  <c r="F65" i="28" s="1"/>
  <c r="K64" i="28"/>
  <c r="J64" i="28"/>
  <c r="I64" i="28"/>
  <c r="H64" i="28" s="1"/>
  <c r="D64" i="28"/>
  <c r="B64" i="28"/>
  <c r="A64" i="28"/>
  <c r="F64" i="28" s="1"/>
  <c r="K63" i="28"/>
  <c r="J63" i="28"/>
  <c r="I63" i="28"/>
  <c r="H63" i="28" s="1"/>
  <c r="D63" i="28"/>
  <c r="B63" i="28"/>
  <c r="A63" i="28"/>
  <c r="F63" i="28" s="1"/>
  <c r="K62" i="28"/>
  <c r="J62" i="28"/>
  <c r="I62" i="28"/>
  <c r="H62" i="28" s="1"/>
  <c r="D62" i="28"/>
  <c r="B62" i="28"/>
  <c r="A62" i="28"/>
  <c r="F62" i="28" s="1"/>
  <c r="K61" i="28"/>
  <c r="J61" i="28"/>
  <c r="I61" i="28"/>
  <c r="H61" i="28" s="1"/>
  <c r="E61" i="28"/>
  <c r="D61" i="28"/>
  <c r="B61" i="28"/>
  <c r="A61" i="28"/>
  <c r="F61" i="28" s="1"/>
  <c r="K60" i="28"/>
  <c r="J60" i="28"/>
  <c r="I60" i="28"/>
  <c r="H60" i="28" s="1"/>
  <c r="D60" i="28"/>
  <c r="B60" i="28"/>
  <c r="A60" i="28"/>
  <c r="F60" i="28" s="1"/>
  <c r="K59" i="28"/>
  <c r="J59" i="28"/>
  <c r="I59" i="28"/>
  <c r="H59" i="28" s="1"/>
  <c r="D59" i="28"/>
  <c r="B59" i="28"/>
  <c r="A59" i="28"/>
  <c r="F59" i="28" s="1"/>
  <c r="K58" i="28"/>
  <c r="J58" i="28"/>
  <c r="I58" i="28"/>
  <c r="H58" i="28" s="1"/>
  <c r="D58" i="28"/>
  <c r="B58" i="28"/>
  <c r="A58" i="28"/>
  <c r="F58" i="28" s="1"/>
  <c r="K57" i="28"/>
  <c r="J57" i="28"/>
  <c r="I57" i="28"/>
  <c r="H57" i="28" s="1"/>
  <c r="D57" i="28"/>
  <c r="B57" i="28"/>
  <c r="A57" i="28"/>
  <c r="F57" i="28" s="1"/>
  <c r="K56" i="28"/>
  <c r="J56" i="28"/>
  <c r="I56" i="28"/>
  <c r="H56" i="28" s="1"/>
  <c r="D56" i="28"/>
  <c r="B56" i="28"/>
  <c r="A56" i="28"/>
  <c r="F56" i="28" s="1"/>
  <c r="K55" i="28"/>
  <c r="J55" i="28"/>
  <c r="I55" i="28"/>
  <c r="H55" i="28" s="1"/>
  <c r="E55" i="28"/>
  <c r="D55" i="28"/>
  <c r="B55" i="28"/>
  <c r="A55" i="28"/>
  <c r="F55" i="28" s="1"/>
  <c r="K54" i="28"/>
  <c r="J54" i="28"/>
  <c r="I54" i="28"/>
  <c r="H54" i="28" s="1"/>
  <c r="D54" i="28"/>
  <c r="B54" i="28"/>
  <c r="A54" i="28"/>
  <c r="F54" i="28" s="1"/>
  <c r="K53" i="28"/>
  <c r="J53" i="28"/>
  <c r="I53" i="28"/>
  <c r="H53" i="28" s="1"/>
  <c r="D53" i="28"/>
  <c r="B53" i="28"/>
  <c r="A53" i="28"/>
  <c r="F53" i="28" s="1"/>
  <c r="K52" i="28"/>
  <c r="J52" i="28"/>
  <c r="I52" i="28"/>
  <c r="H52" i="28" s="1"/>
  <c r="D52" i="28"/>
  <c r="B52" i="28"/>
  <c r="A52" i="28"/>
  <c r="F52" i="28" s="1"/>
  <c r="K51" i="28"/>
  <c r="J51" i="28"/>
  <c r="I51" i="28"/>
  <c r="H51" i="28" s="1"/>
  <c r="D51" i="28"/>
  <c r="B51" i="28"/>
  <c r="A51" i="28"/>
  <c r="F51" i="28" s="1"/>
  <c r="K50" i="28"/>
  <c r="J50" i="28"/>
  <c r="I50" i="28"/>
  <c r="H50" i="28" s="1"/>
  <c r="D50" i="28"/>
  <c r="B50" i="28"/>
  <c r="A50" i="28"/>
  <c r="F50" i="28" s="1"/>
  <c r="K49" i="28"/>
  <c r="J49" i="28"/>
  <c r="I49" i="28"/>
  <c r="H49" i="28" s="1"/>
  <c r="D49" i="28"/>
  <c r="B49" i="28"/>
  <c r="A49" i="28"/>
  <c r="F49" i="28" s="1"/>
  <c r="K48" i="28"/>
  <c r="J48" i="28"/>
  <c r="I48" i="28"/>
  <c r="H48" i="28" s="1"/>
  <c r="D48" i="28"/>
  <c r="B48" i="28"/>
  <c r="A48" i="28"/>
  <c r="F48" i="28" s="1"/>
  <c r="K47" i="28"/>
  <c r="J47" i="28"/>
  <c r="I47" i="28"/>
  <c r="H47" i="28" s="1"/>
  <c r="D47" i="28"/>
  <c r="B47" i="28"/>
  <c r="A47" i="28"/>
  <c r="F47" i="28" s="1"/>
  <c r="K46" i="28"/>
  <c r="J46" i="28"/>
  <c r="I46" i="28"/>
  <c r="H46" i="28" s="1"/>
  <c r="D46" i="28"/>
  <c r="B46" i="28"/>
  <c r="A46" i="28"/>
  <c r="F46" i="28" s="1"/>
  <c r="K45" i="28"/>
  <c r="J45" i="28"/>
  <c r="I45" i="28"/>
  <c r="H45" i="28" s="1"/>
  <c r="E45" i="28"/>
  <c r="D45" i="28"/>
  <c r="B45" i="28"/>
  <c r="A45" i="28"/>
  <c r="F45" i="28" s="1"/>
  <c r="K44" i="28"/>
  <c r="J44" i="28"/>
  <c r="I44" i="28"/>
  <c r="H44" i="28" s="1"/>
  <c r="D44" i="28"/>
  <c r="B44" i="28"/>
  <c r="A44" i="28"/>
  <c r="E44" i="28" s="1"/>
  <c r="K43" i="28"/>
  <c r="J43" i="28"/>
  <c r="I43" i="28"/>
  <c r="H43" i="28" s="1"/>
  <c r="D43" i="28"/>
  <c r="B43" i="28"/>
  <c r="A43" i="28"/>
  <c r="F43" i="28" s="1"/>
  <c r="K42" i="28"/>
  <c r="J42" i="28"/>
  <c r="I42" i="28"/>
  <c r="H42" i="28" s="1"/>
  <c r="D42" i="28"/>
  <c r="B42" i="28"/>
  <c r="A42" i="28"/>
  <c r="F42" i="28" s="1"/>
  <c r="K41" i="28"/>
  <c r="J41" i="28"/>
  <c r="I41" i="28"/>
  <c r="H41" i="28" s="1"/>
  <c r="D41" i="28"/>
  <c r="B41" i="28"/>
  <c r="A41" i="28"/>
  <c r="F41" i="28" s="1"/>
  <c r="K40" i="28"/>
  <c r="J40" i="28"/>
  <c r="I40" i="28"/>
  <c r="H40" i="28" s="1"/>
  <c r="D40" i="28"/>
  <c r="B40" i="28"/>
  <c r="A40" i="28"/>
  <c r="F40" i="28" s="1"/>
  <c r="K39" i="28"/>
  <c r="J39" i="28"/>
  <c r="I39" i="28"/>
  <c r="H39" i="28" s="1"/>
  <c r="E39" i="28"/>
  <c r="D39" i="28"/>
  <c r="B39" i="28"/>
  <c r="A39" i="28"/>
  <c r="F39" i="28" s="1"/>
  <c r="K38" i="28"/>
  <c r="J38" i="28"/>
  <c r="I38" i="28"/>
  <c r="H38" i="28" s="1"/>
  <c r="D38" i="28"/>
  <c r="B38" i="28"/>
  <c r="A38" i="28"/>
  <c r="F38" i="28" s="1"/>
  <c r="K37" i="28"/>
  <c r="J37" i="28"/>
  <c r="I37" i="28"/>
  <c r="H37" i="28" s="1"/>
  <c r="D37" i="28"/>
  <c r="B37" i="28"/>
  <c r="A37" i="28"/>
  <c r="F37" i="28" s="1"/>
  <c r="K36" i="28"/>
  <c r="J36" i="28"/>
  <c r="I36" i="28"/>
  <c r="H36" i="28" s="1"/>
  <c r="D36" i="28"/>
  <c r="B36" i="28"/>
  <c r="A36" i="28"/>
  <c r="F36" i="28" s="1"/>
  <c r="K35" i="28"/>
  <c r="J35" i="28"/>
  <c r="I35" i="28"/>
  <c r="H35" i="28" s="1"/>
  <c r="E35" i="28"/>
  <c r="D35" i="28"/>
  <c r="B35" i="28"/>
  <c r="A35" i="28"/>
  <c r="F35" i="28" s="1"/>
  <c r="K34" i="28"/>
  <c r="J34" i="28"/>
  <c r="I34" i="28"/>
  <c r="H34" i="28" s="1"/>
  <c r="D34" i="28"/>
  <c r="B34" i="28"/>
  <c r="A34" i="28"/>
  <c r="F34" i="28" s="1"/>
  <c r="K33" i="28"/>
  <c r="J33" i="28"/>
  <c r="I33" i="28"/>
  <c r="H33" i="28" s="1"/>
  <c r="D33" i="28"/>
  <c r="B33" i="28"/>
  <c r="A33" i="28"/>
  <c r="F33" i="28" s="1"/>
  <c r="K32" i="28"/>
  <c r="J32" i="28"/>
  <c r="I32" i="28"/>
  <c r="H32" i="28" s="1"/>
  <c r="D32" i="28"/>
  <c r="B32" i="28"/>
  <c r="A32" i="28"/>
  <c r="F32" i="28" s="1"/>
  <c r="K31" i="28"/>
  <c r="J31" i="28"/>
  <c r="I31" i="28"/>
  <c r="H31" i="28" s="1"/>
  <c r="D31" i="28"/>
  <c r="B31" i="28"/>
  <c r="A31" i="28"/>
  <c r="F31" i="28" s="1"/>
  <c r="K30" i="28"/>
  <c r="J30" i="28"/>
  <c r="I30" i="28"/>
  <c r="H30" i="28" s="1"/>
  <c r="D30" i="28"/>
  <c r="B30" i="28"/>
  <c r="A30" i="28"/>
  <c r="F30" i="28" s="1"/>
  <c r="K29" i="28"/>
  <c r="J29" i="28"/>
  <c r="I29" i="28"/>
  <c r="H29" i="28" s="1"/>
  <c r="D29" i="28"/>
  <c r="B29" i="28"/>
  <c r="A29" i="28"/>
  <c r="F29" i="28" s="1"/>
  <c r="K28" i="28"/>
  <c r="J28" i="28"/>
  <c r="I28" i="28"/>
  <c r="H28" i="28" s="1"/>
  <c r="D28" i="28"/>
  <c r="B28" i="28"/>
  <c r="A28" i="28"/>
  <c r="F28" i="28" s="1"/>
  <c r="K27" i="28"/>
  <c r="J27" i="28"/>
  <c r="I27" i="28"/>
  <c r="H27" i="28" s="1"/>
  <c r="D27" i="28"/>
  <c r="B27" i="28"/>
  <c r="A27" i="28"/>
  <c r="F27" i="28" s="1"/>
  <c r="K26" i="28"/>
  <c r="J26" i="28"/>
  <c r="I26" i="28"/>
  <c r="H26" i="28" s="1"/>
  <c r="E26" i="28"/>
  <c r="D26" i="28"/>
  <c r="B26" i="28"/>
  <c r="A26" i="28"/>
  <c r="F26" i="28" s="1"/>
  <c r="K25" i="28"/>
  <c r="J25" i="28"/>
  <c r="I25" i="28"/>
  <c r="H25" i="28" s="1"/>
  <c r="D25" i="28"/>
  <c r="B25" i="28"/>
  <c r="A25" i="28"/>
  <c r="F25" i="28" s="1"/>
  <c r="K24" i="28"/>
  <c r="J24" i="28"/>
  <c r="I24" i="28"/>
  <c r="H24" i="28" s="1"/>
  <c r="D24" i="28"/>
  <c r="B24" i="28"/>
  <c r="A24" i="28"/>
  <c r="F24" i="28" s="1"/>
  <c r="K23" i="28"/>
  <c r="J23" i="28"/>
  <c r="I23" i="28"/>
  <c r="H23" i="28" s="1"/>
  <c r="D23" i="28"/>
  <c r="B23" i="28"/>
  <c r="A23" i="28"/>
  <c r="F23" i="28" s="1"/>
  <c r="K22" i="28"/>
  <c r="J22" i="28"/>
  <c r="I22" i="28"/>
  <c r="H22" i="28" s="1"/>
  <c r="D22" i="28"/>
  <c r="B22" i="28"/>
  <c r="A22" i="28"/>
  <c r="F22" i="28" s="1"/>
  <c r="K21" i="28"/>
  <c r="J21" i="28"/>
  <c r="I21" i="28"/>
  <c r="H21" i="28" s="1"/>
  <c r="D21" i="28"/>
  <c r="B21" i="28"/>
  <c r="A21" i="28"/>
  <c r="F21" i="28" s="1"/>
  <c r="K20" i="28"/>
  <c r="J20" i="28"/>
  <c r="I20" i="28"/>
  <c r="H20" i="28" s="1"/>
  <c r="D20" i="28"/>
  <c r="B20" i="28"/>
  <c r="A20" i="28"/>
  <c r="F20" i="28" s="1"/>
  <c r="K19" i="28"/>
  <c r="J19" i="28"/>
  <c r="I19" i="28"/>
  <c r="H19" i="28" s="1"/>
  <c r="D19" i="28"/>
  <c r="B19" i="28"/>
  <c r="A19" i="28"/>
  <c r="F19" i="28" s="1"/>
  <c r="K18" i="28"/>
  <c r="J18" i="28"/>
  <c r="I18" i="28"/>
  <c r="H18" i="28" s="1"/>
  <c r="D18" i="28"/>
  <c r="B18" i="28"/>
  <c r="A18" i="28"/>
  <c r="F18" i="28" s="1"/>
  <c r="K17" i="28"/>
  <c r="J17" i="28"/>
  <c r="I17" i="28"/>
  <c r="H17" i="28" s="1"/>
  <c r="D17" i="28"/>
  <c r="B17" i="28"/>
  <c r="A17" i="28"/>
  <c r="F17" i="28" s="1"/>
  <c r="K16" i="28"/>
  <c r="J16" i="28"/>
  <c r="I16" i="28"/>
  <c r="H16" i="28" s="1"/>
  <c r="E16" i="28"/>
  <c r="D16" i="28"/>
  <c r="B16" i="28"/>
  <c r="A16" i="28"/>
  <c r="F16" i="28" s="1"/>
  <c r="K15" i="28"/>
  <c r="J15" i="28"/>
  <c r="I15" i="28"/>
  <c r="H15" i="28" s="1"/>
  <c r="D15" i="28"/>
  <c r="B15" i="28"/>
  <c r="A15" i="28"/>
  <c r="F15" i="28" s="1"/>
  <c r="K14" i="28"/>
  <c r="J14" i="28"/>
  <c r="I14" i="28"/>
  <c r="H14" i="28" s="1"/>
  <c r="D14" i="28"/>
  <c r="B14" i="28"/>
  <c r="A14" i="28"/>
  <c r="F14" i="28" s="1"/>
  <c r="K13" i="28"/>
  <c r="J13" i="28"/>
  <c r="I13" i="28"/>
  <c r="H13" i="28" s="1"/>
  <c r="D13" i="28"/>
  <c r="B13" i="28"/>
  <c r="A13" i="28"/>
  <c r="F13" i="28" s="1"/>
  <c r="K12" i="28"/>
  <c r="J12" i="28"/>
  <c r="I12" i="28"/>
  <c r="H12" i="28" s="1"/>
  <c r="D12" i="28"/>
  <c r="B12" i="28"/>
  <c r="A12" i="28"/>
  <c r="F12" i="28" s="1"/>
  <c r="K11" i="28"/>
  <c r="J11" i="28"/>
  <c r="I11" i="28"/>
  <c r="H11" i="28" s="1"/>
  <c r="D11" i="28"/>
  <c r="B11" i="28"/>
  <c r="A11" i="28"/>
  <c r="F11" i="28" s="1"/>
  <c r="K10" i="28"/>
  <c r="J10" i="28"/>
  <c r="I10" i="28"/>
  <c r="H10" i="28" s="1"/>
  <c r="D10" i="28"/>
  <c r="B10" i="28"/>
  <c r="A10" i="28"/>
  <c r="F10" i="28" s="1"/>
  <c r="K9" i="28"/>
  <c r="J9" i="28"/>
  <c r="I9" i="28"/>
  <c r="H9" i="28" s="1"/>
  <c r="D9" i="28"/>
  <c r="B9" i="28"/>
  <c r="A9" i="28"/>
  <c r="F9" i="28" s="1"/>
  <c r="K8" i="28"/>
  <c r="J8" i="28"/>
  <c r="I8" i="28"/>
  <c r="H8" i="28" s="1"/>
  <c r="D8" i="28"/>
  <c r="B8" i="28"/>
  <c r="A8" i="28"/>
  <c r="F8" i="28" s="1"/>
  <c r="K7" i="28"/>
  <c r="J7" i="28"/>
  <c r="I7" i="28"/>
  <c r="H7" i="28" s="1"/>
  <c r="D7" i="28"/>
  <c r="B7" i="28"/>
  <c r="A7" i="28"/>
  <c r="F7" i="28" s="1"/>
  <c r="K6" i="28"/>
  <c r="J6" i="28"/>
  <c r="I6" i="28"/>
  <c r="H6" i="28" s="1"/>
  <c r="D6" i="28"/>
  <c r="B6" i="28"/>
  <c r="A6" i="28"/>
  <c r="F6" i="28" s="1"/>
  <c r="K5" i="28"/>
  <c r="J5" i="28"/>
  <c r="I5" i="28"/>
  <c r="H5" i="28" s="1"/>
  <c r="E5" i="28"/>
  <c r="D5" i="28"/>
  <c r="B5" i="28"/>
  <c r="A5" i="28"/>
  <c r="F5" i="28" s="1"/>
  <c r="K4" i="28"/>
  <c r="J4" i="28"/>
  <c r="I4" i="28"/>
  <c r="H4" i="28" s="1"/>
  <c r="D4" i="28"/>
  <c r="B4" i="28"/>
  <c r="A4" i="28"/>
  <c r="F4" i="28" s="1"/>
  <c r="K3" i="28"/>
  <c r="J3" i="28"/>
  <c r="I3" i="28"/>
  <c r="H3" i="28" s="1"/>
  <c r="D3" i="28"/>
  <c r="B3" i="28"/>
  <c r="A3" i="28"/>
  <c r="F3" i="28" s="1"/>
  <c r="A2" i="28"/>
  <c r="B2" i="28"/>
  <c r="D2" i="28"/>
  <c r="I2" i="28"/>
  <c r="J2" i="28"/>
  <c r="K2" i="28"/>
  <c r="G14" i="48"/>
  <c r="G15" i="48"/>
  <c r="G16" i="48"/>
  <c r="G17" i="48"/>
  <c r="G18" i="48"/>
  <c r="G20" i="48"/>
  <c r="G21" i="48"/>
  <c r="G22" i="48"/>
  <c r="G23" i="48"/>
  <c r="G25" i="48"/>
  <c r="G26" i="48"/>
  <c r="G13" i="48"/>
  <c r="J12" i="45"/>
  <c r="I11" i="45"/>
  <c r="K11" i="45" s="1"/>
  <c r="I10" i="45"/>
  <c r="K10" i="45" s="1"/>
  <c r="I9" i="45"/>
  <c r="J9" i="45" s="1"/>
  <c r="G24" i="48" s="1"/>
  <c r="I8" i="45"/>
  <c r="K8" i="45" s="1"/>
  <c r="I7" i="45"/>
  <c r="K7" i="45" s="1"/>
  <c r="I6" i="45"/>
  <c r="K6" i="45" s="1"/>
  <c r="I5" i="45"/>
  <c r="K5" i="45" s="1"/>
  <c r="F26" i="48"/>
  <c r="F25" i="48"/>
  <c r="F23" i="48"/>
  <c r="F22" i="48"/>
  <c r="F21" i="48"/>
  <c r="F20" i="48"/>
  <c r="F19" i="48"/>
  <c r="F18" i="48"/>
  <c r="F17" i="48"/>
  <c r="F16" i="48"/>
  <c r="F15" i="48"/>
  <c r="F14" i="48"/>
  <c r="F13" i="48"/>
  <c r="E21" i="45"/>
  <c r="E17" i="45"/>
  <c r="E13" i="45"/>
  <c r="J8" i="45" l="1"/>
  <c r="K9" i="45"/>
  <c r="J6" i="45"/>
  <c r="J10" i="45"/>
  <c r="F24" i="48"/>
  <c r="J5" i="45"/>
  <c r="J7" i="45"/>
  <c r="J11" i="45"/>
  <c r="G19" i="48" s="1"/>
  <c r="E9" i="28"/>
  <c r="E20" i="28"/>
  <c r="E29" i="28"/>
  <c r="E51" i="28"/>
  <c r="E71" i="28"/>
  <c r="E84" i="28"/>
  <c r="G95" i="28"/>
  <c r="E7" i="28"/>
  <c r="E12" i="28"/>
  <c r="E24" i="28"/>
  <c r="G27" i="28"/>
  <c r="E37" i="28"/>
  <c r="E47" i="28"/>
  <c r="E59" i="28"/>
  <c r="E69" i="28"/>
  <c r="E79" i="28"/>
  <c r="E116" i="28"/>
  <c r="E18" i="28"/>
  <c r="E31" i="28"/>
  <c r="E43" i="28"/>
  <c r="E53" i="28"/>
  <c r="E63" i="28"/>
  <c r="E75" i="28"/>
  <c r="G87" i="28"/>
  <c r="E92" i="28"/>
  <c r="E3" i="28"/>
  <c r="E11" i="28"/>
  <c r="E14" i="28"/>
  <c r="E22" i="28"/>
  <c r="E33" i="28"/>
  <c r="E41" i="28"/>
  <c r="E49" i="28"/>
  <c r="E57" i="28"/>
  <c r="E65" i="28"/>
  <c r="E73" i="28"/>
  <c r="G103" i="28"/>
  <c r="E108" i="28"/>
  <c r="N12" i="48"/>
  <c r="E4" i="28"/>
  <c r="E8" i="28"/>
  <c r="E13" i="28"/>
  <c r="E17" i="28"/>
  <c r="E21" i="28"/>
  <c r="E25" i="28"/>
  <c r="E30" i="28"/>
  <c r="E34" i="28"/>
  <c r="E38" i="28"/>
  <c r="E42" i="28"/>
  <c r="E46" i="28"/>
  <c r="E50" i="28"/>
  <c r="E54" i="28"/>
  <c r="E58" i="28"/>
  <c r="E62" i="28"/>
  <c r="E66" i="28"/>
  <c r="E70" i="28"/>
  <c r="E74" i="28"/>
  <c r="E78" i="28"/>
  <c r="E88" i="28"/>
  <c r="G91" i="28"/>
  <c r="E104" i="28"/>
  <c r="G107" i="28"/>
  <c r="E120" i="28"/>
  <c r="G123" i="28"/>
  <c r="G131" i="28"/>
  <c r="E6" i="28"/>
  <c r="E10" i="28"/>
  <c r="G11" i="28"/>
  <c r="E15" i="28"/>
  <c r="E19" i="28"/>
  <c r="E23" i="28"/>
  <c r="E27" i="28"/>
  <c r="E28" i="28"/>
  <c r="E32" i="28"/>
  <c r="E36" i="28"/>
  <c r="E40" i="28"/>
  <c r="E48" i="28"/>
  <c r="E52" i="28"/>
  <c r="E56" i="28"/>
  <c r="E60" i="28"/>
  <c r="E64" i="28"/>
  <c r="E68" i="28"/>
  <c r="E72" i="28"/>
  <c r="E76" i="28"/>
  <c r="E80" i="28"/>
  <c r="E96" i="28"/>
  <c r="G99" i="28"/>
  <c r="E112" i="28"/>
  <c r="G115" i="28"/>
  <c r="G127" i="28"/>
  <c r="G135" i="28"/>
  <c r="F113" i="28"/>
  <c r="G113" i="28"/>
  <c r="G4" i="28"/>
  <c r="G6" i="28"/>
  <c r="G8" i="28"/>
  <c r="G19" i="28"/>
  <c r="G22" i="28"/>
  <c r="G33" i="28"/>
  <c r="G35" i="28"/>
  <c r="G36" i="28"/>
  <c r="G38" i="28"/>
  <c r="G40" i="28"/>
  <c r="G41" i="28"/>
  <c r="G90" i="28"/>
  <c r="E90" i="28"/>
  <c r="G106" i="28"/>
  <c r="E106" i="28"/>
  <c r="G122" i="28"/>
  <c r="G138" i="28"/>
  <c r="F89" i="28"/>
  <c r="G89" i="28"/>
  <c r="F105" i="28"/>
  <c r="G105" i="28"/>
  <c r="F121" i="28"/>
  <c r="G121" i="28"/>
  <c r="F137" i="28"/>
  <c r="G137" i="28"/>
  <c r="F97" i="28"/>
  <c r="G97" i="28"/>
  <c r="F129" i="28"/>
  <c r="G129" i="28"/>
  <c r="G3" i="28"/>
  <c r="G5" i="28"/>
  <c r="G7" i="28"/>
  <c r="G9" i="28"/>
  <c r="G10" i="28"/>
  <c r="G12" i="28"/>
  <c r="G13" i="28"/>
  <c r="G14" i="28"/>
  <c r="G15" i="28"/>
  <c r="G16" i="28"/>
  <c r="G17" i="28"/>
  <c r="G18" i="28"/>
  <c r="G20" i="28"/>
  <c r="G21" i="28"/>
  <c r="G23" i="28"/>
  <c r="G24" i="28"/>
  <c r="G25" i="28"/>
  <c r="G26" i="28"/>
  <c r="G28" i="28"/>
  <c r="G29" i="28"/>
  <c r="G30" i="28"/>
  <c r="G31" i="28"/>
  <c r="G32" i="28"/>
  <c r="G34" i="28"/>
  <c r="G37" i="28"/>
  <c r="G39" i="28"/>
  <c r="G42" i="28"/>
  <c r="G43" i="28"/>
  <c r="F44" i="28"/>
  <c r="G44" i="28"/>
  <c r="G82" i="28"/>
  <c r="E82" i="28"/>
  <c r="G98" i="28"/>
  <c r="E98" i="28"/>
  <c r="G114" i="28"/>
  <c r="E114" i="28"/>
  <c r="G130" i="28"/>
  <c r="G139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5" i="28"/>
  <c r="E86" i="28"/>
  <c r="G93" i="28"/>
  <c r="E94" i="28"/>
  <c r="G101" i="28"/>
  <c r="E102" i="28"/>
  <c r="G109" i="28"/>
  <c r="E110" i="28"/>
  <c r="G117" i="28"/>
  <c r="E118" i="28"/>
  <c r="G125" i="28"/>
  <c r="G133" i="28"/>
  <c r="G141" i="28"/>
  <c r="G81" i="28"/>
  <c r="G166" i="28"/>
  <c r="F166" i="28"/>
  <c r="G182" i="28"/>
  <c r="F182" i="28"/>
  <c r="G198" i="28"/>
  <c r="F198" i="28"/>
  <c r="G214" i="28"/>
  <c r="F214" i="28"/>
  <c r="F82" i="28"/>
  <c r="F83" i="28"/>
  <c r="G83" i="28"/>
  <c r="G158" i="28"/>
  <c r="F158" i="28"/>
  <c r="G174" i="28"/>
  <c r="F174" i="28"/>
  <c r="G190" i="28"/>
  <c r="F190" i="28"/>
  <c r="G206" i="28"/>
  <c r="F206" i="28"/>
  <c r="G222" i="28"/>
  <c r="F222" i="28"/>
  <c r="F80" i="28"/>
  <c r="F81" i="28"/>
  <c r="F84" i="28"/>
  <c r="F86" i="28"/>
  <c r="F88" i="28"/>
  <c r="F90" i="28"/>
  <c r="F92" i="28"/>
  <c r="F94" i="28"/>
  <c r="F96" i="28"/>
  <c r="F98" i="28"/>
  <c r="F100" i="28"/>
  <c r="F102" i="28"/>
  <c r="F104" i="28"/>
  <c r="F106" i="28"/>
  <c r="F108" i="28"/>
  <c r="F110" i="28"/>
  <c r="F112" i="28"/>
  <c r="F114" i="28"/>
  <c r="F116" i="28"/>
  <c r="F118" i="28"/>
  <c r="F120" i="28"/>
  <c r="F122" i="28"/>
  <c r="F124" i="28"/>
  <c r="F126" i="28"/>
  <c r="F128" i="28"/>
  <c r="F130" i="28"/>
  <c r="F132" i="28"/>
  <c r="F134" i="28"/>
  <c r="F136" i="28"/>
  <c r="F138" i="28"/>
  <c r="F140" i="28"/>
  <c r="F142" i="28"/>
  <c r="G156" i="28"/>
  <c r="G164" i="28"/>
  <c r="G172" i="28"/>
  <c r="G180" i="28"/>
  <c r="G188" i="28"/>
  <c r="G196" i="28"/>
  <c r="G204" i="28"/>
  <c r="G212" i="28"/>
  <c r="G220" i="28"/>
  <c r="E85" i="28"/>
  <c r="E87" i="28"/>
  <c r="E89" i="28"/>
  <c r="E91" i="28"/>
  <c r="E93" i="28"/>
  <c r="E95" i="28"/>
  <c r="E97" i="28"/>
  <c r="E99" i="28"/>
  <c r="E101" i="28"/>
  <c r="E103" i="28"/>
  <c r="E105" i="28"/>
  <c r="E107" i="28"/>
  <c r="E109" i="28"/>
  <c r="E111" i="28"/>
  <c r="E113" i="28"/>
  <c r="E115" i="28"/>
  <c r="E117" i="28"/>
  <c r="E119" i="28"/>
  <c r="E121" i="28"/>
  <c r="G154" i="28"/>
  <c r="G162" i="28"/>
  <c r="G170" i="28"/>
  <c r="G178" i="28"/>
  <c r="G186" i="28"/>
  <c r="G194" i="28"/>
  <c r="G202" i="28"/>
  <c r="G210" i="28"/>
  <c r="G218" i="28"/>
  <c r="G226" i="28"/>
  <c r="G143" i="28"/>
  <c r="G144" i="28"/>
  <c r="G145" i="28"/>
  <c r="G146" i="28"/>
  <c r="G147" i="28"/>
  <c r="G148" i="28"/>
  <c r="G149" i="28"/>
  <c r="G150" i="28"/>
  <c r="G151" i="28"/>
  <c r="G152" i="28"/>
  <c r="G160" i="28"/>
  <c r="G168" i="28"/>
  <c r="G176" i="28"/>
  <c r="G184" i="28"/>
  <c r="G192" i="28"/>
  <c r="G200" i="28"/>
  <c r="G208" i="28"/>
  <c r="G216" i="28"/>
  <c r="G224" i="28"/>
  <c r="F153" i="28"/>
  <c r="F155" i="28"/>
  <c r="F157" i="28"/>
  <c r="F159" i="28"/>
  <c r="F161" i="28"/>
  <c r="F163" i="28"/>
  <c r="F165" i="28"/>
  <c r="F167" i="28"/>
  <c r="F169" i="28"/>
  <c r="F171" i="28"/>
  <c r="F173" i="28"/>
  <c r="F175" i="28"/>
  <c r="F177" i="28"/>
  <c r="F179" i="28"/>
  <c r="F181" i="28"/>
  <c r="F183" i="28"/>
  <c r="F185" i="28"/>
  <c r="F187" i="28"/>
  <c r="F189" i="28"/>
  <c r="F191" i="28"/>
  <c r="F193" i="28"/>
  <c r="F195" i="28"/>
  <c r="F197" i="28"/>
  <c r="F199" i="28"/>
  <c r="F201" i="28"/>
  <c r="F203" i="28"/>
  <c r="F205" i="28"/>
  <c r="F207" i="28"/>
  <c r="F209" i="28"/>
  <c r="F211" i="28"/>
  <c r="F213" i="28"/>
  <c r="F215" i="28"/>
  <c r="F217" i="28"/>
  <c r="F219" i="28"/>
  <c r="F221" i="28"/>
  <c r="F223" i="28"/>
  <c r="F225" i="28"/>
  <c r="F227" i="28"/>
  <c r="I3" i="45"/>
  <c r="C11" i="48" l="1"/>
  <c r="Q11" i="48"/>
  <c r="P11" i="48" s="1"/>
  <c r="N11" i="48" s="1"/>
  <c r="B26" i="48" l="1"/>
  <c r="B25" i="48"/>
  <c r="B24" i="48"/>
  <c r="B23" i="48"/>
  <c r="B22" i="48"/>
  <c r="B21" i="48"/>
  <c r="B20" i="48"/>
  <c r="C3" i="48"/>
  <c r="Q3" i="48"/>
  <c r="P3" i="48" s="1"/>
  <c r="N3" i="48" s="1"/>
  <c r="C4" i="48"/>
  <c r="Q4" i="48"/>
  <c r="P4" i="48" s="1"/>
  <c r="N4" i="48" s="1"/>
  <c r="C5" i="48"/>
  <c r="Q5" i="48"/>
  <c r="P5" i="48" s="1"/>
  <c r="N5" i="48" s="1"/>
  <c r="C6" i="48"/>
  <c r="Q6" i="48"/>
  <c r="P6" i="48" s="1"/>
  <c r="N6" i="48" s="1"/>
  <c r="C7" i="48"/>
  <c r="Q7" i="48"/>
  <c r="P7" i="48" s="1"/>
  <c r="N7" i="48" s="1"/>
  <c r="C8" i="48"/>
  <c r="Q8" i="48"/>
  <c r="P8" i="48" s="1"/>
  <c r="N8" i="48" s="1"/>
  <c r="C9" i="48"/>
  <c r="Q9" i="48"/>
  <c r="P9" i="48" s="1"/>
  <c r="N9" i="48" s="1"/>
  <c r="C10" i="48"/>
  <c r="Q10" i="48"/>
  <c r="P10" i="48" s="1"/>
  <c r="N10" i="48" s="1"/>
  <c r="E180" i="28" l="1"/>
  <c r="E171" i="28"/>
  <c r="E179" i="28"/>
  <c r="E187" i="28"/>
  <c r="E184" i="28"/>
  <c r="E170" i="28"/>
  <c r="E186" i="28"/>
  <c r="E176" i="28"/>
  <c r="E173" i="28"/>
  <c r="E181" i="28"/>
  <c r="E189" i="28"/>
  <c r="E182" i="28"/>
  <c r="E178" i="28"/>
  <c r="E177" i="28"/>
  <c r="E174" i="28"/>
  <c r="E172" i="28"/>
  <c r="E188" i="28"/>
  <c r="E175" i="28"/>
  <c r="E183" i="28"/>
  <c r="E185" i="28"/>
  <c r="E124" i="28"/>
  <c r="E128" i="28"/>
  <c r="E125" i="28"/>
  <c r="E127" i="28"/>
  <c r="E122" i="28"/>
  <c r="E126" i="28"/>
  <c r="E123" i="28"/>
  <c r="E132" i="28"/>
  <c r="E136" i="28"/>
  <c r="E140" i="28"/>
  <c r="E138" i="28"/>
  <c r="E134" i="28"/>
  <c r="E133" i="28"/>
  <c r="E141" i="28"/>
  <c r="E139" i="28"/>
  <c r="E144" i="28"/>
  <c r="E135" i="28"/>
  <c r="E131" i="28"/>
  <c r="E130" i="28"/>
  <c r="E142" i="28"/>
  <c r="E129" i="28"/>
  <c r="E137" i="28"/>
  <c r="E143" i="28"/>
  <c r="E145" i="28"/>
  <c r="E147" i="28"/>
  <c r="E146" i="28"/>
  <c r="B32" i="48"/>
  <c r="B39" i="48" s="1"/>
  <c r="B46" i="48" s="1"/>
  <c r="B53" i="48" s="1"/>
  <c r="B60" i="48" s="1"/>
  <c r="B67" i="48" s="1"/>
  <c r="B74" i="48" s="1"/>
  <c r="B81" i="48" s="1"/>
  <c r="B88" i="48" s="1"/>
  <c r="B95" i="48" s="1"/>
  <c r="B102" i="48" s="1"/>
  <c r="B109" i="48" s="1"/>
  <c r="B116" i="48" s="1"/>
  <c r="B123" i="48" s="1"/>
  <c r="B130" i="48" s="1"/>
  <c r="B137" i="48" s="1"/>
  <c r="B144" i="48" s="1"/>
  <c r="B151" i="48" s="1"/>
  <c r="B158" i="48" s="1"/>
  <c r="B165" i="48" s="1"/>
  <c r="B172" i="48" s="1"/>
  <c r="B179" i="48" s="1"/>
  <c r="B186" i="48" s="1"/>
  <c r="B193" i="48" s="1"/>
  <c r="B200" i="48" s="1"/>
  <c r="B207" i="48" s="1"/>
  <c r="B214" i="48" s="1"/>
  <c r="B221" i="48" s="1"/>
  <c r="B228" i="48" s="1"/>
  <c r="B235" i="48" s="1"/>
  <c r="B242" i="48" s="1"/>
  <c r="B249" i="48" s="1"/>
  <c r="B256" i="48" s="1"/>
  <c r="B263" i="48" s="1"/>
  <c r="B270" i="48" s="1"/>
  <c r="B277" i="48" s="1"/>
  <c r="B284" i="48" s="1"/>
  <c r="B291" i="48" s="1"/>
  <c r="B298" i="48" s="1"/>
  <c r="B305" i="48" s="1"/>
  <c r="B312" i="48" s="1"/>
  <c r="B319" i="48" s="1"/>
  <c r="B326" i="48" s="1"/>
  <c r="B333" i="48" s="1"/>
  <c r="B340" i="48" s="1"/>
  <c r="B347" i="48" s="1"/>
  <c r="B354" i="48" s="1"/>
  <c r="B361" i="48" s="1"/>
  <c r="E206" i="28"/>
  <c r="E196" i="28"/>
  <c r="E195" i="28"/>
  <c r="E203" i="28"/>
  <c r="E194" i="28"/>
  <c r="E193" i="28"/>
  <c r="E190" i="28"/>
  <c r="E202" i="28"/>
  <c r="E192" i="28"/>
  <c r="E208" i="28"/>
  <c r="E197" i="28"/>
  <c r="E205" i="28"/>
  <c r="E201" i="28"/>
  <c r="E198" i="28"/>
  <c r="E204" i="28"/>
  <c r="E191" i="28"/>
  <c r="E199" i="28"/>
  <c r="E207" i="28"/>
  <c r="E200" i="28"/>
  <c r="E166" i="28"/>
  <c r="E164" i="28"/>
  <c r="E155" i="28"/>
  <c r="E163" i="28"/>
  <c r="E158" i="28"/>
  <c r="E150" i="28"/>
  <c r="E169" i="28"/>
  <c r="E154" i="28"/>
  <c r="E160" i="28"/>
  <c r="E157" i="28"/>
  <c r="E165" i="28"/>
  <c r="E148" i="28"/>
  <c r="E168" i="28"/>
  <c r="E153" i="28"/>
  <c r="E156" i="28"/>
  <c r="E149" i="28"/>
  <c r="E151" i="28"/>
  <c r="E159" i="28"/>
  <c r="E167" i="28"/>
  <c r="E162" i="28"/>
  <c r="E152" i="28"/>
  <c r="E161" i="28"/>
  <c r="B33" i="48"/>
  <c r="B40" i="48" s="1"/>
  <c r="B47" i="48" s="1"/>
  <c r="B54" i="48" s="1"/>
  <c r="B61" i="48" s="1"/>
  <c r="B68" i="48" s="1"/>
  <c r="B75" i="48" s="1"/>
  <c r="B82" i="48" s="1"/>
  <c r="B89" i="48" s="1"/>
  <c r="B96" i="48" s="1"/>
  <c r="B103" i="48" s="1"/>
  <c r="B110" i="48" s="1"/>
  <c r="B117" i="48" s="1"/>
  <c r="B124" i="48" s="1"/>
  <c r="B131" i="48" s="1"/>
  <c r="B138" i="48" s="1"/>
  <c r="B145" i="48" s="1"/>
  <c r="B152" i="48" s="1"/>
  <c r="B159" i="48" s="1"/>
  <c r="B166" i="48" s="1"/>
  <c r="B173" i="48" s="1"/>
  <c r="B180" i="48" s="1"/>
  <c r="B187" i="48" s="1"/>
  <c r="B194" i="48" s="1"/>
  <c r="B201" i="48" s="1"/>
  <c r="B208" i="48" s="1"/>
  <c r="B215" i="48" s="1"/>
  <c r="B222" i="48" s="1"/>
  <c r="B229" i="48" s="1"/>
  <c r="B236" i="48" s="1"/>
  <c r="B243" i="48" s="1"/>
  <c r="B250" i="48" s="1"/>
  <c r="B257" i="48" s="1"/>
  <c r="B264" i="48" s="1"/>
  <c r="B271" i="48" s="1"/>
  <c r="B278" i="48" s="1"/>
  <c r="B285" i="48" s="1"/>
  <c r="B292" i="48" s="1"/>
  <c r="B299" i="48" s="1"/>
  <c r="B306" i="48" s="1"/>
  <c r="B313" i="48" s="1"/>
  <c r="B320" i="48" s="1"/>
  <c r="B327" i="48" s="1"/>
  <c r="B334" i="48" s="1"/>
  <c r="B341" i="48" s="1"/>
  <c r="B348" i="48" s="1"/>
  <c r="B355" i="48" s="1"/>
  <c r="B362" i="48" s="1"/>
  <c r="E212" i="28"/>
  <c r="E211" i="28"/>
  <c r="E219" i="28"/>
  <c r="E227" i="28"/>
  <c r="E216" i="28"/>
  <c r="E217" i="28"/>
  <c r="E214" i="28"/>
  <c r="E218" i="28"/>
  <c r="E224" i="28"/>
  <c r="E213" i="28"/>
  <c r="E221" i="28"/>
  <c r="E222" i="28"/>
  <c r="E226" i="28"/>
  <c r="E225" i="28"/>
  <c r="E220" i="28"/>
  <c r="E215" i="28"/>
  <c r="E223" i="28"/>
  <c r="E210" i="28"/>
  <c r="E209" i="28"/>
  <c r="B28" i="48"/>
  <c r="B35" i="48" s="1"/>
  <c r="B42" i="48" s="1"/>
  <c r="B49" i="48" s="1"/>
  <c r="B56" i="48" s="1"/>
  <c r="B63" i="48" s="1"/>
  <c r="B70" i="48" s="1"/>
  <c r="B77" i="48" s="1"/>
  <c r="B84" i="48" s="1"/>
  <c r="B91" i="48" s="1"/>
  <c r="B98" i="48" s="1"/>
  <c r="B105" i="48" s="1"/>
  <c r="B112" i="48" s="1"/>
  <c r="B119" i="48" s="1"/>
  <c r="B126" i="48" s="1"/>
  <c r="B133" i="48" s="1"/>
  <c r="B140" i="48" s="1"/>
  <c r="B147" i="48" s="1"/>
  <c r="B154" i="48" s="1"/>
  <c r="B161" i="48" s="1"/>
  <c r="B168" i="48" s="1"/>
  <c r="B175" i="48" s="1"/>
  <c r="B182" i="48" s="1"/>
  <c r="B189" i="48" s="1"/>
  <c r="B196" i="48" s="1"/>
  <c r="B203" i="48" s="1"/>
  <c r="B210" i="48" s="1"/>
  <c r="B217" i="48" s="1"/>
  <c r="B224" i="48" s="1"/>
  <c r="B231" i="48" s="1"/>
  <c r="B238" i="48" s="1"/>
  <c r="B245" i="48" s="1"/>
  <c r="B252" i="48" s="1"/>
  <c r="B259" i="48" s="1"/>
  <c r="B266" i="48" s="1"/>
  <c r="B273" i="48" s="1"/>
  <c r="B280" i="48" s="1"/>
  <c r="B287" i="48" s="1"/>
  <c r="B294" i="48" s="1"/>
  <c r="B301" i="48" s="1"/>
  <c r="B308" i="48" s="1"/>
  <c r="B315" i="48" s="1"/>
  <c r="B322" i="48" s="1"/>
  <c r="B329" i="48" s="1"/>
  <c r="B336" i="48" s="1"/>
  <c r="B343" i="48" s="1"/>
  <c r="B350" i="48" s="1"/>
  <c r="B357" i="48" s="1"/>
  <c r="B29" i="48"/>
  <c r="B36" i="48" s="1"/>
  <c r="B43" i="48" s="1"/>
  <c r="B50" i="48" s="1"/>
  <c r="B57" i="48" s="1"/>
  <c r="B64" i="48" s="1"/>
  <c r="B71" i="48" s="1"/>
  <c r="B78" i="48" s="1"/>
  <c r="B85" i="48" s="1"/>
  <c r="B92" i="48" s="1"/>
  <c r="B99" i="48" s="1"/>
  <c r="B106" i="48" s="1"/>
  <c r="B113" i="48" s="1"/>
  <c r="B120" i="48" s="1"/>
  <c r="B127" i="48" s="1"/>
  <c r="B134" i="48" s="1"/>
  <c r="B141" i="48" s="1"/>
  <c r="B148" i="48" s="1"/>
  <c r="B155" i="48" s="1"/>
  <c r="B162" i="48" s="1"/>
  <c r="B169" i="48" s="1"/>
  <c r="B176" i="48" s="1"/>
  <c r="B183" i="48" s="1"/>
  <c r="B190" i="48" s="1"/>
  <c r="B197" i="48" s="1"/>
  <c r="B204" i="48" s="1"/>
  <c r="B211" i="48" s="1"/>
  <c r="B218" i="48" s="1"/>
  <c r="B225" i="48" s="1"/>
  <c r="B232" i="48" s="1"/>
  <c r="B239" i="48" s="1"/>
  <c r="B246" i="48" s="1"/>
  <c r="B253" i="48" s="1"/>
  <c r="B260" i="48" s="1"/>
  <c r="B267" i="48" s="1"/>
  <c r="B274" i="48" s="1"/>
  <c r="B281" i="48" s="1"/>
  <c r="B288" i="48" s="1"/>
  <c r="B295" i="48" s="1"/>
  <c r="B302" i="48" s="1"/>
  <c r="B309" i="48" s="1"/>
  <c r="B316" i="48" s="1"/>
  <c r="B323" i="48" s="1"/>
  <c r="B330" i="48" s="1"/>
  <c r="B337" i="48" s="1"/>
  <c r="B344" i="48" s="1"/>
  <c r="B351" i="48" s="1"/>
  <c r="B358" i="48" s="1"/>
  <c r="B30" i="48"/>
  <c r="B37" i="48" s="1"/>
  <c r="B44" i="48" s="1"/>
  <c r="B51" i="48" s="1"/>
  <c r="B58" i="48" s="1"/>
  <c r="B65" i="48" s="1"/>
  <c r="B72" i="48" s="1"/>
  <c r="B79" i="48" s="1"/>
  <c r="B86" i="48" s="1"/>
  <c r="B93" i="48" s="1"/>
  <c r="B100" i="48" s="1"/>
  <c r="B107" i="48" s="1"/>
  <c r="B114" i="48" s="1"/>
  <c r="B121" i="48" s="1"/>
  <c r="B128" i="48" s="1"/>
  <c r="B135" i="48" s="1"/>
  <c r="B142" i="48" s="1"/>
  <c r="B149" i="48" s="1"/>
  <c r="B156" i="48" s="1"/>
  <c r="B163" i="48" s="1"/>
  <c r="B170" i="48" s="1"/>
  <c r="B177" i="48" s="1"/>
  <c r="B184" i="48" s="1"/>
  <c r="B191" i="48" s="1"/>
  <c r="B198" i="48" s="1"/>
  <c r="B205" i="48" s="1"/>
  <c r="B212" i="48" s="1"/>
  <c r="B219" i="48" s="1"/>
  <c r="B226" i="48" s="1"/>
  <c r="B233" i="48" s="1"/>
  <c r="B240" i="48" s="1"/>
  <c r="B247" i="48" s="1"/>
  <c r="B254" i="48" s="1"/>
  <c r="B261" i="48" s="1"/>
  <c r="B268" i="48" s="1"/>
  <c r="B275" i="48" s="1"/>
  <c r="B282" i="48" s="1"/>
  <c r="B289" i="48" s="1"/>
  <c r="B296" i="48" s="1"/>
  <c r="B303" i="48" s="1"/>
  <c r="B310" i="48" s="1"/>
  <c r="B317" i="48" s="1"/>
  <c r="B324" i="48" s="1"/>
  <c r="B331" i="48" s="1"/>
  <c r="B338" i="48" s="1"/>
  <c r="B345" i="48" s="1"/>
  <c r="B352" i="48" s="1"/>
  <c r="B359" i="48" s="1"/>
  <c r="B31" i="48"/>
  <c r="B38" i="48" s="1"/>
  <c r="B45" i="48" s="1"/>
  <c r="B52" i="48" s="1"/>
  <c r="B59" i="48" s="1"/>
  <c r="B66" i="48" s="1"/>
  <c r="B73" i="48" s="1"/>
  <c r="B80" i="48" s="1"/>
  <c r="B87" i="48" s="1"/>
  <c r="B94" i="48" s="1"/>
  <c r="B101" i="48" s="1"/>
  <c r="B108" i="48" s="1"/>
  <c r="B115" i="48" s="1"/>
  <c r="B122" i="48" s="1"/>
  <c r="B129" i="48" s="1"/>
  <c r="B136" i="48" s="1"/>
  <c r="B143" i="48" s="1"/>
  <c r="B150" i="48" s="1"/>
  <c r="B157" i="48" s="1"/>
  <c r="B164" i="48" s="1"/>
  <c r="B171" i="48" s="1"/>
  <c r="B178" i="48" s="1"/>
  <c r="B185" i="48" s="1"/>
  <c r="B192" i="48" s="1"/>
  <c r="B199" i="48" s="1"/>
  <c r="B206" i="48" s="1"/>
  <c r="B213" i="48" s="1"/>
  <c r="B220" i="48" s="1"/>
  <c r="B227" i="48" s="1"/>
  <c r="B234" i="48" s="1"/>
  <c r="B241" i="48" s="1"/>
  <c r="B248" i="48" s="1"/>
  <c r="B255" i="48" s="1"/>
  <c r="B262" i="48" s="1"/>
  <c r="B269" i="48" s="1"/>
  <c r="B276" i="48" s="1"/>
  <c r="B283" i="48" s="1"/>
  <c r="B290" i="48" s="1"/>
  <c r="B297" i="48" s="1"/>
  <c r="B304" i="48" s="1"/>
  <c r="B311" i="48" s="1"/>
  <c r="B318" i="48" s="1"/>
  <c r="B325" i="48" s="1"/>
  <c r="B332" i="48" s="1"/>
  <c r="B339" i="48" s="1"/>
  <c r="B346" i="48" s="1"/>
  <c r="B353" i="48" s="1"/>
  <c r="B360" i="48" s="1"/>
  <c r="B27" i="48"/>
  <c r="B34" i="48" s="1"/>
  <c r="B41" i="48" s="1"/>
  <c r="B48" i="48" s="1"/>
  <c r="B55" i="48" s="1"/>
  <c r="B62" i="48" s="1"/>
  <c r="B69" i="48" s="1"/>
  <c r="B76" i="48" s="1"/>
  <c r="B83" i="48" s="1"/>
  <c r="B90" i="48" s="1"/>
  <c r="B97" i="48" s="1"/>
  <c r="B104" i="48" s="1"/>
  <c r="B111" i="48" s="1"/>
  <c r="B118" i="48" s="1"/>
  <c r="B125" i="48" s="1"/>
  <c r="B132" i="48" s="1"/>
  <c r="B139" i="48" s="1"/>
  <c r="B146" i="48" s="1"/>
  <c r="B153" i="48" s="1"/>
  <c r="B160" i="48" s="1"/>
  <c r="B167" i="48" s="1"/>
  <c r="B174" i="48" s="1"/>
  <c r="B181" i="48" s="1"/>
  <c r="B188" i="48" s="1"/>
  <c r="B195" i="48" s="1"/>
  <c r="B202" i="48" s="1"/>
  <c r="B209" i="48" s="1"/>
  <c r="B216" i="48" s="1"/>
  <c r="B223" i="48" s="1"/>
  <c r="B230" i="48" s="1"/>
  <c r="B237" i="48" s="1"/>
  <c r="B244" i="48" s="1"/>
  <c r="B251" i="48" s="1"/>
  <c r="B258" i="48" s="1"/>
  <c r="B265" i="48" s="1"/>
  <c r="B272" i="48" s="1"/>
  <c r="B279" i="48" s="1"/>
  <c r="B286" i="48" s="1"/>
  <c r="B293" i="48" s="1"/>
  <c r="B300" i="48" s="1"/>
  <c r="B307" i="48" s="1"/>
  <c r="B314" i="48" s="1"/>
  <c r="B321" i="48" s="1"/>
  <c r="B328" i="48" s="1"/>
  <c r="B335" i="48" s="1"/>
  <c r="B342" i="48" s="1"/>
  <c r="B349" i="48" s="1"/>
  <c r="B356" i="48" s="1"/>
  <c r="I9" i="52" l="1"/>
  <c r="I8" i="52"/>
  <c r="I7" i="52"/>
  <c r="I6" i="52"/>
  <c r="C2" i="52"/>
  <c r="I19" i="48"/>
  <c r="I20" i="48"/>
  <c r="I21" i="48"/>
  <c r="I22" i="48"/>
  <c r="I23" i="48"/>
  <c r="I24" i="48"/>
  <c r="I25" i="48"/>
  <c r="I26" i="48"/>
  <c r="I27" i="48"/>
  <c r="I28" i="48"/>
  <c r="I29" i="48"/>
  <c r="I30" i="48"/>
  <c r="I31" i="48"/>
  <c r="I32" i="48"/>
  <c r="I33" i="48"/>
  <c r="I34" i="48"/>
  <c r="I35" i="48"/>
  <c r="I36" i="48"/>
  <c r="I37" i="48"/>
  <c r="I38" i="48"/>
  <c r="I39" i="48"/>
  <c r="I40" i="48"/>
  <c r="I41" i="48"/>
  <c r="I42" i="48"/>
  <c r="I43" i="48"/>
  <c r="I44" i="48"/>
  <c r="I45" i="48"/>
  <c r="I46" i="48"/>
  <c r="I47" i="48"/>
  <c r="I48" i="48"/>
  <c r="I49" i="48"/>
  <c r="I50" i="48"/>
  <c r="I51" i="48"/>
  <c r="I52" i="48"/>
  <c r="I53" i="48"/>
  <c r="I54" i="48"/>
  <c r="I55" i="48"/>
  <c r="I56" i="48"/>
  <c r="I57" i="48"/>
  <c r="I58" i="48"/>
  <c r="I59" i="48"/>
  <c r="I60" i="48"/>
  <c r="I61" i="48"/>
  <c r="I62" i="48"/>
  <c r="I63" i="48"/>
  <c r="I64" i="48"/>
  <c r="I65" i="48"/>
  <c r="I66" i="48"/>
  <c r="I67" i="48"/>
  <c r="I68" i="48"/>
  <c r="I69" i="48"/>
  <c r="I70" i="48"/>
  <c r="I71" i="48"/>
  <c r="I72" i="48"/>
  <c r="I73" i="48"/>
  <c r="I74" i="48"/>
  <c r="I75" i="48"/>
  <c r="I76" i="48"/>
  <c r="I77" i="48"/>
  <c r="I78" i="48"/>
  <c r="I79" i="48"/>
  <c r="I80" i="48"/>
  <c r="I81" i="48"/>
  <c r="I82" i="48"/>
  <c r="I83" i="48"/>
  <c r="I84" i="48"/>
  <c r="I85" i="48"/>
  <c r="I86" i="48"/>
  <c r="I87" i="48"/>
  <c r="I88" i="48"/>
  <c r="I89" i="48"/>
  <c r="I90" i="48"/>
  <c r="I91" i="48"/>
  <c r="I92" i="48"/>
  <c r="I93" i="48"/>
  <c r="I94" i="48"/>
  <c r="I95" i="48"/>
  <c r="I96" i="48"/>
  <c r="I97" i="48"/>
  <c r="I98" i="48"/>
  <c r="I99" i="48"/>
  <c r="I100" i="48"/>
  <c r="I101" i="48"/>
  <c r="I102" i="48"/>
  <c r="I103" i="48"/>
  <c r="I104" i="48"/>
  <c r="I105" i="48"/>
  <c r="I106" i="48"/>
  <c r="I107" i="48"/>
  <c r="I108" i="48"/>
  <c r="I109" i="48"/>
  <c r="I110" i="48"/>
  <c r="I111" i="48"/>
  <c r="I112" i="48"/>
  <c r="I113" i="48"/>
  <c r="I114" i="48"/>
  <c r="I115" i="48"/>
  <c r="I116" i="48"/>
  <c r="I117" i="48"/>
  <c r="I118" i="48"/>
  <c r="I119" i="48"/>
  <c r="I120" i="48"/>
  <c r="I121" i="48"/>
  <c r="I122" i="48"/>
  <c r="I123" i="48"/>
  <c r="I124" i="48"/>
  <c r="I125" i="48"/>
  <c r="I126" i="48"/>
  <c r="I127" i="48"/>
  <c r="I128" i="48"/>
  <c r="I129" i="48"/>
  <c r="I130" i="48"/>
  <c r="I131" i="48"/>
  <c r="I132" i="48"/>
  <c r="I133" i="48"/>
  <c r="I134" i="48"/>
  <c r="I135" i="48"/>
  <c r="I136" i="48"/>
  <c r="I137" i="48"/>
  <c r="I138" i="48"/>
  <c r="I139" i="48"/>
  <c r="I140" i="48"/>
  <c r="I141" i="48"/>
  <c r="I142" i="48"/>
  <c r="I143" i="48"/>
  <c r="I144" i="48"/>
  <c r="I145" i="48"/>
  <c r="I146" i="48"/>
  <c r="I147" i="48"/>
  <c r="I148" i="48"/>
  <c r="I149" i="48"/>
  <c r="I150" i="48"/>
  <c r="I151" i="48"/>
  <c r="I152" i="48"/>
  <c r="I153" i="48"/>
  <c r="I154" i="48"/>
  <c r="I155" i="48"/>
  <c r="I156" i="48"/>
  <c r="I157" i="48"/>
  <c r="I158" i="48"/>
  <c r="I159" i="48"/>
  <c r="I160" i="48"/>
  <c r="I161" i="48"/>
  <c r="I162" i="48"/>
  <c r="I163" i="48"/>
  <c r="I164" i="48"/>
  <c r="I165" i="48"/>
  <c r="I166" i="48"/>
  <c r="I167" i="48"/>
  <c r="I168" i="48"/>
  <c r="I169" i="48"/>
  <c r="I170" i="48"/>
  <c r="I171" i="48"/>
  <c r="I172" i="48"/>
  <c r="I173" i="48"/>
  <c r="I174" i="48"/>
  <c r="I175" i="48"/>
  <c r="I176" i="48"/>
  <c r="I177" i="48"/>
  <c r="I178" i="48"/>
  <c r="I179" i="48"/>
  <c r="I180" i="48"/>
  <c r="I181" i="48"/>
  <c r="I182" i="48"/>
  <c r="I183" i="48"/>
  <c r="I184" i="48"/>
  <c r="I185" i="48"/>
  <c r="I186" i="48"/>
  <c r="I187" i="48"/>
  <c r="I188" i="48"/>
  <c r="I189" i="48"/>
  <c r="I190" i="48"/>
  <c r="I191" i="48"/>
  <c r="I192" i="48"/>
  <c r="I193" i="48"/>
  <c r="I194" i="48"/>
  <c r="I195" i="48"/>
  <c r="I196" i="48"/>
  <c r="I197" i="48"/>
  <c r="I198" i="48"/>
  <c r="I199" i="48"/>
  <c r="I200" i="48"/>
  <c r="I201" i="48"/>
  <c r="I202" i="48"/>
  <c r="I203" i="48"/>
  <c r="I204" i="48"/>
  <c r="I205" i="48"/>
  <c r="I206" i="48"/>
  <c r="I207" i="48"/>
  <c r="I208" i="48"/>
  <c r="I209" i="48"/>
  <c r="I210" i="48"/>
  <c r="I211" i="48"/>
  <c r="I212" i="48"/>
  <c r="I213" i="48"/>
  <c r="I214" i="48"/>
  <c r="I215" i="48"/>
  <c r="I216" i="48"/>
  <c r="I217" i="48"/>
  <c r="I218" i="48"/>
  <c r="I219" i="48"/>
  <c r="I220" i="48"/>
  <c r="I221" i="48"/>
  <c r="I222" i="48"/>
  <c r="I223" i="48"/>
  <c r="I224" i="48"/>
  <c r="I225" i="48"/>
  <c r="I226" i="48"/>
  <c r="I227" i="48"/>
  <c r="I228" i="48"/>
  <c r="I229" i="48"/>
  <c r="I230" i="48"/>
  <c r="I231" i="48"/>
  <c r="I232" i="48"/>
  <c r="I233" i="48"/>
  <c r="I234" i="48"/>
  <c r="I235" i="48"/>
  <c r="I236" i="48"/>
  <c r="I237" i="48"/>
  <c r="I238" i="48"/>
  <c r="I239" i="48"/>
  <c r="I240" i="48"/>
  <c r="I241" i="48"/>
  <c r="I242" i="48"/>
  <c r="I243" i="48"/>
  <c r="I244" i="48"/>
  <c r="I245" i="48"/>
  <c r="I246" i="48"/>
  <c r="I247" i="48"/>
  <c r="I248" i="48"/>
  <c r="I249" i="48"/>
  <c r="I250" i="48"/>
  <c r="I251" i="48"/>
  <c r="I252" i="48"/>
  <c r="I253" i="48"/>
  <c r="I254" i="48"/>
  <c r="I255" i="48"/>
  <c r="I256" i="48"/>
  <c r="I257" i="48"/>
  <c r="I258" i="48"/>
  <c r="I259" i="48"/>
  <c r="I260" i="48"/>
  <c r="I261" i="48"/>
  <c r="I262" i="48"/>
  <c r="I263" i="48"/>
  <c r="I264" i="48"/>
  <c r="I265" i="48"/>
  <c r="I266" i="48"/>
  <c r="I267" i="48"/>
  <c r="I268" i="48"/>
  <c r="I269" i="48"/>
  <c r="I270" i="48"/>
  <c r="I271" i="48"/>
  <c r="I272" i="48"/>
  <c r="I273" i="48"/>
  <c r="I274" i="48"/>
  <c r="I275" i="48"/>
  <c r="I276" i="48"/>
  <c r="I277" i="48"/>
  <c r="I278" i="48"/>
  <c r="I279" i="48"/>
  <c r="I280" i="48"/>
  <c r="I281" i="48"/>
  <c r="I282" i="48"/>
  <c r="I283" i="48"/>
  <c r="I284" i="48"/>
  <c r="I285" i="48"/>
  <c r="I286" i="48"/>
  <c r="I287" i="48"/>
  <c r="I288" i="48"/>
  <c r="I289" i="48"/>
  <c r="I290" i="48"/>
  <c r="I291" i="48"/>
  <c r="I292" i="48"/>
  <c r="I293" i="48"/>
  <c r="I294" i="48"/>
  <c r="I295" i="48"/>
  <c r="I296" i="48"/>
  <c r="I297" i="48"/>
  <c r="I298" i="48"/>
  <c r="I299" i="48"/>
  <c r="I300" i="48"/>
  <c r="I301" i="48"/>
  <c r="I302" i="48"/>
  <c r="I303" i="48"/>
  <c r="I304" i="48"/>
  <c r="I305" i="48"/>
  <c r="I306" i="48"/>
  <c r="I307" i="48"/>
  <c r="I308" i="48"/>
  <c r="I309" i="48"/>
  <c r="I310" i="48"/>
  <c r="I311" i="48"/>
  <c r="I312" i="48"/>
  <c r="I313" i="48"/>
  <c r="I314" i="48"/>
  <c r="I315" i="48"/>
  <c r="I316" i="48"/>
  <c r="I317" i="48"/>
  <c r="I318" i="48"/>
  <c r="I319" i="48"/>
  <c r="I320" i="48"/>
  <c r="I321" i="48"/>
  <c r="I322" i="48"/>
  <c r="I323" i="48"/>
  <c r="I324" i="48"/>
  <c r="I325" i="48"/>
  <c r="I326" i="48"/>
  <c r="I327" i="48"/>
  <c r="I328" i="48"/>
  <c r="I329" i="48"/>
  <c r="I330" i="48"/>
  <c r="I331" i="48"/>
  <c r="I332" i="48"/>
  <c r="I333" i="48"/>
  <c r="I334" i="48"/>
  <c r="I335" i="48"/>
  <c r="I336" i="48"/>
  <c r="I337" i="48"/>
  <c r="I338" i="48"/>
  <c r="I339" i="48"/>
  <c r="I340" i="48"/>
  <c r="I341" i="48"/>
  <c r="I342" i="48"/>
  <c r="I343" i="48"/>
  <c r="I344" i="48"/>
  <c r="I345" i="48"/>
  <c r="I346" i="48"/>
  <c r="I347" i="48"/>
  <c r="I348" i="48"/>
  <c r="I349" i="48"/>
  <c r="I350" i="48"/>
  <c r="I351" i="48"/>
  <c r="I352" i="48"/>
  <c r="I353" i="48"/>
  <c r="I354" i="48"/>
  <c r="I355" i="48"/>
  <c r="I356" i="48"/>
  <c r="I357" i="48"/>
  <c r="I358" i="48"/>
  <c r="I359" i="48"/>
  <c r="I360" i="48"/>
  <c r="I361" i="48"/>
  <c r="I362" i="48"/>
  <c r="I363" i="48"/>
  <c r="I364" i="48"/>
  <c r="I365" i="48"/>
  <c r="I366" i="48"/>
  <c r="I367" i="48"/>
  <c r="I368" i="48"/>
  <c r="I369" i="48"/>
  <c r="I13" i="48"/>
  <c r="I18" i="48"/>
  <c r="I17" i="48"/>
  <c r="I16" i="48"/>
  <c r="I15" i="48"/>
  <c r="I14" i="48"/>
  <c r="C13" i="48"/>
  <c r="C14" i="48"/>
  <c r="C15" i="48"/>
  <c r="C16" i="48"/>
  <c r="C17" i="48"/>
  <c r="C18" i="48"/>
  <c r="C19" i="48"/>
  <c r="C20" i="48"/>
  <c r="C21" i="48"/>
  <c r="C22" i="48"/>
  <c r="C23" i="48"/>
  <c r="C24" i="48"/>
  <c r="C25" i="48"/>
  <c r="C26" i="48"/>
  <c r="C27" i="48"/>
  <c r="C28" i="48"/>
  <c r="C29" i="48"/>
  <c r="C30" i="48"/>
  <c r="C31" i="48"/>
  <c r="C32" i="48"/>
  <c r="C33" i="48"/>
  <c r="C34" i="48"/>
  <c r="C35" i="48"/>
  <c r="C36" i="48"/>
  <c r="C37" i="48"/>
  <c r="C38" i="48"/>
  <c r="C39" i="48"/>
  <c r="C40" i="48"/>
  <c r="C41" i="48"/>
  <c r="C42" i="48"/>
  <c r="C43" i="48"/>
  <c r="C44" i="48"/>
  <c r="C45" i="48"/>
  <c r="C46" i="48"/>
  <c r="C47" i="48"/>
  <c r="C48" i="48"/>
  <c r="C49" i="48"/>
  <c r="C50" i="48"/>
  <c r="C51" i="48"/>
  <c r="C52" i="48"/>
  <c r="C53" i="48"/>
  <c r="C54" i="48"/>
  <c r="C55" i="48"/>
  <c r="C56" i="48"/>
  <c r="C57" i="48"/>
  <c r="C58" i="48"/>
  <c r="C59" i="48"/>
  <c r="C60" i="48"/>
  <c r="C61" i="48"/>
  <c r="C62" i="48"/>
  <c r="C63" i="48"/>
  <c r="C64" i="48"/>
  <c r="C65" i="48"/>
  <c r="C66" i="48"/>
  <c r="C67" i="48"/>
  <c r="C68" i="48"/>
  <c r="C69" i="48"/>
  <c r="C70" i="48"/>
  <c r="C71" i="48"/>
  <c r="C72" i="48"/>
  <c r="C73" i="48"/>
  <c r="C74" i="48"/>
  <c r="C75" i="48"/>
  <c r="C76" i="48"/>
  <c r="C77" i="48"/>
  <c r="C78" i="48"/>
  <c r="C79" i="48"/>
  <c r="C80" i="48"/>
  <c r="C81" i="48"/>
  <c r="C82" i="48"/>
  <c r="C83" i="48"/>
  <c r="C84" i="48"/>
  <c r="C85" i="48"/>
  <c r="C86" i="48"/>
  <c r="C87" i="48"/>
  <c r="C88" i="48"/>
  <c r="C89" i="48"/>
  <c r="C90" i="48"/>
  <c r="C91" i="48"/>
  <c r="C92" i="48"/>
  <c r="C93" i="48"/>
  <c r="C94" i="48"/>
  <c r="C95" i="48"/>
  <c r="C96" i="48"/>
  <c r="C97" i="48"/>
  <c r="C98" i="48"/>
  <c r="C99" i="48"/>
  <c r="C100" i="48"/>
  <c r="C101" i="48"/>
  <c r="C102" i="48"/>
  <c r="C103" i="48"/>
  <c r="C104" i="48"/>
  <c r="C105" i="48"/>
  <c r="C106" i="48"/>
  <c r="C107" i="48"/>
  <c r="C108" i="48"/>
  <c r="C109" i="48"/>
  <c r="C110" i="48"/>
  <c r="C111" i="48"/>
  <c r="C112" i="48"/>
  <c r="C113" i="48"/>
  <c r="C114" i="48"/>
  <c r="C115" i="48"/>
  <c r="C116" i="48"/>
  <c r="C117" i="48"/>
  <c r="C118" i="48"/>
  <c r="C119" i="48"/>
  <c r="C120" i="48"/>
  <c r="C121" i="48"/>
  <c r="C122" i="48"/>
  <c r="C123" i="48"/>
  <c r="C124" i="48"/>
  <c r="C125" i="48"/>
  <c r="C126" i="48"/>
  <c r="C127" i="48"/>
  <c r="C128" i="48"/>
  <c r="C129" i="48"/>
  <c r="C130" i="48"/>
  <c r="C131" i="48"/>
  <c r="C132" i="48"/>
  <c r="C133" i="48"/>
  <c r="C134" i="48"/>
  <c r="C135" i="48"/>
  <c r="C136" i="48"/>
  <c r="C137" i="48"/>
  <c r="C138" i="48"/>
  <c r="C139" i="48"/>
  <c r="C140" i="48"/>
  <c r="C141" i="48"/>
  <c r="C142" i="48"/>
  <c r="C143" i="48"/>
  <c r="C144" i="48"/>
  <c r="C145" i="48"/>
  <c r="C146" i="48"/>
  <c r="C147" i="48"/>
  <c r="C148" i="48"/>
  <c r="C149" i="48"/>
  <c r="C150" i="48"/>
  <c r="C151" i="48"/>
  <c r="C152" i="48"/>
  <c r="C153" i="48"/>
  <c r="C154" i="48"/>
  <c r="C155" i="48"/>
  <c r="C156" i="48"/>
  <c r="C157" i="48"/>
  <c r="C158" i="48"/>
  <c r="C159" i="48"/>
  <c r="C160" i="48"/>
  <c r="C161" i="48"/>
  <c r="C162" i="48"/>
  <c r="C163" i="48"/>
  <c r="C164" i="48"/>
  <c r="C165" i="48"/>
  <c r="C166" i="48"/>
  <c r="C167" i="48"/>
  <c r="C168" i="48"/>
  <c r="C169" i="48"/>
  <c r="C170" i="48"/>
  <c r="C171" i="48"/>
  <c r="C172" i="48"/>
  <c r="C173" i="48"/>
  <c r="C174" i="48"/>
  <c r="C175" i="48"/>
  <c r="C176" i="48"/>
  <c r="C177" i="48"/>
  <c r="C178" i="48"/>
  <c r="C179" i="48"/>
  <c r="C180" i="48"/>
  <c r="C181" i="48"/>
  <c r="C182" i="48"/>
  <c r="C183" i="48"/>
  <c r="C184" i="48"/>
  <c r="C185" i="48"/>
  <c r="C186" i="48"/>
  <c r="C187" i="48"/>
  <c r="C188" i="48"/>
  <c r="C189" i="48"/>
  <c r="C190" i="48"/>
  <c r="C191" i="48"/>
  <c r="C192" i="48"/>
  <c r="C193" i="48"/>
  <c r="C194" i="48"/>
  <c r="C195" i="48"/>
  <c r="C196" i="48"/>
  <c r="C197" i="48"/>
  <c r="C198" i="48"/>
  <c r="C199" i="48"/>
  <c r="C200" i="48"/>
  <c r="C201" i="48"/>
  <c r="C202" i="48"/>
  <c r="C203" i="48"/>
  <c r="C204" i="48"/>
  <c r="C205" i="48"/>
  <c r="C206" i="48"/>
  <c r="C207" i="48"/>
  <c r="C208" i="48"/>
  <c r="C209" i="48"/>
  <c r="C210" i="48"/>
  <c r="C211" i="48"/>
  <c r="C212" i="48"/>
  <c r="C213" i="48"/>
  <c r="C214" i="48"/>
  <c r="C215" i="48"/>
  <c r="C216" i="48"/>
  <c r="C217" i="48"/>
  <c r="C218" i="48"/>
  <c r="C219" i="48"/>
  <c r="C220" i="48"/>
  <c r="C221" i="48"/>
  <c r="C222" i="48"/>
  <c r="C223" i="48"/>
  <c r="C224" i="48"/>
  <c r="C225" i="48"/>
  <c r="C226" i="48"/>
  <c r="C227" i="48"/>
  <c r="C228" i="48"/>
  <c r="C229" i="48"/>
  <c r="C230" i="48"/>
  <c r="C231" i="48"/>
  <c r="C232" i="48"/>
  <c r="C233" i="48"/>
  <c r="C234" i="48"/>
  <c r="C235" i="48"/>
  <c r="C236" i="48"/>
  <c r="C237" i="48"/>
  <c r="C238" i="48"/>
  <c r="C239" i="48"/>
  <c r="C240" i="48"/>
  <c r="C241" i="48"/>
  <c r="C242" i="48"/>
  <c r="C243" i="48"/>
  <c r="C244" i="48"/>
  <c r="C245" i="48"/>
  <c r="C246" i="48"/>
  <c r="C247" i="48"/>
  <c r="C248" i="48"/>
  <c r="C249" i="48"/>
  <c r="C250" i="48"/>
  <c r="C251" i="48"/>
  <c r="C252" i="48"/>
  <c r="C253" i="48"/>
  <c r="C254" i="48"/>
  <c r="C255" i="48"/>
  <c r="C256" i="48"/>
  <c r="C257" i="48"/>
  <c r="C258" i="48"/>
  <c r="C259" i="48"/>
  <c r="C260" i="48"/>
  <c r="C261" i="48"/>
  <c r="C262" i="48"/>
  <c r="C263" i="48"/>
  <c r="C264" i="48"/>
  <c r="C265" i="48"/>
  <c r="C266" i="48"/>
  <c r="C267" i="48"/>
  <c r="C268" i="48"/>
  <c r="C269" i="48"/>
  <c r="C270" i="48"/>
  <c r="C271" i="48"/>
  <c r="C272" i="48"/>
  <c r="C273" i="48"/>
  <c r="C274" i="48"/>
  <c r="C275" i="48"/>
  <c r="C276" i="48"/>
  <c r="C277" i="48"/>
  <c r="C278" i="48"/>
  <c r="C279" i="48"/>
  <c r="C280" i="48"/>
  <c r="C281" i="48"/>
  <c r="C282" i="48"/>
  <c r="C283" i="48"/>
  <c r="C284" i="48"/>
  <c r="C285" i="48"/>
  <c r="C286" i="48"/>
  <c r="C287" i="48"/>
  <c r="C288" i="48"/>
  <c r="C289" i="48"/>
  <c r="C290" i="48"/>
  <c r="C291" i="48"/>
  <c r="C292" i="48"/>
  <c r="C293" i="48"/>
  <c r="C294" i="48"/>
  <c r="C295" i="48"/>
  <c r="C296" i="48"/>
  <c r="C297" i="48"/>
  <c r="C298" i="48"/>
  <c r="C299" i="48"/>
  <c r="C300" i="48"/>
  <c r="C301" i="48"/>
  <c r="C302" i="48"/>
  <c r="C303" i="48"/>
  <c r="C304" i="48"/>
  <c r="C305" i="48"/>
  <c r="C306" i="48"/>
  <c r="C307" i="48"/>
  <c r="C308" i="48"/>
  <c r="C309" i="48"/>
  <c r="C310" i="48"/>
  <c r="C311" i="48"/>
  <c r="C312" i="48"/>
  <c r="C313" i="48"/>
  <c r="C314" i="48"/>
  <c r="C315" i="48"/>
  <c r="C316" i="48"/>
  <c r="C317" i="48"/>
  <c r="C318" i="48"/>
  <c r="C319" i="48"/>
  <c r="C320" i="48"/>
  <c r="C321" i="48"/>
  <c r="C322" i="48"/>
  <c r="C323" i="48"/>
  <c r="C324" i="48"/>
  <c r="C325" i="48"/>
  <c r="C326" i="48"/>
  <c r="C327" i="48"/>
  <c r="C328" i="48"/>
  <c r="C329" i="48"/>
  <c r="C330" i="48"/>
  <c r="C331" i="48"/>
  <c r="C332" i="48"/>
  <c r="C333" i="48"/>
  <c r="C334" i="48"/>
  <c r="C335" i="48"/>
  <c r="C336" i="48"/>
  <c r="C337" i="48"/>
  <c r="C338" i="48"/>
  <c r="C339" i="48"/>
  <c r="C340" i="48"/>
  <c r="C341" i="48"/>
  <c r="C342" i="48"/>
  <c r="C343" i="48"/>
  <c r="C344" i="48"/>
  <c r="C345" i="48"/>
  <c r="C346" i="48"/>
  <c r="C347" i="48"/>
  <c r="C348" i="48"/>
  <c r="C349" i="48"/>
  <c r="C350" i="48"/>
  <c r="C351" i="48"/>
  <c r="C352" i="48"/>
  <c r="C353" i="48"/>
  <c r="C354" i="48"/>
  <c r="C355" i="48"/>
  <c r="C356" i="48"/>
  <c r="C357" i="48"/>
  <c r="C358" i="48"/>
  <c r="C359" i="48"/>
  <c r="C360" i="48"/>
  <c r="C361" i="48"/>
  <c r="C362" i="48"/>
  <c r="C363" i="48"/>
  <c r="C364" i="48"/>
  <c r="C365" i="48"/>
  <c r="C366" i="48"/>
  <c r="C367" i="48"/>
  <c r="C368" i="48"/>
  <c r="C369" i="48"/>
  <c r="L325" i="48"/>
  <c r="L326" i="48"/>
  <c r="L327" i="48"/>
  <c r="L328" i="48"/>
  <c r="L329" i="48"/>
  <c r="L330" i="48"/>
  <c r="L331" i="48"/>
  <c r="L332" i="48"/>
  <c r="L333" i="48"/>
  <c r="L334" i="48"/>
  <c r="L335" i="48"/>
  <c r="L336" i="48"/>
  <c r="L337" i="48"/>
  <c r="L338" i="48"/>
  <c r="L339" i="48"/>
  <c r="L340" i="48"/>
  <c r="L341" i="48"/>
  <c r="L342" i="48"/>
  <c r="L343" i="48"/>
  <c r="L344" i="48"/>
  <c r="L345" i="48"/>
  <c r="L346" i="48"/>
  <c r="L347" i="48"/>
  <c r="L348" i="48"/>
  <c r="L349" i="48"/>
  <c r="L350" i="48"/>
  <c r="L351" i="48"/>
  <c r="L352" i="48"/>
  <c r="L353" i="48"/>
  <c r="L354" i="48"/>
  <c r="L355" i="48"/>
  <c r="L356" i="48"/>
  <c r="L357" i="48"/>
  <c r="L358" i="48"/>
  <c r="L359" i="48"/>
  <c r="L360" i="48"/>
  <c r="L361" i="48"/>
  <c r="L362" i="48"/>
  <c r="L363" i="48"/>
  <c r="L364" i="48"/>
  <c r="L365" i="48"/>
  <c r="L366" i="48"/>
  <c r="L367" i="48"/>
  <c r="L368" i="48"/>
  <c r="L369" i="48"/>
  <c r="L324" i="48"/>
  <c r="L323" i="48"/>
  <c r="L322" i="48"/>
  <c r="L321" i="48"/>
  <c r="L320" i="48"/>
  <c r="L319" i="48"/>
  <c r="L318" i="48"/>
  <c r="L317" i="48"/>
  <c r="L316" i="48"/>
  <c r="L315" i="48"/>
  <c r="L314" i="48"/>
  <c r="L313" i="48"/>
  <c r="L312" i="48"/>
  <c r="L311" i="48"/>
  <c r="L310" i="48"/>
  <c r="L309" i="48"/>
  <c r="L308" i="48"/>
  <c r="L307" i="48"/>
  <c r="L306" i="48"/>
  <c r="L305" i="48"/>
  <c r="L304" i="48"/>
  <c r="L303" i="48"/>
  <c r="L302" i="48"/>
  <c r="L301" i="48"/>
  <c r="L300" i="48"/>
  <c r="L299" i="48"/>
  <c r="L298" i="48"/>
  <c r="L297" i="48"/>
  <c r="L296" i="48"/>
  <c r="L295" i="48"/>
  <c r="L294" i="48"/>
  <c r="L293" i="48"/>
  <c r="L292" i="48"/>
  <c r="L291" i="48"/>
  <c r="L290" i="48"/>
  <c r="L289" i="48"/>
  <c r="L288" i="48"/>
  <c r="L287" i="48"/>
  <c r="L286" i="48"/>
  <c r="L285" i="48"/>
  <c r="L284" i="48"/>
  <c r="L283" i="48"/>
  <c r="L282" i="48"/>
  <c r="L281" i="48"/>
  <c r="L280" i="48"/>
  <c r="L279" i="48"/>
  <c r="L278" i="48"/>
  <c r="L277" i="48"/>
  <c r="L276" i="48"/>
  <c r="L275" i="48"/>
  <c r="L274" i="48"/>
  <c r="L273" i="48"/>
  <c r="L272" i="48"/>
  <c r="L271" i="48"/>
  <c r="L270" i="48"/>
  <c r="L269" i="48"/>
  <c r="L268" i="48"/>
  <c r="L267" i="48"/>
  <c r="L266" i="48"/>
  <c r="L265" i="48"/>
  <c r="L264" i="48"/>
  <c r="L263" i="48"/>
  <c r="L262" i="48"/>
  <c r="L261" i="48"/>
  <c r="L260" i="48"/>
  <c r="L259" i="48"/>
  <c r="L258" i="48"/>
  <c r="L257" i="48"/>
  <c r="L256" i="48"/>
  <c r="L255" i="48"/>
  <c r="L254" i="48"/>
  <c r="L253" i="48"/>
  <c r="L252" i="48"/>
  <c r="L251" i="48"/>
  <c r="L250" i="48"/>
  <c r="L249" i="48"/>
  <c r="L248" i="48"/>
  <c r="L247" i="48"/>
  <c r="L246" i="48"/>
  <c r="L245" i="48"/>
  <c r="L244" i="48"/>
  <c r="L243" i="48"/>
  <c r="L242" i="48"/>
  <c r="L241" i="48"/>
  <c r="L240" i="48"/>
  <c r="L239" i="48"/>
  <c r="L238" i="48"/>
  <c r="L237" i="48"/>
  <c r="L236" i="48"/>
  <c r="L235" i="48"/>
  <c r="L234" i="48"/>
  <c r="L233" i="48"/>
  <c r="L232" i="48"/>
  <c r="L231" i="48"/>
  <c r="L230" i="48"/>
  <c r="L229" i="48"/>
  <c r="L228" i="48"/>
  <c r="L227" i="48"/>
  <c r="L226" i="48"/>
  <c r="L225" i="48"/>
  <c r="L224" i="48"/>
  <c r="L223" i="48"/>
  <c r="L222" i="48"/>
  <c r="L221" i="48"/>
  <c r="L220" i="48"/>
  <c r="L219" i="48"/>
  <c r="L218" i="48"/>
  <c r="L217" i="48"/>
  <c r="L216" i="48"/>
  <c r="L215" i="48"/>
  <c r="L214" i="48"/>
  <c r="L213" i="48"/>
  <c r="L212" i="48"/>
  <c r="L211" i="48"/>
  <c r="L210" i="48"/>
  <c r="L209" i="48"/>
  <c r="L208" i="48"/>
  <c r="L207" i="48"/>
  <c r="L206" i="48"/>
  <c r="L205" i="48"/>
  <c r="L204" i="48"/>
  <c r="L203" i="48"/>
  <c r="L202" i="48"/>
  <c r="L201" i="48"/>
  <c r="L200" i="48"/>
  <c r="L199" i="48"/>
  <c r="L198" i="48"/>
  <c r="L197" i="48"/>
  <c r="L196" i="48"/>
  <c r="L195" i="48"/>
  <c r="L194" i="48"/>
  <c r="L193" i="48"/>
  <c r="L192" i="48"/>
  <c r="L191" i="48"/>
  <c r="L190" i="48"/>
  <c r="L189" i="48"/>
  <c r="L188" i="48"/>
  <c r="L187" i="48"/>
  <c r="L186" i="48"/>
  <c r="L185" i="48"/>
  <c r="L184" i="48"/>
  <c r="L183" i="48"/>
  <c r="L182" i="48"/>
  <c r="L181" i="48"/>
  <c r="L180" i="48"/>
  <c r="L179" i="48"/>
  <c r="L178" i="48"/>
  <c r="L177" i="48"/>
  <c r="L176" i="48"/>
  <c r="L175" i="48"/>
  <c r="L174" i="48"/>
  <c r="L173" i="48"/>
  <c r="L172" i="48"/>
  <c r="L171" i="48"/>
  <c r="L170" i="48"/>
  <c r="L169" i="48"/>
  <c r="L168" i="48"/>
  <c r="L167" i="48"/>
  <c r="L166" i="48"/>
  <c r="L165" i="48"/>
  <c r="L164" i="48"/>
  <c r="L163" i="48"/>
  <c r="L162" i="48"/>
  <c r="L161" i="48"/>
  <c r="L160" i="48"/>
  <c r="L159" i="48"/>
  <c r="L158" i="48"/>
  <c r="L157" i="48"/>
  <c r="L156" i="48"/>
  <c r="L155" i="48"/>
  <c r="L154" i="48"/>
  <c r="L153" i="48"/>
  <c r="L152" i="48"/>
  <c r="L151" i="48"/>
  <c r="L150" i="48"/>
  <c r="L149" i="48"/>
  <c r="L148" i="48"/>
  <c r="L147" i="48"/>
  <c r="L146" i="48"/>
  <c r="L145" i="48"/>
  <c r="L144" i="48"/>
  <c r="L143" i="48"/>
  <c r="L142" i="48"/>
  <c r="L141" i="48"/>
  <c r="L140" i="48"/>
  <c r="L139" i="48"/>
  <c r="L138" i="48"/>
  <c r="L137" i="48"/>
  <c r="L136" i="48"/>
  <c r="L135" i="48"/>
  <c r="L134" i="48"/>
  <c r="L133" i="48"/>
  <c r="L132" i="48"/>
  <c r="L131" i="48"/>
  <c r="L130" i="48"/>
  <c r="L129" i="48"/>
  <c r="L128" i="48"/>
  <c r="L127" i="48"/>
  <c r="L126" i="48"/>
  <c r="L125" i="48"/>
  <c r="L124" i="48"/>
  <c r="L123" i="48"/>
  <c r="L122" i="48"/>
  <c r="L121" i="48"/>
  <c r="L120" i="48"/>
  <c r="L119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Q32" i="48"/>
  <c r="P32" i="48" s="1"/>
  <c r="N32" i="48" s="1"/>
  <c r="Q31" i="48"/>
  <c r="P31" i="48" s="1"/>
  <c r="N31" i="48" s="1"/>
  <c r="Q30" i="48"/>
  <c r="P30" i="48" s="1"/>
  <c r="N30" i="48" s="1"/>
  <c r="Q29" i="48"/>
  <c r="P29" i="48" s="1"/>
  <c r="N29" i="48" s="1"/>
  <c r="Q28" i="48"/>
  <c r="P28" i="48" s="1"/>
  <c r="N28" i="48" s="1"/>
  <c r="Q27" i="48"/>
  <c r="P27" i="48" s="1"/>
  <c r="N27" i="48" s="1"/>
  <c r="Q26" i="48"/>
  <c r="P26" i="48" s="1"/>
  <c r="N26" i="48" s="1"/>
  <c r="Q25" i="48"/>
  <c r="P25" i="48" s="1"/>
  <c r="N25" i="48" s="1"/>
  <c r="Q24" i="48"/>
  <c r="P24" i="48" s="1"/>
  <c r="N24" i="48" s="1"/>
  <c r="Q23" i="48"/>
  <c r="P23" i="48" s="1"/>
  <c r="N23" i="48" s="1"/>
  <c r="Q22" i="48"/>
  <c r="P22" i="48" s="1"/>
  <c r="N22" i="48" s="1"/>
  <c r="Q21" i="48"/>
  <c r="P21" i="48" s="1"/>
  <c r="N21" i="48" s="1"/>
  <c r="Q20" i="48"/>
  <c r="P20" i="48" s="1"/>
  <c r="N20" i="48" s="1"/>
  <c r="Q19" i="48"/>
  <c r="P19" i="48" s="1"/>
  <c r="N19" i="48" s="1"/>
  <c r="Q18" i="48"/>
  <c r="P18" i="48" s="1"/>
  <c r="N18" i="48" s="1"/>
  <c r="Q17" i="48"/>
  <c r="P17" i="48" s="1"/>
  <c r="N17" i="48" s="1"/>
  <c r="Q16" i="48"/>
  <c r="P16" i="48" s="1"/>
  <c r="N16" i="48" s="1"/>
  <c r="Q15" i="48"/>
  <c r="P15" i="48" s="1"/>
  <c r="N15" i="48" s="1"/>
  <c r="Q14" i="48"/>
  <c r="P14" i="48" s="1"/>
  <c r="N14" i="48" s="1"/>
  <c r="Q13" i="48"/>
  <c r="P13" i="48" s="1"/>
  <c r="N13" i="48" s="1"/>
  <c r="Z6" i="43"/>
  <c r="Z14" i="43"/>
  <c r="Z13" i="43"/>
  <c r="Z12" i="43"/>
  <c r="Z11" i="43"/>
  <c r="Z10" i="43"/>
  <c r="Z9" i="43"/>
  <c r="Z8" i="43"/>
  <c r="Z7" i="43"/>
  <c r="Z5" i="43"/>
  <c r="Z4" i="43"/>
  <c r="Z3" i="43"/>
  <c r="O3" i="43"/>
  <c r="E1" i="43"/>
  <c r="F1" i="43" s="1"/>
  <c r="G1" i="43" s="1"/>
  <c r="H1" i="43" s="1"/>
  <c r="I1" i="43" s="1"/>
  <c r="J1" i="43" s="1"/>
  <c r="K1" i="43" s="1"/>
  <c r="L1" i="43" s="1"/>
  <c r="M1" i="43" s="1"/>
  <c r="N1" i="43" s="1"/>
  <c r="O1" i="43" s="1"/>
  <c r="P1" i="43" s="1"/>
  <c r="Q1" i="43" s="1"/>
  <c r="R1" i="43" s="1"/>
  <c r="S1" i="43" s="1"/>
  <c r="T1" i="43" s="1"/>
  <c r="U1" i="43" s="1"/>
  <c r="V1" i="43" s="1"/>
  <c r="W1" i="43" s="1"/>
  <c r="X1" i="43" s="1"/>
  <c r="D1" i="43"/>
  <c r="G366" i="48" l="1"/>
  <c r="F366" i="48"/>
  <c r="G354" i="48"/>
  <c r="F354" i="48"/>
  <c r="G342" i="48"/>
  <c r="F342" i="48"/>
  <c r="G330" i="48"/>
  <c r="F330" i="48"/>
  <c r="G318" i="48"/>
  <c r="F318" i="48"/>
  <c r="G306" i="48"/>
  <c r="F306" i="48"/>
  <c r="G294" i="48"/>
  <c r="F294" i="48"/>
  <c r="G282" i="48"/>
  <c r="F282" i="48"/>
  <c r="G274" i="48"/>
  <c r="F274" i="48"/>
  <c r="G262" i="48"/>
  <c r="F262" i="48"/>
  <c r="G254" i="48"/>
  <c r="F254" i="48"/>
  <c r="G238" i="48"/>
  <c r="F238" i="48"/>
  <c r="G230" i="48"/>
  <c r="F230" i="48"/>
  <c r="G218" i="48"/>
  <c r="F218" i="48"/>
  <c r="G206" i="48"/>
  <c r="F206" i="48"/>
  <c r="G194" i="48"/>
  <c r="F194" i="48"/>
  <c r="G182" i="48"/>
  <c r="F182" i="48"/>
  <c r="G170" i="48"/>
  <c r="F170" i="48"/>
  <c r="G154" i="48"/>
  <c r="F154" i="48"/>
  <c r="G142" i="48"/>
  <c r="F142" i="48"/>
  <c r="G134" i="48"/>
  <c r="F134" i="48"/>
  <c r="G118" i="48"/>
  <c r="F118" i="48"/>
  <c r="G106" i="48"/>
  <c r="F106" i="48"/>
  <c r="G98" i="48"/>
  <c r="F98" i="48"/>
  <c r="G86" i="48"/>
  <c r="F86" i="48"/>
  <c r="G74" i="48"/>
  <c r="F74" i="48"/>
  <c r="G66" i="48"/>
  <c r="F66" i="48"/>
  <c r="G54" i="48"/>
  <c r="F54" i="48"/>
  <c r="G38" i="48"/>
  <c r="F38" i="48"/>
  <c r="F369" i="48"/>
  <c r="G369" i="48"/>
  <c r="G365" i="48"/>
  <c r="F365" i="48"/>
  <c r="F361" i="48"/>
  <c r="G361" i="48"/>
  <c r="G357" i="48"/>
  <c r="F357" i="48"/>
  <c r="G353" i="48"/>
  <c r="F353" i="48"/>
  <c r="G349" i="48"/>
  <c r="F349" i="48"/>
  <c r="G345" i="48"/>
  <c r="F345" i="48"/>
  <c r="F341" i="48"/>
  <c r="G341" i="48"/>
  <c r="G337" i="48"/>
  <c r="F337" i="48"/>
  <c r="G333" i="48"/>
  <c r="F333" i="48"/>
  <c r="G329" i="48"/>
  <c r="F329" i="48"/>
  <c r="G325" i="48"/>
  <c r="F325" i="48"/>
  <c r="G321" i="48"/>
  <c r="F321" i="48"/>
  <c r="G317" i="48"/>
  <c r="F317" i="48"/>
  <c r="G313" i="48"/>
  <c r="F313" i="48"/>
  <c r="G309" i="48"/>
  <c r="F309" i="48"/>
  <c r="G305" i="48"/>
  <c r="F305" i="48"/>
  <c r="G301" i="48"/>
  <c r="F301" i="48"/>
  <c r="G297" i="48"/>
  <c r="F297" i="48"/>
  <c r="G293" i="48"/>
  <c r="F293" i="48"/>
  <c r="G289" i="48"/>
  <c r="F289" i="48"/>
  <c r="G285" i="48"/>
  <c r="F285" i="48"/>
  <c r="G281" i="48"/>
  <c r="F281" i="48"/>
  <c r="G277" i="48"/>
  <c r="F277" i="48"/>
  <c r="G273" i="48"/>
  <c r="F273" i="48"/>
  <c r="G269" i="48"/>
  <c r="F269" i="48"/>
  <c r="G265" i="48"/>
  <c r="F265" i="48"/>
  <c r="G261" i="48"/>
  <c r="F261" i="48"/>
  <c r="F257" i="48"/>
  <c r="G257" i="48"/>
  <c r="G253" i="48"/>
  <c r="F253" i="48"/>
  <c r="G249" i="48"/>
  <c r="F249" i="48"/>
  <c r="G245" i="48"/>
  <c r="F245" i="48"/>
  <c r="G241" i="48"/>
  <c r="F241" i="48"/>
  <c r="G237" i="48"/>
  <c r="F237" i="48"/>
  <c r="G233" i="48"/>
  <c r="F233" i="48"/>
  <c r="G229" i="48"/>
  <c r="F229" i="48"/>
  <c r="G225" i="48"/>
  <c r="F225" i="48"/>
  <c r="G221" i="48"/>
  <c r="F221" i="48"/>
  <c r="G217" i="48"/>
  <c r="F217" i="48"/>
  <c r="G213" i="48"/>
  <c r="F213" i="48"/>
  <c r="F209" i="48"/>
  <c r="G209" i="48"/>
  <c r="G205" i="48"/>
  <c r="F205" i="48"/>
  <c r="G201" i="48"/>
  <c r="F201" i="48"/>
  <c r="F197" i="48"/>
  <c r="G197" i="48"/>
  <c r="G193" i="48"/>
  <c r="F193" i="48"/>
  <c r="G189" i="48"/>
  <c r="F189" i="48"/>
  <c r="G185" i="48"/>
  <c r="F185" i="48"/>
  <c r="F181" i="48"/>
  <c r="G181" i="48"/>
  <c r="G177" i="48"/>
  <c r="F177" i="48"/>
  <c r="G173" i="48"/>
  <c r="F173" i="48"/>
  <c r="G169" i="48"/>
  <c r="F169" i="48"/>
  <c r="G165" i="48"/>
  <c r="F165" i="48"/>
  <c r="F161" i="48"/>
  <c r="G161" i="48"/>
  <c r="G157" i="48"/>
  <c r="F157" i="48"/>
  <c r="G153" i="48"/>
  <c r="F153" i="48"/>
  <c r="G149" i="48"/>
  <c r="F149" i="48"/>
  <c r="G145" i="48"/>
  <c r="F145" i="48"/>
  <c r="G141" i="48"/>
  <c r="F141" i="48"/>
  <c r="G137" i="48"/>
  <c r="F137" i="48"/>
  <c r="G133" i="48"/>
  <c r="F133" i="48"/>
  <c r="G129" i="48"/>
  <c r="F129" i="48"/>
  <c r="G125" i="48"/>
  <c r="F125" i="48"/>
  <c r="G121" i="48"/>
  <c r="F121" i="48"/>
  <c r="F117" i="48"/>
  <c r="G117" i="48"/>
  <c r="G113" i="48"/>
  <c r="F113" i="48"/>
  <c r="G109" i="48"/>
  <c r="F109" i="48"/>
  <c r="G105" i="48"/>
  <c r="F105" i="48"/>
  <c r="G101" i="48"/>
  <c r="F101" i="48"/>
  <c r="G97" i="48"/>
  <c r="F97" i="48"/>
  <c r="G93" i="48"/>
  <c r="F93" i="48"/>
  <c r="G89" i="48"/>
  <c r="F89" i="48"/>
  <c r="G85" i="48"/>
  <c r="F85" i="48"/>
  <c r="G81" i="48"/>
  <c r="F81" i="48"/>
  <c r="G77" i="48"/>
  <c r="F77" i="48"/>
  <c r="G73" i="48"/>
  <c r="F73" i="48"/>
  <c r="G69" i="48"/>
  <c r="F69" i="48"/>
  <c r="G65" i="48"/>
  <c r="F65" i="48"/>
  <c r="G61" i="48"/>
  <c r="F61" i="48"/>
  <c r="G57" i="48"/>
  <c r="F57" i="48"/>
  <c r="G53" i="48"/>
  <c r="F53" i="48"/>
  <c r="G49" i="48"/>
  <c r="F49" i="48"/>
  <c r="G45" i="48"/>
  <c r="F45" i="48"/>
  <c r="G41" i="48"/>
  <c r="F41" i="48"/>
  <c r="G37" i="48"/>
  <c r="F37" i="48"/>
  <c r="G33" i="48"/>
  <c r="F33" i="48"/>
  <c r="G29" i="48"/>
  <c r="F29" i="48"/>
  <c r="G362" i="48"/>
  <c r="F362" i="48"/>
  <c r="G350" i="48"/>
  <c r="F350" i="48"/>
  <c r="G338" i="48"/>
  <c r="F338" i="48"/>
  <c r="G326" i="48"/>
  <c r="F326" i="48"/>
  <c r="G314" i="48"/>
  <c r="F314" i="48"/>
  <c r="G302" i="48"/>
  <c r="F302" i="48"/>
  <c r="G290" i="48"/>
  <c r="F290" i="48"/>
  <c r="G270" i="48"/>
  <c r="F270" i="48"/>
  <c r="G258" i="48"/>
  <c r="F258" i="48"/>
  <c r="G246" i="48"/>
  <c r="F246" i="48"/>
  <c r="F234" i="48"/>
  <c r="G234" i="48"/>
  <c r="G222" i="48"/>
  <c r="F222" i="48"/>
  <c r="G210" i="48"/>
  <c r="F210" i="48"/>
  <c r="G198" i="48"/>
  <c r="F198" i="48"/>
  <c r="G186" i="48"/>
  <c r="F186" i="48"/>
  <c r="G174" i="48"/>
  <c r="F174" i="48"/>
  <c r="G162" i="48"/>
  <c r="F162" i="48"/>
  <c r="G150" i="48"/>
  <c r="F150" i="48"/>
  <c r="F138" i="48"/>
  <c r="G138" i="48"/>
  <c r="G126" i="48"/>
  <c r="F126" i="48"/>
  <c r="G114" i="48"/>
  <c r="F114" i="48"/>
  <c r="G94" i="48"/>
  <c r="F94" i="48"/>
  <c r="G82" i="48"/>
  <c r="F82" i="48"/>
  <c r="G70" i="48"/>
  <c r="F70" i="48"/>
  <c r="G58" i="48"/>
  <c r="F58" i="48"/>
  <c r="G46" i="48"/>
  <c r="F46" i="48"/>
  <c r="G34" i="48"/>
  <c r="F34" i="48"/>
  <c r="G368" i="48"/>
  <c r="F368" i="48"/>
  <c r="G364" i="48"/>
  <c r="F364" i="48"/>
  <c r="G360" i="48"/>
  <c r="F360" i="48"/>
  <c r="G356" i="48"/>
  <c r="F356" i="48"/>
  <c r="G352" i="48"/>
  <c r="F352" i="48"/>
  <c r="F348" i="48"/>
  <c r="G348" i="48"/>
  <c r="G344" i="48"/>
  <c r="F344" i="48"/>
  <c r="G340" i="48"/>
  <c r="F340" i="48"/>
  <c r="G336" i="48"/>
  <c r="F336" i="48"/>
  <c r="G332" i="48"/>
  <c r="F332" i="48"/>
  <c r="G328" i="48"/>
  <c r="F328" i="48"/>
  <c r="G324" i="48"/>
  <c r="F324" i="48"/>
  <c r="F320" i="48"/>
  <c r="G320" i="48"/>
  <c r="G316" i="48"/>
  <c r="F316" i="48"/>
  <c r="G312" i="48"/>
  <c r="F312" i="48"/>
  <c r="G308" i="48"/>
  <c r="F308" i="48"/>
  <c r="G304" i="48"/>
  <c r="F304" i="48"/>
  <c r="G300" i="48"/>
  <c r="F300" i="48"/>
  <c r="G296" i="48"/>
  <c r="F296" i="48"/>
  <c r="F292" i="48"/>
  <c r="G292" i="48"/>
  <c r="G288" i="48"/>
  <c r="F288" i="48"/>
  <c r="G284" i="48"/>
  <c r="F284" i="48"/>
  <c r="G280" i="48"/>
  <c r="F280" i="48"/>
  <c r="G276" i="48"/>
  <c r="F276" i="48"/>
  <c r="G272" i="48"/>
  <c r="F272" i="48"/>
  <c r="G268" i="48"/>
  <c r="F268" i="48"/>
  <c r="G264" i="48"/>
  <c r="F264" i="48"/>
  <c r="G260" i="48"/>
  <c r="F260" i="48"/>
  <c r="G256" i="48"/>
  <c r="F256" i="48"/>
  <c r="G252" i="48"/>
  <c r="F252" i="48"/>
  <c r="G248" i="48"/>
  <c r="F248" i="48"/>
  <c r="G244" i="48"/>
  <c r="F244" i="48"/>
  <c r="G240" i="48"/>
  <c r="F240" i="48"/>
  <c r="F236" i="48"/>
  <c r="G236" i="48"/>
  <c r="G232" i="48"/>
  <c r="F232" i="48"/>
  <c r="G228" i="48"/>
  <c r="F228" i="48"/>
  <c r="G224" i="48"/>
  <c r="F224" i="48"/>
  <c r="G220" i="48"/>
  <c r="F220" i="48"/>
  <c r="G216" i="48"/>
  <c r="F216" i="48"/>
  <c r="G212" i="48"/>
  <c r="F212" i="48"/>
  <c r="F208" i="48"/>
  <c r="G208" i="48"/>
  <c r="G204" i="48"/>
  <c r="F204" i="48"/>
  <c r="G200" i="48"/>
  <c r="F200" i="48"/>
  <c r="G196" i="48"/>
  <c r="F196" i="48"/>
  <c r="G192" i="48"/>
  <c r="F192" i="48"/>
  <c r="G188" i="48"/>
  <c r="F188" i="48"/>
  <c r="G184" i="48"/>
  <c r="F184" i="48"/>
  <c r="G180" i="48"/>
  <c r="F180" i="48"/>
  <c r="G176" i="48"/>
  <c r="F176" i="48"/>
  <c r="G172" i="48"/>
  <c r="F172" i="48"/>
  <c r="G168" i="48"/>
  <c r="F168" i="48"/>
  <c r="G164" i="48"/>
  <c r="F164" i="48"/>
  <c r="G160" i="48"/>
  <c r="F160" i="48"/>
  <c r="G156" i="48"/>
  <c r="F156" i="48"/>
  <c r="G152" i="48"/>
  <c r="F152" i="48"/>
  <c r="G148" i="48"/>
  <c r="F148" i="48"/>
  <c r="G144" i="48"/>
  <c r="F144" i="48"/>
  <c r="G140" i="48"/>
  <c r="F140" i="48"/>
  <c r="G136" i="48"/>
  <c r="F136" i="48"/>
  <c r="G132" i="48"/>
  <c r="F132" i="48"/>
  <c r="G128" i="48"/>
  <c r="F128" i="48"/>
  <c r="G124" i="48"/>
  <c r="F124" i="48"/>
  <c r="G120" i="48"/>
  <c r="F120" i="48"/>
  <c r="G116" i="48"/>
  <c r="F116" i="48"/>
  <c r="G112" i="48"/>
  <c r="F112" i="48"/>
  <c r="G108" i="48"/>
  <c r="F108" i="48"/>
  <c r="G104" i="48"/>
  <c r="F104" i="48"/>
  <c r="G100" i="48"/>
  <c r="F100" i="48"/>
  <c r="G96" i="48"/>
  <c r="F96" i="48"/>
  <c r="G92" i="48"/>
  <c r="F92" i="48"/>
  <c r="G88" i="48"/>
  <c r="F88" i="48"/>
  <c r="G84" i="48"/>
  <c r="F84" i="48"/>
  <c r="G80" i="48"/>
  <c r="F80" i="48"/>
  <c r="G76" i="48"/>
  <c r="F76" i="48"/>
  <c r="G72" i="48"/>
  <c r="F72" i="48"/>
  <c r="G68" i="48"/>
  <c r="F68" i="48"/>
  <c r="G64" i="48"/>
  <c r="F64" i="48"/>
  <c r="G60" i="48"/>
  <c r="F60" i="48"/>
  <c r="G56" i="48"/>
  <c r="F56" i="48"/>
  <c r="G52" i="48"/>
  <c r="F52" i="48"/>
  <c r="G48" i="48"/>
  <c r="F48" i="48"/>
  <c r="G44" i="48"/>
  <c r="F44" i="48"/>
  <c r="G40" i="48"/>
  <c r="F40" i="48"/>
  <c r="G36" i="48"/>
  <c r="F36" i="48"/>
  <c r="G32" i="48"/>
  <c r="F32" i="48"/>
  <c r="G28" i="48"/>
  <c r="F28" i="48"/>
  <c r="G358" i="48"/>
  <c r="F358" i="48"/>
  <c r="G346" i="48"/>
  <c r="F346" i="48"/>
  <c r="G334" i="48"/>
  <c r="F334" i="48"/>
  <c r="G322" i="48"/>
  <c r="F322" i="48"/>
  <c r="G310" i="48"/>
  <c r="F310" i="48"/>
  <c r="G298" i="48"/>
  <c r="F298" i="48"/>
  <c r="G286" i="48"/>
  <c r="F286" i="48"/>
  <c r="G278" i="48"/>
  <c r="F278" i="48"/>
  <c r="G266" i="48"/>
  <c r="F266" i="48"/>
  <c r="F250" i="48"/>
  <c r="G250" i="48"/>
  <c r="G242" i="48"/>
  <c r="F242" i="48"/>
  <c r="G226" i="48"/>
  <c r="F226" i="48"/>
  <c r="G214" i="48"/>
  <c r="F214" i="48"/>
  <c r="F202" i="48"/>
  <c r="G202" i="48"/>
  <c r="G190" i="48"/>
  <c r="F190" i="48"/>
  <c r="G178" i="48"/>
  <c r="F178" i="48"/>
  <c r="F166" i="48"/>
  <c r="G166" i="48"/>
  <c r="G158" i="48"/>
  <c r="F158" i="48"/>
  <c r="G146" i="48"/>
  <c r="F146" i="48"/>
  <c r="G130" i="48"/>
  <c r="F130" i="48"/>
  <c r="G122" i="48"/>
  <c r="F122" i="48"/>
  <c r="G110" i="48"/>
  <c r="F110" i="48"/>
  <c r="G102" i="48"/>
  <c r="F102" i="48"/>
  <c r="F90" i="48"/>
  <c r="G90" i="48"/>
  <c r="G78" i="48"/>
  <c r="F78" i="48"/>
  <c r="G62" i="48"/>
  <c r="F62" i="48"/>
  <c r="G50" i="48"/>
  <c r="F50" i="48"/>
  <c r="G42" i="48"/>
  <c r="F42" i="48"/>
  <c r="G30" i="48"/>
  <c r="F30" i="48"/>
  <c r="G367" i="48"/>
  <c r="F367" i="48"/>
  <c r="G363" i="48"/>
  <c r="F363" i="48"/>
  <c r="G359" i="48"/>
  <c r="F359" i="48"/>
  <c r="G355" i="48"/>
  <c r="F355" i="48"/>
  <c r="G351" i="48"/>
  <c r="F351" i="48"/>
  <c r="G347" i="48"/>
  <c r="F347" i="48"/>
  <c r="G343" i="48"/>
  <c r="F343" i="48"/>
  <c r="G339" i="48"/>
  <c r="F339" i="48"/>
  <c r="G335" i="48"/>
  <c r="F335" i="48"/>
  <c r="G331" i="48"/>
  <c r="F331" i="48"/>
  <c r="G327" i="48"/>
  <c r="F327" i="48"/>
  <c r="G323" i="48"/>
  <c r="F323" i="48"/>
  <c r="G319" i="48"/>
  <c r="F319" i="48"/>
  <c r="G315" i="48"/>
  <c r="F315" i="48"/>
  <c r="G311" i="48"/>
  <c r="F311" i="48"/>
  <c r="G307" i="48"/>
  <c r="F307" i="48"/>
  <c r="G303" i="48"/>
  <c r="F303" i="48"/>
  <c r="G299" i="48"/>
  <c r="F299" i="48"/>
  <c r="G295" i="48"/>
  <c r="F295" i="48"/>
  <c r="G291" i="48"/>
  <c r="F291" i="48"/>
  <c r="G287" i="48"/>
  <c r="F287" i="48"/>
  <c r="G283" i="48"/>
  <c r="F283" i="48"/>
  <c r="G279" i="48"/>
  <c r="F279" i="48"/>
  <c r="G275" i="48"/>
  <c r="F275" i="48"/>
  <c r="G271" i="48"/>
  <c r="F271" i="48"/>
  <c r="G267" i="48"/>
  <c r="F267" i="48"/>
  <c r="G263" i="48"/>
  <c r="F263" i="48"/>
  <c r="G259" i="48"/>
  <c r="F259" i="48"/>
  <c r="G255" i="48"/>
  <c r="F255" i="48"/>
  <c r="G251" i="48"/>
  <c r="F251" i="48"/>
  <c r="G247" i="48"/>
  <c r="F247" i="48"/>
  <c r="G243" i="48"/>
  <c r="F243" i="48"/>
  <c r="G239" i="48"/>
  <c r="F239" i="48"/>
  <c r="G235" i="48"/>
  <c r="F235" i="48"/>
  <c r="G231" i="48"/>
  <c r="F231" i="48"/>
  <c r="G227" i="48"/>
  <c r="F227" i="48"/>
  <c r="G223" i="48"/>
  <c r="F223" i="48"/>
  <c r="G219" i="48"/>
  <c r="F219" i="48"/>
  <c r="G215" i="48"/>
  <c r="F215" i="48"/>
  <c r="G211" i="48"/>
  <c r="F211" i="48"/>
  <c r="G207" i="48"/>
  <c r="F207" i="48"/>
  <c r="G203" i="48"/>
  <c r="F203" i="48"/>
  <c r="G199" i="48"/>
  <c r="F199" i="48"/>
  <c r="G195" i="48"/>
  <c r="F195" i="48"/>
  <c r="G191" i="48"/>
  <c r="F191" i="48"/>
  <c r="G187" i="48"/>
  <c r="F187" i="48"/>
  <c r="G183" i="48"/>
  <c r="F183" i="48"/>
  <c r="G179" i="48"/>
  <c r="F179" i="48"/>
  <c r="G175" i="48"/>
  <c r="F175" i="48"/>
  <c r="G171" i="48"/>
  <c r="F171" i="48"/>
  <c r="G167" i="48"/>
  <c r="F167" i="48"/>
  <c r="G163" i="48"/>
  <c r="F163" i="48"/>
  <c r="G159" i="48"/>
  <c r="F159" i="48"/>
  <c r="G155" i="48"/>
  <c r="F155" i="48"/>
  <c r="G151" i="48"/>
  <c r="F151" i="48"/>
  <c r="G147" i="48"/>
  <c r="F147" i="48"/>
  <c r="G143" i="48"/>
  <c r="F143" i="48"/>
  <c r="G139" i="48"/>
  <c r="F139" i="48"/>
  <c r="G135" i="48"/>
  <c r="F135" i="48"/>
  <c r="G131" i="48"/>
  <c r="F131" i="48"/>
  <c r="G127" i="48"/>
  <c r="F127" i="48"/>
  <c r="G123" i="48"/>
  <c r="F123" i="48"/>
  <c r="G119" i="48"/>
  <c r="F119" i="48"/>
  <c r="G115" i="48"/>
  <c r="F115" i="48"/>
  <c r="G111" i="48"/>
  <c r="F111" i="48"/>
  <c r="G107" i="48"/>
  <c r="F107" i="48"/>
  <c r="G103" i="48"/>
  <c r="F103" i="48"/>
  <c r="G99" i="48"/>
  <c r="F99" i="48"/>
  <c r="G95" i="48"/>
  <c r="F95" i="48"/>
  <c r="G91" i="48"/>
  <c r="F91" i="48"/>
  <c r="G87" i="48"/>
  <c r="F87" i="48"/>
  <c r="G83" i="48"/>
  <c r="F83" i="48"/>
  <c r="G79" i="48"/>
  <c r="F79" i="48"/>
  <c r="G75" i="48"/>
  <c r="F75" i="48"/>
  <c r="G71" i="48"/>
  <c r="F71" i="48"/>
  <c r="G67" i="48"/>
  <c r="F67" i="48"/>
  <c r="G63" i="48"/>
  <c r="F63" i="48"/>
  <c r="G59" i="48"/>
  <c r="F59" i="48"/>
  <c r="G55" i="48"/>
  <c r="F55" i="48"/>
  <c r="G51" i="48"/>
  <c r="F51" i="48"/>
  <c r="G47" i="48"/>
  <c r="F47" i="48"/>
  <c r="G43" i="48"/>
  <c r="F43" i="48"/>
  <c r="G39" i="48"/>
  <c r="F39" i="48"/>
  <c r="G35" i="48"/>
  <c r="F35" i="48"/>
  <c r="G31" i="48"/>
  <c r="F31" i="48"/>
  <c r="G27" i="48"/>
  <c r="F27" i="48"/>
  <c r="C9" i="43" l="1"/>
  <c r="G9" i="43"/>
  <c r="T9" i="43"/>
  <c r="C10" i="43"/>
  <c r="E10" i="43" s="1"/>
  <c r="G10" i="43"/>
  <c r="T10" i="43"/>
  <c r="C11" i="43"/>
  <c r="I11" i="43" s="1"/>
  <c r="G11" i="43"/>
  <c r="T11" i="43"/>
  <c r="C12" i="43"/>
  <c r="E12" i="43" s="1"/>
  <c r="G12" i="43"/>
  <c r="T12" i="43"/>
  <c r="C13" i="43"/>
  <c r="I13" i="43" s="1"/>
  <c r="E13" i="43"/>
  <c r="G13" i="43"/>
  <c r="T13" i="43"/>
  <c r="C14" i="43"/>
  <c r="I14" i="43" s="1"/>
  <c r="J14" i="43" s="1"/>
  <c r="G14" i="43"/>
  <c r="T14" i="43"/>
  <c r="C5" i="43"/>
  <c r="E5" i="43" s="1"/>
  <c r="C6" i="43"/>
  <c r="I6" i="43" s="1"/>
  <c r="C7" i="43"/>
  <c r="I7" i="43" s="1"/>
  <c r="C8" i="43"/>
  <c r="C4" i="43"/>
  <c r="E4" i="43" s="1"/>
  <c r="I3" i="43"/>
  <c r="J3" i="43" s="1"/>
  <c r="L11" i="48" l="1"/>
  <c r="L3" i="48"/>
  <c r="L7" i="48"/>
  <c r="L5" i="48"/>
  <c r="L4" i="48"/>
  <c r="L8" i="48"/>
  <c r="L9" i="48"/>
  <c r="L6" i="48"/>
  <c r="L10" i="48"/>
  <c r="L32" i="48"/>
  <c r="L28" i="48"/>
  <c r="L24" i="48"/>
  <c r="L20" i="48"/>
  <c r="L16" i="48"/>
  <c r="L25" i="48"/>
  <c r="L21" i="48"/>
  <c r="L31" i="48"/>
  <c r="L27" i="48"/>
  <c r="L23" i="48"/>
  <c r="L19" i="48"/>
  <c r="L15" i="48"/>
  <c r="L13" i="48"/>
  <c r="L30" i="48"/>
  <c r="L26" i="48"/>
  <c r="L22" i="48"/>
  <c r="L18" i="48"/>
  <c r="L14" i="48"/>
  <c r="L29" i="48"/>
  <c r="L17" i="48"/>
  <c r="E8" i="43"/>
  <c r="E9" i="43"/>
  <c r="E14" i="43"/>
  <c r="I9" i="43"/>
  <c r="J9" i="43" s="1"/>
  <c r="L14" i="43"/>
  <c r="Q13" i="43"/>
  <c r="O14" i="43"/>
  <c r="O13" i="43"/>
  <c r="I12" i="43"/>
  <c r="J12" i="43" s="1"/>
  <c r="Q11" i="43"/>
  <c r="J11" i="43"/>
  <c r="O11" i="43"/>
  <c r="L12" i="43"/>
  <c r="E7" i="43"/>
  <c r="Q14" i="43"/>
  <c r="J13" i="43"/>
  <c r="E11" i="43"/>
  <c r="I10" i="43"/>
  <c r="L10" i="43"/>
  <c r="Q12" i="43"/>
  <c r="I5" i="43"/>
  <c r="E6" i="43"/>
  <c r="I4" i="43"/>
  <c r="J4" i="43" s="1"/>
  <c r="I8" i="43"/>
  <c r="L9" i="43" s="1"/>
  <c r="B364" i="48"/>
  <c r="B365" i="48"/>
  <c r="B366" i="48"/>
  <c r="B367" i="48"/>
  <c r="B368" i="48"/>
  <c r="B369" i="48"/>
  <c r="B363" i="48"/>
  <c r="O9" i="43" l="1"/>
  <c r="Q9" i="43"/>
  <c r="O12" i="43"/>
  <c r="L13" i="43"/>
  <c r="Q10" i="43"/>
  <c r="L11" i="43"/>
  <c r="J10" i="43"/>
  <c r="O10" i="43"/>
  <c r="X4" i="43" l="1"/>
  <c r="Q4" i="43"/>
  <c r="I12" i="45"/>
  <c r="K12" i="45" s="1"/>
  <c r="O5" i="45"/>
  <c r="Q60" i="48" l="1"/>
  <c r="P60" i="48" s="1"/>
  <c r="N60" i="48" s="1"/>
  <c r="Q56" i="48"/>
  <c r="P56" i="48" s="1"/>
  <c r="N56" i="48" s="1"/>
  <c r="Q52" i="48"/>
  <c r="P52" i="48" s="1"/>
  <c r="N52" i="48" s="1"/>
  <c r="Q48" i="48"/>
  <c r="P48" i="48" s="1"/>
  <c r="N48" i="48" s="1"/>
  <c r="Q44" i="48"/>
  <c r="P44" i="48" s="1"/>
  <c r="N44" i="48" s="1"/>
  <c r="Q40" i="48"/>
  <c r="P40" i="48" s="1"/>
  <c r="N40" i="48" s="1"/>
  <c r="Q36" i="48"/>
  <c r="P36" i="48" s="1"/>
  <c r="N36" i="48" s="1"/>
  <c r="Q45" i="48"/>
  <c r="P45" i="48" s="1"/>
  <c r="N45" i="48" s="1"/>
  <c r="Q33" i="48"/>
  <c r="P33" i="48" s="1"/>
  <c r="N33" i="48" s="1"/>
  <c r="Q63" i="48"/>
  <c r="P63" i="48" s="1"/>
  <c r="N63" i="48" s="1"/>
  <c r="Q59" i="48"/>
  <c r="P59" i="48" s="1"/>
  <c r="N59" i="48" s="1"/>
  <c r="Q55" i="48"/>
  <c r="P55" i="48" s="1"/>
  <c r="N55" i="48" s="1"/>
  <c r="Q51" i="48"/>
  <c r="P51" i="48" s="1"/>
  <c r="N51" i="48" s="1"/>
  <c r="Q47" i="48"/>
  <c r="P47" i="48" s="1"/>
  <c r="N47" i="48" s="1"/>
  <c r="Q43" i="48"/>
  <c r="P43" i="48" s="1"/>
  <c r="N43" i="48" s="1"/>
  <c r="Q39" i="48"/>
  <c r="P39" i="48" s="1"/>
  <c r="N39" i="48" s="1"/>
  <c r="Q35" i="48"/>
  <c r="P35" i="48" s="1"/>
  <c r="N35" i="48" s="1"/>
  <c r="Q61" i="48"/>
  <c r="P61" i="48" s="1"/>
  <c r="N61" i="48" s="1"/>
  <c r="Q53" i="48"/>
  <c r="P53" i="48" s="1"/>
  <c r="N53" i="48" s="1"/>
  <c r="Q41" i="48"/>
  <c r="P41" i="48" s="1"/>
  <c r="N41" i="48" s="1"/>
  <c r="Q62" i="48"/>
  <c r="P62" i="48" s="1"/>
  <c r="N62" i="48" s="1"/>
  <c r="Q58" i="48"/>
  <c r="P58" i="48" s="1"/>
  <c r="N58" i="48" s="1"/>
  <c r="Q54" i="48"/>
  <c r="P54" i="48" s="1"/>
  <c r="N54" i="48" s="1"/>
  <c r="Q50" i="48"/>
  <c r="P50" i="48" s="1"/>
  <c r="N50" i="48" s="1"/>
  <c r="Q46" i="48"/>
  <c r="P46" i="48" s="1"/>
  <c r="N46" i="48" s="1"/>
  <c r="Q42" i="48"/>
  <c r="P42" i="48" s="1"/>
  <c r="N42" i="48" s="1"/>
  <c r="Q38" i="48"/>
  <c r="P38" i="48" s="1"/>
  <c r="N38" i="48" s="1"/>
  <c r="Q34" i="48"/>
  <c r="P34" i="48" s="1"/>
  <c r="N34" i="48" s="1"/>
  <c r="Q57" i="48"/>
  <c r="P57" i="48" s="1"/>
  <c r="N57" i="48" s="1"/>
  <c r="Q49" i="48"/>
  <c r="P49" i="48" s="1"/>
  <c r="N49" i="48" s="1"/>
  <c r="Q37" i="48"/>
  <c r="P37" i="48" s="1"/>
  <c r="N37" i="48" s="1"/>
  <c r="R5" i="43"/>
  <c r="O4" i="43" l="1"/>
  <c r="X5" i="43"/>
  <c r="Q92" i="48" l="1"/>
  <c r="P92" i="48" s="1"/>
  <c r="N92" i="48" s="1"/>
  <c r="Q88" i="48"/>
  <c r="P88" i="48" s="1"/>
  <c r="N88" i="48" s="1"/>
  <c r="Q84" i="48"/>
  <c r="P84" i="48" s="1"/>
  <c r="N84" i="48" s="1"/>
  <c r="Q80" i="48"/>
  <c r="P80" i="48" s="1"/>
  <c r="N80" i="48" s="1"/>
  <c r="Q76" i="48"/>
  <c r="P76" i="48" s="1"/>
  <c r="N76" i="48" s="1"/>
  <c r="Q72" i="48"/>
  <c r="P72" i="48" s="1"/>
  <c r="N72" i="48" s="1"/>
  <c r="Q68" i="48"/>
  <c r="P68" i="48" s="1"/>
  <c r="N68" i="48" s="1"/>
  <c r="Q64" i="48"/>
  <c r="P64" i="48" s="1"/>
  <c r="N64" i="48" s="1"/>
  <c r="Q93" i="48"/>
  <c r="P93" i="48" s="1"/>
  <c r="N93" i="48" s="1"/>
  <c r="Q81" i="48"/>
  <c r="P81" i="48" s="1"/>
  <c r="N81" i="48" s="1"/>
  <c r="Q73" i="48"/>
  <c r="P73" i="48" s="1"/>
  <c r="N73" i="48" s="1"/>
  <c r="Q65" i="48"/>
  <c r="P65" i="48" s="1"/>
  <c r="N65" i="48" s="1"/>
  <c r="Q91" i="48"/>
  <c r="P91" i="48" s="1"/>
  <c r="N91" i="48" s="1"/>
  <c r="Q87" i="48"/>
  <c r="P87" i="48" s="1"/>
  <c r="N87" i="48" s="1"/>
  <c r="Q83" i="48"/>
  <c r="P83" i="48" s="1"/>
  <c r="N83" i="48" s="1"/>
  <c r="Q79" i="48"/>
  <c r="P79" i="48" s="1"/>
  <c r="N79" i="48" s="1"/>
  <c r="Q75" i="48"/>
  <c r="P75" i="48" s="1"/>
  <c r="N75" i="48" s="1"/>
  <c r="Q71" i="48"/>
  <c r="P71" i="48" s="1"/>
  <c r="N71" i="48" s="1"/>
  <c r="Q67" i="48"/>
  <c r="P67" i="48" s="1"/>
  <c r="N67" i="48" s="1"/>
  <c r="Q89" i="48"/>
  <c r="P89" i="48" s="1"/>
  <c r="N89" i="48" s="1"/>
  <c r="Q69" i="48"/>
  <c r="P69" i="48" s="1"/>
  <c r="N69" i="48" s="1"/>
  <c r="Q90" i="48"/>
  <c r="P90" i="48" s="1"/>
  <c r="N90" i="48" s="1"/>
  <c r="Q86" i="48"/>
  <c r="P86" i="48" s="1"/>
  <c r="N86" i="48" s="1"/>
  <c r="Q82" i="48"/>
  <c r="P82" i="48" s="1"/>
  <c r="N82" i="48" s="1"/>
  <c r="Q78" i="48"/>
  <c r="P78" i="48" s="1"/>
  <c r="N78" i="48" s="1"/>
  <c r="Q74" i="48"/>
  <c r="P74" i="48" s="1"/>
  <c r="N74" i="48" s="1"/>
  <c r="Q70" i="48"/>
  <c r="P70" i="48" s="1"/>
  <c r="N70" i="48" s="1"/>
  <c r="Q66" i="48"/>
  <c r="P66" i="48" s="1"/>
  <c r="N66" i="48" s="1"/>
  <c r="Q85" i="48"/>
  <c r="P85" i="48" s="1"/>
  <c r="N85" i="48" s="1"/>
  <c r="Q77" i="48"/>
  <c r="P77" i="48" s="1"/>
  <c r="N77" i="48" s="1"/>
  <c r="G3" i="43"/>
  <c r="G4" i="43"/>
  <c r="G5" i="43"/>
  <c r="G6" i="43"/>
  <c r="G7" i="43"/>
  <c r="G8" i="43"/>
  <c r="M9" i="35" l="1"/>
  <c r="M8" i="35"/>
  <c r="J23" i="47" l="1"/>
  <c r="K23" i="47" s="1"/>
  <c r="N20" i="47"/>
  <c r="I20" i="47"/>
  <c r="G20" i="47"/>
  <c r="D20" i="47"/>
  <c r="N19" i="47"/>
  <c r="I19" i="47"/>
  <c r="G19" i="47"/>
  <c r="D19" i="47"/>
  <c r="N18" i="47"/>
  <c r="I18" i="47"/>
  <c r="G18" i="47"/>
  <c r="D18" i="47"/>
  <c r="N17" i="47"/>
  <c r="I17" i="47"/>
  <c r="G17" i="47"/>
  <c r="D17" i="47"/>
  <c r="N16" i="47"/>
  <c r="I16" i="47"/>
  <c r="G16" i="47"/>
  <c r="D16" i="47"/>
  <c r="V15" i="47"/>
  <c r="V16" i="47" s="1"/>
  <c r="V17" i="47" s="1"/>
  <c r="O16" i="47"/>
  <c r="O17" i="47" s="1"/>
  <c r="N15" i="47"/>
  <c r="I15" i="47"/>
  <c r="G15" i="47"/>
  <c r="D15" i="47"/>
  <c r="X14" i="47"/>
  <c r="Q14" i="47" s="1"/>
  <c r="U14" i="47"/>
  <c r="N14" i="47"/>
  <c r="L14" i="47"/>
  <c r="I14" i="47"/>
  <c r="G14" i="47"/>
  <c r="D14" i="47"/>
  <c r="X13" i="47"/>
  <c r="Q13" i="47" s="1"/>
  <c r="U13" i="47"/>
  <c r="S13" i="47"/>
  <c r="N13" i="47"/>
  <c r="L13" i="47"/>
  <c r="K13" i="47"/>
  <c r="I13" i="47"/>
  <c r="G13" i="47"/>
  <c r="D13" i="47"/>
  <c r="X12" i="47"/>
  <c r="Q12" i="47" s="1"/>
  <c r="U12" i="47"/>
  <c r="S12" i="47"/>
  <c r="N12" i="47"/>
  <c r="L12" i="47"/>
  <c r="K12" i="47"/>
  <c r="I12" i="47"/>
  <c r="G12" i="47"/>
  <c r="D12" i="47"/>
  <c r="X11" i="47"/>
  <c r="Q11" i="47" s="1"/>
  <c r="U11" i="47"/>
  <c r="S11" i="47"/>
  <c r="N11" i="47"/>
  <c r="L11" i="47"/>
  <c r="K11" i="47"/>
  <c r="I11" i="47"/>
  <c r="G11" i="47"/>
  <c r="D11" i="47"/>
  <c r="X10" i="47"/>
  <c r="Q10" i="47" s="1"/>
  <c r="U10" i="47"/>
  <c r="S10" i="47"/>
  <c r="N10" i="47"/>
  <c r="L10" i="47"/>
  <c r="K10" i="47"/>
  <c r="I10" i="47"/>
  <c r="G10" i="47"/>
  <c r="D10" i="47"/>
  <c r="X9" i="47"/>
  <c r="Q9" i="47" s="1"/>
  <c r="U9" i="47"/>
  <c r="S9" i="47"/>
  <c r="N9" i="47"/>
  <c r="L9" i="47"/>
  <c r="K9" i="47"/>
  <c r="I9" i="47"/>
  <c r="G9" i="47"/>
  <c r="D9" i="47"/>
  <c r="X8" i="47"/>
  <c r="Q8" i="47" s="1"/>
  <c r="U8" i="47"/>
  <c r="S8" i="47"/>
  <c r="N8" i="47"/>
  <c r="L8" i="47"/>
  <c r="K8" i="47"/>
  <c r="I8" i="47"/>
  <c r="G8" i="47"/>
  <c r="D8" i="47"/>
  <c r="U7" i="47"/>
  <c r="S7" i="47"/>
  <c r="Q7" i="47"/>
  <c r="N7" i="47"/>
  <c r="L7" i="47"/>
  <c r="K7" i="47"/>
  <c r="I7" i="47"/>
  <c r="G7" i="47"/>
  <c r="D7" i="47"/>
  <c r="U6" i="47"/>
  <c r="S6" i="47"/>
  <c r="Q6" i="47"/>
  <c r="N6" i="47"/>
  <c r="L6" i="47"/>
  <c r="K6" i="47"/>
  <c r="I6" i="47"/>
  <c r="G6" i="47"/>
  <c r="D6" i="47"/>
  <c r="U5" i="47"/>
  <c r="S5" i="47"/>
  <c r="Q5" i="47"/>
  <c r="N5" i="47"/>
  <c r="L5" i="47"/>
  <c r="K5" i="47"/>
  <c r="I5" i="47"/>
  <c r="G5" i="47"/>
  <c r="D5" i="47"/>
  <c r="U4" i="47"/>
  <c r="S4" i="47"/>
  <c r="Q4" i="47"/>
  <c r="N4" i="47"/>
  <c r="L4" i="47"/>
  <c r="K4" i="47"/>
  <c r="I4" i="47"/>
  <c r="G4" i="47"/>
  <c r="D4" i="47"/>
  <c r="U3" i="47"/>
  <c r="S3" i="47"/>
  <c r="Q3" i="47"/>
  <c r="N3" i="47"/>
  <c r="L3" i="47"/>
  <c r="K3" i="47"/>
  <c r="I3" i="47"/>
  <c r="G3" i="47"/>
  <c r="D3" i="47"/>
  <c r="U2" i="47"/>
  <c r="S2" i="47"/>
  <c r="Q2" i="47"/>
  <c r="N2" i="47"/>
  <c r="L2" i="47"/>
  <c r="K2" i="47"/>
  <c r="G2" i="47"/>
  <c r="D2" i="47"/>
  <c r="E34" i="45"/>
  <c r="D34" i="45"/>
  <c r="E33" i="45"/>
  <c r="D33" i="45"/>
  <c r="E32" i="45"/>
  <c r="D32" i="45"/>
  <c r="E31" i="45"/>
  <c r="E30" i="45"/>
  <c r="E29" i="45"/>
  <c r="E28" i="45"/>
  <c r="E27" i="45"/>
  <c r="E24" i="45"/>
  <c r="D24" i="45"/>
  <c r="E23" i="45"/>
  <c r="D23" i="45"/>
  <c r="E22" i="45"/>
  <c r="D22" i="45"/>
  <c r="E20" i="45"/>
  <c r="E19" i="45"/>
  <c r="E18" i="45"/>
  <c r="D13" i="45"/>
  <c r="O10" i="45"/>
  <c r="O7" i="45"/>
  <c r="O6" i="45"/>
  <c r="N3" i="45"/>
  <c r="Q8" i="43"/>
  <c r="L8" i="43"/>
  <c r="J8" i="43"/>
  <c r="Q7" i="43"/>
  <c r="L7" i="43"/>
  <c r="J7" i="43"/>
  <c r="Q6" i="43"/>
  <c r="L6" i="43"/>
  <c r="J6" i="43"/>
  <c r="Q5" i="43"/>
  <c r="L5" i="43"/>
  <c r="J5" i="43"/>
  <c r="L4" i="43"/>
  <c r="X3" i="43"/>
  <c r="V3" i="43"/>
  <c r="T3" i="43"/>
  <c r="Q3" i="43"/>
  <c r="N3" i="43"/>
  <c r="E3" i="43"/>
  <c r="L97" i="28"/>
  <c r="AB23" i="33"/>
  <c r="Z18" i="33"/>
  <c r="Y18" i="33"/>
  <c r="X18" i="33"/>
  <c r="Z17" i="33"/>
  <c r="Y17" i="33"/>
  <c r="X17" i="33"/>
  <c r="Z16" i="33"/>
  <c r="Y16" i="33"/>
  <c r="X16" i="33"/>
  <c r="Z15" i="33"/>
  <c r="Y15" i="33"/>
  <c r="X15" i="33"/>
  <c r="Z14" i="33"/>
  <c r="Y14" i="33"/>
  <c r="X14" i="33"/>
  <c r="Z13" i="33"/>
  <c r="Y13" i="33"/>
  <c r="X13" i="33"/>
  <c r="Z12" i="33"/>
  <c r="Z20" i="33" s="1"/>
  <c r="Y12" i="33"/>
  <c r="Y21" i="33" s="1"/>
  <c r="X12" i="33"/>
  <c r="X21" i="33" s="1"/>
  <c r="AH9" i="33"/>
  <c r="AG9" i="33"/>
  <c r="AB9" i="33"/>
  <c r="Z8" i="33"/>
  <c r="Y8" i="33"/>
  <c r="Y9" i="33" s="1"/>
  <c r="X8" i="33"/>
  <c r="X9" i="33" s="1"/>
  <c r="X7" i="33"/>
  <c r="D53" i="35"/>
  <c r="D56" i="35" s="1"/>
  <c r="M5" i="35" s="1"/>
  <c r="I48" i="35"/>
  <c r="I54" i="35" s="1"/>
  <c r="M15" i="35" s="1"/>
  <c r="I36" i="35"/>
  <c r="I43" i="35" s="1"/>
  <c r="M6" i="35" s="1"/>
  <c r="F15" i="35"/>
  <c r="F14" i="35"/>
  <c r="F11" i="35"/>
  <c r="I6" i="35"/>
  <c r="I9" i="35" s="1"/>
  <c r="N4" i="43" l="1"/>
  <c r="N5" i="43" s="1"/>
  <c r="F23" i="35"/>
  <c r="AA15" i="33"/>
  <c r="U4" i="43"/>
  <c r="Z12" i="47"/>
  <c r="Z14" i="47"/>
  <c r="U15" i="47"/>
  <c r="J14" i="47"/>
  <c r="J15" i="47" s="1"/>
  <c r="O11" i="45"/>
  <c r="Z10" i="47"/>
  <c r="W15" i="47"/>
  <c r="X15" i="47" s="1"/>
  <c r="Q15" i="47" s="1"/>
  <c r="Z8" i="47"/>
  <c r="M7" i="35"/>
  <c r="M16" i="35" s="1"/>
  <c r="AA17" i="33"/>
  <c r="R14" i="47"/>
  <c r="AA18" i="33"/>
  <c r="O8" i="45"/>
  <c r="T4" i="43"/>
  <c r="T5" i="43"/>
  <c r="Z9" i="47"/>
  <c r="K14" i="47"/>
  <c r="K15" i="47" s="1"/>
  <c r="Z11" i="47"/>
  <c r="AA8" i="33"/>
  <c r="AA9" i="33" s="1"/>
  <c r="AA13" i="33"/>
  <c r="S14" i="47"/>
  <c r="AA16" i="33"/>
  <c r="Z21" i="33"/>
  <c r="AA14" i="33"/>
  <c r="O12" i="45"/>
  <c r="M4" i="35"/>
  <c r="N5" i="35" s="1"/>
  <c r="Z9" i="33"/>
  <c r="AC9" i="33" s="1"/>
  <c r="AD9" i="33" s="1"/>
  <c r="AD8" i="33" s="1"/>
  <c r="X20" i="33"/>
  <c r="AB15" i="33" s="1"/>
  <c r="Y20" i="33"/>
  <c r="AA12" i="33"/>
  <c r="AB8" i="33"/>
  <c r="AC8" i="33" s="1"/>
  <c r="Z13" i="47"/>
  <c r="O18" i="47"/>
  <c r="U17" i="47"/>
  <c r="V18" i="47"/>
  <c r="W16" i="47"/>
  <c r="X16" i="47" s="1"/>
  <c r="Q16" i="47" s="1"/>
  <c r="U16" i="47"/>
  <c r="O9" i="45"/>
  <c r="R6" i="43" l="1"/>
  <c r="X6" i="43" s="1"/>
  <c r="N8" i="35"/>
  <c r="N9" i="35"/>
  <c r="V4" i="43"/>
  <c r="U5" i="43" s="1"/>
  <c r="AB18" i="33"/>
  <c r="AC18" i="33" s="1"/>
  <c r="AD18" i="33" s="1"/>
  <c r="J16" i="47"/>
  <c r="J17" i="47" s="1"/>
  <c r="T6" i="43"/>
  <c r="AC15" i="33"/>
  <c r="AD15" i="33" s="1"/>
  <c r="R15" i="47"/>
  <c r="AB12" i="33"/>
  <c r="AC12" i="33" s="1"/>
  <c r="AD12" i="33" s="1"/>
  <c r="S15" i="47"/>
  <c r="R16" i="47" s="1"/>
  <c r="AB17" i="33"/>
  <c r="AC17" i="33" s="1"/>
  <c r="AD17" i="33" s="1"/>
  <c r="N6" i="35"/>
  <c r="W17" i="47"/>
  <c r="X17" i="47" s="1"/>
  <c r="Q17" i="47" s="1"/>
  <c r="V19" i="47"/>
  <c r="K16" i="47"/>
  <c r="N6" i="43"/>
  <c r="AB14" i="33"/>
  <c r="AC14" i="33" s="1"/>
  <c r="AD14" i="33" s="1"/>
  <c r="AB13" i="33"/>
  <c r="AC13" i="33" s="1"/>
  <c r="AD13" i="33" s="1"/>
  <c r="AB16" i="33"/>
  <c r="AC16" i="33" s="1"/>
  <c r="AD16" i="33" s="1"/>
  <c r="H15" i="47"/>
  <c r="L15" i="47" s="1"/>
  <c r="Z15" i="47" s="1"/>
  <c r="M13" i="35"/>
  <c r="N13" i="35"/>
  <c r="O7" i="35"/>
  <c r="O19" i="47"/>
  <c r="U18" i="47"/>
  <c r="K5" i="35"/>
  <c r="N4" i="35" s="1"/>
  <c r="P7" i="35"/>
  <c r="Q123" i="48" l="1"/>
  <c r="P123" i="48" s="1"/>
  <c r="N123" i="48" s="1"/>
  <c r="Q119" i="48"/>
  <c r="P119" i="48" s="1"/>
  <c r="N119" i="48" s="1"/>
  <c r="Q124" i="48"/>
  <c r="P124" i="48" s="1"/>
  <c r="N124" i="48" s="1"/>
  <c r="Q120" i="48"/>
  <c r="P120" i="48" s="1"/>
  <c r="N120" i="48" s="1"/>
  <c r="Q116" i="48"/>
  <c r="P116" i="48" s="1"/>
  <c r="N116" i="48" s="1"/>
  <c r="Q112" i="48"/>
  <c r="P112" i="48" s="1"/>
  <c r="N112" i="48" s="1"/>
  <c r="Q108" i="48"/>
  <c r="P108" i="48" s="1"/>
  <c r="N108" i="48" s="1"/>
  <c r="Q104" i="48"/>
  <c r="P104" i="48" s="1"/>
  <c r="N104" i="48" s="1"/>
  <c r="Q100" i="48"/>
  <c r="P100" i="48" s="1"/>
  <c r="N100" i="48" s="1"/>
  <c r="Q96" i="48"/>
  <c r="P96" i="48" s="1"/>
  <c r="N96" i="48" s="1"/>
  <c r="Q117" i="48"/>
  <c r="P117" i="48" s="1"/>
  <c r="N117" i="48" s="1"/>
  <c r="Q105" i="48"/>
  <c r="P105" i="48" s="1"/>
  <c r="N105" i="48" s="1"/>
  <c r="Q115" i="48"/>
  <c r="P115" i="48" s="1"/>
  <c r="N115" i="48" s="1"/>
  <c r="Q111" i="48"/>
  <c r="P111" i="48" s="1"/>
  <c r="N111" i="48" s="1"/>
  <c r="Q107" i="48"/>
  <c r="P107" i="48" s="1"/>
  <c r="N107" i="48" s="1"/>
  <c r="Q103" i="48"/>
  <c r="P103" i="48" s="1"/>
  <c r="N103" i="48" s="1"/>
  <c r="Q99" i="48"/>
  <c r="P99" i="48" s="1"/>
  <c r="N99" i="48" s="1"/>
  <c r="Q95" i="48"/>
  <c r="P95" i="48" s="1"/>
  <c r="N95" i="48" s="1"/>
  <c r="Q101" i="48"/>
  <c r="P101" i="48" s="1"/>
  <c r="N101" i="48" s="1"/>
  <c r="Q122" i="48"/>
  <c r="P122" i="48" s="1"/>
  <c r="N122" i="48" s="1"/>
  <c r="Q121" i="48"/>
  <c r="P121" i="48" s="1"/>
  <c r="N121" i="48" s="1"/>
  <c r="Q118" i="48"/>
  <c r="P118" i="48" s="1"/>
  <c r="N118" i="48" s="1"/>
  <c r="Q114" i="48"/>
  <c r="P114" i="48" s="1"/>
  <c r="N114" i="48" s="1"/>
  <c r="Q110" i="48"/>
  <c r="P110" i="48" s="1"/>
  <c r="N110" i="48" s="1"/>
  <c r="Q106" i="48"/>
  <c r="P106" i="48" s="1"/>
  <c r="N106" i="48" s="1"/>
  <c r="Q102" i="48"/>
  <c r="P102" i="48" s="1"/>
  <c r="N102" i="48" s="1"/>
  <c r="Q98" i="48"/>
  <c r="P98" i="48" s="1"/>
  <c r="N98" i="48" s="1"/>
  <c r="Q94" i="48"/>
  <c r="P94" i="48" s="1"/>
  <c r="N94" i="48" s="1"/>
  <c r="Q113" i="48"/>
  <c r="P113" i="48" s="1"/>
  <c r="N113" i="48" s="1"/>
  <c r="Q109" i="48"/>
  <c r="P109" i="48" s="1"/>
  <c r="N109" i="48" s="1"/>
  <c r="Q97" i="48"/>
  <c r="P97" i="48" s="1"/>
  <c r="N97" i="48" s="1"/>
  <c r="N7" i="43"/>
  <c r="N10" i="43" s="1"/>
  <c r="N13" i="43" s="1"/>
  <c r="N9" i="43"/>
  <c r="N12" i="43" s="1"/>
  <c r="H16" i="47"/>
  <c r="L16" i="47" s="1"/>
  <c r="Z16" i="47" s="1"/>
  <c r="V5" i="43"/>
  <c r="V6" i="43" s="1"/>
  <c r="T8" i="43"/>
  <c r="R7" i="43"/>
  <c r="X7" i="43" s="1"/>
  <c r="AC20" i="33"/>
  <c r="AD20" i="33" s="1"/>
  <c r="J18" i="47"/>
  <c r="J19" i="47" s="1"/>
  <c r="J20" i="47" s="1"/>
  <c r="S16" i="47"/>
  <c r="S17" i="47" s="1"/>
  <c r="R18" i="47" s="1"/>
  <c r="M4" i="43"/>
  <c r="V20" i="47"/>
  <c r="W18" i="47"/>
  <c r="X18" i="47" s="1"/>
  <c r="Q18" i="47" s="1"/>
  <c r="N8" i="43"/>
  <c r="N11" i="43" s="1"/>
  <c r="N14" i="43" s="1"/>
  <c r="K17" i="47"/>
  <c r="K18" i="47" s="1"/>
  <c r="K19" i="47" s="1"/>
  <c r="U19" i="47"/>
  <c r="O20" i="47"/>
  <c r="U20" i="47" s="1"/>
  <c r="N7" i="35"/>
  <c r="N12" i="35"/>
  <c r="M12" i="35"/>
  <c r="Q151" i="48" l="1"/>
  <c r="P151" i="48" s="1"/>
  <c r="N151" i="48" s="1"/>
  <c r="Q147" i="48"/>
  <c r="P147" i="48" s="1"/>
  <c r="N147" i="48" s="1"/>
  <c r="Q143" i="48"/>
  <c r="P143" i="48" s="1"/>
  <c r="N143" i="48" s="1"/>
  <c r="Q139" i="48"/>
  <c r="P139" i="48" s="1"/>
  <c r="N139" i="48" s="1"/>
  <c r="Q135" i="48"/>
  <c r="P135" i="48" s="1"/>
  <c r="N135" i="48" s="1"/>
  <c r="Q131" i="48"/>
  <c r="P131" i="48" s="1"/>
  <c r="N131" i="48" s="1"/>
  <c r="Q127" i="48"/>
  <c r="P127" i="48" s="1"/>
  <c r="N127" i="48" s="1"/>
  <c r="Q154" i="48"/>
  <c r="P154" i="48" s="1"/>
  <c r="N154" i="48" s="1"/>
  <c r="Q150" i="48"/>
  <c r="P150" i="48" s="1"/>
  <c r="N150" i="48" s="1"/>
  <c r="Q146" i="48"/>
  <c r="P146" i="48" s="1"/>
  <c r="N146" i="48" s="1"/>
  <c r="Q142" i="48"/>
  <c r="P142" i="48" s="1"/>
  <c r="N142" i="48" s="1"/>
  <c r="Q153" i="48"/>
  <c r="P153" i="48" s="1"/>
  <c r="N153" i="48" s="1"/>
  <c r="Q149" i="48"/>
  <c r="P149" i="48" s="1"/>
  <c r="N149" i="48" s="1"/>
  <c r="Q152" i="48"/>
  <c r="P152" i="48" s="1"/>
  <c r="N152" i="48" s="1"/>
  <c r="Q148" i="48"/>
  <c r="P148" i="48" s="1"/>
  <c r="N148" i="48" s="1"/>
  <c r="Q144" i="48"/>
  <c r="P144" i="48" s="1"/>
  <c r="N144" i="48" s="1"/>
  <c r="Q140" i="48"/>
  <c r="P140" i="48" s="1"/>
  <c r="N140" i="48" s="1"/>
  <c r="Q136" i="48"/>
  <c r="P136" i="48" s="1"/>
  <c r="N136" i="48" s="1"/>
  <c r="Q132" i="48"/>
  <c r="P132" i="48" s="1"/>
  <c r="N132" i="48" s="1"/>
  <c r="Q128" i="48"/>
  <c r="P128" i="48" s="1"/>
  <c r="N128" i="48" s="1"/>
  <c r="Q145" i="48"/>
  <c r="P145" i="48" s="1"/>
  <c r="N145" i="48" s="1"/>
  <c r="Q141" i="48"/>
  <c r="P141" i="48" s="1"/>
  <c r="N141" i="48" s="1"/>
  <c r="Q138" i="48"/>
  <c r="P138" i="48" s="1"/>
  <c r="N138" i="48" s="1"/>
  <c r="Q137" i="48"/>
  <c r="P137" i="48" s="1"/>
  <c r="N137" i="48" s="1"/>
  <c r="Q134" i="48"/>
  <c r="P134" i="48" s="1"/>
  <c r="N134" i="48" s="1"/>
  <c r="Q133" i="48"/>
  <c r="P133" i="48" s="1"/>
  <c r="N133" i="48" s="1"/>
  <c r="Q130" i="48"/>
  <c r="P130" i="48" s="1"/>
  <c r="N130" i="48" s="1"/>
  <c r="Q129" i="48"/>
  <c r="P129" i="48" s="1"/>
  <c r="N129" i="48" s="1"/>
  <c r="Q126" i="48"/>
  <c r="P126" i="48" s="1"/>
  <c r="N126" i="48" s="1"/>
  <c r="Q125" i="48"/>
  <c r="P125" i="48" s="1"/>
  <c r="N125" i="48" s="1"/>
  <c r="U7" i="43"/>
  <c r="V9" i="43"/>
  <c r="T7" i="43"/>
  <c r="U6" i="43"/>
  <c r="V7" i="43"/>
  <c r="R8" i="43"/>
  <c r="X8" i="43" s="1"/>
  <c r="S18" i="47"/>
  <c r="S19" i="47" s="1"/>
  <c r="R20" i="47" s="1"/>
  <c r="R17" i="47"/>
  <c r="H19" i="47"/>
  <c r="L19" i="47" s="1"/>
  <c r="Z19" i="47" s="1"/>
  <c r="K20" i="47"/>
  <c r="H20" i="47" s="1"/>
  <c r="L20" i="47" s="1"/>
  <c r="Z20" i="47" s="1"/>
  <c r="H17" i="47"/>
  <c r="L17" i="47" s="1"/>
  <c r="Z17" i="47" s="1"/>
  <c r="H18" i="47"/>
  <c r="L18" i="47" s="1"/>
  <c r="Z18" i="47" s="1"/>
  <c r="W19" i="47"/>
  <c r="X19" i="47" s="1"/>
  <c r="Q19" i="47" s="1"/>
  <c r="V21" i="47"/>
  <c r="W20" i="47" s="1"/>
  <c r="X20" i="47" s="1"/>
  <c r="Q20" i="47" s="1"/>
  <c r="M5" i="43"/>
  <c r="Q183" i="48" l="1"/>
  <c r="P183" i="48" s="1"/>
  <c r="N183" i="48" s="1"/>
  <c r="Q179" i="48"/>
  <c r="P179" i="48" s="1"/>
  <c r="N179" i="48" s="1"/>
  <c r="Q175" i="48"/>
  <c r="P175" i="48" s="1"/>
  <c r="N175" i="48" s="1"/>
  <c r="Q171" i="48"/>
  <c r="P171" i="48" s="1"/>
  <c r="N171" i="48" s="1"/>
  <c r="Q167" i="48"/>
  <c r="P167" i="48" s="1"/>
  <c r="N167" i="48" s="1"/>
  <c r="Q163" i="48"/>
  <c r="P163" i="48" s="1"/>
  <c r="N163" i="48" s="1"/>
  <c r="Q159" i="48"/>
  <c r="P159" i="48" s="1"/>
  <c r="N159" i="48" s="1"/>
  <c r="Q155" i="48"/>
  <c r="P155" i="48" s="1"/>
  <c r="N155" i="48" s="1"/>
  <c r="Q182" i="48"/>
  <c r="P182" i="48" s="1"/>
  <c r="N182" i="48" s="1"/>
  <c r="Q178" i="48"/>
  <c r="P178" i="48" s="1"/>
  <c r="N178" i="48" s="1"/>
  <c r="Q174" i="48"/>
  <c r="P174" i="48" s="1"/>
  <c r="N174" i="48" s="1"/>
  <c r="Q170" i="48"/>
  <c r="P170" i="48" s="1"/>
  <c r="N170" i="48" s="1"/>
  <c r="Q166" i="48"/>
  <c r="P166" i="48" s="1"/>
  <c r="N166" i="48" s="1"/>
  <c r="Q162" i="48"/>
  <c r="P162" i="48" s="1"/>
  <c r="N162" i="48" s="1"/>
  <c r="Q158" i="48"/>
  <c r="P158" i="48" s="1"/>
  <c r="N158" i="48" s="1"/>
  <c r="Q185" i="48"/>
  <c r="P185" i="48" s="1"/>
  <c r="N185" i="48" s="1"/>
  <c r="Q181" i="48"/>
  <c r="P181" i="48" s="1"/>
  <c r="N181" i="48" s="1"/>
  <c r="Q177" i="48"/>
  <c r="P177" i="48" s="1"/>
  <c r="N177" i="48" s="1"/>
  <c r="Q173" i="48"/>
  <c r="P173" i="48" s="1"/>
  <c r="N173" i="48" s="1"/>
  <c r="Q169" i="48"/>
  <c r="P169" i="48" s="1"/>
  <c r="N169" i="48" s="1"/>
  <c r="Q165" i="48"/>
  <c r="P165" i="48" s="1"/>
  <c r="N165" i="48" s="1"/>
  <c r="Q161" i="48"/>
  <c r="P161" i="48" s="1"/>
  <c r="N161" i="48" s="1"/>
  <c r="Q157" i="48"/>
  <c r="P157" i="48" s="1"/>
  <c r="N157" i="48" s="1"/>
  <c r="Q184" i="48"/>
  <c r="P184" i="48" s="1"/>
  <c r="N184" i="48" s="1"/>
  <c r="Q180" i="48"/>
  <c r="P180" i="48" s="1"/>
  <c r="N180" i="48" s="1"/>
  <c r="Q176" i="48"/>
  <c r="P176" i="48" s="1"/>
  <c r="N176" i="48" s="1"/>
  <c r="Q172" i="48"/>
  <c r="P172" i="48" s="1"/>
  <c r="N172" i="48" s="1"/>
  <c r="Q168" i="48"/>
  <c r="P168" i="48" s="1"/>
  <c r="N168" i="48" s="1"/>
  <c r="Q164" i="48"/>
  <c r="P164" i="48" s="1"/>
  <c r="N164" i="48" s="1"/>
  <c r="Q160" i="48"/>
  <c r="P160" i="48" s="1"/>
  <c r="N160" i="48" s="1"/>
  <c r="Q156" i="48"/>
  <c r="P156" i="48" s="1"/>
  <c r="N156" i="48" s="1"/>
  <c r="V12" i="43"/>
  <c r="V8" i="43"/>
  <c r="V10" i="43"/>
  <c r="R9" i="43"/>
  <c r="U8" i="43"/>
  <c r="S20" i="47"/>
  <c r="R19" i="47"/>
  <c r="O5" i="43"/>
  <c r="M6" i="43"/>
  <c r="R10" i="43" l="1"/>
  <c r="X10" i="43" s="1"/>
  <c r="X9" i="43"/>
  <c r="V11" i="43"/>
  <c r="U13" i="43" s="1"/>
  <c r="U11" i="43"/>
  <c r="U10" i="43"/>
  <c r="R11" i="43"/>
  <c r="X11" i="43" s="1"/>
  <c r="V13" i="43"/>
  <c r="U9" i="43"/>
  <c r="O6" i="43"/>
  <c r="M7" i="43"/>
  <c r="Q276" i="48" l="1"/>
  <c r="Q272" i="48"/>
  <c r="Q268" i="48"/>
  <c r="Q264" i="48"/>
  <c r="Q260" i="48"/>
  <c r="Q256" i="48"/>
  <c r="Q252" i="48"/>
  <c r="Q275" i="48"/>
  <c r="Q271" i="48"/>
  <c r="Q267" i="48"/>
  <c r="Q263" i="48"/>
  <c r="Q259" i="48"/>
  <c r="Q255" i="48"/>
  <c r="Q251" i="48"/>
  <c r="Q277" i="48"/>
  <c r="Q273" i="48"/>
  <c r="Q269" i="48"/>
  <c r="Q265" i="48"/>
  <c r="Q261" i="48"/>
  <c r="Q257" i="48"/>
  <c r="Q253" i="48"/>
  <c r="Q247" i="48"/>
  <c r="Q274" i="48"/>
  <c r="Q266" i="48"/>
  <c r="Q258" i="48"/>
  <c r="Q250" i="48"/>
  <c r="Q249" i="48"/>
  <c r="Q270" i="48"/>
  <c r="Q262" i="48"/>
  <c r="Q254" i="48"/>
  <c r="Q248" i="48"/>
  <c r="Q243" i="48"/>
  <c r="Q239" i="48"/>
  <c r="Q235" i="48"/>
  <c r="Q231" i="48"/>
  <c r="Q227" i="48"/>
  <c r="Q223" i="48"/>
  <c r="Q219" i="48"/>
  <c r="Q246" i="48"/>
  <c r="Q242" i="48"/>
  <c r="Q238" i="48"/>
  <c r="Q234" i="48"/>
  <c r="Q230" i="48"/>
  <c r="Q226" i="48"/>
  <c r="Q222" i="48"/>
  <c r="Q218" i="48"/>
  <c r="Q245" i="48"/>
  <c r="Q241" i="48"/>
  <c r="Q237" i="48"/>
  <c r="Q233" i="48"/>
  <c r="Q229" i="48"/>
  <c r="Q225" i="48"/>
  <c r="Q221" i="48"/>
  <c r="Q217" i="48"/>
  <c r="Q244" i="48"/>
  <c r="Q240" i="48"/>
  <c r="Q236" i="48"/>
  <c r="Q232" i="48"/>
  <c r="Q228" i="48"/>
  <c r="Q224" i="48"/>
  <c r="Q220" i="48"/>
  <c r="Q215" i="48"/>
  <c r="Q211" i="48"/>
  <c r="Q207" i="48"/>
  <c r="Q203" i="48"/>
  <c r="Q199" i="48"/>
  <c r="Q195" i="48"/>
  <c r="Q191" i="48"/>
  <c r="Q187" i="48"/>
  <c r="Q214" i="48"/>
  <c r="Q210" i="48"/>
  <c r="Q206" i="48"/>
  <c r="Q202" i="48"/>
  <c r="Q198" i="48"/>
  <c r="Q194" i="48"/>
  <c r="Q190" i="48"/>
  <c r="Q186" i="48"/>
  <c r="Q213" i="48"/>
  <c r="Q209" i="48"/>
  <c r="Q205" i="48"/>
  <c r="Q201" i="48"/>
  <c r="Q197" i="48"/>
  <c r="Q193" i="48"/>
  <c r="Q189" i="48"/>
  <c r="Q216" i="48"/>
  <c r="Q212" i="48"/>
  <c r="Q208" i="48"/>
  <c r="Q204" i="48"/>
  <c r="Q200" i="48"/>
  <c r="Q196" i="48"/>
  <c r="Q192" i="48"/>
  <c r="Q188" i="48"/>
  <c r="R12" i="43"/>
  <c r="V14" i="43"/>
  <c r="U14" i="43"/>
  <c r="U12" i="43"/>
  <c r="O7" i="43"/>
  <c r="M8" i="43"/>
  <c r="P201" i="48" l="1"/>
  <c r="N201" i="48" s="1"/>
  <c r="P221" i="48"/>
  <c r="N221" i="48" s="1"/>
  <c r="P206" i="48"/>
  <c r="N206" i="48" s="1"/>
  <c r="P191" i="48"/>
  <c r="N191" i="48" s="1"/>
  <c r="P207" i="48"/>
  <c r="N207" i="48" s="1"/>
  <c r="P224" i="48"/>
  <c r="N224" i="48" s="1"/>
  <c r="P240" i="48"/>
  <c r="N240" i="48" s="1"/>
  <c r="P225" i="48"/>
  <c r="N225" i="48" s="1"/>
  <c r="P241" i="48"/>
  <c r="N241" i="48" s="1"/>
  <c r="P226" i="48"/>
  <c r="N226" i="48" s="1"/>
  <c r="P242" i="48"/>
  <c r="N242" i="48" s="1"/>
  <c r="P227" i="48"/>
  <c r="N227" i="48" s="1"/>
  <c r="P243" i="48"/>
  <c r="N243" i="48" s="1"/>
  <c r="P270" i="48"/>
  <c r="N270" i="48" s="1"/>
  <c r="P266" i="48"/>
  <c r="N266" i="48" s="1"/>
  <c r="P257" i="48"/>
  <c r="N257" i="48" s="1"/>
  <c r="P273" i="48"/>
  <c r="N273" i="48" s="1"/>
  <c r="P259" i="48"/>
  <c r="N259" i="48" s="1"/>
  <c r="P275" i="48"/>
  <c r="N275" i="48" s="1"/>
  <c r="P264" i="48"/>
  <c r="N264" i="48" s="1"/>
  <c r="P216" i="48"/>
  <c r="N216" i="48" s="1"/>
  <c r="P202" i="48"/>
  <c r="N202" i="48" s="1"/>
  <c r="P203" i="48"/>
  <c r="N203" i="48" s="1"/>
  <c r="P236" i="48"/>
  <c r="N236" i="48" s="1"/>
  <c r="P237" i="48"/>
  <c r="N237" i="48" s="1"/>
  <c r="P188" i="48"/>
  <c r="N188" i="48" s="1"/>
  <c r="P189" i="48"/>
  <c r="N189" i="48" s="1"/>
  <c r="P190" i="48"/>
  <c r="N190" i="48" s="1"/>
  <c r="P192" i="48"/>
  <c r="N192" i="48" s="1"/>
  <c r="P208" i="48"/>
  <c r="N208" i="48" s="1"/>
  <c r="P193" i="48"/>
  <c r="N193" i="48" s="1"/>
  <c r="P209" i="48"/>
  <c r="N209" i="48" s="1"/>
  <c r="P194" i="48"/>
  <c r="N194" i="48" s="1"/>
  <c r="P210" i="48"/>
  <c r="N210" i="48" s="1"/>
  <c r="P195" i="48"/>
  <c r="N195" i="48" s="1"/>
  <c r="P211" i="48"/>
  <c r="N211" i="48" s="1"/>
  <c r="P228" i="48"/>
  <c r="N228" i="48" s="1"/>
  <c r="P244" i="48"/>
  <c r="N244" i="48" s="1"/>
  <c r="P229" i="48"/>
  <c r="N229" i="48" s="1"/>
  <c r="P245" i="48"/>
  <c r="N245" i="48" s="1"/>
  <c r="P230" i="48"/>
  <c r="N230" i="48" s="1"/>
  <c r="P246" i="48"/>
  <c r="N246" i="48" s="1"/>
  <c r="P231" i="48"/>
  <c r="N231" i="48" s="1"/>
  <c r="P248" i="48"/>
  <c r="N248" i="48" s="1"/>
  <c r="P249" i="48"/>
  <c r="N249" i="48" s="1"/>
  <c r="P274" i="48"/>
  <c r="N274" i="48" s="1"/>
  <c r="P261" i="48"/>
  <c r="N261" i="48" s="1"/>
  <c r="P277" i="48"/>
  <c r="N277" i="48" s="1"/>
  <c r="P263" i="48"/>
  <c r="N263" i="48" s="1"/>
  <c r="P252" i="48"/>
  <c r="N252" i="48" s="1"/>
  <c r="P268" i="48"/>
  <c r="N268" i="48" s="1"/>
  <c r="P200" i="48"/>
  <c r="N200" i="48" s="1"/>
  <c r="P186" i="48"/>
  <c r="N186" i="48" s="1"/>
  <c r="P187" i="48"/>
  <c r="N187" i="48" s="1"/>
  <c r="P220" i="48"/>
  <c r="N220" i="48" s="1"/>
  <c r="P222" i="48"/>
  <c r="N222" i="48" s="1"/>
  <c r="P204" i="48"/>
  <c r="N204" i="48" s="1"/>
  <c r="P205" i="48"/>
  <c r="N205" i="48" s="1"/>
  <c r="P196" i="48"/>
  <c r="N196" i="48" s="1"/>
  <c r="P212" i="48"/>
  <c r="N212" i="48" s="1"/>
  <c r="P197" i="48"/>
  <c r="N197" i="48" s="1"/>
  <c r="P213" i="48"/>
  <c r="N213" i="48" s="1"/>
  <c r="P198" i="48"/>
  <c r="N198" i="48" s="1"/>
  <c r="P214" i="48"/>
  <c r="N214" i="48" s="1"/>
  <c r="P199" i="48"/>
  <c r="N199" i="48" s="1"/>
  <c r="P215" i="48"/>
  <c r="N215" i="48" s="1"/>
  <c r="P232" i="48"/>
  <c r="N232" i="48" s="1"/>
  <c r="P217" i="48"/>
  <c r="N217" i="48" s="1"/>
  <c r="P233" i="48"/>
  <c r="N233" i="48" s="1"/>
  <c r="P218" i="48"/>
  <c r="N218" i="48" s="1"/>
  <c r="P234" i="48"/>
  <c r="N234" i="48" s="1"/>
  <c r="P219" i="48"/>
  <c r="N219" i="48" s="1"/>
  <c r="P235" i="48"/>
  <c r="N235" i="48" s="1"/>
  <c r="P254" i="48"/>
  <c r="N254" i="48" s="1"/>
  <c r="P250" i="48"/>
  <c r="N250" i="48" s="1"/>
  <c r="P247" i="48"/>
  <c r="N247" i="48" s="1"/>
  <c r="P265" i="48"/>
  <c r="N265" i="48" s="1"/>
  <c r="P251" i="48"/>
  <c r="N251" i="48" s="1"/>
  <c r="P267" i="48"/>
  <c r="N267" i="48" s="1"/>
  <c r="P256" i="48"/>
  <c r="N256" i="48" s="1"/>
  <c r="P272" i="48"/>
  <c r="N272" i="48" s="1"/>
  <c r="P238" i="48"/>
  <c r="N238" i="48" s="1"/>
  <c r="P223" i="48"/>
  <c r="N223" i="48" s="1"/>
  <c r="P239" i="48"/>
  <c r="N239" i="48" s="1"/>
  <c r="P262" i="48"/>
  <c r="N262" i="48" s="1"/>
  <c r="P258" i="48"/>
  <c r="N258" i="48" s="1"/>
  <c r="P253" i="48"/>
  <c r="N253" i="48" s="1"/>
  <c r="P269" i="48"/>
  <c r="N269" i="48" s="1"/>
  <c r="P255" i="48"/>
  <c r="N255" i="48" s="1"/>
  <c r="P271" i="48"/>
  <c r="N271" i="48" s="1"/>
  <c r="P260" i="48"/>
  <c r="N260" i="48" s="1"/>
  <c r="P276" i="48"/>
  <c r="N276" i="48" s="1"/>
  <c r="R13" i="43"/>
  <c r="X13" i="43" s="1"/>
  <c r="X12" i="43"/>
  <c r="O8" i="43"/>
  <c r="M9" i="43"/>
  <c r="M10" i="43" s="1"/>
  <c r="Q304" i="48" l="1"/>
  <c r="Q300" i="48"/>
  <c r="Q296" i="48"/>
  <c r="Q292" i="48"/>
  <c r="Q288" i="48"/>
  <c r="Q284" i="48"/>
  <c r="Q280" i="48"/>
  <c r="Q307" i="48"/>
  <c r="Q303" i="48"/>
  <c r="Q299" i="48"/>
  <c r="Q295" i="48"/>
  <c r="Q291" i="48"/>
  <c r="Q287" i="48"/>
  <c r="Q283" i="48"/>
  <c r="Q279" i="48"/>
  <c r="Q305" i="48"/>
  <c r="Q301" i="48"/>
  <c r="Q297" i="48"/>
  <c r="Q293" i="48"/>
  <c r="Q289" i="48"/>
  <c r="Q285" i="48"/>
  <c r="Q281" i="48"/>
  <c r="Q306" i="48"/>
  <c r="Q298" i="48"/>
  <c r="Q290" i="48"/>
  <c r="Q282" i="48"/>
  <c r="Q302" i="48"/>
  <c r="Q294" i="48"/>
  <c r="Q286" i="48"/>
  <c r="Q278" i="48"/>
  <c r="Q324" i="48"/>
  <c r="Q320" i="48"/>
  <c r="Q316" i="48"/>
  <c r="Q312" i="48"/>
  <c r="Q308" i="48"/>
  <c r="Q326" i="48"/>
  <c r="Q328" i="48"/>
  <c r="Q330" i="48"/>
  <c r="Q332" i="48"/>
  <c r="Q334" i="48"/>
  <c r="Q336" i="48"/>
  <c r="Q338" i="48"/>
  <c r="Q323" i="48"/>
  <c r="Q319" i="48"/>
  <c r="Q315" i="48"/>
  <c r="Q311" i="48"/>
  <c r="Q325" i="48"/>
  <c r="Q327" i="48"/>
  <c r="Q329" i="48"/>
  <c r="Q331" i="48"/>
  <c r="Q333" i="48"/>
  <c r="Q335" i="48"/>
  <c r="Q337" i="48"/>
  <c r="Q321" i="48"/>
  <c r="Q317" i="48"/>
  <c r="Q313" i="48"/>
  <c r="Q309" i="48"/>
  <c r="Q322" i="48"/>
  <c r="Q314" i="48"/>
  <c r="Q318" i="48"/>
  <c r="Q310" i="48"/>
  <c r="R14" i="43"/>
  <c r="X14" i="43" s="1"/>
  <c r="M11" i="43"/>
  <c r="P313" i="48" l="1"/>
  <c r="N313" i="48" s="1"/>
  <c r="P334" i="48"/>
  <c r="N334" i="48" s="1"/>
  <c r="P294" i="48"/>
  <c r="N294" i="48" s="1"/>
  <c r="P305" i="48"/>
  <c r="N305" i="48" s="1"/>
  <c r="P292" i="48"/>
  <c r="N292" i="48" s="1"/>
  <c r="P314" i="48"/>
  <c r="N314" i="48" s="1"/>
  <c r="P317" i="48"/>
  <c r="N317" i="48" s="1"/>
  <c r="P333" i="48"/>
  <c r="N333" i="48" s="1"/>
  <c r="P325" i="48"/>
  <c r="N325" i="48" s="1"/>
  <c r="P323" i="48"/>
  <c r="N323" i="48" s="1"/>
  <c r="P332" i="48"/>
  <c r="N332" i="48" s="1"/>
  <c r="P308" i="48"/>
  <c r="N308" i="48" s="1"/>
  <c r="P324" i="48"/>
  <c r="N324" i="48" s="1"/>
  <c r="P302" i="48"/>
  <c r="N302" i="48" s="1"/>
  <c r="P306" i="48"/>
  <c r="N306" i="48" s="1"/>
  <c r="P293" i="48"/>
  <c r="N293" i="48" s="1"/>
  <c r="P279" i="48"/>
  <c r="N279" i="48" s="1"/>
  <c r="P295" i="48"/>
  <c r="N295" i="48" s="1"/>
  <c r="P280" i="48"/>
  <c r="N280" i="48" s="1"/>
  <c r="P296" i="48"/>
  <c r="N296" i="48" s="1"/>
  <c r="P318" i="48"/>
  <c r="N318" i="48" s="1"/>
  <c r="P327" i="48"/>
  <c r="N327" i="48" s="1"/>
  <c r="P319" i="48"/>
  <c r="N319" i="48" s="1"/>
  <c r="P320" i="48"/>
  <c r="N320" i="48" s="1"/>
  <c r="P289" i="48"/>
  <c r="N289" i="48" s="1"/>
  <c r="P307" i="48"/>
  <c r="N307" i="48" s="1"/>
  <c r="P322" i="48"/>
  <c r="N322" i="48" s="1"/>
  <c r="P321" i="48"/>
  <c r="N321" i="48" s="1"/>
  <c r="P331" i="48"/>
  <c r="N331" i="48" s="1"/>
  <c r="P311" i="48"/>
  <c r="N311" i="48" s="1"/>
  <c r="P338" i="48"/>
  <c r="N338" i="48" s="1"/>
  <c r="P330" i="48"/>
  <c r="N330" i="48" s="1"/>
  <c r="P312" i="48"/>
  <c r="N312" i="48" s="1"/>
  <c r="P278" i="48"/>
  <c r="N278" i="48" s="1"/>
  <c r="P282" i="48"/>
  <c r="N282" i="48" s="1"/>
  <c r="P281" i="48"/>
  <c r="N281" i="48" s="1"/>
  <c r="P297" i="48"/>
  <c r="N297" i="48" s="1"/>
  <c r="P283" i="48"/>
  <c r="N283" i="48" s="1"/>
  <c r="P299" i="48"/>
  <c r="N299" i="48" s="1"/>
  <c r="P284" i="48"/>
  <c r="N284" i="48" s="1"/>
  <c r="P300" i="48"/>
  <c r="N300" i="48" s="1"/>
  <c r="P335" i="48"/>
  <c r="N335" i="48" s="1"/>
  <c r="P326" i="48"/>
  <c r="N326" i="48" s="1"/>
  <c r="P298" i="48"/>
  <c r="N298" i="48" s="1"/>
  <c r="P291" i="48"/>
  <c r="N291" i="48" s="1"/>
  <c r="P310" i="48"/>
  <c r="N310" i="48" s="1"/>
  <c r="P309" i="48"/>
  <c r="N309" i="48" s="1"/>
  <c r="P337" i="48"/>
  <c r="N337" i="48" s="1"/>
  <c r="P329" i="48"/>
  <c r="N329" i="48" s="1"/>
  <c r="P315" i="48"/>
  <c r="N315" i="48" s="1"/>
  <c r="P336" i="48"/>
  <c r="N336" i="48" s="1"/>
  <c r="P328" i="48"/>
  <c r="N328" i="48" s="1"/>
  <c r="P316" i="48"/>
  <c r="N316" i="48" s="1"/>
  <c r="P286" i="48"/>
  <c r="N286" i="48" s="1"/>
  <c r="P290" i="48"/>
  <c r="N290" i="48" s="1"/>
  <c r="P285" i="48"/>
  <c r="N285" i="48" s="1"/>
  <c r="P301" i="48"/>
  <c r="N301" i="48" s="1"/>
  <c r="P287" i="48"/>
  <c r="N287" i="48" s="1"/>
  <c r="P303" i="48"/>
  <c r="N303" i="48" s="1"/>
  <c r="P288" i="48"/>
  <c r="N288" i="48" s="1"/>
  <c r="P304" i="48"/>
  <c r="N304" i="48" s="1"/>
  <c r="Q340" i="48"/>
  <c r="Q342" i="48"/>
  <c r="Q344" i="48"/>
  <c r="Q346" i="48"/>
  <c r="Q348" i="48"/>
  <c r="Q350" i="48"/>
  <c r="Q352" i="48"/>
  <c r="Q354" i="48"/>
  <c r="Q356" i="48"/>
  <c r="Q358" i="48"/>
  <c r="Q360" i="48"/>
  <c r="Q362" i="48"/>
  <c r="Q364" i="48"/>
  <c r="Q366" i="48"/>
  <c r="Q368" i="48"/>
  <c r="Q339" i="48"/>
  <c r="Q341" i="48"/>
  <c r="Q343" i="48"/>
  <c r="Q345" i="48"/>
  <c r="Q347" i="48"/>
  <c r="Q349" i="48"/>
  <c r="Q351" i="48"/>
  <c r="Q353" i="48"/>
  <c r="Q355" i="48"/>
  <c r="Q357" i="48"/>
  <c r="Q359" i="48"/>
  <c r="Q361" i="48"/>
  <c r="Q363" i="48"/>
  <c r="Q365" i="48"/>
  <c r="Q367" i="48"/>
  <c r="Q369" i="48"/>
  <c r="M12" i="43"/>
  <c r="M13" i="43" s="1"/>
  <c r="P351" i="48" l="1"/>
  <c r="N351" i="48" s="1"/>
  <c r="P365" i="48"/>
  <c r="N365" i="48" s="1"/>
  <c r="P357" i="48"/>
  <c r="N357" i="48" s="1"/>
  <c r="P349" i="48"/>
  <c r="N349" i="48" s="1"/>
  <c r="P341" i="48"/>
  <c r="N341" i="48" s="1"/>
  <c r="P364" i="48"/>
  <c r="N364" i="48" s="1"/>
  <c r="P356" i="48"/>
  <c r="N356" i="48" s="1"/>
  <c r="P348" i="48"/>
  <c r="N348" i="48" s="1"/>
  <c r="P340" i="48"/>
  <c r="N340" i="48" s="1"/>
  <c r="P359" i="48"/>
  <c r="N359" i="48" s="1"/>
  <c r="P343" i="48"/>
  <c r="N343" i="48" s="1"/>
  <c r="P366" i="48"/>
  <c r="N366" i="48" s="1"/>
  <c r="P358" i="48"/>
  <c r="N358" i="48" s="1"/>
  <c r="P350" i="48"/>
  <c r="N350" i="48" s="1"/>
  <c r="P342" i="48"/>
  <c r="N342" i="48" s="1"/>
  <c r="P363" i="48"/>
  <c r="N363" i="48" s="1"/>
  <c r="P347" i="48"/>
  <c r="N347" i="48" s="1"/>
  <c r="P354" i="48"/>
  <c r="N354" i="48" s="1"/>
  <c r="P367" i="48"/>
  <c r="N367" i="48" s="1"/>
  <c r="P355" i="48"/>
  <c r="N355" i="48" s="1"/>
  <c r="P339" i="48"/>
  <c r="N339" i="48" s="1"/>
  <c r="P362" i="48"/>
  <c r="N362" i="48" s="1"/>
  <c r="P346" i="48"/>
  <c r="N346" i="48" s="1"/>
  <c r="P369" i="48"/>
  <c r="N369" i="48" s="1"/>
  <c r="P361" i="48"/>
  <c r="N361" i="48" s="1"/>
  <c r="P353" i="48"/>
  <c r="N353" i="48" s="1"/>
  <c r="P345" i="48"/>
  <c r="N345" i="48" s="1"/>
  <c r="P368" i="48"/>
  <c r="N368" i="48" s="1"/>
  <c r="P360" i="48"/>
  <c r="N360" i="48" s="1"/>
  <c r="P352" i="48"/>
  <c r="N352" i="48" s="1"/>
  <c r="P344" i="48"/>
  <c r="N344" i="48" s="1"/>
  <c r="M14" i="43"/>
  <c r="H2" i="28" l="1"/>
  <c r="G2" i="28"/>
  <c r="E2" i="28"/>
  <c r="F2" i="28"/>
  <c r="H319" i="48" l="1"/>
  <c r="J319" i="48"/>
  <c r="K319" i="48"/>
  <c r="M319" i="48"/>
  <c r="M159" i="48"/>
  <c r="H159" i="48"/>
  <c r="K159" i="48"/>
  <c r="J159" i="48"/>
  <c r="M223" i="48"/>
  <c r="J223" i="48"/>
  <c r="K223" i="48"/>
  <c r="H223" i="48"/>
  <c r="J287" i="48"/>
  <c r="H287" i="48"/>
  <c r="K287" i="48"/>
  <c r="M287" i="48"/>
  <c r="J351" i="48"/>
  <c r="M351" i="48"/>
  <c r="K351" i="48"/>
  <c r="H351" i="48"/>
  <c r="J191" i="48"/>
  <c r="M191" i="48"/>
  <c r="K191" i="48"/>
  <c r="H191" i="48"/>
  <c r="J60" i="48"/>
  <c r="M60" i="48"/>
  <c r="K60" i="48"/>
  <c r="H60" i="48"/>
  <c r="J255" i="48"/>
  <c r="H255" i="48"/>
  <c r="K255" i="48"/>
  <c r="M255" i="48"/>
  <c r="M121" i="48"/>
  <c r="J121" i="48"/>
  <c r="K121" i="48"/>
  <c r="H121" i="48"/>
  <c r="J343" i="48"/>
  <c r="M343" i="48"/>
  <c r="K343" i="48"/>
  <c r="H343" i="48"/>
  <c r="H311" i="48"/>
  <c r="M311" i="48"/>
  <c r="K311" i="48"/>
  <c r="J311" i="48"/>
  <c r="H279" i="48"/>
  <c r="J279" i="48"/>
  <c r="K279" i="48"/>
  <c r="M279" i="48"/>
  <c r="H247" i="48"/>
  <c r="J247" i="48"/>
  <c r="K247" i="48"/>
  <c r="M247" i="48"/>
  <c r="M215" i="48"/>
  <c r="H215" i="48"/>
  <c r="K215" i="48"/>
  <c r="J215" i="48"/>
  <c r="M183" i="48"/>
  <c r="H183" i="48"/>
  <c r="K183" i="48"/>
  <c r="J183" i="48"/>
  <c r="H151" i="48"/>
  <c r="M151" i="48"/>
  <c r="K151" i="48"/>
  <c r="J151" i="48"/>
  <c r="M108" i="48"/>
  <c r="J108" i="48"/>
  <c r="K108" i="48"/>
  <c r="H108" i="48"/>
  <c r="J44" i="48"/>
  <c r="H44" i="48"/>
  <c r="K44" i="48"/>
  <c r="M44" i="48"/>
  <c r="H367" i="48"/>
  <c r="M367" i="48"/>
  <c r="K367" i="48"/>
  <c r="J367" i="48"/>
  <c r="H335" i="48"/>
  <c r="J335" i="48"/>
  <c r="K335" i="48"/>
  <c r="M335" i="48"/>
  <c r="H303" i="48"/>
  <c r="M303" i="48"/>
  <c r="K303" i="48"/>
  <c r="J303" i="48"/>
  <c r="M271" i="48"/>
  <c r="H271" i="48"/>
  <c r="K271" i="48"/>
  <c r="J271" i="48"/>
  <c r="H239" i="48"/>
  <c r="M239" i="48"/>
  <c r="K239" i="48"/>
  <c r="J239" i="48"/>
  <c r="H207" i="48"/>
  <c r="J207" i="48"/>
  <c r="K207" i="48"/>
  <c r="M207" i="48"/>
  <c r="J175" i="48"/>
  <c r="M175" i="48"/>
  <c r="K175" i="48"/>
  <c r="H175" i="48"/>
  <c r="H143" i="48"/>
  <c r="J143" i="48"/>
  <c r="K143" i="48"/>
  <c r="M143" i="48"/>
  <c r="J92" i="48"/>
  <c r="M92" i="48"/>
  <c r="K92" i="48"/>
  <c r="H92" i="48"/>
  <c r="H28" i="48"/>
  <c r="J28" i="48"/>
  <c r="K28" i="48"/>
  <c r="M28" i="48"/>
  <c r="H359" i="48"/>
  <c r="M359" i="48"/>
  <c r="K359" i="48"/>
  <c r="J359" i="48"/>
  <c r="M327" i="48"/>
  <c r="J327" i="48"/>
  <c r="K327" i="48"/>
  <c r="H327" i="48"/>
  <c r="M295" i="48"/>
  <c r="J295" i="48"/>
  <c r="K295" i="48"/>
  <c r="H295" i="48"/>
  <c r="M263" i="48"/>
  <c r="J263" i="48"/>
  <c r="K263" i="48"/>
  <c r="H263" i="48"/>
  <c r="H231" i="48"/>
  <c r="J231" i="48"/>
  <c r="K231" i="48"/>
  <c r="M231" i="48"/>
  <c r="M199" i="48"/>
  <c r="J199" i="48"/>
  <c r="K199" i="48"/>
  <c r="H199" i="48"/>
  <c r="H167" i="48"/>
  <c r="M167" i="48"/>
  <c r="K167" i="48"/>
  <c r="J167" i="48"/>
  <c r="H132" i="48"/>
  <c r="M132" i="48"/>
  <c r="K132" i="48"/>
  <c r="J132" i="48"/>
  <c r="H76" i="48"/>
  <c r="M76" i="48"/>
  <c r="K76" i="48"/>
  <c r="J76" i="48"/>
  <c r="M366" i="48"/>
  <c r="J366" i="48"/>
  <c r="K366" i="48"/>
  <c r="H366" i="48"/>
  <c r="J358" i="48"/>
  <c r="M358" i="48"/>
  <c r="K358" i="48"/>
  <c r="H358" i="48"/>
  <c r="M350" i="48"/>
  <c r="J350" i="48"/>
  <c r="K350" i="48"/>
  <c r="H350" i="48"/>
  <c r="H342" i="48"/>
  <c r="J342" i="48"/>
  <c r="K342" i="48"/>
  <c r="M342" i="48"/>
  <c r="J334" i="48"/>
  <c r="H334" i="48"/>
  <c r="K334" i="48"/>
  <c r="M334" i="48"/>
  <c r="H326" i="48"/>
  <c r="M326" i="48"/>
  <c r="K326" i="48"/>
  <c r="J326" i="48"/>
  <c r="J318" i="48"/>
  <c r="M318" i="48"/>
  <c r="K318" i="48"/>
  <c r="H318" i="48"/>
  <c r="H310" i="48"/>
  <c r="J310" i="48"/>
  <c r="K310" i="48"/>
  <c r="M310" i="48"/>
  <c r="H302" i="48"/>
  <c r="M302" i="48"/>
  <c r="K302" i="48"/>
  <c r="J302" i="48"/>
  <c r="M294" i="48"/>
  <c r="H294" i="48"/>
  <c r="K294" i="48"/>
  <c r="J294" i="48"/>
  <c r="H286" i="48"/>
  <c r="J286" i="48"/>
  <c r="K286" i="48"/>
  <c r="M286" i="48"/>
  <c r="H278" i="48"/>
  <c r="J278" i="48"/>
  <c r="K278" i="48"/>
  <c r="M278" i="48"/>
  <c r="J270" i="48"/>
  <c r="M270" i="48"/>
  <c r="K270" i="48"/>
  <c r="H270" i="48"/>
  <c r="M262" i="48"/>
  <c r="J262" i="48"/>
  <c r="K262" i="48"/>
  <c r="H262" i="48"/>
  <c r="J254" i="48"/>
  <c r="H254" i="48"/>
  <c r="K254" i="48"/>
  <c r="M254" i="48"/>
  <c r="H246" i="48"/>
  <c r="J246" i="48"/>
  <c r="K246" i="48"/>
  <c r="M246" i="48"/>
  <c r="J238" i="48"/>
  <c r="H238" i="48"/>
  <c r="K238" i="48"/>
  <c r="M238" i="48"/>
  <c r="M230" i="48"/>
  <c r="J230" i="48"/>
  <c r="K230" i="48"/>
  <c r="H230" i="48"/>
  <c r="M222" i="48"/>
  <c r="H222" i="48"/>
  <c r="K222" i="48"/>
  <c r="J222" i="48"/>
  <c r="J214" i="48"/>
  <c r="H214" i="48"/>
  <c r="K214" i="48"/>
  <c r="M214" i="48"/>
  <c r="J206" i="48"/>
  <c r="M206" i="48"/>
  <c r="K206" i="48"/>
  <c r="H206" i="48"/>
  <c r="M198" i="48"/>
  <c r="J198" i="48"/>
  <c r="K198" i="48"/>
  <c r="H198" i="48"/>
  <c r="M190" i="48"/>
  <c r="H190" i="48"/>
  <c r="K190" i="48"/>
  <c r="J190" i="48"/>
  <c r="J182" i="48"/>
  <c r="M182" i="48"/>
  <c r="K182" i="48"/>
  <c r="H182" i="48"/>
  <c r="J174" i="48"/>
  <c r="H174" i="48"/>
  <c r="K174" i="48"/>
  <c r="M174" i="48"/>
  <c r="J166" i="48"/>
  <c r="H166" i="48"/>
  <c r="K166" i="48"/>
  <c r="M166" i="48"/>
  <c r="H158" i="48"/>
  <c r="J158" i="48"/>
  <c r="K158" i="48"/>
  <c r="M158" i="48"/>
  <c r="M150" i="48"/>
  <c r="H150" i="48"/>
  <c r="K150" i="48"/>
  <c r="J150" i="48"/>
  <c r="J141" i="48"/>
  <c r="M141" i="48"/>
  <c r="K141" i="48"/>
  <c r="H141" i="48"/>
  <c r="J131" i="48"/>
  <c r="H131" i="48"/>
  <c r="K131" i="48"/>
  <c r="M131" i="48"/>
  <c r="H120" i="48"/>
  <c r="M120" i="48"/>
  <c r="K120" i="48"/>
  <c r="J120" i="48"/>
  <c r="J107" i="48"/>
  <c r="H107" i="48"/>
  <c r="K107" i="48"/>
  <c r="M107" i="48"/>
  <c r="H91" i="48"/>
  <c r="M91" i="48"/>
  <c r="K91" i="48"/>
  <c r="J91" i="48"/>
  <c r="M75" i="48"/>
  <c r="J75" i="48"/>
  <c r="K75" i="48"/>
  <c r="H75" i="48"/>
  <c r="H59" i="48"/>
  <c r="M59" i="48"/>
  <c r="K59" i="48"/>
  <c r="J59" i="48"/>
  <c r="H43" i="48"/>
  <c r="M43" i="48"/>
  <c r="K43" i="48"/>
  <c r="J43" i="48"/>
  <c r="J27" i="48"/>
  <c r="M27" i="48"/>
  <c r="K27" i="48"/>
  <c r="H27" i="48"/>
  <c r="J363" i="48"/>
  <c r="M363" i="48"/>
  <c r="K363" i="48"/>
  <c r="H363" i="48"/>
  <c r="J355" i="48"/>
  <c r="M355" i="48"/>
  <c r="K355" i="48"/>
  <c r="H355" i="48"/>
  <c r="M347" i="48"/>
  <c r="J347" i="48"/>
  <c r="K347" i="48"/>
  <c r="H347" i="48"/>
  <c r="M339" i="48"/>
  <c r="J339" i="48"/>
  <c r="K339" i="48"/>
  <c r="H339" i="48"/>
  <c r="M331" i="48"/>
  <c r="H331" i="48"/>
  <c r="K331" i="48"/>
  <c r="J331" i="48"/>
  <c r="M323" i="48"/>
  <c r="J323" i="48"/>
  <c r="K323" i="48"/>
  <c r="H323" i="48"/>
  <c r="H315" i="48"/>
  <c r="M315" i="48"/>
  <c r="K315" i="48"/>
  <c r="J315" i="48"/>
  <c r="H307" i="48"/>
  <c r="J307" i="48"/>
  <c r="K307" i="48"/>
  <c r="M307" i="48"/>
  <c r="M299" i="48"/>
  <c r="J299" i="48"/>
  <c r="K299" i="48"/>
  <c r="H299" i="48"/>
  <c r="M291" i="48"/>
  <c r="J291" i="48"/>
  <c r="K291" i="48"/>
  <c r="H291" i="48"/>
  <c r="H283" i="48"/>
  <c r="J283" i="48"/>
  <c r="K283" i="48"/>
  <c r="M283" i="48"/>
  <c r="H275" i="48"/>
  <c r="J275" i="48"/>
  <c r="K275" i="48"/>
  <c r="M275" i="48"/>
  <c r="J267" i="48"/>
  <c r="M267" i="48"/>
  <c r="K267" i="48"/>
  <c r="H267" i="48"/>
  <c r="M259" i="48"/>
  <c r="H259" i="48"/>
  <c r="K259" i="48"/>
  <c r="J259" i="48"/>
  <c r="H251" i="48"/>
  <c r="J251" i="48"/>
  <c r="K251" i="48"/>
  <c r="M251" i="48"/>
  <c r="H243" i="48"/>
  <c r="J243" i="48"/>
  <c r="K243" i="48"/>
  <c r="M243" i="48"/>
  <c r="H235" i="48"/>
  <c r="J235" i="48"/>
  <c r="K235" i="48"/>
  <c r="M235" i="48"/>
  <c r="H227" i="48"/>
  <c r="M227" i="48"/>
  <c r="K227" i="48"/>
  <c r="J227" i="48"/>
  <c r="H219" i="48"/>
  <c r="J219" i="48"/>
  <c r="K219" i="48"/>
  <c r="M219" i="48"/>
  <c r="H211" i="48"/>
  <c r="M211" i="48"/>
  <c r="K211" i="48"/>
  <c r="J211" i="48"/>
  <c r="J203" i="48"/>
  <c r="M203" i="48"/>
  <c r="K203" i="48"/>
  <c r="H203" i="48"/>
  <c r="J195" i="48"/>
  <c r="M195" i="48"/>
  <c r="K195" i="48"/>
  <c r="H195" i="48"/>
  <c r="M187" i="48"/>
  <c r="J187" i="48"/>
  <c r="K187" i="48"/>
  <c r="H187" i="48"/>
  <c r="H179" i="48"/>
  <c r="J179" i="48"/>
  <c r="K179" i="48"/>
  <c r="M179" i="48"/>
  <c r="M171" i="48"/>
  <c r="J171" i="48"/>
  <c r="K171" i="48"/>
  <c r="H171" i="48"/>
  <c r="H163" i="48"/>
  <c r="M163" i="48"/>
  <c r="K163" i="48"/>
  <c r="J163" i="48"/>
  <c r="M155" i="48"/>
  <c r="H155" i="48"/>
  <c r="K155" i="48"/>
  <c r="J155" i="48"/>
  <c r="H147" i="48"/>
  <c r="J147" i="48"/>
  <c r="K147" i="48"/>
  <c r="M147" i="48"/>
  <c r="M137" i="48"/>
  <c r="H137" i="48"/>
  <c r="K137" i="48"/>
  <c r="J137" i="48"/>
  <c r="J127" i="48"/>
  <c r="M127" i="48"/>
  <c r="K127" i="48"/>
  <c r="H127" i="48"/>
  <c r="M116" i="48"/>
  <c r="J116" i="48"/>
  <c r="K116" i="48"/>
  <c r="H116" i="48"/>
  <c r="H100" i="48"/>
  <c r="M100" i="48"/>
  <c r="K100" i="48"/>
  <c r="J100" i="48"/>
  <c r="H84" i="48"/>
  <c r="J84" i="48"/>
  <c r="K84" i="48"/>
  <c r="M84" i="48"/>
  <c r="M68" i="48"/>
  <c r="H68" i="48"/>
  <c r="K68" i="48"/>
  <c r="J68" i="48"/>
  <c r="J52" i="48"/>
  <c r="M52" i="48"/>
  <c r="K52" i="48"/>
  <c r="H52" i="48"/>
  <c r="M36" i="48"/>
  <c r="J36" i="48"/>
  <c r="K36" i="48"/>
  <c r="H36" i="48"/>
  <c r="H20" i="48"/>
  <c r="J20" i="48"/>
  <c r="K20" i="48"/>
  <c r="M20" i="48"/>
  <c r="H362" i="48"/>
  <c r="M362" i="48"/>
  <c r="K362" i="48"/>
  <c r="J362" i="48"/>
  <c r="M354" i="48"/>
  <c r="J354" i="48"/>
  <c r="K354" i="48"/>
  <c r="H354" i="48"/>
  <c r="H346" i="48"/>
  <c r="M346" i="48"/>
  <c r="K346" i="48"/>
  <c r="J346" i="48"/>
  <c r="M338" i="48"/>
  <c r="J338" i="48"/>
  <c r="K338" i="48"/>
  <c r="H338" i="48"/>
  <c r="J330" i="48"/>
  <c r="H330" i="48"/>
  <c r="K330" i="48"/>
  <c r="M330" i="48"/>
  <c r="J322" i="48"/>
  <c r="H322" i="48"/>
  <c r="K322" i="48"/>
  <c r="M322" i="48"/>
  <c r="M314" i="48"/>
  <c r="H314" i="48"/>
  <c r="K314" i="48"/>
  <c r="J314" i="48"/>
  <c r="M306" i="48"/>
  <c r="J306" i="48"/>
  <c r="K306" i="48"/>
  <c r="H306" i="48"/>
  <c r="H298" i="48"/>
  <c r="J298" i="48"/>
  <c r="K298" i="48"/>
  <c r="M298" i="48"/>
  <c r="H290" i="48"/>
  <c r="M290" i="48"/>
  <c r="K290" i="48"/>
  <c r="J290" i="48"/>
  <c r="H282" i="48"/>
  <c r="M282" i="48"/>
  <c r="K282" i="48"/>
  <c r="J282" i="48"/>
  <c r="J274" i="48"/>
  <c r="H274" i="48"/>
  <c r="K274" i="48"/>
  <c r="M274" i="48"/>
  <c r="J266" i="48"/>
  <c r="H266" i="48"/>
  <c r="K266" i="48"/>
  <c r="M266" i="48"/>
  <c r="H258" i="48"/>
  <c r="M258" i="48"/>
  <c r="K258" i="48"/>
  <c r="J258" i="48"/>
  <c r="H250" i="48"/>
  <c r="J250" i="48"/>
  <c r="K250" i="48"/>
  <c r="M250" i="48"/>
  <c r="H242" i="48"/>
  <c r="M242" i="48"/>
  <c r="K242" i="48"/>
  <c r="J242" i="48"/>
  <c r="H234" i="48"/>
  <c r="J234" i="48"/>
  <c r="K234" i="48"/>
  <c r="M234" i="48"/>
  <c r="J226" i="48"/>
  <c r="H226" i="48"/>
  <c r="K226" i="48"/>
  <c r="M226" i="48"/>
  <c r="H218" i="48"/>
  <c r="J218" i="48"/>
  <c r="K218" i="48"/>
  <c r="M218" i="48"/>
  <c r="M210" i="48"/>
  <c r="H210" i="48"/>
  <c r="K210" i="48"/>
  <c r="J210" i="48"/>
  <c r="J202" i="48"/>
  <c r="M202" i="48"/>
  <c r="K202" i="48"/>
  <c r="H202" i="48"/>
  <c r="J194" i="48"/>
  <c r="M194" i="48"/>
  <c r="K194" i="48"/>
  <c r="H194" i="48"/>
  <c r="J186" i="48"/>
  <c r="M186" i="48"/>
  <c r="K186" i="48"/>
  <c r="H186" i="48"/>
  <c r="H178" i="48"/>
  <c r="J178" i="48"/>
  <c r="K178" i="48"/>
  <c r="M178" i="48"/>
  <c r="H170" i="48"/>
  <c r="J170" i="48"/>
  <c r="K170" i="48"/>
  <c r="M170" i="48"/>
  <c r="M162" i="48"/>
  <c r="H162" i="48"/>
  <c r="K162" i="48"/>
  <c r="J162" i="48"/>
  <c r="M154" i="48"/>
  <c r="J154" i="48"/>
  <c r="K154" i="48"/>
  <c r="H154" i="48"/>
  <c r="M146" i="48"/>
  <c r="J146" i="48"/>
  <c r="K146" i="48"/>
  <c r="H146" i="48"/>
  <c r="H136" i="48"/>
  <c r="J136" i="48"/>
  <c r="K136" i="48"/>
  <c r="M136" i="48"/>
  <c r="J125" i="48"/>
  <c r="M125" i="48"/>
  <c r="K125" i="48"/>
  <c r="H125" i="48"/>
  <c r="H115" i="48"/>
  <c r="J115" i="48"/>
  <c r="K115" i="48"/>
  <c r="M115" i="48"/>
  <c r="M99" i="48"/>
  <c r="J99" i="48"/>
  <c r="K99" i="48"/>
  <c r="H99" i="48"/>
  <c r="H83" i="48"/>
  <c r="J83" i="48"/>
  <c r="K83" i="48"/>
  <c r="M83" i="48"/>
  <c r="H67" i="48"/>
  <c r="J67" i="48"/>
  <c r="K67" i="48"/>
  <c r="M67" i="48"/>
  <c r="H51" i="48"/>
  <c r="J51" i="48"/>
  <c r="K51" i="48"/>
  <c r="M51" i="48"/>
  <c r="H35" i="48"/>
  <c r="M35" i="48"/>
  <c r="K35" i="48"/>
  <c r="J35" i="48"/>
  <c r="J19" i="48"/>
  <c r="H19" i="48"/>
  <c r="K19" i="48"/>
  <c r="M19" i="48"/>
  <c r="H369" i="48"/>
  <c r="M369" i="48"/>
  <c r="K369" i="48"/>
  <c r="J369" i="48"/>
  <c r="H365" i="48"/>
  <c r="J365" i="48"/>
  <c r="K365" i="48"/>
  <c r="M365" i="48"/>
  <c r="H361" i="48"/>
  <c r="J361" i="48"/>
  <c r="K361" i="48"/>
  <c r="M361" i="48"/>
  <c r="H357" i="48"/>
  <c r="M357" i="48"/>
  <c r="K357" i="48"/>
  <c r="J357" i="48"/>
  <c r="J353" i="48"/>
  <c r="M353" i="48"/>
  <c r="K353" i="48"/>
  <c r="H353" i="48"/>
  <c r="H349" i="48"/>
  <c r="J349" i="48"/>
  <c r="K349" i="48"/>
  <c r="M349" i="48"/>
  <c r="H345" i="48"/>
  <c r="J345" i="48"/>
  <c r="K345" i="48"/>
  <c r="M345" i="48"/>
  <c r="J341" i="48"/>
  <c r="H341" i="48"/>
  <c r="K341" i="48"/>
  <c r="M341" i="48"/>
  <c r="J337" i="48"/>
  <c r="M337" i="48"/>
  <c r="K337" i="48"/>
  <c r="H337" i="48"/>
  <c r="J333" i="48"/>
  <c r="H333" i="48"/>
  <c r="K333" i="48"/>
  <c r="M333" i="48"/>
  <c r="H329" i="48"/>
  <c r="M329" i="48"/>
  <c r="K329" i="48"/>
  <c r="J329" i="48"/>
  <c r="H325" i="48"/>
  <c r="M325" i="48"/>
  <c r="K325" i="48"/>
  <c r="J325" i="48"/>
  <c r="J321" i="48"/>
  <c r="M321" i="48"/>
  <c r="K321" i="48"/>
  <c r="H321" i="48"/>
  <c r="J317" i="48"/>
  <c r="M317" i="48"/>
  <c r="K317" i="48"/>
  <c r="H317" i="48"/>
  <c r="H313" i="48"/>
  <c r="M313" i="48"/>
  <c r="K313" i="48"/>
  <c r="J313" i="48"/>
  <c r="H309" i="48"/>
  <c r="J309" i="48"/>
  <c r="K309" i="48"/>
  <c r="M309" i="48"/>
  <c r="H305" i="48"/>
  <c r="J305" i="48"/>
  <c r="K305" i="48"/>
  <c r="M305" i="48"/>
  <c r="H301" i="48"/>
  <c r="M301" i="48"/>
  <c r="K301" i="48"/>
  <c r="J301" i="48"/>
  <c r="M297" i="48"/>
  <c r="H297" i="48"/>
  <c r="K297" i="48"/>
  <c r="J297" i="48"/>
  <c r="M293" i="48"/>
  <c r="J293" i="48"/>
  <c r="K293" i="48"/>
  <c r="H293" i="48"/>
  <c r="H289" i="48"/>
  <c r="M289" i="48"/>
  <c r="K289" i="48"/>
  <c r="J289" i="48"/>
  <c r="M285" i="48"/>
  <c r="J285" i="48"/>
  <c r="K285" i="48"/>
  <c r="H285" i="48"/>
  <c r="J281" i="48"/>
  <c r="M281" i="48"/>
  <c r="K281" i="48"/>
  <c r="H281" i="48"/>
  <c r="M277" i="48"/>
  <c r="H277" i="48"/>
  <c r="K277" i="48"/>
  <c r="J277" i="48"/>
  <c r="H273" i="48"/>
  <c r="M273" i="48"/>
  <c r="K273" i="48"/>
  <c r="J273" i="48"/>
  <c r="J269" i="48"/>
  <c r="M269" i="48"/>
  <c r="K269" i="48"/>
  <c r="H269" i="48"/>
  <c r="J265" i="48"/>
  <c r="H265" i="48"/>
  <c r="K265" i="48"/>
  <c r="M265" i="48"/>
  <c r="J261" i="48"/>
  <c r="H261" i="48"/>
  <c r="K261" i="48"/>
  <c r="M261" i="48"/>
  <c r="M257" i="48"/>
  <c r="J257" i="48"/>
  <c r="K257" i="48"/>
  <c r="H257" i="48"/>
  <c r="J253" i="48"/>
  <c r="M253" i="48"/>
  <c r="K253" i="48"/>
  <c r="H253" i="48"/>
  <c r="J249" i="48"/>
  <c r="H249" i="48"/>
  <c r="K249" i="48"/>
  <c r="M249" i="48"/>
  <c r="H245" i="48"/>
  <c r="J245" i="48"/>
  <c r="K245" i="48"/>
  <c r="M245" i="48"/>
  <c r="J241" i="48"/>
  <c r="M241" i="48"/>
  <c r="K241" i="48"/>
  <c r="H241" i="48"/>
  <c r="M237" i="48"/>
  <c r="H237" i="48"/>
  <c r="K237" i="48"/>
  <c r="J237" i="48"/>
  <c r="M233" i="48"/>
  <c r="J233" i="48"/>
  <c r="K233" i="48"/>
  <c r="H233" i="48"/>
  <c r="M229" i="48"/>
  <c r="J229" i="48"/>
  <c r="K229" i="48"/>
  <c r="H229" i="48"/>
  <c r="H225" i="48"/>
  <c r="J225" i="48"/>
  <c r="K225" i="48"/>
  <c r="M225" i="48"/>
  <c r="J221" i="48"/>
  <c r="M221" i="48"/>
  <c r="K221" i="48"/>
  <c r="H221" i="48"/>
  <c r="M217" i="48"/>
  <c r="H217" i="48"/>
  <c r="K217" i="48"/>
  <c r="J217" i="48"/>
  <c r="J213" i="48"/>
  <c r="M213" i="48"/>
  <c r="K213" i="48"/>
  <c r="H213" i="48"/>
  <c r="J209" i="48"/>
  <c r="H209" i="48"/>
  <c r="K209" i="48"/>
  <c r="M209" i="48"/>
  <c r="J205" i="48"/>
  <c r="H205" i="48"/>
  <c r="K205" i="48"/>
  <c r="M205" i="48"/>
  <c r="J201" i="48"/>
  <c r="H201" i="48"/>
  <c r="K201" i="48"/>
  <c r="M201" i="48"/>
  <c r="J197" i="48"/>
  <c r="H197" i="48"/>
  <c r="K197" i="48"/>
  <c r="M197" i="48"/>
  <c r="J193" i="48"/>
  <c r="M193" i="48"/>
  <c r="K193" i="48"/>
  <c r="H193" i="48"/>
  <c r="J189" i="48"/>
  <c r="H189" i="48"/>
  <c r="K189" i="48"/>
  <c r="M189" i="48"/>
  <c r="H185" i="48"/>
  <c r="M185" i="48"/>
  <c r="K185" i="48"/>
  <c r="J185" i="48"/>
  <c r="H181" i="48"/>
  <c r="J181" i="48"/>
  <c r="K181" i="48"/>
  <c r="M181" i="48"/>
  <c r="M177" i="48"/>
  <c r="J177" i="48"/>
  <c r="K177" i="48"/>
  <c r="H177" i="48"/>
  <c r="H173" i="48"/>
  <c r="M173" i="48"/>
  <c r="K173" i="48"/>
  <c r="J173" i="48"/>
  <c r="J169" i="48"/>
  <c r="H169" i="48"/>
  <c r="K169" i="48"/>
  <c r="M169" i="48"/>
  <c r="J165" i="48"/>
  <c r="M165" i="48"/>
  <c r="K165" i="48"/>
  <c r="H165" i="48"/>
  <c r="J161" i="48"/>
  <c r="H161" i="48"/>
  <c r="K161" i="48"/>
  <c r="M161" i="48"/>
  <c r="M157" i="48"/>
  <c r="J157" i="48"/>
  <c r="K157" i="48"/>
  <c r="H157" i="48"/>
  <c r="M153" i="48"/>
  <c r="J153" i="48"/>
  <c r="K153" i="48"/>
  <c r="H153" i="48"/>
  <c r="H149" i="48"/>
  <c r="M149" i="48"/>
  <c r="K149" i="48"/>
  <c r="J149" i="48"/>
  <c r="H145" i="48"/>
  <c r="M145" i="48"/>
  <c r="K145" i="48"/>
  <c r="J145" i="48"/>
  <c r="H140" i="48"/>
  <c r="J140" i="48"/>
  <c r="K140" i="48"/>
  <c r="M140" i="48"/>
  <c r="H135" i="48"/>
  <c r="M135" i="48"/>
  <c r="K135" i="48"/>
  <c r="J135" i="48"/>
  <c r="M129" i="48"/>
  <c r="J129" i="48"/>
  <c r="K129" i="48"/>
  <c r="H129" i="48"/>
  <c r="M124" i="48"/>
  <c r="H124" i="48"/>
  <c r="K124" i="48"/>
  <c r="J124" i="48"/>
  <c r="J119" i="48"/>
  <c r="H119" i="48"/>
  <c r="K119" i="48"/>
  <c r="M119" i="48"/>
  <c r="J112" i="48"/>
  <c r="H112" i="48"/>
  <c r="K112" i="48"/>
  <c r="M112" i="48"/>
  <c r="M104" i="48"/>
  <c r="J104" i="48"/>
  <c r="K104" i="48"/>
  <c r="H104" i="48"/>
  <c r="H96" i="48"/>
  <c r="J96" i="48"/>
  <c r="K96" i="48"/>
  <c r="M96" i="48"/>
  <c r="M88" i="48"/>
  <c r="H88" i="48"/>
  <c r="K88" i="48"/>
  <c r="J88" i="48"/>
  <c r="M80" i="48"/>
  <c r="H80" i="48"/>
  <c r="K80" i="48"/>
  <c r="J80" i="48"/>
  <c r="H72" i="48"/>
  <c r="J72" i="48"/>
  <c r="K72" i="48"/>
  <c r="M72" i="48"/>
  <c r="J64" i="48"/>
  <c r="M64" i="48"/>
  <c r="K64" i="48"/>
  <c r="H64" i="48"/>
  <c r="H56" i="48"/>
  <c r="J56" i="48"/>
  <c r="K56" i="48"/>
  <c r="M56" i="48"/>
  <c r="J48" i="48"/>
  <c r="H48" i="48"/>
  <c r="K48" i="48"/>
  <c r="M48" i="48"/>
  <c r="H40" i="48"/>
  <c r="M40" i="48"/>
  <c r="K40" i="48"/>
  <c r="J40" i="48"/>
  <c r="J32" i="48"/>
  <c r="M32" i="48"/>
  <c r="K32" i="48"/>
  <c r="H32" i="48"/>
  <c r="H24" i="48"/>
  <c r="M24" i="48"/>
  <c r="K24" i="48"/>
  <c r="J24" i="48"/>
  <c r="M16" i="48"/>
  <c r="J16" i="48"/>
  <c r="K16" i="48"/>
  <c r="H16" i="48"/>
  <c r="H368" i="48"/>
  <c r="M368" i="48"/>
  <c r="K368" i="48"/>
  <c r="J368" i="48"/>
  <c r="H364" i="48"/>
  <c r="M364" i="48"/>
  <c r="K364" i="48"/>
  <c r="J364" i="48"/>
  <c r="H360" i="48"/>
  <c r="M360" i="48"/>
  <c r="K360" i="48"/>
  <c r="J360" i="48"/>
  <c r="J356" i="48"/>
  <c r="H356" i="48"/>
  <c r="K356" i="48"/>
  <c r="M356" i="48"/>
  <c r="J352" i="48"/>
  <c r="M352" i="48"/>
  <c r="K352" i="48"/>
  <c r="H352" i="48"/>
  <c r="H348" i="48"/>
  <c r="M348" i="48"/>
  <c r="K348" i="48"/>
  <c r="J348" i="48"/>
  <c r="H344" i="48"/>
  <c r="M344" i="48"/>
  <c r="K344" i="48"/>
  <c r="J344" i="48"/>
  <c r="H340" i="48"/>
  <c r="M340" i="48"/>
  <c r="K340" i="48"/>
  <c r="J340" i="48"/>
  <c r="J336" i="48"/>
  <c r="M336" i="48"/>
  <c r="K336" i="48"/>
  <c r="H336" i="48"/>
  <c r="J332" i="48"/>
  <c r="M332" i="48"/>
  <c r="K332" i="48"/>
  <c r="H332" i="48"/>
  <c r="H328" i="48"/>
  <c r="J328" i="48"/>
  <c r="K328" i="48"/>
  <c r="M328" i="48"/>
  <c r="H324" i="48"/>
  <c r="J324" i="48"/>
  <c r="K324" i="48"/>
  <c r="M324" i="48"/>
  <c r="J320" i="48"/>
  <c r="H320" i="48"/>
  <c r="K320" i="48"/>
  <c r="M320" i="48"/>
  <c r="J316" i="48"/>
  <c r="H316" i="48"/>
  <c r="K316" i="48"/>
  <c r="M316" i="48"/>
  <c r="M312" i="48"/>
  <c r="J312" i="48"/>
  <c r="K312" i="48"/>
  <c r="H312" i="48"/>
  <c r="H308" i="48"/>
  <c r="J308" i="48"/>
  <c r="K308" i="48"/>
  <c r="M308" i="48"/>
  <c r="H304" i="48"/>
  <c r="J304" i="48"/>
  <c r="K304" i="48"/>
  <c r="M304" i="48"/>
  <c r="H300" i="48"/>
  <c r="J300" i="48"/>
  <c r="K300" i="48"/>
  <c r="M300" i="48"/>
  <c r="M296" i="48"/>
  <c r="J296" i="48"/>
  <c r="K296" i="48"/>
  <c r="H296" i="48"/>
  <c r="J292" i="48"/>
  <c r="M292" i="48"/>
  <c r="K292" i="48"/>
  <c r="H292" i="48"/>
  <c r="M288" i="48"/>
  <c r="J288" i="48"/>
  <c r="K288" i="48"/>
  <c r="H288" i="48"/>
  <c r="J284" i="48"/>
  <c r="H284" i="48"/>
  <c r="K284" i="48"/>
  <c r="M284" i="48"/>
  <c r="J280" i="48"/>
  <c r="M280" i="48"/>
  <c r="K280" i="48"/>
  <c r="H280" i="48"/>
  <c r="M276" i="48"/>
  <c r="H276" i="48"/>
  <c r="K276" i="48"/>
  <c r="J276" i="48"/>
  <c r="J272" i="48"/>
  <c r="M272" i="48"/>
  <c r="K272" i="48"/>
  <c r="H272" i="48"/>
  <c r="M268" i="48"/>
  <c r="H268" i="48"/>
  <c r="K268" i="48"/>
  <c r="J268" i="48"/>
  <c r="M264" i="48"/>
  <c r="J264" i="48"/>
  <c r="K264" i="48"/>
  <c r="H264" i="48"/>
  <c r="H260" i="48"/>
  <c r="J260" i="48"/>
  <c r="K260" i="48"/>
  <c r="M260" i="48"/>
  <c r="J256" i="48"/>
  <c r="H256" i="48"/>
  <c r="K256" i="48"/>
  <c r="M256" i="48"/>
  <c r="M252" i="48"/>
  <c r="J252" i="48"/>
  <c r="K252" i="48"/>
  <c r="H252" i="48"/>
  <c r="J248" i="48"/>
  <c r="M248" i="48"/>
  <c r="K248" i="48"/>
  <c r="H248" i="48"/>
  <c r="M244" i="48"/>
  <c r="J244" i="48"/>
  <c r="K244" i="48"/>
  <c r="H244" i="48"/>
  <c r="J240" i="48"/>
  <c r="M240" i="48"/>
  <c r="K240" i="48"/>
  <c r="H240" i="48"/>
  <c r="H236" i="48"/>
  <c r="M236" i="48"/>
  <c r="K236" i="48"/>
  <c r="J236" i="48"/>
  <c r="M232" i="48"/>
  <c r="H232" i="48"/>
  <c r="K232" i="48"/>
  <c r="J232" i="48"/>
  <c r="J228" i="48"/>
  <c r="H228" i="48"/>
  <c r="K228" i="48"/>
  <c r="M228" i="48"/>
  <c r="H224" i="48"/>
  <c r="J224" i="48"/>
  <c r="K224" i="48"/>
  <c r="M224" i="48"/>
  <c r="J220" i="48"/>
  <c r="H220" i="48"/>
  <c r="K220" i="48"/>
  <c r="M220" i="48"/>
  <c r="M216" i="48"/>
  <c r="J216" i="48"/>
  <c r="K216" i="48"/>
  <c r="H216" i="48"/>
  <c r="J212" i="48"/>
  <c r="M212" i="48"/>
  <c r="K212" i="48"/>
  <c r="H212" i="48"/>
  <c r="J208" i="48"/>
  <c r="H208" i="48"/>
  <c r="K208" i="48"/>
  <c r="M208" i="48"/>
  <c r="J204" i="48"/>
  <c r="H204" i="48"/>
  <c r="K204" i="48"/>
  <c r="M204" i="48"/>
  <c r="H200" i="48"/>
  <c r="J200" i="48"/>
  <c r="K200" i="48"/>
  <c r="M200" i="48"/>
  <c r="M196" i="48"/>
  <c r="H196" i="48"/>
  <c r="K196" i="48"/>
  <c r="J196" i="48"/>
  <c r="M192" i="48"/>
  <c r="J192" i="48"/>
  <c r="K192" i="48"/>
  <c r="H192" i="48"/>
  <c r="H188" i="48"/>
  <c r="J188" i="48"/>
  <c r="K188" i="48"/>
  <c r="M188" i="48"/>
  <c r="M184" i="48"/>
  <c r="J184" i="48"/>
  <c r="K184" i="48"/>
  <c r="H184" i="48"/>
  <c r="M180" i="48"/>
  <c r="H180" i="48"/>
  <c r="K180" i="48"/>
  <c r="J180" i="48"/>
  <c r="J176" i="48"/>
  <c r="H176" i="48"/>
  <c r="K176" i="48"/>
  <c r="M176" i="48"/>
  <c r="M172" i="48"/>
  <c r="H172" i="48"/>
  <c r="K172" i="48"/>
  <c r="J172" i="48"/>
  <c r="J168" i="48"/>
  <c r="H168" i="48"/>
  <c r="K168" i="48"/>
  <c r="M168" i="48"/>
  <c r="H164" i="48"/>
  <c r="M164" i="48"/>
  <c r="K164" i="48"/>
  <c r="J164" i="48"/>
  <c r="H160" i="48"/>
  <c r="J160" i="48"/>
  <c r="K160" i="48"/>
  <c r="M160" i="48"/>
  <c r="J156" i="48"/>
  <c r="M156" i="48"/>
  <c r="K156" i="48"/>
  <c r="H156" i="48"/>
  <c r="J152" i="48"/>
  <c r="H152" i="48"/>
  <c r="K152" i="48"/>
  <c r="M152" i="48"/>
  <c r="J148" i="48"/>
  <c r="H148" i="48"/>
  <c r="K148" i="48"/>
  <c r="M148" i="48"/>
  <c r="M144" i="48"/>
  <c r="H144" i="48"/>
  <c r="K144" i="48"/>
  <c r="J144" i="48"/>
  <c r="J139" i="48"/>
  <c r="H139" i="48"/>
  <c r="K139" i="48"/>
  <c r="M139" i="48"/>
  <c r="J133" i="48"/>
  <c r="H133" i="48"/>
  <c r="K133" i="48"/>
  <c r="M133" i="48"/>
  <c r="H128" i="48"/>
  <c r="M128" i="48"/>
  <c r="K128" i="48"/>
  <c r="J128" i="48"/>
  <c r="J123" i="48"/>
  <c r="M123" i="48"/>
  <c r="K123" i="48"/>
  <c r="H123" i="48"/>
  <c r="M117" i="48"/>
  <c r="H117" i="48"/>
  <c r="K117" i="48"/>
  <c r="J117" i="48"/>
  <c r="J111" i="48"/>
  <c r="M111" i="48"/>
  <c r="K111" i="48"/>
  <c r="H111" i="48"/>
  <c r="J103" i="48"/>
  <c r="H103" i="48"/>
  <c r="K103" i="48"/>
  <c r="M103" i="48"/>
  <c r="H95" i="48"/>
  <c r="M95" i="48"/>
  <c r="K95" i="48"/>
  <c r="J95" i="48"/>
  <c r="M87" i="48"/>
  <c r="J87" i="48"/>
  <c r="K87" i="48"/>
  <c r="H87" i="48"/>
  <c r="J79" i="48"/>
  <c r="M79" i="48"/>
  <c r="K79" i="48"/>
  <c r="H79" i="48"/>
  <c r="J71" i="48"/>
  <c r="H71" i="48"/>
  <c r="K71" i="48"/>
  <c r="M71" i="48"/>
  <c r="M63" i="48"/>
  <c r="J63" i="48"/>
  <c r="K63" i="48"/>
  <c r="H63" i="48"/>
  <c r="H55" i="48"/>
  <c r="M55" i="48"/>
  <c r="K55" i="48"/>
  <c r="J55" i="48"/>
  <c r="H47" i="48"/>
  <c r="J47" i="48"/>
  <c r="K47" i="48"/>
  <c r="M47" i="48"/>
  <c r="M39" i="48"/>
  <c r="H39" i="48"/>
  <c r="K39" i="48"/>
  <c r="J39" i="48"/>
  <c r="H31" i="48"/>
  <c r="J31" i="48"/>
  <c r="K31" i="48"/>
  <c r="M31" i="48"/>
  <c r="H23" i="48"/>
  <c r="J23" i="48"/>
  <c r="K23" i="48"/>
  <c r="M23" i="48"/>
  <c r="H15" i="48"/>
  <c r="J15" i="48"/>
  <c r="K15" i="48"/>
  <c r="M15" i="48"/>
  <c r="H142" i="48"/>
  <c r="J142" i="48"/>
  <c r="K142" i="48"/>
  <c r="M142" i="48"/>
  <c r="J138" i="48"/>
  <c r="H138" i="48"/>
  <c r="K138" i="48"/>
  <c r="M138" i="48"/>
  <c r="M134" i="48"/>
  <c r="J134" i="48"/>
  <c r="K134" i="48"/>
  <c r="H134" i="48"/>
  <c r="H130" i="48"/>
  <c r="J130" i="48"/>
  <c r="K130" i="48"/>
  <c r="M130" i="48"/>
  <c r="H126" i="48"/>
  <c r="M126" i="48"/>
  <c r="K126" i="48"/>
  <c r="J126" i="48"/>
  <c r="M122" i="48"/>
  <c r="J122" i="48"/>
  <c r="K122" i="48"/>
  <c r="H122" i="48"/>
  <c r="M118" i="48"/>
  <c r="J118" i="48"/>
  <c r="K118" i="48"/>
  <c r="H118" i="48"/>
  <c r="H114" i="48"/>
  <c r="J114" i="48"/>
  <c r="K114" i="48"/>
  <c r="M114" i="48"/>
  <c r="M110" i="48"/>
  <c r="J110" i="48"/>
  <c r="K110" i="48"/>
  <c r="H110" i="48"/>
  <c r="H106" i="48"/>
  <c r="M106" i="48"/>
  <c r="K106" i="48"/>
  <c r="J106" i="48"/>
  <c r="M102" i="48"/>
  <c r="H102" i="48"/>
  <c r="K102" i="48"/>
  <c r="J102" i="48"/>
  <c r="J98" i="48"/>
  <c r="M98" i="48"/>
  <c r="K98" i="48"/>
  <c r="H98" i="48"/>
  <c r="M94" i="48"/>
  <c r="J94" i="48"/>
  <c r="K94" i="48"/>
  <c r="H94" i="48"/>
  <c r="J90" i="48"/>
  <c r="H90" i="48"/>
  <c r="K90" i="48"/>
  <c r="M90" i="48"/>
  <c r="H86" i="48"/>
  <c r="J86" i="48"/>
  <c r="K86" i="48"/>
  <c r="M86" i="48"/>
  <c r="J82" i="48"/>
  <c r="H82" i="48"/>
  <c r="K82" i="48"/>
  <c r="M82" i="48"/>
  <c r="J78" i="48"/>
  <c r="H78" i="48"/>
  <c r="K78" i="48"/>
  <c r="M78" i="48"/>
  <c r="M74" i="48"/>
  <c r="J74" i="48"/>
  <c r="K74" i="48"/>
  <c r="H74" i="48"/>
  <c r="H70" i="48"/>
  <c r="J70" i="48"/>
  <c r="K70" i="48"/>
  <c r="M70" i="48"/>
  <c r="M66" i="48"/>
  <c r="J66" i="48"/>
  <c r="K66" i="48"/>
  <c r="H66" i="48"/>
  <c r="H62" i="48"/>
  <c r="J62" i="48"/>
  <c r="K62" i="48"/>
  <c r="M62" i="48"/>
  <c r="J58" i="48"/>
  <c r="M58" i="48"/>
  <c r="K58" i="48"/>
  <c r="H58" i="48"/>
  <c r="M54" i="48"/>
  <c r="J54" i="48"/>
  <c r="K54" i="48"/>
  <c r="H54" i="48"/>
  <c r="M50" i="48"/>
  <c r="J50" i="48"/>
  <c r="K50" i="48"/>
  <c r="H50" i="48"/>
  <c r="H46" i="48"/>
  <c r="J46" i="48"/>
  <c r="K46" i="48"/>
  <c r="M46" i="48"/>
  <c r="M42" i="48"/>
  <c r="J42" i="48"/>
  <c r="K42" i="48"/>
  <c r="H42" i="48"/>
  <c r="H38" i="48"/>
  <c r="M38" i="48"/>
  <c r="K38" i="48"/>
  <c r="J38" i="48"/>
  <c r="H34" i="48"/>
  <c r="J34" i="48"/>
  <c r="K34" i="48"/>
  <c r="M34" i="48"/>
  <c r="H30" i="48"/>
  <c r="M30" i="48"/>
  <c r="K30" i="48"/>
  <c r="J30" i="48"/>
  <c r="J26" i="48"/>
  <c r="H26" i="48"/>
  <c r="K26" i="48"/>
  <c r="M26" i="48"/>
  <c r="M22" i="48"/>
  <c r="H22" i="48"/>
  <c r="K22" i="48"/>
  <c r="J22" i="48"/>
  <c r="M18" i="48"/>
  <c r="H18" i="48"/>
  <c r="K18" i="48"/>
  <c r="J18" i="48"/>
  <c r="J14" i="48"/>
  <c r="M14" i="48"/>
  <c r="K14" i="48"/>
  <c r="H14" i="48"/>
  <c r="J10" i="48"/>
  <c r="H10" i="48"/>
  <c r="K10" i="48"/>
  <c r="M10" i="48"/>
  <c r="J6" i="48"/>
  <c r="M6" i="48"/>
  <c r="K6" i="48"/>
  <c r="H6" i="48"/>
  <c r="H113" i="48"/>
  <c r="J113" i="48"/>
  <c r="K113" i="48"/>
  <c r="M113" i="48"/>
  <c r="J109" i="48"/>
  <c r="H109" i="48"/>
  <c r="K109" i="48"/>
  <c r="M109" i="48"/>
  <c r="J105" i="48"/>
  <c r="H105" i="48"/>
  <c r="K105" i="48"/>
  <c r="M105" i="48"/>
  <c r="H101" i="48"/>
  <c r="M101" i="48"/>
  <c r="K101" i="48"/>
  <c r="J101" i="48"/>
  <c r="M97" i="48"/>
  <c r="J97" i="48"/>
  <c r="K97" i="48"/>
  <c r="H97" i="48"/>
  <c r="H93" i="48"/>
  <c r="M93" i="48"/>
  <c r="K93" i="48"/>
  <c r="J93" i="48"/>
  <c r="H89" i="48"/>
  <c r="J89" i="48"/>
  <c r="K89" i="48"/>
  <c r="M89" i="48"/>
  <c r="J85" i="48"/>
  <c r="H85" i="48"/>
  <c r="K85" i="48"/>
  <c r="M85" i="48"/>
  <c r="H81" i="48"/>
  <c r="J81" i="48"/>
  <c r="K81" i="48"/>
  <c r="M81" i="48"/>
  <c r="M77" i="48"/>
  <c r="H77" i="48"/>
  <c r="K77" i="48"/>
  <c r="J77" i="48"/>
  <c r="M73" i="48"/>
  <c r="J73" i="48"/>
  <c r="K73" i="48"/>
  <c r="H73" i="48"/>
  <c r="H69" i="48"/>
  <c r="J69" i="48"/>
  <c r="K69" i="48"/>
  <c r="M69" i="48"/>
  <c r="M65" i="48"/>
  <c r="H65" i="48"/>
  <c r="K65" i="48"/>
  <c r="J65" i="48"/>
  <c r="H61" i="48"/>
  <c r="M61" i="48"/>
  <c r="K61" i="48"/>
  <c r="J61" i="48"/>
  <c r="M57" i="48"/>
  <c r="J57" i="48"/>
  <c r="K57" i="48"/>
  <c r="H57" i="48"/>
  <c r="J53" i="48"/>
  <c r="M53" i="48"/>
  <c r="K53" i="48"/>
  <c r="H53" i="48"/>
  <c r="J49" i="48"/>
  <c r="M49" i="48"/>
  <c r="K49" i="48"/>
  <c r="H49" i="48"/>
  <c r="M45" i="48"/>
  <c r="H45" i="48"/>
  <c r="K45" i="48"/>
  <c r="J45" i="48"/>
  <c r="J41" i="48"/>
  <c r="H41" i="48"/>
  <c r="K41" i="48"/>
  <c r="M41" i="48"/>
  <c r="J37" i="48"/>
  <c r="H37" i="48"/>
  <c r="K37" i="48"/>
  <c r="M37" i="48"/>
  <c r="H33" i="48"/>
  <c r="M33" i="48"/>
  <c r="K33" i="48"/>
  <c r="J33" i="48"/>
  <c r="J29" i="48"/>
  <c r="H29" i="48"/>
  <c r="K29" i="48"/>
  <c r="M29" i="48"/>
  <c r="M25" i="48"/>
  <c r="J25" i="48"/>
  <c r="K25" i="48"/>
  <c r="H25" i="48"/>
  <c r="M21" i="48"/>
  <c r="J21" i="48"/>
  <c r="K21" i="48"/>
  <c r="H21" i="48"/>
  <c r="J17" i="48"/>
  <c r="M17" i="48"/>
  <c r="K17" i="48"/>
  <c r="H17" i="48"/>
  <c r="M13" i="48"/>
  <c r="J13" i="48"/>
  <c r="K13" i="48"/>
  <c r="H13" i="48"/>
  <c r="H9" i="48"/>
  <c r="M9" i="48"/>
  <c r="K9" i="48"/>
  <c r="J9" i="48"/>
  <c r="H5" i="48"/>
  <c r="J5" i="48"/>
  <c r="K5" i="48"/>
  <c r="M5" i="48"/>
  <c r="M8" i="48"/>
  <c r="J8" i="48"/>
  <c r="K8" i="48"/>
  <c r="H8" i="48"/>
  <c r="H4" i="48"/>
  <c r="J4" i="48"/>
  <c r="K4" i="48"/>
  <c r="M4" i="48"/>
  <c r="J11" i="48"/>
  <c r="M11" i="48"/>
  <c r="K11" i="48"/>
  <c r="H11" i="48"/>
  <c r="J7" i="48"/>
  <c r="H7" i="48"/>
  <c r="K7" i="48"/>
  <c r="M7" i="48"/>
  <c r="H3" i="48"/>
  <c r="J3" i="48"/>
  <c r="K3" i="48"/>
  <c r="M3" i="48"/>
  <c r="M12" i="48"/>
  <c r="J12" i="48"/>
  <c r="K12" i="48"/>
  <c r="H12" i="4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35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Costo 5,800,000</t>
        </r>
      </text>
    </comment>
  </commentList>
</comments>
</file>

<file path=xl/sharedStrings.xml><?xml version="1.0" encoding="utf-8"?>
<sst xmlns="http://schemas.openxmlformats.org/spreadsheetml/2006/main" count="1250" uniqueCount="227">
  <si>
    <t>Mes</t>
  </si>
  <si>
    <t>Valor</t>
  </si>
  <si>
    <t>Total</t>
  </si>
  <si>
    <t>Mesas 4 meseras</t>
  </si>
  <si>
    <t>olla arrocera</t>
  </si>
  <si>
    <t>Mercado</t>
  </si>
  <si>
    <t>Carne de res</t>
  </si>
  <si>
    <t>Proveedor</t>
  </si>
  <si>
    <t>Carne de cerdo</t>
  </si>
  <si>
    <t>Venta</t>
  </si>
  <si>
    <t xml:space="preserve">Extractor </t>
  </si>
  <si>
    <t>Patrimonio</t>
  </si>
  <si>
    <t>Mesa madera</t>
  </si>
  <si>
    <t>Mesa para lavar pollo</t>
  </si>
  <si>
    <t>Mesa para dejar ollas</t>
  </si>
  <si>
    <t>Mesa bajita de metal</t>
  </si>
  <si>
    <t>Otras ollas</t>
  </si>
  <si>
    <t>Platos, cubiertos, Tablas bajijas de plasticos</t>
  </si>
  <si>
    <t>Botes de basura</t>
  </si>
  <si>
    <t>Nevera</t>
  </si>
  <si>
    <t>Platero</t>
  </si>
  <si>
    <t>Estufa</t>
  </si>
  <si>
    <t>Acarreo</t>
  </si>
  <si>
    <t>Equipo de sonido</t>
  </si>
  <si>
    <t>Bicicleta</t>
  </si>
  <si>
    <t>Horno de pollos</t>
  </si>
  <si>
    <t>Campana</t>
  </si>
  <si>
    <t>Inversion Proyecto</t>
  </si>
  <si>
    <t>Sazón</t>
  </si>
  <si>
    <t>Carne</t>
  </si>
  <si>
    <t>Cerdo</t>
  </si>
  <si>
    <t xml:space="preserve">Pollo  </t>
  </si>
  <si>
    <t>Bascula</t>
  </si>
  <si>
    <t>Pasivo Total</t>
  </si>
  <si>
    <t>Activo</t>
  </si>
  <si>
    <t>Mercado y Hamburguesa</t>
  </si>
  <si>
    <t>Marzo</t>
  </si>
  <si>
    <t>jueves</t>
  </si>
  <si>
    <t>Fecha</t>
  </si>
  <si>
    <t>Día</t>
  </si>
  <si>
    <t>sábado</t>
  </si>
  <si>
    <t>domingo</t>
  </si>
  <si>
    <t>lunes</t>
  </si>
  <si>
    <t>martes</t>
  </si>
  <si>
    <t>miércoles</t>
  </si>
  <si>
    <t>viernes</t>
  </si>
  <si>
    <t>Rentabilidad</t>
  </si>
  <si>
    <t>Tipo día</t>
  </si>
  <si>
    <t xml:space="preserve"> Venta</t>
  </si>
  <si>
    <t>Normal</t>
  </si>
  <si>
    <t xml:space="preserve">Rentabilidad  x mes    </t>
  </si>
  <si>
    <t xml:space="preserve">Días trascurridos    </t>
  </si>
  <si>
    <t xml:space="preserve">Rentabilidad x día    </t>
  </si>
  <si>
    <t>Arriendo Apto. Marzo</t>
  </si>
  <si>
    <t>Bebidas</t>
  </si>
  <si>
    <t>Publidad tarjeteria</t>
  </si>
  <si>
    <t>Origen Equipo</t>
  </si>
  <si>
    <t>Antiguo</t>
  </si>
  <si>
    <t>Nuevo</t>
  </si>
  <si>
    <t>olla espres</t>
  </si>
  <si>
    <t>Materia Prima</t>
  </si>
  <si>
    <t>Tipo de gasto</t>
  </si>
  <si>
    <t>Bicicleta - Parrilla</t>
  </si>
  <si>
    <t>Propio</t>
  </si>
  <si>
    <t>NOMINA</t>
  </si>
  <si>
    <t xml:space="preserve"> Sarmiento</t>
  </si>
  <si>
    <t xml:space="preserve"> Leornardo</t>
  </si>
  <si>
    <t xml:space="preserve"> Orlando</t>
  </si>
  <si>
    <t>Menudo y prestamo</t>
  </si>
  <si>
    <t xml:space="preserve"> Hector</t>
  </si>
  <si>
    <t xml:space="preserve"> Saul</t>
  </si>
  <si>
    <t>Nombre proveedor</t>
  </si>
  <si>
    <t>Forecast</t>
  </si>
  <si>
    <t>FINANCIERO</t>
  </si>
  <si>
    <t>ARRIENDO</t>
  </si>
  <si>
    <t>Pescado</t>
  </si>
  <si>
    <t>PUBLICIDAD</t>
  </si>
  <si>
    <t>Gota x Gota</t>
  </si>
  <si>
    <t>Arredatario</t>
  </si>
  <si>
    <t xml:space="preserve"> Diego</t>
  </si>
  <si>
    <t>Inventario (Stock)</t>
  </si>
  <si>
    <t>Planta y Equipo</t>
  </si>
  <si>
    <t>Mes de Arriendo Marzo</t>
  </si>
  <si>
    <t>Total general</t>
  </si>
  <si>
    <t>Tipo de obligación</t>
  </si>
  <si>
    <t xml:space="preserve"> Martin</t>
  </si>
  <si>
    <t xml:space="preserve"> Vecino</t>
  </si>
  <si>
    <t>Nd</t>
  </si>
  <si>
    <t>Carne de Pollo</t>
  </si>
  <si>
    <t>Nivel de Endeudamiento (NE)</t>
  </si>
  <si>
    <t>Nivel de endeudamiento crítico</t>
  </si>
  <si>
    <t>Autonomía</t>
  </si>
  <si>
    <t>El 70% del patrimonio esta comprometido con deudas</t>
  </si>
  <si>
    <t>Actual</t>
  </si>
  <si>
    <t>Meta ideal deuda</t>
  </si>
  <si>
    <t>Ideal</t>
  </si>
  <si>
    <t>Meta a Pagar</t>
  </si>
  <si>
    <t>Gastos</t>
  </si>
  <si>
    <t>Ventas</t>
  </si>
  <si>
    <t>Ganacia / Nomina</t>
  </si>
  <si>
    <t>Promedio Venta</t>
  </si>
  <si>
    <t>Tendencia</t>
  </si>
  <si>
    <t>Utilidad trabajo</t>
  </si>
  <si>
    <t>E (Renta)</t>
  </si>
  <si>
    <t>Target Ventas</t>
  </si>
  <si>
    <t>Target MC</t>
  </si>
  <si>
    <t>Target Día</t>
  </si>
  <si>
    <t>Target %</t>
  </si>
  <si>
    <t>% Target</t>
  </si>
  <si>
    <t>(Todas)</t>
  </si>
  <si>
    <t>Tipo día2</t>
  </si>
  <si>
    <t>enel - 6451508-5</t>
  </si>
  <si>
    <t>A) Día hábil</t>
  </si>
  <si>
    <t>C) Sábado</t>
  </si>
  <si>
    <t>Caja</t>
  </si>
  <si>
    <t>Plan B</t>
  </si>
  <si>
    <t>Arriendo</t>
  </si>
  <si>
    <t>Gas</t>
  </si>
  <si>
    <t>Consumo (m3)</t>
  </si>
  <si>
    <t>Energia</t>
  </si>
  <si>
    <t>21Nov -20Dic</t>
  </si>
  <si>
    <t>20Dic-22Ene</t>
  </si>
  <si>
    <t>22Ene-20Feb</t>
  </si>
  <si>
    <t>20Feb-19Mar</t>
  </si>
  <si>
    <t>19Mar-21Abr</t>
  </si>
  <si>
    <t>21Abr-20May</t>
  </si>
  <si>
    <t>No. Días Gas</t>
  </si>
  <si>
    <t>No. Días Energia</t>
  </si>
  <si>
    <t>No. Días Arriendo</t>
  </si>
  <si>
    <t>Consumo
(KhW</t>
  </si>
  <si>
    <t>Fecha corte enega</t>
  </si>
  <si>
    <t>Día Arriendo</t>
  </si>
  <si>
    <t>Costo prom. Gas</t>
  </si>
  <si>
    <t>Tipo</t>
  </si>
  <si>
    <t>Histórico</t>
  </si>
  <si>
    <t>Día Gas</t>
  </si>
  <si>
    <t>Costo prom. Energia</t>
  </si>
  <si>
    <t>Día Energia</t>
  </si>
  <si>
    <t>21May-20Jun</t>
  </si>
  <si>
    <t>Financiació Energia</t>
  </si>
  <si>
    <t>Agua</t>
  </si>
  <si>
    <t>Dìa Agua</t>
  </si>
  <si>
    <t>Electricidad</t>
  </si>
  <si>
    <t>Nomina</t>
  </si>
  <si>
    <t>Bancos</t>
  </si>
  <si>
    <t>D) Domingo</t>
  </si>
  <si>
    <t>Domiciliario</t>
  </si>
  <si>
    <t>2 dia</t>
  </si>
  <si>
    <t>35000 por millar</t>
  </si>
  <si>
    <t>60.000 por millar</t>
  </si>
  <si>
    <t>50 pollos un millon</t>
  </si>
  <si>
    <t>Pintura, local</t>
  </si>
  <si>
    <t>50 pollos</t>
  </si>
  <si>
    <t>Hamburguesa</t>
  </si>
  <si>
    <t>25.000 a 10 cada</t>
  </si>
  <si>
    <t>49 gaseosas litro y media</t>
  </si>
  <si>
    <t>gaseosas pequeñas 50</t>
  </si>
  <si>
    <t>Sason para un mes</t>
  </si>
  <si>
    <t>CODENSA</t>
  </si>
  <si>
    <t>Congelado</t>
  </si>
  <si>
    <t>Pagar Urgente</t>
  </si>
  <si>
    <t>Estado Tesoreria</t>
  </si>
  <si>
    <t>Arriendo Apto.</t>
  </si>
  <si>
    <t>dom</t>
  </si>
  <si>
    <t>lun</t>
  </si>
  <si>
    <t>mar</t>
  </si>
  <si>
    <t>mié</t>
  </si>
  <si>
    <t>jue</t>
  </si>
  <si>
    <t>vie</t>
  </si>
  <si>
    <t>sáb</t>
  </si>
  <si>
    <t>Suma de Venta</t>
  </si>
  <si>
    <t>No. Semana de operación</t>
  </si>
  <si>
    <t>Semana</t>
  </si>
  <si>
    <t>∆%</t>
  </si>
  <si>
    <t>Sandra</t>
  </si>
  <si>
    <t>Cuentas x Pagar</t>
  </si>
  <si>
    <t>Target</t>
  </si>
  <si>
    <t>Contingencia: Gas</t>
  </si>
  <si>
    <t>Contingencia: Licuadora</t>
  </si>
  <si>
    <t>Ladron de Gas</t>
  </si>
  <si>
    <t>Licuadora</t>
  </si>
  <si>
    <t>Vitrina, ollas</t>
  </si>
  <si>
    <t>Pasivo de largo plazo</t>
  </si>
  <si>
    <t>Pasivo de corto plazo</t>
  </si>
  <si>
    <t>Licuadrora</t>
  </si>
  <si>
    <t>Saldo nuevo admón</t>
  </si>
  <si>
    <t>Día C x P</t>
  </si>
  <si>
    <t>Hora</t>
  </si>
  <si>
    <t>fecha_fin</t>
  </si>
  <si>
    <t>nombre_producto</t>
  </si>
  <si>
    <t>Cajero</t>
  </si>
  <si>
    <t>Parrillero</t>
  </si>
  <si>
    <t>Internet</t>
  </si>
  <si>
    <t>Chorizo</t>
  </si>
  <si>
    <t>hit</t>
  </si>
  <si>
    <t>agua</t>
  </si>
  <si>
    <t>postobon</t>
  </si>
  <si>
    <t>coca cola</t>
  </si>
  <si>
    <t>Venta PE</t>
  </si>
  <si>
    <t>Día internet</t>
  </si>
  <si>
    <t>Servicios publicos</t>
  </si>
  <si>
    <t>dia</t>
  </si>
  <si>
    <t>Etiquetas de fila</t>
  </si>
  <si>
    <t>MG</t>
  </si>
  <si>
    <t>precio_producto</t>
  </si>
  <si>
    <t>costo_producto</t>
  </si>
  <si>
    <t>Hit</t>
  </si>
  <si>
    <t>Coca cola</t>
  </si>
  <si>
    <t>Postobon</t>
  </si>
  <si>
    <t>Chori- CRUDO</t>
  </si>
  <si>
    <t>parri tres carnes</t>
  </si>
  <si>
    <t>carne + chorizo</t>
  </si>
  <si>
    <t>tinto</t>
  </si>
  <si>
    <t>parri 48</t>
  </si>
  <si>
    <t>parri 70</t>
  </si>
  <si>
    <t>parri 40</t>
  </si>
  <si>
    <t>cerrado</t>
  </si>
  <si>
    <t>B) Viernes</t>
  </si>
  <si>
    <t>E) Festivo</t>
  </si>
  <si>
    <t>José Gustavo</t>
  </si>
  <si>
    <t>Gaseosa</t>
  </si>
  <si>
    <t>Descripción</t>
  </si>
  <si>
    <t>Chorizos</t>
  </si>
  <si>
    <t>Gaseosas, Coca Cola, Hit y Agua</t>
  </si>
  <si>
    <t>Opex</t>
  </si>
  <si>
    <t>Suma de MG</t>
  </si>
  <si>
    <t>MG estim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</si>
</sst>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.00\ _€_-;\-* #,##0.00\ _€_-;_-* &quot;-&quot;??\ _€_-;_-@_-"/>
    <numFmt numFmtId="166" formatCode="_-[$$-240A]\ * #,##0_-;\-[$$-240A]\ * #,##0_-;_-[$$-240A]\ * &quot;-&quot;??_-;_-@_-"/>
    <numFmt numFmtId="167" formatCode="_-* #,##0\ _€_-;\-* #,##0\ _€_-;_-* &quot;-&quot;??\ _€_-;_-@_-"/>
    <numFmt numFmtId="168" formatCode="_ &quot;$&quot;\ * #,##0.00_ ;_ &quot;$&quot;\ * \-#,##0.00_ ;_ &quot;$&quot;\ * &quot;-&quot;??_ ;_ @_ "/>
    <numFmt numFmtId="169" formatCode="_ * #,##0.00_ ;_ * \-#,##0.00_ ;_ * &quot;-&quot;??_ ;_ @_ "/>
    <numFmt numFmtId="170" formatCode="_-* #,##0_-;\-* #,##0_-;_-* &quot;-&quot;??_-;_-@_-"/>
    <numFmt numFmtId="171" formatCode="_-&quot;$&quot;\ * #,##0_-;\-&quot;$&quot;\ * #,##0_-;_-&quot;$&quot;\ * &quot;-&quot;??_-;_-@_-"/>
    <numFmt numFmtId="172" formatCode="0.0"/>
    <numFmt numFmtId="173" formatCode="#,##0_ ;[Red]\-#,##0\ "/>
  </numFmts>
  <fonts count="31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11"/>
      <color rgb="FFFF0000"/>
      <name val="Tw Cen MT"/>
      <family val="2"/>
      <scheme val="minor"/>
    </font>
    <font>
      <b/>
      <sz val="11"/>
      <color theme="0"/>
      <name val="Tw Cen MT"/>
      <family val="2"/>
      <scheme val="minor"/>
    </font>
    <font>
      <sz val="11"/>
      <color indexed="8"/>
      <name val="Tw Cen MT"/>
      <family val="2"/>
      <scheme val="minor"/>
    </font>
    <font>
      <sz val="12"/>
      <name val="Courier"/>
    </font>
    <font>
      <b/>
      <sz val="9"/>
      <color indexed="81"/>
      <name val="Tahoma"/>
      <family val="2"/>
    </font>
    <font>
      <sz val="11"/>
      <color theme="0"/>
      <name val="Tw Cen MT"/>
      <family val="2"/>
      <scheme val="minor"/>
    </font>
    <font>
      <sz val="11"/>
      <name val="Tw Cen MT"/>
      <family val="2"/>
      <scheme val="minor"/>
    </font>
    <font>
      <sz val="11"/>
      <color rgb="FF000000"/>
      <name val="Gill Sans MT"/>
      <family val="2"/>
    </font>
    <font>
      <b/>
      <sz val="11"/>
      <color rgb="FF000000"/>
      <name val="Gill Sans MT"/>
      <family val="2"/>
    </font>
    <font>
      <b/>
      <sz val="11"/>
      <color rgb="FF0070C0"/>
      <name val="Tw Cen MT"/>
      <family val="2"/>
      <scheme val="minor"/>
    </font>
    <font>
      <b/>
      <u/>
      <sz val="11"/>
      <color theme="1"/>
      <name val="Tw Cen MT"/>
      <family val="2"/>
      <scheme val="minor"/>
    </font>
    <font>
      <sz val="9"/>
      <color rgb="FF004165"/>
      <name val="Arial"/>
      <family val="2"/>
    </font>
    <font>
      <sz val="8"/>
      <name val="Tw Cen MT"/>
      <family val="2"/>
      <scheme val="minor"/>
    </font>
    <font>
      <sz val="9"/>
      <color theme="1"/>
      <name val="Tw Cen MT"/>
      <family val="2"/>
      <scheme val="minor"/>
    </font>
    <font>
      <sz val="9"/>
      <color theme="0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color theme="1"/>
      <name val="Tw Cen MT"/>
      <family val="2"/>
      <scheme val="minor"/>
    </font>
    <font>
      <b/>
      <u/>
      <sz val="9"/>
      <color rgb="FF004165"/>
      <name val="Arial"/>
      <family val="2"/>
    </font>
    <font>
      <sz val="11"/>
      <color rgb="FF000000"/>
      <name val="Gill Sans MT"/>
      <family val="2"/>
    </font>
    <font>
      <u/>
      <sz val="11"/>
      <color theme="1"/>
      <name val="Tw Cen MT"/>
      <family val="2"/>
      <scheme val="minor"/>
    </font>
    <font>
      <u/>
      <sz val="11"/>
      <color rgb="FF0070C0"/>
      <name val="Tw Cen MT"/>
      <family val="2"/>
      <scheme val="minor"/>
    </font>
    <font>
      <u val="singleAccounting"/>
      <sz val="11"/>
      <color rgb="FF0070C0"/>
      <name val="Tw Cen MT"/>
      <family val="2"/>
      <scheme val="minor"/>
    </font>
    <font>
      <sz val="11"/>
      <color theme="0"/>
      <name val="Calibri"/>
      <family val="2"/>
    </font>
    <font>
      <u/>
      <sz val="11"/>
      <name val="Tw Cen MT"/>
      <family val="2"/>
      <scheme val="minor"/>
    </font>
    <font>
      <b/>
      <sz val="14"/>
      <color rgb="FF0070C0"/>
      <name val="Tw Cen MT"/>
      <family val="2"/>
      <scheme val="minor"/>
    </font>
    <font>
      <sz val="11"/>
      <color rgb="FF000000"/>
      <name val="Gill Sans MT"/>
      <family val="2"/>
    </font>
    <font>
      <b/>
      <sz val="11"/>
      <color theme="1"/>
      <name val="Tw Cen MT"/>
      <family val="2"/>
      <scheme val="minor"/>
    </font>
    <font>
      <sz val="11"/>
      <color rgb="FF0070C0"/>
      <name val="Tw Cen MT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1EA0A6"/>
        <bgColor theme="4"/>
      </patternFill>
    </fill>
    <fill>
      <patternFill patternType="solid">
        <fgColor rgb="FFFBFBFB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FFFFA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-0.249977111117893"/>
        <bgColor theme="6" tint="-0.249977111117893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A3A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5" tint="-0.249977111117893"/>
        <bgColor theme="5" tint="-0.249977111117893"/>
      </patternFill>
    </fill>
    <fill>
      <patternFill patternType="solid">
        <fgColor rgb="FFA3E7FF"/>
        <bgColor indexed="64"/>
      </patternFill>
    </fill>
    <fill>
      <patternFill patternType="solid">
        <fgColor rgb="FFFFD44B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theme="7"/>
      </patternFill>
    </fill>
    <fill>
      <patternFill patternType="solid">
        <fgColor rgb="FF7030A0"/>
        <bgColor theme="4"/>
      </patternFill>
    </fill>
    <fill>
      <patternFill patternType="solid">
        <fgColor rgb="FF7030A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A3"/>
        <bgColor theme="4" tint="0.79998168889431442"/>
      </patternFill>
    </fill>
  </fills>
  <borders count="27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/>
      <top style="medium">
        <color theme="4" tint="-0.249977111117893"/>
      </top>
      <bottom/>
      <diagonal/>
    </border>
    <border>
      <left/>
      <right/>
      <top style="thin">
        <color theme="9" tint="0.39997558519241921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6" tint="0.79998168889431442"/>
      </bottom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/>
      <right/>
      <top style="double">
        <color theme="6" tint="-0.249977111117893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5" tint="-0.249977111117893"/>
      </top>
      <bottom style="thin">
        <color theme="5" tint="0.59999389629810485"/>
      </bottom>
      <diagonal/>
    </border>
    <border>
      <left/>
      <right/>
      <top style="thin">
        <color theme="5" tint="-0.249977111117893"/>
      </top>
      <bottom style="thin">
        <color theme="5" tint="0.79998168889431442"/>
      </bottom>
      <diagonal/>
    </border>
    <border>
      <left/>
      <right/>
      <top style="thin">
        <color theme="5" tint="0.79998168889431442"/>
      </top>
      <bottom style="thin">
        <color theme="5" tint="0.79998168889431442"/>
      </bottom>
      <diagonal/>
    </border>
    <border>
      <left/>
      <right/>
      <top style="double">
        <color theme="5" tint="-0.249977111117893"/>
      </top>
      <bottom/>
      <diagonal/>
    </border>
    <border>
      <left/>
      <right/>
      <top style="thin">
        <color theme="5" tint="0.79998168889431442"/>
      </top>
      <bottom style="thin">
        <color indexed="64"/>
      </bottom>
      <diagonal/>
    </border>
    <border>
      <left/>
      <right/>
      <top/>
      <bottom style="thin">
        <color theme="5" tint="0.79998168889431442"/>
      </bottom>
      <diagonal/>
    </border>
    <border>
      <left/>
      <right/>
      <top style="thin">
        <color theme="5" tint="0.79998168889431442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6">
    <xf numFmtId="0" fontId="0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5" fillId="0" borderId="0"/>
    <xf numFmtId="165" fontId="6" fillId="0" borderId="0" applyFont="0" applyFill="0" applyBorder="0" applyAlignment="0" applyProtection="0"/>
    <xf numFmtId="0" fontId="6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1" fontId="2" fillId="0" borderId="0" applyFont="0" applyFill="0" applyBorder="0" applyAlignment="0" applyProtection="0"/>
  </cellStyleXfs>
  <cellXfs count="200">
    <xf numFmtId="0" fontId="0" fillId="0" borderId="0" xfId="0"/>
    <xf numFmtId="166" fontId="0" fillId="0" borderId="0" xfId="0" applyNumberFormat="1"/>
    <xf numFmtId="167" fontId="0" fillId="0" borderId="0" xfId="1" applyNumberFormat="1" applyFont="1"/>
    <xf numFmtId="0" fontId="0" fillId="0" borderId="0" xfId="0" applyAlignment="1">
      <alignment horizontal="center"/>
    </xf>
    <xf numFmtId="0" fontId="1" fillId="0" borderId="0" xfId="0" applyFont="1"/>
    <xf numFmtId="167" fontId="0" fillId="0" borderId="0" xfId="0" applyNumberFormat="1"/>
    <xf numFmtId="170" fontId="0" fillId="0" borderId="0" xfId="0" applyNumberFormat="1"/>
    <xf numFmtId="170" fontId="0" fillId="0" borderId="0" xfId="12" applyNumberFormat="1" applyFont="1"/>
    <xf numFmtId="167" fontId="0" fillId="0" borderId="0" xfId="1" applyNumberFormat="1" applyFont="1" applyFill="1"/>
    <xf numFmtId="0" fontId="4" fillId="0" borderId="9" xfId="0" applyFont="1" applyBorder="1" applyAlignment="1">
      <alignment horizontal="center"/>
    </xf>
    <xf numFmtId="0" fontId="0" fillId="0" borderId="8" xfId="0" applyBorder="1"/>
    <xf numFmtId="0" fontId="0" fillId="0" borderId="10" xfId="0" applyBorder="1"/>
    <xf numFmtId="0" fontId="0" fillId="7" borderId="2" xfId="0" applyFill="1" applyBorder="1" applyAlignment="1">
      <alignment horizontal="left" indent="2"/>
    </xf>
    <xf numFmtId="167" fontId="0" fillId="7" borderId="2" xfId="1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pivotButton="1"/>
    <xf numFmtId="166" fontId="9" fillId="2" borderId="11" xfId="0" applyNumberFormat="1" applyFont="1" applyFill="1" applyBorder="1"/>
    <xf numFmtId="0" fontId="0" fillId="0" borderId="12" xfId="0" applyBorder="1"/>
    <xf numFmtId="166" fontId="0" fillId="0" borderId="0" xfId="1" applyNumberFormat="1" applyFont="1"/>
    <xf numFmtId="166" fontId="0" fillId="0" borderId="8" xfId="1" applyNumberFormat="1" applyFont="1" applyFill="1" applyBorder="1"/>
    <xf numFmtId="166" fontId="0" fillId="0" borderId="10" xfId="1" applyNumberFormat="1" applyFont="1" applyFill="1" applyBorder="1"/>
    <xf numFmtId="166" fontId="0" fillId="0" borderId="12" xfId="1" applyNumberFormat="1" applyFont="1" applyFill="1" applyBorder="1"/>
    <xf numFmtId="0" fontId="4" fillId="0" borderId="2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171" fontId="0" fillId="0" borderId="13" xfId="3" applyNumberFormat="1" applyFont="1" applyFill="1" applyBorder="1" applyAlignment="1">
      <alignment horizontal="left"/>
    </xf>
    <xf numFmtId="0" fontId="0" fillId="10" borderId="0" xfId="0" applyFill="1"/>
    <xf numFmtId="171" fontId="0" fillId="0" borderId="4" xfId="3" applyNumberFormat="1" applyFont="1" applyFill="1" applyBorder="1" applyAlignment="1">
      <alignment horizontal="left"/>
    </xf>
    <xf numFmtId="0" fontId="8" fillId="11" borderId="2" xfId="0" applyFont="1" applyFill="1" applyBorder="1" applyAlignment="1">
      <alignment horizontal="center"/>
    </xf>
    <xf numFmtId="0" fontId="8" fillId="8" borderId="2" xfId="0" applyFont="1" applyFill="1" applyBorder="1" applyAlignment="1">
      <alignment horizontal="center"/>
    </xf>
    <xf numFmtId="167" fontId="8" fillId="8" borderId="2" xfId="1" applyNumberFormat="1" applyFont="1" applyFill="1" applyBorder="1" applyAlignment="1">
      <alignment horizontal="center"/>
    </xf>
    <xf numFmtId="9" fontId="0" fillId="7" borderId="2" xfId="2" applyFont="1" applyFill="1" applyBorder="1" applyAlignment="1">
      <alignment horizontal="center" vertical="center"/>
    </xf>
    <xf numFmtId="9" fontId="8" fillId="8" borderId="2" xfId="2" applyFont="1" applyFill="1" applyBorder="1" applyAlignment="1">
      <alignment horizontal="center" vertical="center"/>
    </xf>
    <xf numFmtId="9" fontId="8" fillId="4" borderId="2" xfId="2" applyFont="1" applyFill="1" applyBorder="1" applyAlignment="1">
      <alignment horizontal="center" vertical="center"/>
    </xf>
    <xf numFmtId="0" fontId="1" fillId="0" borderId="0" xfId="0" pivotButton="1" applyFont="1" applyAlignment="1">
      <alignment horizontal="center"/>
    </xf>
    <xf numFmtId="166" fontId="1" fillId="0" borderId="0" xfId="0" applyNumberFormat="1" applyFont="1" applyAlignment="1">
      <alignment horizontal="center"/>
    </xf>
    <xf numFmtId="9" fontId="0" fillId="0" borderId="0" xfId="2" applyFont="1"/>
    <xf numFmtId="172" fontId="3" fillId="0" borderId="0" xfId="2" applyNumberFormat="1" applyFont="1" applyAlignment="1">
      <alignment horizontal="center"/>
    </xf>
    <xf numFmtId="172" fontId="12" fillId="0" borderId="0" xfId="2" applyNumberFormat="1" applyFont="1" applyAlignment="1">
      <alignment horizontal="center"/>
    </xf>
    <xf numFmtId="0" fontId="12" fillId="0" borderId="0" xfId="0" applyFont="1"/>
    <xf numFmtId="0" fontId="3" fillId="0" borderId="0" xfId="0" applyFont="1" applyAlignment="1">
      <alignment horizontal="center"/>
    </xf>
    <xf numFmtId="0" fontId="13" fillId="0" borderId="0" xfId="0" applyFont="1" applyAlignment="1">
      <alignment horizontal="right"/>
    </xf>
    <xf numFmtId="167" fontId="12" fillId="0" borderId="0" xfId="1" applyNumberFormat="1" applyFont="1"/>
    <xf numFmtId="173" fontId="0" fillId="0" borderId="0" xfId="0" applyNumberFormat="1"/>
    <xf numFmtId="0" fontId="4" fillId="9" borderId="11" xfId="0" applyFont="1" applyFill="1" applyBorder="1"/>
    <xf numFmtId="173" fontId="0" fillId="13" borderId="0" xfId="0" applyNumberFormat="1" applyFill="1" applyAlignment="1">
      <alignment horizontal="center"/>
    </xf>
    <xf numFmtId="0" fontId="4" fillId="9" borderId="11" xfId="0" applyFont="1" applyFill="1" applyBorder="1" applyAlignment="1">
      <alignment horizontal="left" indent="2"/>
    </xf>
    <xf numFmtId="0" fontId="4" fillId="9" borderId="11" xfId="0" applyFont="1" applyFill="1" applyBorder="1" applyAlignment="1">
      <alignment horizontal="left"/>
    </xf>
    <xf numFmtId="0" fontId="4" fillId="9" borderId="11" xfId="0" applyFont="1" applyFill="1" applyBorder="1" applyAlignment="1">
      <alignment horizontal="center"/>
    </xf>
    <xf numFmtId="173" fontId="9" fillId="2" borderId="11" xfId="0" applyNumberFormat="1" applyFont="1" applyFill="1" applyBorder="1"/>
    <xf numFmtId="9" fontId="0" fillId="0" borderId="0" xfId="2" applyFont="1" applyAlignment="1">
      <alignment horizontal="center"/>
    </xf>
    <xf numFmtId="166" fontId="0" fillId="14" borderId="0" xfId="0" applyNumberFormat="1" applyFill="1"/>
    <xf numFmtId="0" fontId="0" fillId="3" borderId="0" xfId="0" applyFill="1"/>
    <xf numFmtId="0" fontId="8" fillId="4" borderId="2" xfId="0" applyFont="1" applyFill="1" applyBorder="1" applyAlignment="1">
      <alignment horizontal="center"/>
    </xf>
    <xf numFmtId="167" fontId="8" fillId="4" borderId="2" xfId="1" applyNumberFormat="1" applyFont="1" applyFill="1" applyBorder="1" applyAlignment="1">
      <alignment horizontal="center"/>
    </xf>
    <xf numFmtId="166" fontId="4" fillId="15" borderId="15" xfId="0" applyNumberFormat="1" applyFont="1" applyFill="1" applyBorder="1" applyAlignment="1">
      <alignment horizontal="center"/>
    </xf>
    <xf numFmtId="166" fontId="0" fillId="0" borderId="16" xfId="0" applyNumberFormat="1" applyBorder="1"/>
    <xf numFmtId="166" fontId="1" fillId="0" borderId="17" xfId="0" applyNumberFormat="1" applyFont="1" applyBorder="1"/>
    <xf numFmtId="41" fontId="0" fillId="0" borderId="0" xfId="15" applyFont="1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19" borderId="0" xfId="0" applyFont="1" applyFill="1" applyAlignment="1">
      <alignment horizontal="center" vertical="center" wrapText="1"/>
    </xf>
    <xf numFmtId="166" fontId="1" fillId="6" borderId="0" xfId="0" applyNumberFormat="1" applyFont="1" applyFill="1" applyAlignment="1">
      <alignment horizontal="center" vertical="center" wrapText="1"/>
    </xf>
    <xf numFmtId="166" fontId="1" fillId="18" borderId="0" xfId="0" applyNumberFormat="1" applyFont="1" applyFill="1" applyAlignment="1">
      <alignment horizontal="center" vertical="center" wrapText="1"/>
    </xf>
    <xf numFmtId="17" fontId="14" fillId="17" borderId="0" xfId="0" applyNumberFormat="1" applyFont="1" applyFill="1" applyAlignment="1">
      <alignment horizontal="center" vertical="center" wrapText="1"/>
    </xf>
    <xf numFmtId="17" fontId="14" fillId="0" borderId="0" xfId="0" applyNumberFormat="1" applyFont="1" applyAlignment="1">
      <alignment horizontal="center" vertical="center" wrapText="1"/>
    </xf>
    <xf numFmtId="14" fontId="16" fillId="0" borderId="0" xfId="0" applyNumberFormat="1" applyFont="1"/>
    <xf numFmtId="0" fontId="16" fillId="0" borderId="0" xfId="0" applyFont="1"/>
    <xf numFmtId="166" fontId="16" fillId="0" borderId="0" xfId="0" applyNumberFormat="1" applyFont="1"/>
    <xf numFmtId="166" fontId="16" fillId="0" borderId="0" xfId="0" applyNumberFormat="1" applyFont="1" applyAlignment="1">
      <alignment horizontal="center"/>
    </xf>
    <xf numFmtId="1" fontId="16" fillId="0" borderId="0" xfId="0" applyNumberFormat="1" applyFont="1" applyAlignment="1">
      <alignment horizontal="center"/>
    </xf>
    <xf numFmtId="173" fontId="16" fillId="0" borderId="0" xfId="0" applyNumberFormat="1" applyFont="1"/>
    <xf numFmtId="166" fontId="16" fillId="20" borderId="0" xfId="0" applyNumberFormat="1" applyFont="1" applyFill="1"/>
    <xf numFmtId="166" fontId="16" fillId="7" borderId="0" xfId="0" applyNumberFormat="1" applyFont="1" applyFill="1" applyAlignment="1">
      <alignment horizontal="center"/>
    </xf>
    <xf numFmtId="14" fontId="17" fillId="6" borderId="0" xfId="0" applyNumberFormat="1" applyFont="1" applyFill="1"/>
    <xf numFmtId="166" fontId="17" fillId="6" borderId="0" xfId="0" applyNumberFormat="1" applyFont="1" applyFill="1"/>
    <xf numFmtId="1" fontId="17" fillId="6" borderId="0" xfId="0" applyNumberFormat="1" applyFont="1" applyFill="1" applyAlignment="1">
      <alignment horizontal="center"/>
    </xf>
    <xf numFmtId="166" fontId="17" fillId="6" borderId="0" xfId="0" applyNumberFormat="1" applyFont="1" applyFill="1" applyAlignment="1">
      <alignment horizontal="center"/>
    </xf>
    <xf numFmtId="166" fontId="0" fillId="12" borderId="0" xfId="0" applyNumberFormat="1" applyFill="1"/>
    <xf numFmtId="166" fontId="18" fillId="2" borderId="0" xfId="0" applyNumberFormat="1" applyFont="1" applyFill="1" applyAlignment="1">
      <alignment horizontal="center" vertical="center" wrapText="1"/>
    </xf>
    <xf numFmtId="166" fontId="16" fillId="23" borderId="0" xfId="0" applyNumberFormat="1" applyFont="1" applyFill="1" applyAlignment="1">
      <alignment horizontal="center"/>
    </xf>
    <xf numFmtId="0" fontId="17" fillId="6" borderId="0" xfId="0" applyFont="1" applyFill="1" applyAlignment="1">
      <alignment horizontal="center"/>
    </xf>
    <xf numFmtId="0" fontId="16" fillId="0" borderId="0" xfId="0" applyFont="1" applyAlignment="1">
      <alignment horizontal="center"/>
    </xf>
    <xf numFmtId="166" fontId="16" fillId="21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17" fillId="6" borderId="0" xfId="0" applyNumberFormat="1" applyFont="1" applyFill="1" applyAlignment="1">
      <alignment horizontal="center"/>
    </xf>
    <xf numFmtId="166" fontId="16" fillId="12" borderId="0" xfId="15" applyNumberFormat="1" applyFont="1" applyFill="1"/>
    <xf numFmtId="166" fontId="1" fillId="8" borderId="0" xfId="0" applyNumberFormat="1" applyFont="1" applyFill="1"/>
    <xf numFmtId="166" fontId="1" fillId="6" borderId="0" xfId="0" applyNumberFormat="1" applyFont="1" applyFill="1" applyAlignment="1">
      <alignment horizontal="center"/>
    </xf>
    <xf numFmtId="14" fontId="19" fillId="0" borderId="0" xfId="0" applyNumberFormat="1" applyFont="1"/>
    <xf numFmtId="0" fontId="19" fillId="0" borderId="0" xfId="0" applyFont="1"/>
    <xf numFmtId="166" fontId="19" fillId="0" borderId="0" xfId="0" applyNumberFormat="1" applyFont="1"/>
    <xf numFmtId="1" fontId="19" fillId="0" borderId="0" xfId="0" applyNumberFormat="1" applyFont="1" applyAlignment="1">
      <alignment horizontal="center"/>
    </xf>
    <xf numFmtId="166" fontId="19" fillId="20" borderId="0" xfId="0" applyNumberFormat="1" applyFont="1" applyFill="1"/>
    <xf numFmtId="0" fontId="19" fillId="0" borderId="0" xfId="0" applyFont="1" applyAlignment="1">
      <alignment horizontal="center"/>
    </xf>
    <xf numFmtId="166" fontId="19" fillId="7" borderId="0" xfId="0" applyNumberFormat="1" applyFont="1" applyFill="1" applyAlignment="1">
      <alignment horizontal="center"/>
    </xf>
    <xf numFmtId="166" fontId="19" fillId="21" borderId="0" xfId="0" applyNumberFormat="1" applyFont="1" applyFill="1" applyAlignment="1">
      <alignment horizontal="center"/>
    </xf>
    <xf numFmtId="166" fontId="19" fillId="0" borderId="0" xfId="0" applyNumberFormat="1" applyFont="1" applyAlignment="1">
      <alignment horizontal="center"/>
    </xf>
    <xf numFmtId="166" fontId="19" fillId="23" borderId="0" xfId="0" applyNumberFormat="1" applyFont="1" applyFill="1" applyAlignment="1">
      <alignment horizontal="center"/>
    </xf>
    <xf numFmtId="17" fontId="20" fillId="0" borderId="0" xfId="0" applyNumberFormat="1" applyFont="1" applyAlignment="1">
      <alignment horizontal="center" vertical="center" wrapText="1"/>
    </xf>
    <xf numFmtId="166" fontId="19" fillId="12" borderId="0" xfId="15" applyNumberFormat="1" applyFont="1" applyFill="1"/>
    <xf numFmtId="0" fontId="0" fillId="24" borderId="0" xfId="0" applyFill="1" applyAlignment="1">
      <alignment horizontal="center"/>
    </xf>
    <xf numFmtId="166" fontId="0" fillId="5" borderId="0" xfId="0" applyNumberFormat="1" applyFill="1"/>
    <xf numFmtId="0" fontId="0" fillId="26" borderId="0" xfId="0" applyFill="1"/>
    <xf numFmtId="41" fontId="0" fillId="26" borderId="0" xfId="15" applyFont="1" applyFill="1"/>
    <xf numFmtId="171" fontId="21" fillId="0" borderId="0" xfId="11" applyNumberFormat="1" applyFont="1" applyBorder="1"/>
    <xf numFmtId="171" fontId="10" fillId="0" borderId="0" xfId="11" applyNumberFormat="1" applyFont="1" applyBorder="1"/>
    <xf numFmtId="0" fontId="11" fillId="0" borderId="3" xfId="0" applyFont="1" applyBorder="1"/>
    <xf numFmtId="0" fontId="10" fillId="13" borderId="4" xfId="0" applyFont="1" applyFill="1" applyBorder="1" applyAlignment="1">
      <alignment horizontal="center"/>
    </xf>
    <xf numFmtId="0" fontId="4" fillId="27" borderId="18" xfId="0" applyFont="1" applyFill="1" applyBorder="1"/>
    <xf numFmtId="0" fontId="0" fillId="0" borderId="0" xfId="0" applyAlignment="1">
      <alignment horizontal="left"/>
    </xf>
    <xf numFmtId="41" fontId="0" fillId="0" borderId="0" xfId="0" applyNumberFormat="1"/>
    <xf numFmtId="0" fontId="8" fillId="30" borderId="20" xfId="0" applyFont="1" applyFill="1" applyBorder="1" applyAlignment="1">
      <alignment horizontal="center"/>
    </xf>
    <xf numFmtId="41" fontId="0" fillId="0" borderId="21" xfId="0" applyNumberFormat="1" applyBorder="1"/>
    <xf numFmtId="41" fontId="1" fillId="0" borderId="22" xfId="0" applyNumberFormat="1" applyFont="1" applyBorder="1"/>
    <xf numFmtId="0" fontId="1" fillId="0" borderId="22" xfId="0" applyFont="1" applyBorder="1" applyAlignment="1">
      <alignment horizontal="left"/>
    </xf>
    <xf numFmtId="9" fontId="0" fillId="0" borderId="21" xfId="2" applyFont="1" applyBorder="1"/>
    <xf numFmtId="9" fontId="1" fillId="0" borderId="22" xfId="2" applyFont="1" applyBorder="1"/>
    <xf numFmtId="0" fontId="8" fillId="30" borderId="19" xfId="0" applyFont="1" applyFill="1" applyBorder="1" applyAlignment="1">
      <alignment horizontal="center"/>
    </xf>
    <xf numFmtId="0" fontId="9" fillId="31" borderId="21" xfId="0" applyFont="1" applyFill="1" applyBorder="1" applyAlignment="1">
      <alignment horizontal="left"/>
    </xf>
    <xf numFmtId="0" fontId="22" fillId="32" borderId="21" xfId="0" applyFont="1" applyFill="1" applyBorder="1" applyAlignment="1">
      <alignment horizontal="left"/>
    </xf>
    <xf numFmtId="0" fontId="22" fillId="16" borderId="21" xfId="0" applyFont="1" applyFill="1" applyBorder="1" applyAlignment="1">
      <alignment horizontal="left"/>
    </xf>
    <xf numFmtId="0" fontId="22" fillId="29" borderId="21" xfId="0" applyFont="1" applyFill="1" applyBorder="1" applyAlignment="1">
      <alignment horizontal="left"/>
    </xf>
    <xf numFmtId="41" fontId="23" fillId="0" borderId="21" xfId="0" applyNumberFormat="1" applyFont="1" applyBorder="1"/>
    <xf numFmtId="9" fontId="23" fillId="0" borderId="21" xfId="2" applyFont="1" applyBorder="1"/>
    <xf numFmtId="41" fontId="24" fillId="0" borderId="0" xfId="0" applyNumberFormat="1" applyFont="1"/>
    <xf numFmtId="41" fontId="0" fillId="0" borderId="21" xfId="15" applyFont="1" applyBorder="1"/>
    <xf numFmtId="41" fontId="23" fillId="0" borderId="21" xfId="15" applyFont="1" applyBorder="1"/>
    <xf numFmtId="0" fontId="9" fillId="31" borderId="0" xfId="0" applyFont="1" applyFill="1" applyAlignment="1">
      <alignment horizontal="left"/>
    </xf>
    <xf numFmtId="0" fontId="22" fillId="32" borderId="24" xfId="0" applyFont="1" applyFill="1" applyBorder="1" applyAlignment="1">
      <alignment horizontal="left"/>
    </xf>
    <xf numFmtId="41" fontId="23" fillId="0" borderId="24" xfId="0" applyNumberFormat="1" applyFont="1" applyBorder="1"/>
    <xf numFmtId="9" fontId="23" fillId="0" borderId="24" xfId="2" applyFont="1" applyBorder="1"/>
    <xf numFmtId="0" fontId="9" fillId="31" borderId="23" xfId="0" applyFont="1" applyFill="1" applyBorder="1" applyAlignment="1">
      <alignment horizontal="left"/>
    </xf>
    <xf numFmtId="41" fontId="0" fillId="0" borderId="23" xfId="0" applyNumberFormat="1" applyBorder="1"/>
    <xf numFmtId="9" fontId="0" fillId="0" borderId="23" xfId="2" applyFont="1" applyBorder="1"/>
    <xf numFmtId="173" fontId="1" fillId="0" borderId="22" xfId="0" applyNumberFormat="1" applyFont="1" applyBorder="1"/>
    <xf numFmtId="173" fontId="1" fillId="0" borderId="22" xfId="15" applyNumberFormat="1" applyFont="1" applyBorder="1"/>
    <xf numFmtId="0" fontId="8" fillId="30" borderId="0" xfId="0" applyFont="1" applyFill="1" applyAlignment="1">
      <alignment horizontal="center"/>
    </xf>
    <xf numFmtId="41" fontId="24" fillId="0" borderId="21" xfId="0" applyNumberFormat="1" applyFont="1" applyBorder="1"/>
    <xf numFmtId="0" fontId="25" fillId="30" borderId="20" xfId="0" applyFont="1" applyFill="1" applyBorder="1" applyAlignment="1">
      <alignment horizontal="center"/>
    </xf>
    <xf numFmtId="9" fontId="0" fillId="0" borderId="24" xfId="2" applyFont="1" applyBorder="1"/>
    <xf numFmtId="9" fontId="0" fillId="0" borderId="25" xfId="2" applyFont="1" applyBorder="1"/>
    <xf numFmtId="0" fontId="26" fillId="32" borderId="0" xfId="0" applyFont="1" applyFill="1" applyAlignment="1">
      <alignment horizontal="left"/>
    </xf>
    <xf numFmtId="42" fontId="0" fillId="0" borderId="0" xfId="0" applyNumberFormat="1"/>
    <xf numFmtId="1" fontId="1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/>
    </xf>
    <xf numFmtId="0" fontId="4" fillId="34" borderId="2" xfId="0" applyFont="1" applyFill="1" applyBorder="1" applyAlignment="1">
      <alignment horizontal="center" vertical="center" wrapText="1"/>
    </xf>
    <xf numFmtId="171" fontId="28" fillId="0" borderId="0" xfId="11" applyNumberFormat="1" applyFont="1" applyBorder="1"/>
    <xf numFmtId="0" fontId="4" fillId="0" borderId="5" xfId="0" applyFont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left" indent="2"/>
    </xf>
    <xf numFmtId="0" fontId="1" fillId="33" borderId="0" xfId="0" applyFont="1" applyFill="1"/>
    <xf numFmtId="0" fontId="0" fillId="3" borderId="0" xfId="15" applyNumberFormat="1" applyFont="1" applyFill="1" applyAlignment="1">
      <alignment horizontal="center" vertical="center"/>
    </xf>
    <xf numFmtId="14" fontId="0" fillId="25" borderId="18" xfId="0" applyNumberFormat="1" applyFill="1" applyBorder="1"/>
    <xf numFmtId="14" fontId="0" fillId="0" borderId="18" xfId="0" applyNumberFormat="1" applyBorder="1"/>
    <xf numFmtId="166" fontId="0" fillId="12" borderId="18" xfId="0" applyNumberFormat="1" applyFill="1" applyBorder="1"/>
    <xf numFmtId="166" fontId="0" fillId="0" borderId="0" xfId="3" applyNumberFormat="1" applyFont="1"/>
    <xf numFmtId="166" fontId="0" fillId="28" borderId="18" xfId="0" applyNumberFormat="1" applyFill="1" applyBorder="1"/>
    <xf numFmtId="166" fontId="4" fillId="27" borderId="18" xfId="3" applyNumberFormat="1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29" fillId="36" borderId="0" xfId="0" applyFont="1" applyFill="1" applyAlignment="1">
      <alignment horizontal="center" vertical="center" wrapText="1"/>
    </xf>
    <xf numFmtId="166" fontId="0" fillId="13" borderId="18" xfId="3" applyNumberFormat="1" applyFont="1" applyFill="1" applyBorder="1"/>
    <xf numFmtId="0" fontId="4" fillId="27" borderId="1" xfId="0" applyFont="1" applyFill="1" applyBorder="1"/>
    <xf numFmtId="0" fontId="4" fillId="33" borderId="1" xfId="0" applyFont="1" applyFill="1" applyBorder="1" applyAlignment="1">
      <alignment horizontal="center"/>
    </xf>
    <xf numFmtId="166" fontId="4" fillId="22" borderId="1" xfId="3" applyNumberFormat="1" applyFont="1" applyFill="1" applyBorder="1"/>
    <xf numFmtId="166" fontId="4" fillId="19" borderId="1" xfId="3" applyNumberFormat="1" applyFont="1" applyFill="1" applyBorder="1" applyAlignment="1">
      <alignment horizontal="center" vertical="center" wrapText="1"/>
    </xf>
    <xf numFmtId="166" fontId="4" fillId="35" borderId="1" xfId="3" applyNumberFormat="1" applyFont="1" applyFill="1" applyBorder="1"/>
    <xf numFmtId="166" fontId="4" fillId="27" borderId="1" xfId="3" applyNumberFormat="1" applyFont="1" applyFill="1" applyBorder="1"/>
    <xf numFmtId="166" fontId="18" fillId="2" borderId="1" xfId="3" applyNumberFormat="1" applyFont="1" applyFill="1" applyBorder="1" applyAlignment="1">
      <alignment horizontal="center" vertical="center" wrapText="1"/>
    </xf>
    <xf numFmtId="166" fontId="4" fillId="18" borderId="1" xfId="3" applyNumberFormat="1" applyFont="1" applyFill="1" applyBorder="1" applyAlignment="1">
      <alignment horizontal="center" vertical="center" wrapText="1"/>
    </xf>
    <xf numFmtId="166" fontId="18" fillId="3" borderId="1" xfId="3" applyNumberFormat="1" applyFont="1" applyFill="1" applyBorder="1" applyAlignment="1">
      <alignment horizontal="center" vertical="center" wrapText="1"/>
    </xf>
    <xf numFmtId="166" fontId="18" fillId="12" borderId="1" xfId="3" applyNumberFormat="1" applyFont="1" applyFill="1" applyBorder="1" applyAlignment="1">
      <alignment horizontal="center" vertical="center" wrapText="1"/>
    </xf>
    <xf numFmtId="166" fontId="0" fillId="0" borderId="18" xfId="3" applyNumberFormat="1" applyFont="1" applyBorder="1"/>
    <xf numFmtId="166" fontId="0" fillId="25" borderId="18" xfId="3" applyNumberFormat="1" applyFont="1" applyFill="1" applyBorder="1"/>
    <xf numFmtId="14" fontId="0" fillId="0" borderId="0" xfId="0" applyNumberFormat="1" applyAlignment="1">
      <alignment horizontal="left"/>
    </xf>
    <xf numFmtId="167" fontId="4" fillId="27" borderId="18" xfId="1" applyNumberFormat="1" applyFont="1" applyFill="1" applyBorder="1"/>
    <xf numFmtId="166" fontId="0" fillId="25" borderId="0" xfId="3" applyNumberFormat="1" applyFont="1" applyFill="1" applyBorder="1"/>
    <xf numFmtId="167" fontId="0" fillId="3" borderId="0" xfId="1" applyNumberFormat="1" applyFont="1" applyFill="1"/>
    <xf numFmtId="166" fontId="1" fillId="37" borderId="0" xfId="0" applyNumberFormat="1" applyFont="1" applyFill="1"/>
    <xf numFmtId="14" fontId="0" fillId="12" borderId="0" xfId="0" applyNumberFormat="1" applyFill="1"/>
    <xf numFmtId="14" fontId="0" fillId="38" borderId="18" xfId="0" applyNumberFormat="1" applyFill="1" applyBorder="1"/>
    <xf numFmtId="0" fontId="0" fillId="12" borderId="0" xfId="0" applyFill="1" applyAlignment="1">
      <alignment horizontal="center"/>
    </xf>
    <xf numFmtId="166" fontId="0" fillId="12" borderId="18" xfId="3" applyNumberFormat="1" applyFont="1" applyFill="1" applyBorder="1"/>
    <xf numFmtId="166" fontId="0" fillId="12" borderId="0" xfId="3" applyNumberFormat="1" applyFont="1" applyFill="1"/>
    <xf numFmtId="166" fontId="0" fillId="3" borderId="18" xfId="3" applyNumberFormat="1" applyFont="1" applyFill="1" applyBorder="1"/>
    <xf numFmtId="173" fontId="0" fillId="12" borderId="18" xfId="3" applyNumberFormat="1" applyFont="1" applyFill="1" applyBorder="1"/>
    <xf numFmtId="173" fontId="0" fillId="0" borderId="18" xfId="3" applyNumberFormat="1" applyFont="1" applyBorder="1"/>
    <xf numFmtId="0" fontId="0" fillId="29" borderId="0" xfId="0" applyFill="1" applyAlignment="1">
      <alignment horizontal="left"/>
    </xf>
    <xf numFmtId="41" fontId="30" fillId="0" borderId="0" xfId="0" applyNumberFormat="1" applyFont="1"/>
    <xf numFmtId="14" fontId="0" fillId="3" borderId="0" xfId="0" applyNumberFormat="1" applyFill="1"/>
    <xf numFmtId="166" fontId="0" fillId="3" borderId="0" xfId="0" applyNumberFormat="1" applyFill="1"/>
    <xf numFmtId="171" fontId="10" fillId="0" borderId="0" xfId="0" applyNumberFormat="1" applyFont="1"/>
    <xf numFmtId="0" fontId="0" fillId="0" borderId="26" xfId="0" applyBorder="1"/>
    <xf numFmtId="0" fontId="27" fillId="0" borderId="0" xfId="0" applyFont="1"/>
    <xf numFmtId="19" fontId="0" fillId="0" borderId="0" xfId="0" applyNumberFormat="1" applyAlignment="1">
      <alignment horizontal="center"/>
    </xf>
    <xf numFmtId="0" fontId="27" fillId="0" borderId="0" xfId="0" applyFont="1" applyAlignment="1">
      <alignment horizontal="center"/>
    </xf>
    <xf numFmtId="166" fontId="0" fillId="7" borderId="14" xfId="0" applyNumberFormat="1" applyFill="1" applyBorder="1" applyAlignment="1">
      <alignment horizontal="center" vertical="center"/>
    </xf>
    <xf numFmtId="166" fontId="0" fillId="7" borderId="4" xfId="0" applyNumberFormat="1" applyFill="1" applyBorder="1" applyAlignment="1">
      <alignment horizontal="center" vertical="center"/>
    </xf>
    <xf numFmtId="166" fontId="0" fillId="7" borderId="3" xfId="0" applyNumberFormat="1" applyFill="1" applyBorder="1" applyAlignment="1">
      <alignment horizontal="center" vertical="center"/>
    </xf>
    <xf numFmtId="1" fontId="9" fillId="2" borderId="0" xfId="0" applyNumberFormat="1" applyFont="1" applyFill="1" applyAlignment="1">
      <alignment horizontal="center"/>
    </xf>
  </cellXfs>
  <cellStyles count="16">
    <cellStyle name="Millares" xfId="1" builtinId="3"/>
    <cellStyle name="Millares [0]" xfId="15" builtinId="6"/>
    <cellStyle name="Millares 2" xfId="6" xr:uid="{00000000-0005-0000-0000-000004000000}"/>
    <cellStyle name="Millares 3" xfId="8" xr:uid="{00000000-0005-0000-0000-000005000000}"/>
    <cellStyle name="Millares 3 2" xfId="14" xr:uid="{00000000-0005-0000-0000-000006000000}"/>
    <cellStyle name="Millares 4" xfId="12" xr:uid="{00000000-0005-0000-0000-000007000000}"/>
    <cellStyle name="Millares 4 2" xfId="13" xr:uid="{00000000-0005-0000-0000-000008000000}"/>
    <cellStyle name="Moneda" xfId="3" builtinId="4"/>
    <cellStyle name="Moneda 2" xfId="4" xr:uid="{00000000-0005-0000-0000-00000A000000}"/>
    <cellStyle name="Moneda 3" xfId="11" xr:uid="{00000000-0005-0000-0000-00000B000000}"/>
    <cellStyle name="Normal" xfId="0" builtinId="0"/>
    <cellStyle name="Normal 2" xfId="5" xr:uid="{00000000-0005-0000-0000-00000E000000}"/>
    <cellStyle name="Normal 3" xfId="9" xr:uid="{00000000-0005-0000-0000-00000F000000}"/>
    <cellStyle name="Normal 5" xfId="7" xr:uid="{00000000-0005-0000-0000-000010000000}"/>
    <cellStyle name="Porcentaje" xfId="2" builtinId="5"/>
    <cellStyle name="Porcentaje 2" xfId="10" xr:uid="{00000000-0005-0000-0000-000012000000}"/>
  </cellStyles>
  <dxfs count="245">
    <dxf>
      <numFmt numFmtId="166" formatCode="_-[$$-240A]\ * #,##0_-;\-[$$-240A]\ * #,##0_-;_-[$$-240A]\ * &quot;-&quot;??_-;_-@_-"/>
    </dxf>
    <dxf>
      <border>
        <top style="thin">
          <color indexed="64"/>
        </top>
        <bottom style="medium">
          <color indexed="64"/>
        </bottom>
      </border>
    </dxf>
    <dxf>
      <border>
        <top/>
        <bottom/>
      </border>
    </dxf>
    <dxf>
      <font>
        <b val="0"/>
      </font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33" formatCode="_-* #,##0_-;\-* #,##0_-;_-* &quot;-&quot;_-;_-@_-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fgColor indexed="64"/>
          <bgColor rgb="FFCCCCFF"/>
        </patternFill>
      </fill>
    </dxf>
    <dxf>
      <font>
        <color auto="1"/>
      </font>
      <fill>
        <patternFill patternType="solid">
          <fgColor indexed="64"/>
          <bgColor rgb="FFA3E7FF"/>
        </patternFill>
      </fill>
    </dxf>
    <dxf>
      <font>
        <color auto="1"/>
      </font>
      <fill>
        <patternFill patternType="solid">
          <fgColor indexed="64"/>
          <bgColor rgb="FFA3E7FF"/>
        </patternFill>
      </fill>
    </dxf>
    <dxf>
      <font>
        <u val="singleAccounting"/>
      </font>
    </dxf>
    <dxf>
      <font>
        <u val="singleAccounting"/>
      </font>
    </dxf>
    <dxf>
      <font>
        <u val="singleAccounting"/>
      </font>
    </dxf>
    <dxf>
      <font>
        <color rgb="FF0070C0"/>
      </font>
    </dxf>
    <dxf>
      <font>
        <color rgb="FF0070C0"/>
      </font>
    </dxf>
    <dxf>
      <font>
        <color theme="0"/>
      </font>
      <fill>
        <patternFill patternType="solid">
          <fgColor theme="5" tint="-0.249977111117893"/>
          <bgColor theme="5" tint="-0.249977111117893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none">
          <bgColor auto="1"/>
        </patternFill>
      </fill>
    </dxf>
    <dxf>
      <font>
        <color auto="1"/>
      </font>
      <fill>
        <patternFill patternType="solid">
          <fgColor indexed="64"/>
          <bgColor rgb="FFA3E7FF"/>
        </patternFill>
      </fill>
    </dxf>
    <dxf>
      <font>
        <u/>
      </font>
      <fill>
        <patternFill>
          <fgColor rgb="FFFFD44B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fgColor indexed="64"/>
          <bgColor rgb="FFFFD44B"/>
        </patternFill>
      </fill>
    </dxf>
    <dxf>
      <fill>
        <patternFill>
          <fgColor rgb="FFFFCCFF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C00000"/>
      </font>
    </dxf>
    <dxf>
      <font>
        <b/>
      </font>
    </dxf>
    <dxf>
      <fill>
        <patternFill>
          <bgColor rgb="FFFFFFA3"/>
        </patternFill>
      </fill>
    </dxf>
    <dxf>
      <fill>
        <patternFill>
          <bgColor rgb="FFFFFFA3"/>
        </patternFill>
      </fill>
    </dxf>
    <dxf>
      <fill>
        <patternFill>
          <bgColor rgb="FFFFFFA3"/>
        </patternFill>
      </fill>
    </dxf>
    <dxf>
      <fill>
        <patternFill>
          <fgColor indexed="64"/>
          <bgColor theme="8" tint="0.79998168889431442"/>
        </patternFill>
      </fill>
    </dxf>
    <dxf>
      <numFmt numFmtId="33" formatCode="_-* #,##0_-;\-* #,##0_-;_-* &quot;-&quot;_-;_-@_-"/>
    </dxf>
    <dxf>
      <alignment horizontal="center"/>
    </dxf>
    <dxf>
      <alignment horizontal="center"/>
    </dxf>
    <dxf>
      <fill>
        <patternFill patternType="solid">
          <fgColor indexed="64"/>
          <bgColor rgb="FFCCCCFF"/>
        </patternFill>
      </fill>
    </dxf>
    <dxf>
      <font>
        <color auto="1"/>
      </font>
      <fill>
        <patternFill patternType="solid">
          <fgColor indexed="64"/>
          <bgColor rgb="FFA3E7FF"/>
        </patternFill>
      </fill>
    </dxf>
    <dxf>
      <font>
        <color auto="1"/>
      </font>
      <fill>
        <patternFill patternType="solid">
          <fgColor indexed="64"/>
          <bgColor rgb="FFA3E7FF"/>
        </patternFill>
      </fill>
    </dxf>
    <dxf>
      <font>
        <u val="singleAccounting"/>
      </font>
    </dxf>
    <dxf>
      <font>
        <color rgb="FF0070C0"/>
      </font>
    </dxf>
    <dxf>
      <font>
        <color theme="0"/>
      </font>
      <fill>
        <patternFill patternType="solid">
          <fgColor theme="5" tint="-0.249977111117893"/>
          <bgColor theme="5" tint="-0.249977111117893"/>
        </patternFill>
      </fill>
    </dxf>
    <dxf>
      <font>
        <color auto="1"/>
      </font>
      <fill>
        <patternFill patternType="solid">
          <fgColor indexed="64"/>
          <bgColor rgb="FFA3E7FF"/>
        </patternFill>
      </fill>
    </dxf>
    <dxf>
      <font>
        <u/>
      </font>
      <fill>
        <patternFill>
          <fgColor rgb="FFFFD44B"/>
        </patternFill>
      </fill>
    </dxf>
    <dxf>
      <fill>
        <patternFill>
          <fgColor indexed="64"/>
          <bgColor rgb="FFFFD44B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 tint="-0.499984740745262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ill>
        <patternFill>
          <bgColor rgb="FFCCCCFF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C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CC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ill>
        <patternFill>
          <bgColor rgb="FFCCCCFF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CC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rgb="FFFFFFCC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  <fill>
        <patternFill patternType="solid">
          <fgColor indexed="64"/>
          <bgColor rgb="FFFFFFCC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73" formatCode="#,##0_ ;[Red]\-#,##0\ "/>
      <fill>
        <patternFill patternType="solid">
          <fgColor indexed="64"/>
          <bgColor rgb="FFFFFFCC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rgb="FFFFFFA3"/>
        </patternFill>
      </fill>
    </dxf>
    <dxf>
      <font>
        <strike val="0"/>
        <outline val="0"/>
        <shadow val="0"/>
        <u val="none"/>
        <vertAlign val="baseline"/>
        <sz val="9"/>
      </font>
      <numFmt numFmtId="173" formatCode="#,##0_ ;[Red]\-#,##0\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6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rgb="FFFFA3A5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</dxf>
    <dxf>
      <numFmt numFmtId="174" formatCode="dd/mm/yyyy"/>
    </dxf>
    <dxf>
      <font>
        <strike val="0"/>
        <outline val="0"/>
        <shadow val="0"/>
        <u val="none"/>
        <vertAlign val="baseline"/>
        <sz val="9"/>
        <color theme="1"/>
        <name val="Tw Cen MT"/>
        <scheme val="minor"/>
      </font>
      <numFmt numFmtId="174" formatCode="dd/mm/yyyy"/>
    </dxf>
    <dxf>
      <font>
        <strike val="0"/>
        <outline val="0"/>
        <shadow val="0"/>
        <u val="none"/>
        <vertAlign val="baseline"/>
        <sz val="9"/>
        <color theme="1"/>
        <name val="Tw Cen MT"/>
        <scheme val="minor"/>
      </font>
      <numFmt numFmtId="174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family val="2"/>
        <scheme val="none"/>
      </font>
      <numFmt numFmtId="171" formatCode="_-&quot;$&quot;\ * #,##0_-;\-&quot;$&quot;\ * #,##0_-;_-&quot;$&quot;\ * &quot;-&quot;??_-;_-@_-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family val="2"/>
        <scheme val="none"/>
      </font>
      <numFmt numFmtId="171" formatCode="_-&quot;$&quot;\ * #,##0_-;\-&quot;$&quot;\ * #,##0_-;_-&quot;$&quot;\ 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1" formatCode="_-&quot;$&quot;\ * #,##0_-;\-&quot;$&quot;\ * #,##0_-;_-&quot;$&quot;\ 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171" formatCode="_-&quot;$&quot;\ * #,##0_-;\-&quot;$&quot;\ * #,##0_-;_-&quot;$&quot;\ * &quot;-&quot;??_-;_-@_-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w Cen MT"/>
        <scheme val="minor"/>
      </font>
      <numFmt numFmtId="171" formatCode="_-&quot;$&quot;\ * #,##0_-;\-&quot;$&quot;\ * #,##0_-;_-&quot;$&quot;\ * &quot;-&quot;??_-;_-@_-"/>
      <alignment horizontal="center" textRotation="0" indent="0" justifyLastLine="0" shrinkToFit="0" readingOrder="0"/>
      <border outline="0"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w Cen MT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166" formatCode="_-[$$-240A]\ * #,##0_-;\-[$$-240A]\ * #,##0_-;_-[$$-240A]\ * &quot;-&quot;??_-;_-@_-"/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numFmt numFmtId="166" formatCode="_-[$$-240A]\ * #,##0_-;\-[$$-240A]\ * #,##0_-;_-[$$-240A]\ * &quot;-&quot;??_-;_-@_-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border outline="0">
        <top style="thin">
          <color rgb="FF9FC8C6"/>
        </top>
      </border>
    </dxf>
    <dxf>
      <border outline="0">
        <left style="thin">
          <color rgb="FF9FC8C6"/>
        </left>
        <right style="thin">
          <color rgb="FF9FC8C6"/>
        </right>
        <top style="thin">
          <color rgb="FF9FC8C6"/>
        </top>
        <bottom style="thin">
          <color rgb="FF9FC8C6"/>
        </bottom>
      </border>
    </dxf>
    <dxf>
      <fill>
        <patternFill patternType="none">
          <fgColor rgb="FF000000"/>
          <bgColor auto="1"/>
        </patternFill>
      </fill>
    </dxf>
    <dxf>
      <border outline="0">
        <bottom style="thin">
          <color rgb="FF9FC8C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w Cen MT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7" formatCode="_-* #,##0\ _€_-;\-* #,##0\ _€_-;_-* &quot;-&quot;??\ _€_-;_-@_-"/>
    </dxf>
    <dxf>
      <numFmt numFmtId="167" formatCode="_-* #,##0\ _€_-;\-* #,##0\ _€_-;_-* &quot;-&quot;??\ _€_-;_-@_-"/>
    </dxf>
    <dxf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numFmt numFmtId="166" formatCode="_-[$$-240A]\ * #,##0_-;\-[$$-240A]\ * #,##0_-;_-[$$-240A]\ * &quot;-&quot;??_-;_-@_-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border outline="0">
        <top style="thin">
          <color rgb="FF9FC8C6"/>
        </top>
      </border>
    </dxf>
    <dxf>
      <border outline="0">
        <left style="thin">
          <color rgb="FF9FC8C6"/>
        </left>
        <right style="thin">
          <color rgb="FF9FC8C6"/>
        </right>
        <top style="thin">
          <color rgb="FF9FC8C6"/>
        </top>
        <bottom style="thin">
          <color rgb="FF9FC8C6"/>
        </bottom>
      </border>
    </dxf>
    <dxf>
      <fill>
        <patternFill patternType="none">
          <fgColor rgb="FF000000"/>
          <bgColor auto="1"/>
        </patternFill>
      </fill>
    </dxf>
    <dxf>
      <border outline="0">
        <bottom style="thin">
          <color rgb="FF9FC8C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w Cen MT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166" formatCode="_-[$$-240A]\ * #,##0_-;\-[$$-240A]\ * #,##0_-;_-[$$-240A]\ * &quot;-&quot;??_-;_-@_-"/>
    </dxf>
    <dxf>
      <numFmt numFmtId="167" formatCode="_-* #,##0\ _€_-;\-* #,##0\ _€_-;_-* &quot;-&quot;??\ _€_-;_-@_-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rgb="FFFFFFA3"/>
        </patternFill>
      </fill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6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rgb="FFFFA3A5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" formatCode="0"/>
      <fill>
        <patternFill patternType="solid">
          <fgColor indexed="64"/>
          <bgColor theme="6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" formatCode="0"/>
      <fill>
        <patternFill patternType="solid">
          <fgColor indexed="64"/>
          <bgColor theme="6" tint="-0.249977111117893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</dxf>
    <dxf>
      <numFmt numFmtId="174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9" formatCode="d/mm/yyyy"/>
      <fill>
        <patternFill patternType="solid">
          <fgColor indexed="64"/>
          <bgColor theme="6" tint="-0.249977111117893"/>
        </patternFill>
      </fill>
    </dxf>
    <dxf>
      <numFmt numFmtId="174" formatCode="dd/mm/yyyy"/>
    </dxf>
    <dxf>
      <font>
        <strike val="0"/>
        <outline val="0"/>
        <shadow val="0"/>
        <u val="none"/>
        <vertAlign val="baseline"/>
        <sz val="9"/>
        <color theme="1"/>
        <name val="Tw Cen MT"/>
        <scheme val="minor"/>
      </font>
      <numFmt numFmtId="174" formatCode="dd/mm/yyyy"/>
    </dxf>
    <dxf>
      <font>
        <strike val="0"/>
        <outline val="0"/>
        <shadow val="0"/>
        <u val="none"/>
        <vertAlign val="baseline"/>
        <sz val="9"/>
        <color theme="1"/>
        <name val="Tw Cen MT"/>
        <scheme val="minor"/>
      </font>
      <numFmt numFmtId="174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rgb="FFFFFFCC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66" formatCode="_-[$$-240A]\ * #,##0_-;\-[$$-240A]\ * #,##0_-;_-[$$-240A]\ * &quot;-&quot;??_-;_-@_-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73" formatCode="#,##0_ ;[Red]\-#,##0\ 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  <numFmt numFmtId="166" formatCode="_-[$$-240A]\ * #,##0_-;\-[$$-240A]\ * #,##0_-;_-[$$-240A]\ * &quot;-&quot;??_-;_-@_-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66" formatCode="_-[$$-240A]\ * #,##0_-;\-[$$-240A]\ * #,##0_-;_-[$$-240A]\ * &quot;-&quot;??_-;_-@_-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19" formatCode="d/mm/yyyy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m/yyyy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w Cen MT"/>
        <family val="2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rgb="FFFFFFA3"/>
        </patternFill>
      </fill>
      <alignment horizontal="center" vertical="center" textRotation="0" wrapText="1" indent="0" justifyLastLine="0" shrinkToFit="0" readingOrder="0"/>
    </dxf>
    <dxf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rgb="FFFFFFA3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theme="0" tint="-0.249977111117893"/>
        </patternFill>
      </fill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  <fill>
        <patternFill>
          <fgColor indexed="64"/>
          <bgColor rgb="FFFFFF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174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0" formatCode="General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numFmt numFmtId="174" formatCode="dd/mm/yyyy"/>
    </dxf>
    <dxf>
      <numFmt numFmtId="19" formatCode="d/mm/yyyy"/>
    </dxf>
    <dxf>
      <numFmt numFmtId="174" formatCode="dd/mm/yyyy"/>
    </dxf>
    <dxf>
      <numFmt numFmtId="19" formatCode="d/mm/yyyy"/>
    </dxf>
    <dxf>
      <numFmt numFmtId="19" formatCode="d/mm/yyyy"/>
      <alignment horizontal="center" vertical="bottom" textRotation="0" wrapText="0" indent="0" justifyLastLine="0" shrinkToFit="0" readingOrder="0"/>
    </dxf>
    <dxf>
      <numFmt numFmtId="19" formatCode="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</dxf>
  </dxfs>
  <tableStyles count="0" defaultTableStyle="TableStyleMedium2" defaultPivotStyle="PivotStyleLight16"/>
  <colors>
    <mruColors>
      <color rgb="FFFFFFCC"/>
      <color rgb="FFCCCCFF"/>
      <color rgb="FFFFFFA3"/>
      <color rgb="FFFFCCFF"/>
      <color rgb="FFFFD44B"/>
      <color rgb="FFA3E7FF"/>
      <color rgb="FF4FD1FF"/>
      <color rgb="FFFFD03B"/>
      <color rgb="FF99FFCC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[Finance System.xlsx]Ingresos!Ventas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800" b="1" i="0" baseline="0">
                <a:effectLst/>
              </a:rPr>
              <a:t>Ventas  2020</a:t>
            </a:r>
            <a:endParaRPr lang="es-CO">
              <a:effectLst/>
            </a:endParaRPr>
          </a:p>
        </c:rich>
      </c:tx>
      <c:layout>
        <c:manualLayout>
          <c:xMode val="edge"/>
          <c:yMode val="edge"/>
          <c:x val="0.41980542432195977"/>
          <c:y val="4.88845144356955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A66BD3"/>
          </a:solidFill>
          <a:ln>
            <a:noFill/>
          </a:ln>
          <a:effectLst/>
        </c:spPr>
      </c:pivotFmt>
      <c:pivotFmt>
        <c:idx val="2"/>
        <c:spPr>
          <a:solidFill>
            <a:srgbClr val="A66BD3"/>
          </a:solidFill>
          <a:ln>
            <a:noFill/>
          </a:ln>
          <a:effectLst/>
        </c:spPr>
      </c:pivotFmt>
      <c:pivotFmt>
        <c:idx val="3"/>
        <c:spPr>
          <a:solidFill>
            <a:srgbClr val="A66BD3"/>
          </a:solidFill>
          <a:ln>
            <a:noFill/>
          </a:ln>
          <a:effectLst/>
        </c:spPr>
      </c:pivotFmt>
      <c:pivotFmt>
        <c:idx val="4"/>
        <c:spPr>
          <a:solidFill>
            <a:srgbClr val="A66BD3"/>
          </a:solidFill>
          <a:ln>
            <a:noFill/>
          </a:ln>
          <a:effectLst/>
        </c:spPr>
      </c:pivotFmt>
      <c:pivotFmt>
        <c:idx val="5"/>
        <c:spPr>
          <a:solidFill>
            <a:srgbClr val="A66BD3"/>
          </a:solidFill>
          <a:ln>
            <a:noFill/>
          </a:ln>
          <a:effectLst/>
        </c:spPr>
      </c:pivotFmt>
      <c:pivotFmt>
        <c:idx val="6"/>
        <c:spPr>
          <a:solidFill>
            <a:srgbClr val="A66BD3"/>
          </a:solidFill>
          <a:ln>
            <a:noFill/>
          </a:ln>
          <a:effectLst/>
        </c:spPr>
      </c:pivotFmt>
      <c:pivotFmt>
        <c:idx val="7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1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3"/>
        <c:spPr>
          <a:solidFill>
            <a:srgbClr val="A66BD3"/>
          </a:solidFill>
          <a:ln>
            <a:noFill/>
          </a:ln>
          <a:effectLst/>
        </c:spPr>
      </c:pivotFmt>
      <c:pivotFmt>
        <c:idx val="14"/>
        <c:spPr>
          <a:solidFill>
            <a:srgbClr val="FFD653"/>
          </a:solidFill>
          <a:ln>
            <a:noFill/>
          </a:ln>
          <a:effectLst/>
        </c:spPr>
      </c:pivotFmt>
      <c:pivotFmt>
        <c:idx val="15"/>
        <c:spPr>
          <a:solidFill>
            <a:srgbClr val="FFD653"/>
          </a:solidFill>
          <a:ln>
            <a:noFill/>
          </a:ln>
          <a:effectLst/>
        </c:spPr>
      </c:pivotFmt>
      <c:pivotFmt>
        <c:idx val="16"/>
        <c:spPr>
          <a:solidFill>
            <a:srgbClr val="FFD653"/>
          </a:solidFill>
          <a:ln>
            <a:noFill/>
          </a:ln>
          <a:effectLst/>
        </c:spPr>
      </c:pivotFmt>
      <c:pivotFmt>
        <c:idx val="17"/>
        <c:spPr>
          <a:solidFill>
            <a:srgbClr val="FFD653"/>
          </a:solidFill>
          <a:ln>
            <a:noFill/>
          </a:ln>
          <a:effectLst/>
        </c:spPr>
      </c:pivotFmt>
      <c:pivotFmt>
        <c:idx val="18"/>
        <c:spPr>
          <a:solidFill>
            <a:srgbClr val="FFD653"/>
          </a:solidFill>
          <a:ln>
            <a:noFill/>
          </a:ln>
          <a:effectLst/>
        </c:spPr>
      </c:pivotFmt>
      <c:pivotFmt>
        <c:idx val="19"/>
        <c:spPr>
          <a:solidFill>
            <a:srgbClr val="FFD653"/>
          </a:solidFill>
          <a:ln>
            <a:noFill/>
          </a:ln>
          <a:effectLst/>
        </c:spPr>
      </c:pivotFmt>
      <c:pivotFmt>
        <c:idx val="20"/>
        <c:spPr>
          <a:solidFill>
            <a:srgbClr val="FFD653"/>
          </a:solidFill>
          <a:ln>
            <a:noFill/>
          </a:ln>
          <a:effectLst/>
        </c:spPr>
      </c:pivotFmt>
      <c:pivotFmt>
        <c:idx val="21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22"/>
        <c:spPr>
          <a:solidFill>
            <a:srgbClr val="A66BD3"/>
          </a:solidFill>
          <a:ln>
            <a:noFill/>
          </a:ln>
          <a:effectLst/>
        </c:spPr>
      </c:pivotFmt>
      <c:pivotFmt>
        <c:idx val="23"/>
        <c:spPr>
          <a:solidFill>
            <a:srgbClr val="A66BD3"/>
          </a:solidFill>
          <a:ln>
            <a:noFill/>
          </a:ln>
          <a:effectLst/>
        </c:spPr>
      </c:pivotFmt>
      <c:pivotFmt>
        <c:idx val="2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5"/>
        <c:spPr>
          <a:solidFill>
            <a:srgbClr val="FFD653"/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923062117235345"/>
          <c:y val="0.18589858559346747"/>
          <c:w val="0.84632493438320211"/>
          <c:h val="0.4124806794983960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Ingresos!$AL$4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Ingresos!$AJ$5:$AK$26</c:f>
              <c:multiLvlStrCache>
                <c:ptCount val="22"/>
                <c:lvl>
                  <c:pt idx="0">
                    <c:v>lun</c:v>
                  </c:pt>
                  <c:pt idx="1">
                    <c:v>mar</c:v>
                  </c:pt>
                  <c:pt idx="2">
                    <c:v>mié</c:v>
                  </c:pt>
                  <c:pt idx="3">
                    <c:v>jue</c:v>
                  </c:pt>
                  <c:pt idx="4">
                    <c:v>vie</c:v>
                  </c:pt>
                  <c:pt idx="5">
                    <c:v>sáb</c:v>
                  </c:pt>
                  <c:pt idx="6">
                    <c:v>dom</c:v>
                  </c:pt>
                  <c:pt idx="7">
                    <c:v>lun</c:v>
                  </c:pt>
                  <c:pt idx="8">
                    <c:v>mar</c:v>
                  </c:pt>
                  <c:pt idx="9">
                    <c:v>mié</c:v>
                  </c:pt>
                  <c:pt idx="10">
                    <c:v>jue</c:v>
                  </c:pt>
                  <c:pt idx="11">
                    <c:v>vie</c:v>
                  </c:pt>
                  <c:pt idx="12">
                    <c:v>sáb</c:v>
                  </c:pt>
                  <c:pt idx="13">
                    <c:v>dom</c:v>
                  </c:pt>
                  <c:pt idx="14">
                    <c:v>dom</c:v>
                  </c:pt>
                  <c:pt idx="15">
                    <c:v>mié</c:v>
                  </c:pt>
                  <c:pt idx="16">
                    <c:v>jue</c:v>
                  </c:pt>
                  <c:pt idx="17">
                    <c:v>vie</c:v>
                  </c:pt>
                  <c:pt idx="18">
                    <c:v>lun</c:v>
                  </c:pt>
                  <c:pt idx="19">
                    <c:v>mar</c:v>
                  </c:pt>
                  <c:pt idx="20">
                    <c:v>sáb</c:v>
                  </c:pt>
                  <c:pt idx="21">
                    <c:v>dom</c:v>
                  </c:pt>
                </c:lvl>
                <c:lvl>
                  <c:pt idx="0">
                    <c:v>23/02/2026</c:v>
                  </c:pt>
                  <c:pt idx="1">
                    <c:v>24/02/2026</c:v>
                  </c:pt>
                  <c:pt idx="2">
                    <c:v>25/02/2026</c:v>
                  </c:pt>
                  <c:pt idx="3">
                    <c:v>26/02/2026</c:v>
                  </c:pt>
                  <c:pt idx="4">
                    <c:v>27/02/2026</c:v>
                  </c:pt>
                  <c:pt idx="5">
                    <c:v>28/02/2026</c:v>
                  </c:pt>
                  <c:pt idx="6">
                    <c:v>15/02/2026</c:v>
                  </c:pt>
                  <c:pt idx="7">
                    <c:v>16/02/2026</c:v>
                  </c:pt>
                  <c:pt idx="8">
                    <c:v>17/02/2026</c:v>
                  </c:pt>
                  <c:pt idx="9">
                    <c:v>18/02/2026</c:v>
                  </c:pt>
                  <c:pt idx="10">
                    <c:v>19/02/2026</c:v>
                  </c:pt>
                  <c:pt idx="11">
                    <c:v>20/02/2026</c:v>
                  </c:pt>
                  <c:pt idx="12">
                    <c:v>21/02/2026</c:v>
                  </c:pt>
                  <c:pt idx="13">
                    <c:v>22/02/2026</c:v>
                  </c:pt>
                  <c:pt idx="14">
                    <c:v>1/03/2026</c:v>
                  </c:pt>
                  <c:pt idx="15">
                    <c:v>4/03/2026</c:v>
                  </c:pt>
                  <c:pt idx="16">
                    <c:v>5/03/2026</c:v>
                  </c:pt>
                  <c:pt idx="17">
                    <c:v>6/03/2026</c:v>
                  </c:pt>
                  <c:pt idx="18">
                    <c:v>2/03/2026</c:v>
                  </c:pt>
                  <c:pt idx="19">
                    <c:v>3/03/2026</c:v>
                  </c:pt>
                  <c:pt idx="20">
                    <c:v>7/03/2026</c:v>
                  </c:pt>
                  <c:pt idx="21">
                    <c:v>8/03/2026</c:v>
                  </c:pt>
                </c:lvl>
              </c:multiLvlStrCache>
            </c:multiLvlStrRef>
          </c:cat>
          <c:val>
            <c:numRef>
              <c:f>Ingresos!$AL$5:$AL$26</c:f>
              <c:numCache>
                <c:formatCode>_-[$$-240A]\ * #,##0_-;\-[$$-240A]\ * #,##0_-;_-[$$-240A]\ * "-"??_-;_-@_-</c:formatCode>
                <c:ptCount val="22"/>
                <c:pt idx="0">
                  <c:v>224000</c:v>
                </c:pt>
                <c:pt idx="1">
                  <c:v>221000</c:v>
                </c:pt>
                <c:pt idx="2">
                  <c:v>390500</c:v>
                </c:pt>
                <c:pt idx="3">
                  <c:v>209000</c:v>
                </c:pt>
                <c:pt idx="4">
                  <c:v>248000</c:v>
                </c:pt>
                <c:pt idx="5">
                  <c:v>503500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343000</c:v>
                </c:pt>
                <c:pt idx="16">
                  <c:v>259000</c:v>
                </c:pt>
                <c:pt idx="17">
                  <c:v>0</c:v>
                </c:pt>
                <c:pt idx="18">
                  <c:v>60000</c:v>
                </c:pt>
                <c:pt idx="19">
                  <c:v>169000</c:v>
                </c:pt>
                <c:pt idx="20">
                  <c:v>298500</c:v>
                </c:pt>
                <c:pt idx="21">
                  <c:v>218500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02-4D04-A96F-72EEFD502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20586896"/>
        <c:axId val="1820588528"/>
      </c:barChart>
      <c:catAx>
        <c:axId val="182058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588528"/>
        <c:crosses val="autoZero"/>
        <c:auto val="1"/>
        <c:lblAlgn val="ctr"/>
        <c:lblOffset val="100"/>
        <c:noMultiLvlLbl val="0"/>
      </c:catAx>
      <c:valAx>
        <c:axId val="182058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240A]\ * #,##0_-;\-[$$-240A]\ * #,##0_-;_-[$$-24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586896"/>
        <c:crosses val="autoZero"/>
        <c:crossBetween val="between"/>
        <c:dispUnits>
          <c:custUnit val="1000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[Finance System.xlsx]Ingresos!Rentabilidad</c:name>
    <c:fmtId val="5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800" b="1" i="0" baseline="0">
                <a:effectLst/>
              </a:rPr>
              <a:t>Rentabilidad  </a:t>
            </a:r>
            <a:endParaRPr lang="es-CO">
              <a:effectLst/>
            </a:endParaRPr>
          </a:p>
          <a:p>
            <a:pPr>
              <a:defRPr/>
            </a:pPr>
            <a:r>
              <a:rPr lang="es-CO" sz="1800" b="1" i="0" baseline="0">
                <a:effectLst/>
              </a:rPr>
              <a:t> 2020</a:t>
            </a:r>
            <a:endParaRPr lang="es-CO">
              <a:effectLst/>
            </a:endParaRPr>
          </a:p>
        </c:rich>
      </c:tx>
      <c:layout>
        <c:manualLayout>
          <c:xMode val="edge"/>
          <c:yMode val="edge"/>
          <c:x val="0.43468696427376141"/>
          <c:y val="2.56828648537610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536766727875265"/>
          <c:y val="0.13635041413090687"/>
          <c:w val="0.85974231421371106"/>
          <c:h val="0.62658426148118196"/>
        </c:manualLayout>
      </c:layout>
      <c:areaChart>
        <c:grouping val="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820555888"/>
        <c:axId val="1820587440"/>
      </c:areaChart>
      <c:catAx>
        <c:axId val="1820555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587440"/>
        <c:crosses val="autoZero"/>
        <c:auto val="1"/>
        <c:lblAlgn val="ctr"/>
        <c:lblOffset val="100"/>
        <c:noMultiLvlLbl val="0"/>
      </c:catAx>
      <c:valAx>
        <c:axId val="182058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240A]\ * #,##0_-;\-[$$-240A]\ * #,##0_-;_-[$$-24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555888"/>
        <c:crosses val="autoZero"/>
        <c:crossBetween val="between"/>
        <c:dispUnits>
          <c:custUnit val="1000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iagrams/_rels/data1.xml.rels><?xml version="1.0" encoding="UTF-8" standalone="yes"?>
<Relationships xmlns="http://schemas.openxmlformats.org/package/2006/relationships"><Relationship Id="rId3" Type="http://schemas.openxmlformats.org/officeDocument/2006/relationships/hyperlink" Target="#Ingresos!A1"/><Relationship Id="rId2" Type="http://schemas.openxmlformats.org/officeDocument/2006/relationships/hyperlink" Target="#Cuentas_x_pagar"/><Relationship Id="rId1" Type="http://schemas.openxmlformats.org/officeDocument/2006/relationships/hyperlink" Target="#Activos!A3"/><Relationship Id="rId4" Type="http://schemas.openxmlformats.org/officeDocument/2006/relationships/hyperlink" Target="#Opex!A1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colorful3">
  <dgm:title val=""/>
  <dgm:desc val=""/>
  <dgm:catLst>
    <dgm:cat type="colorful" pri="10300"/>
  </dgm:catLst>
  <dgm:styleLbl name="node0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3"/>
      <a:schemeClr val="accent4"/>
    </dgm:fillClrLst>
    <dgm:linClrLst>
      <a:schemeClr val="accent3"/>
      <a:schemeClr val="accent4"/>
    </dgm:linClrLst>
    <dgm:effectClrLst/>
    <dgm:txLinClrLst/>
    <dgm:txFillClrLst/>
    <dgm:txEffectClrLst/>
  </dgm:styleLbl>
  <dgm:styleLbl name="ln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3">
        <a:alpha val="50000"/>
      </a:schemeClr>
      <a:schemeClr val="accent4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3">
        <a:tint val="50000"/>
      </a:schemeClr>
      <a:schemeClr val="accent4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3"/>
      <a:schemeClr val="accent4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3"/>
    </dgm:fillClrLst>
    <dgm:linClrLst meth="repeat">
      <a:schemeClr val="accent3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3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4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3"/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2">
        <a:tint val="9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2">
        <a:tint val="70000"/>
      </a:schemeClr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6">
        <a:tint val="50000"/>
      </a:schemeClr>
    </dgm:fillClrLst>
    <dgm:linClrLst meth="repeat">
      <a:schemeClr val="accent6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2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5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6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3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3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2">
        <a:tint val="50000"/>
        <a:alpha val="40000"/>
      </a:schemeClr>
    </dgm:fillClrLst>
    <dgm:linClrLst meth="repeat">
      <a:schemeClr val="accent3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3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64B47852-742A-46CD-B1B7-548D32462E75}" type="doc">
      <dgm:prSet loTypeId="urn:microsoft.com/office/officeart/2005/8/layout/radial6" loCatId="cycle" qsTypeId="urn:microsoft.com/office/officeart/2005/8/quickstyle/simple5" qsCatId="simple" csTypeId="urn:microsoft.com/office/officeart/2005/8/colors/colorful3" csCatId="colorful" phldr="1"/>
      <dgm:spPr/>
      <dgm:t>
        <a:bodyPr/>
        <a:lstStyle/>
        <a:p>
          <a:endParaRPr lang="es-CO"/>
        </a:p>
      </dgm:t>
    </dgm:pt>
    <dgm:pt modelId="{81F63DCC-F876-4F38-B52D-11783D37F89B}">
      <dgm:prSet phldrT="[Texto]"/>
      <dgm:spPr/>
      <dgm:t>
        <a:bodyPr/>
        <a:lstStyle/>
        <a:p>
          <a:r>
            <a:rPr lang="es-CO"/>
            <a:t>Activos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/>
          </dgm14:cNvPr>
        </a:ext>
      </dgm:extLst>
    </dgm:pt>
    <dgm:pt modelId="{6035BF3A-C2CA-4EA8-9FAA-BADEDD2EAED4}" type="sibTrans" cxnId="{42A4B75B-9768-4FC0-BA45-DDECAA618095}">
      <dgm:prSet/>
      <dgm:spPr/>
      <dgm:t>
        <a:bodyPr/>
        <a:lstStyle/>
        <a:p>
          <a:endParaRPr lang="es-CO"/>
        </a:p>
      </dgm:t>
    </dgm:pt>
    <dgm:pt modelId="{D198EFAD-0048-4B20-B3C3-3F23D58C816B}" type="parTrans" cxnId="{42A4B75B-9768-4FC0-BA45-DDECAA618095}">
      <dgm:prSet/>
      <dgm:spPr/>
      <dgm:t>
        <a:bodyPr/>
        <a:lstStyle/>
        <a:p>
          <a:endParaRPr lang="es-CO"/>
        </a:p>
      </dgm:t>
    </dgm:pt>
    <dgm:pt modelId="{67F7EEAB-2580-4068-AF5C-629485D93C71}">
      <dgm:prSet phldrT="[Texto]"/>
      <dgm:spPr/>
      <dgm:t>
        <a:bodyPr/>
        <a:lstStyle/>
        <a:p>
          <a:r>
            <a:rPr lang="es-CO"/>
            <a:t>Cuentas x pagar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/>
          </dgm14:cNvPr>
        </a:ext>
      </dgm:extLst>
    </dgm:pt>
    <dgm:pt modelId="{D25BFE8D-A868-4653-A189-D9BA8E0A0112}" type="sibTrans" cxnId="{ECEC49F8-D581-4133-AA50-BE4F863DCA95}">
      <dgm:prSet/>
      <dgm:spPr/>
      <dgm:t>
        <a:bodyPr/>
        <a:lstStyle/>
        <a:p>
          <a:endParaRPr lang="es-CO"/>
        </a:p>
      </dgm:t>
    </dgm:pt>
    <dgm:pt modelId="{C561CAB8-224F-4F98-A097-6518D165B2FA}" type="parTrans" cxnId="{ECEC49F8-D581-4133-AA50-BE4F863DCA95}">
      <dgm:prSet/>
      <dgm:spPr/>
      <dgm:t>
        <a:bodyPr/>
        <a:lstStyle/>
        <a:p>
          <a:endParaRPr lang="es-CO"/>
        </a:p>
      </dgm:t>
    </dgm:pt>
    <dgm:pt modelId="{8D7DD220-F386-442E-B845-EF7E1C904A2A}">
      <dgm:prSet phldrT="[Texto]"/>
      <dgm:spPr/>
      <dgm:t>
        <a:bodyPr/>
        <a:lstStyle/>
        <a:p>
          <a:r>
            <a:rPr lang="es-CO"/>
            <a:t>Ingresos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/>
          </dgm14:cNvPr>
        </a:ext>
      </dgm:extLst>
    </dgm:pt>
    <dgm:pt modelId="{334CC921-6B35-4CF4-B9A8-2E0597CA35AC}" type="sibTrans" cxnId="{D8ED910E-849A-417F-9DFD-CA4E2D793CB2}">
      <dgm:prSet/>
      <dgm:spPr/>
      <dgm:t>
        <a:bodyPr/>
        <a:lstStyle/>
        <a:p>
          <a:endParaRPr lang="es-CO"/>
        </a:p>
      </dgm:t>
    </dgm:pt>
    <dgm:pt modelId="{6037A481-3449-44A4-A4FB-792EC8338FC2}" type="parTrans" cxnId="{D8ED910E-849A-417F-9DFD-CA4E2D793CB2}">
      <dgm:prSet/>
      <dgm:spPr/>
      <dgm:t>
        <a:bodyPr/>
        <a:lstStyle/>
        <a:p>
          <a:endParaRPr lang="es-CO"/>
        </a:p>
      </dgm:t>
    </dgm:pt>
    <dgm:pt modelId="{6E7D1AF1-DCBD-479A-8F21-3212D60D2F78}">
      <dgm:prSet phldrT="[Texto]">
        <dgm:style>
          <a:lnRef idx="2">
            <a:schemeClr val="accent4"/>
          </a:lnRef>
          <a:fillRef idx="1">
            <a:schemeClr val="lt1"/>
          </a:fillRef>
          <a:effectRef idx="0">
            <a:schemeClr val="accent4"/>
          </a:effectRef>
          <a:fontRef idx="minor">
            <a:schemeClr val="dk1"/>
          </a:fontRef>
        </dgm:style>
      </dgm:prSet>
      <dgm:spPr>
        <a:noFill/>
        <a:ln/>
      </dgm:spPr>
      <dgm:t>
        <a:bodyPr/>
        <a:lstStyle/>
        <a:p>
          <a:r>
            <a:rPr lang="es-CO"/>
            <a:t> </a:t>
          </a:r>
        </a:p>
      </dgm:t>
    </dgm:pt>
    <dgm:pt modelId="{3EEC6871-EAA1-4B12-92F5-78BBF2682B80}" type="sibTrans" cxnId="{47406005-90A9-4C79-881A-13F5BE15AF74}">
      <dgm:prSet/>
      <dgm:spPr/>
      <dgm:t>
        <a:bodyPr/>
        <a:lstStyle/>
        <a:p>
          <a:endParaRPr lang="es-CO"/>
        </a:p>
      </dgm:t>
    </dgm:pt>
    <dgm:pt modelId="{B1DF4A96-3EC7-4BBD-89F1-AD7C14A81899}" type="parTrans" cxnId="{47406005-90A9-4C79-881A-13F5BE15AF74}">
      <dgm:prSet/>
      <dgm:spPr/>
      <dgm:t>
        <a:bodyPr/>
        <a:lstStyle/>
        <a:p>
          <a:endParaRPr lang="es-CO"/>
        </a:p>
      </dgm:t>
    </dgm:pt>
    <dgm:pt modelId="{CE51C380-F842-45A4-9BFE-9CFC45519591}">
      <dgm:prSet phldrT="[Texto]"/>
      <dgm:spPr/>
      <dgm:t>
        <a:bodyPr/>
        <a:lstStyle/>
        <a:p>
          <a:r>
            <a:rPr lang="es-CO"/>
            <a:t>OPEX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/>
          </dgm14:cNvPr>
        </a:ext>
      </dgm:extLst>
    </dgm:pt>
    <dgm:pt modelId="{E61CCCE9-E0CC-43AD-A85A-9E61151C2186}" type="parTrans" cxnId="{F3EDA979-EC2E-4E52-B0D5-975D1C5CF72E}">
      <dgm:prSet/>
      <dgm:spPr/>
      <dgm:t>
        <a:bodyPr/>
        <a:lstStyle/>
        <a:p>
          <a:endParaRPr lang="es-CO"/>
        </a:p>
      </dgm:t>
    </dgm:pt>
    <dgm:pt modelId="{D6539722-A427-4279-AAFE-BCE6254C8B6D}" type="sibTrans" cxnId="{F3EDA979-EC2E-4E52-B0D5-975D1C5CF72E}">
      <dgm:prSet/>
      <dgm:spPr/>
      <dgm:t>
        <a:bodyPr/>
        <a:lstStyle/>
        <a:p>
          <a:endParaRPr lang="es-CO"/>
        </a:p>
      </dgm:t>
    </dgm:pt>
    <dgm:pt modelId="{75EE6453-57B8-4606-8819-88881D637227}" type="pres">
      <dgm:prSet presAssocID="{64B47852-742A-46CD-B1B7-548D32462E75}" presName="Name0" presStyleCnt="0">
        <dgm:presLayoutVars>
          <dgm:chMax val="1"/>
          <dgm:dir/>
          <dgm:animLvl val="ctr"/>
          <dgm:resizeHandles val="exact"/>
        </dgm:presLayoutVars>
      </dgm:prSet>
      <dgm:spPr/>
    </dgm:pt>
    <dgm:pt modelId="{6681B32D-2E24-4636-A78F-BC926B879589}" type="pres">
      <dgm:prSet presAssocID="{6E7D1AF1-DCBD-479A-8F21-3212D60D2F78}" presName="centerShape" presStyleLbl="node0" presStyleIdx="0" presStyleCnt="1" custScaleX="203757" custScaleY="202114" custLinFactNeighborX="1861" custLinFactNeighborY="-475"/>
      <dgm:spPr/>
    </dgm:pt>
    <dgm:pt modelId="{774A2DE8-AFF6-46FF-A0E0-2F858C500C72}" type="pres">
      <dgm:prSet presAssocID="{8D7DD220-F386-442E-B845-EF7E1C904A2A}" presName="node" presStyleLbl="node1" presStyleIdx="0" presStyleCnt="4">
        <dgm:presLayoutVars>
          <dgm:bulletEnabled val="1"/>
        </dgm:presLayoutVars>
      </dgm:prSet>
      <dgm:spPr/>
    </dgm:pt>
    <dgm:pt modelId="{89EF00DB-84CB-4DF7-BCA2-471101864F45}" type="pres">
      <dgm:prSet presAssocID="{8D7DD220-F386-442E-B845-EF7E1C904A2A}" presName="dummy" presStyleCnt="0"/>
      <dgm:spPr/>
    </dgm:pt>
    <dgm:pt modelId="{8E4E5F5A-A4FE-41A6-A500-323272351F28}" type="pres">
      <dgm:prSet presAssocID="{334CC921-6B35-4CF4-B9A8-2E0597CA35AC}" presName="sibTrans" presStyleLbl="sibTrans2D1" presStyleIdx="0" presStyleCnt="4"/>
      <dgm:spPr/>
    </dgm:pt>
    <dgm:pt modelId="{EF7C0C61-9105-4366-A3B0-0C5E966BDBC2}" type="pres">
      <dgm:prSet presAssocID="{CE51C380-F842-45A4-9BFE-9CFC45519591}" presName="node" presStyleLbl="node1" presStyleIdx="1" presStyleCnt="4">
        <dgm:presLayoutVars>
          <dgm:bulletEnabled val="1"/>
        </dgm:presLayoutVars>
      </dgm:prSet>
      <dgm:spPr/>
    </dgm:pt>
    <dgm:pt modelId="{156ECFEF-2E35-4003-A7FA-5DFA938E1B9A}" type="pres">
      <dgm:prSet presAssocID="{CE51C380-F842-45A4-9BFE-9CFC45519591}" presName="dummy" presStyleCnt="0"/>
      <dgm:spPr/>
    </dgm:pt>
    <dgm:pt modelId="{4BE38136-E3AF-4B08-B25A-EF0717CE08AC}" type="pres">
      <dgm:prSet presAssocID="{D6539722-A427-4279-AAFE-BCE6254C8B6D}" presName="sibTrans" presStyleLbl="sibTrans2D1" presStyleIdx="1" presStyleCnt="4"/>
      <dgm:spPr/>
    </dgm:pt>
    <dgm:pt modelId="{DDE904DE-5D6B-417D-9107-C760ED08BAD2}" type="pres">
      <dgm:prSet presAssocID="{67F7EEAB-2580-4068-AF5C-629485D93C71}" presName="node" presStyleLbl="node1" presStyleIdx="2" presStyleCnt="4">
        <dgm:presLayoutVars>
          <dgm:bulletEnabled val="1"/>
        </dgm:presLayoutVars>
      </dgm:prSet>
      <dgm:spPr/>
    </dgm:pt>
    <dgm:pt modelId="{315A78A8-C95C-40CA-AD6C-735C8D4F8751}" type="pres">
      <dgm:prSet presAssocID="{67F7EEAB-2580-4068-AF5C-629485D93C71}" presName="dummy" presStyleCnt="0"/>
      <dgm:spPr/>
    </dgm:pt>
    <dgm:pt modelId="{8D38B28F-2BC1-40FA-96A2-DE28DAAC0DA3}" type="pres">
      <dgm:prSet presAssocID="{D25BFE8D-A868-4653-A189-D9BA8E0A0112}" presName="sibTrans" presStyleLbl="sibTrans2D1" presStyleIdx="2" presStyleCnt="4"/>
      <dgm:spPr/>
    </dgm:pt>
    <dgm:pt modelId="{D695B8B3-A625-4533-8B71-F37199DAACE0}" type="pres">
      <dgm:prSet presAssocID="{81F63DCC-F876-4F38-B52D-11783D37F89B}" presName="node" presStyleLbl="node1" presStyleIdx="3" presStyleCnt="4">
        <dgm:presLayoutVars>
          <dgm:bulletEnabled val="1"/>
        </dgm:presLayoutVars>
      </dgm:prSet>
      <dgm:spPr/>
    </dgm:pt>
    <dgm:pt modelId="{545EC8BD-84CD-4158-AF64-19FED48EFBA6}" type="pres">
      <dgm:prSet presAssocID="{81F63DCC-F876-4F38-B52D-11783D37F89B}" presName="dummy" presStyleCnt="0"/>
      <dgm:spPr/>
    </dgm:pt>
    <dgm:pt modelId="{20B6ADC2-378A-4BF9-BACC-23B1CC38C95D}" type="pres">
      <dgm:prSet presAssocID="{6035BF3A-C2CA-4EA8-9FAA-BADEDD2EAED4}" presName="sibTrans" presStyleLbl="sibTrans2D1" presStyleIdx="3" presStyleCnt="4"/>
      <dgm:spPr/>
    </dgm:pt>
  </dgm:ptLst>
  <dgm:cxnLst>
    <dgm:cxn modelId="{5C181302-80C8-4752-A512-8668D647B9D1}" type="presOf" srcId="{CE51C380-F842-45A4-9BFE-9CFC45519591}" destId="{EF7C0C61-9105-4366-A3B0-0C5E966BDBC2}" srcOrd="0" destOrd="0" presId="urn:microsoft.com/office/officeart/2005/8/layout/radial6"/>
    <dgm:cxn modelId="{47406005-90A9-4C79-881A-13F5BE15AF74}" srcId="{64B47852-742A-46CD-B1B7-548D32462E75}" destId="{6E7D1AF1-DCBD-479A-8F21-3212D60D2F78}" srcOrd="0" destOrd="0" parTransId="{B1DF4A96-3EC7-4BBD-89F1-AD7C14A81899}" sibTransId="{3EEC6871-EAA1-4B12-92F5-78BBF2682B80}"/>
    <dgm:cxn modelId="{D8ED910E-849A-417F-9DFD-CA4E2D793CB2}" srcId="{6E7D1AF1-DCBD-479A-8F21-3212D60D2F78}" destId="{8D7DD220-F386-442E-B845-EF7E1C904A2A}" srcOrd="0" destOrd="0" parTransId="{6037A481-3449-44A4-A4FB-792EC8338FC2}" sibTransId="{334CC921-6B35-4CF4-B9A8-2E0597CA35AC}"/>
    <dgm:cxn modelId="{03E07817-2B7B-4081-AB9C-F6AF32DB5746}" type="presOf" srcId="{6E7D1AF1-DCBD-479A-8F21-3212D60D2F78}" destId="{6681B32D-2E24-4636-A78F-BC926B879589}" srcOrd="0" destOrd="0" presId="urn:microsoft.com/office/officeart/2005/8/layout/radial6"/>
    <dgm:cxn modelId="{4BB7A61B-472C-4BC5-A509-E0EBA6F220FD}" type="presOf" srcId="{334CC921-6B35-4CF4-B9A8-2E0597CA35AC}" destId="{8E4E5F5A-A4FE-41A6-A500-323272351F28}" srcOrd="0" destOrd="0" presId="urn:microsoft.com/office/officeart/2005/8/layout/radial6"/>
    <dgm:cxn modelId="{7FD81B1C-7895-4194-A2A3-800507B758AD}" type="presOf" srcId="{67F7EEAB-2580-4068-AF5C-629485D93C71}" destId="{DDE904DE-5D6B-417D-9107-C760ED08BAD2}" srcOrd="0" destOrd="0" presId="urn:microsoft.com/office/officeart/2005/8/layout/radial6"/>
    <dgm:cxn modelId="{F8121723-0809-48DA-BF80-BCF0910624A6}" type="presOf" srcId="{8D7DD220-F386-442E-B845-EF7E1C904A2A}" destId="{774A2DE8-AFF6-46FF-A0E0-2F858C500C72}" srcOrd="0" destOrd="0" presId="urn:microsoft.com/office/officeart/2005/8/layout/radial6"/>
    <dgm:cxn modelId="{294BD22B-42E3-43A2-B7D3-AAE0EB9F08EC}" type="presOf" srcId="{D6539722-A427-4279-AAFE-BCE6254C8B6D}" destId="{4BE38136-E3AF-4B08-B25A-EF0717CE08AC}" srcOrd="0" destOrd="0" presId="urn:microsoft.com/office/officeart/2005/8/layout/radial6"/>
    <dgm:cxn modelId="{42A4B75B-9768-4FC0-BA45-DDECAA618095}" srcId="{6E7D1AF1-DCBD-479A-8F21-3212D60D2F78}" destId="{81F63DCC-F876-4F38-B52D-11783D37F89B}" srcOrd="3" destOrd="0" parTransId="{D198EFAD-0048-4B20-B3C3-3F23D58C816B}" sibTransId="{6035BF3A-C2CA-4EA8-9FAA-BADEDD2EAED4}"/>
    <dgm:cxn modelId="{B6EA4463-6623-4E17-975C-985A10B889EC}" type="presOf" srcId="{64B47852-742A-46CD-B1B7-548D32462E75}" destId="{75EE6453-57B8-4606-8819-88881D637227}" srcOrd="0" destOrd="0" presId="urn:microsoft.com/office/officeart/2005/8/layout/radial6"/>
    <dgm:cxn modelId="{11A9E467-3C1C-4D2E-9C32-1557266CDC85}" type="presOf" srcId="{D25BFE8D-A868-4653-A189-D9BA8E0A0112}" destId="{8D38B28F-2BC1-40FA-96A2-DE28DAAC0DA3}" srcOrd="0" destOrd="0" presId="urn:microsoft.com/office/officeart/2005/8/layout/radial6"/>
    <dgm:cxn modelId="{8A0EFC57-49F7-4635-AC30-320B0F3DCF36}" type="presOf" srcId="{81F63DCC-F876-4F38-B52D-11783D37F89B}" destId="{D695B8B3-A625-4533-8B71-F37199DAACE0}" srcOrd="0" destOrd="0" presId="urn:microsoft.com/office/officeart/2005/8/layout/radial6"/>
    <dgm:cxn modelId="{F3EDA979-EC2E-4E52-B0D5-975D1C5CF72E}" srcId="{6E7D1AF1-DCBD-479A-8F21-3212D60D2F78}" destId="{CE51C380-F842-45A4-9BFE-9CFC45519591}" srcOrd="1" destOrd="0" parTransId="{E61CCCE9-E0CC-43AD-A85A-9E61151C2186}" sibTransId="{D6539722-A427-4279-AAFE-BCE6254C8B6D}"/>
    <dgm:cxn modelId="{D3DFB9C3-CA66-45B9-A86C-279C13D83A06}" type="presOf" srcId="{6035BF3A-C2CA-4EA8-9FAA-BADEDD2EAED4}" destId="{20B6ADC2-378A-4BF9-BACC-23B1CC38C95D}" srcOrd="0" destOrd="0" presId="urn:microsoft.com/office/officeart/2005/8/layout/radial6"/>
    <dgm:cxn modelId="{ECEC49F8-D581-4133-AA50-BE4F863DCA95}" srcId="{6E7D1AF1-DCBD-479A-8F21-3212D60D2F78}" destId="{67F7EEAB-2580-4068-AF5C-629485D93C71}" srcOrd="2" destOrd="0" parTransId="{C561CAB8-224F-4F98-A097-6518D165B2FA}" sibTransId="{D25BFE8D-A868-4653-A189-D9BA8E0A0112}"/>
    <dgm:cxn modelId="{1110A21B-F48F-4DFA-8C34-CEFC922A0C63}" type="presParOf" srcId="{75EE6453-57B8-4606-8819-88881D637227}" destId="{6681B32D-2E24-4636-A78F-BC926B879589}" srcOrd="0" destOrd="0" presId="urn:microsoft.com/office/officeart/2005/8/layout/radial6"/>
    <dgm:cxn modelId="{C6CAC3A3-9534-4BFB-A5FF-6D58EE95DA5F}" type="presParOf" srcId="{75EE6453-57B8-4606-8819-88881D637227}" destId="{774A2DE8-AFF6-46FF-A0E0-2F858C500C72}" srcOrd="1" destOrd="0" presId="urn:microsoft.com/office/officeart/2005/8/layout/radial6"/>
    <dgm:cxn modelId="{7C779770-C6FC-4745-BB60-ED0BDB9986F7}" type="presParOf" srcId="{75EE6453-57B8-4606-8819-88881D637227}" destId="{89EF00DB-84CB-4DF7-BCA2-471101864F45}" srcOrd="2" destOrd="0" presId="urn:microsoft.com/office/officeart/2005/8/layout/radial6"/>
    <dgm:cxn modelId="{D5977F4A-62A0-4B40-8BE5-CDA38F166F04}" type="presParOf" srcId="{75EE6453-57B8-4606-8819-88881D637227}" destId="{8E4E5F5A-A4FE-41A6-A500-323272351F28}" srcOrd="3" destOrd="0" presId="urn:microsoft.com/office/officeart/2005/8/layout/radial6"/>
    <dgm:cxn modelId="{75098FE4-219F-46E3-822E-ECF55B3B140F}" type="presParOf" srcId="{75EE6453-57B8-4606-8819-88881D637227}" destId="{EF7C0C61-9105-4366-A3B0-0C5E966BDBC2}" srcOrd="4" destOrd="0" presId="urn:microsoft.com/office/officeart/2005/8/layout/radial6"/>
    <dgm:cxn modelId="{93E3DFE7-ED8F-43C6-88CE-C8C44702BA3F}" type="presParOf" srcId="{75EE6453-57B8-4606-8819-88881D637227}" destId="{156ECFEF-2E35-4003-A7FA-5DFA938E1B9A}" srcOrd="5" destOrd="0" presId="urn:microsoft.com/office/officeart/2005/8/layout/radial6"/>
    <dgm:cxn modelId="{33CF961F-42C5-4BB2-8CD9-AF18C715948D}" type="presParOf" srcId="{75EE6453-57B8-4606-8819-88881D637227}" destId="{4BE38136-E3AF-4B08-B25A-EF0717CE08AC}" srcOrd="6" destOrd="0" presId="urn:microsoft.com/office/officeart/2005/8/layout/radial6"/>
    <dgm:cxn modelId="{BC12A602-940A-40DF-B2B2-599C132BE84D}" type="presParOf" srcId="{75EE6453-57B8-4606-8819-88881D637227}" destId="{DDE904DE-5D6B-417D-9107-C760ED08BAD2}" srcOrd="7" destOrd="0" presId="urn:microsoft.com/office/officeart/2005/8/layout/radial6"/>
    <dgm:cxn modelId="{7CEFCEAF-7009-4FEF-8291-327EBE13F083}" type="presParOf" srcId="{75EE6453-57B8-4606-8819-88881D637227}" destId="{315A78A8-C95C-40CA-AD6C-735C8D4F8751}" srcOrd="8" destOrd="0" presId="urn:microsoft.com/office/officeart/2005/8/layout/radial6"/>
    <dgm:cxn modelId="{FAF4ECB6-7A1F-43D2-9E4F-32183D8FF53F}" type="presParOf" srcId="{75EE6453-57B8-4606-8819-88881D637227}" destId="{8D38B28F-2BC1-40FA-96A2-DE28DAAC0DA3}" srcOrd="9" destOrd="0" presId="urn:microsoft.com/office/officeart/2005/8/layout/radial6"/>
    <dgm:cxn modelId="{FC651A52-8C64-46D0-9D9C-B6AB45FCE78C}" type="presParOf" srcId="{75EE6453-57B8-4606-8819-88881D637227}" destId="{D695B8B3-A625-4533-8B71-F37199DAACE0}" srcOrd="10" destOrd="0" presId="urn:microsoft.com/office/officeart/2005/8/layout/radial6"/>
    <dgm:cxn modelId="{E578CC79-A7D5-48D5-ADBC-4C23E6E588C1}" type="presParOf" srcId="{75EE6453-57B8-4606-8819-88881D637227}" destId="{545EC8BD-84CD-4158-AF64-19FED48EFBA6}" srcOrd="11" destOrd="0" presId="urn:microsoft.com/office/officeart/2005/8/layout/radial6"/>
    <dgm:cxn modelId="{4A351A78-5031-4603-B6E7-0F485C25DC78}" type="presParOf" srcId="{75EE6453-57B8-4606-8819-88881D637227}" destId="{20B6ADC2-378A-4BF9-BACC-23B1CC38C95D}" srcOrd="12" destOrd="0" presId="urn:microsoft.com/office/officeart/2005/8/layout/radial6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20B6ADC2-378A-4BF9-BACC-23B1CC38C95D}">
      <dsp:nvSpPr>
        <dsp:cNvPr id="0" name=""/>
        <dsp:cNvSpPr/>
      </dsp:nvSpPr>
      <dsp:spPr>
        <a:xfrm>
          <a:off x="744675" y="458502"/>
          <a:ext cx="3059682" cy="3059682"/>
        </a:xfrm>
        <a:prstGeom prst="blockArc">
          <a:avLst>
            <a:gd name="adj1" fmla="val 10800000"/>
            <a:gd name="adj2" fmla="val 16200000"/>
            <a:gd name="adj3" fmla="val 4639"/>
          </a:avLst>
        </a:prstGeom>
        <a:gradFill rotWithShape="0">
          <a:gsLst>
            <a:gs pos="0">
              <a:schemeClr val="accent3">
                <a:hueOff val="-1234063"/>
                <a:satOff val="-21671"/>
                <a:lumOff val="-392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1234063"/>
                <a:satOff val="-21671"/>
                <a:lumOff val="-392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1234063"/>
              <a:satOff val="-21671"/>
              <a:lumOff val="-392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</dsp:sp>
    <dsp:sp modelId="{8D38B28F-2BC1-40FA-96A2-DE28DAAC0DA3}">
      <dsp:nvSpPr>
        <dsp:cNvPr id="0" name=""/>
        <dsp:cNvSpPr/>
      </dsp:nvSpPr>
      <dsp:spPr>
        <a:xfrm>
          <a:off x="744675" y="458502"/>
          <a:ext cx="3059682" cy="3059682"/>
        </a:xfrm>
        <a:prstGeom prst="blockArc">
          <a:avLst>
            <a:gd name="adj1" fmla="val 5400000"/>
            <a:gd name="adj2" fmla="val 10800000"/>
            <a:gd name="adj3" fmla="val 4639"/>
          </a:avLst>
        </a:prstGeom>
        <a:gradFill rotWithShape="0">
          <a:gsLst>
            <a:gs pos="0">
              <a:schemeClr val="accent3">
                <a:hueOff val="-822709"/>
                <a:satOff val="-14447"/>
                <a:lumOff val="-261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822709"/>
                <a:satOff val="-14447"/>
                <a:lumOff val="-261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822709"/>
              <a:satOff val="-14447"/>
              <a:lumOff val="-261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</dsp:sp>
    <dsp:sp modelId="{4BE38136-E3AF-4B08-B25A-EF0717CE08AC}">
      <dsp:nvSpPr>
        <dsp:cNvPr id="0" name=""/>
        <dsp:cNvSpPr/>
      </dsp:nvSpPr>
      <dsp:spPr>
        <a:xfrm>
          <a:off x="744675" y="458502"/>
          <a:ext cx="3059682" cy="3059682"/>
        </a:xfrm>
        <a:prstGeom prst="blockArc">
          <a:avLst>
            <a:gd name="adj1" fmla="val 0"/>
            <a:gd name="adj2" fmla="val 5400000"/>
            <a:gd name="adj3" fmla="val 4639"/>
          </a:avLst>
        </a:prstGeom>
        <a:gradFill rotWithShape="0">
          <a:gsLst>
            <a:gs pos="0">
              <a:schemeClr val="accent3">
                <a:hueOff val="-411354"/>
                <a:satOff val="-7224"/>
                <a:lumOff val="-131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411354"/>
                <a:satOff val="-7224"/>
                <a:lumOff val="-131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411354"/>
              <a:satOff val="-7224"/>
              <a:lumOff val="-131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</dsp:sp>
    <dsp:sp modelId="{8E4E5F5A-A4FE-41A6-A500-323272351F28}">
      <dsp:nvSpPr>
        <dsp:cNvPr id="0" name=""/>
        <dsp:cNvSpPr/>
      </dsp:nvSpPr>
      <dsp:spPr>
        <a:xfrm>
          <a:off x="744675" y="458502"/>
          <a:ext cx="3059682" cy="3059682"/>
        </a:xfrm>
        <a:prstGeom prst="blockArc">
          <a:avLst>
            <a:gd name="adj1" fmla="val 16200000"/>
            <a:gd name="adj2" fmla="val 0"/>
            <a:gd name="adj3" fmla="val 4639"/>
          </a:avLst>
        </a:prstGeom>
        <a:gradFill rotWithShape="0">
          <a:gsLst>
            <a:gs pos="0">
              <a:schemeClr val="accent3">
                <a:hueOff val="0"/>
                <a:satOff val="0"/>
                <a:lumOff val="0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0"/>
                <a:satOff val="0"/>
                <a:lumOff val="0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0"/>
              <a:satOff val="0"/>
              <a:lumOff val="0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</dsp:sp>
    <dsp:sp modelId="{6681B32D-2E24-4636-A78F-BC926B879589}">
      <dsp:nvSpPr>
        <dsp:cNvPr id="0" name=""/>
        <dsp:cNvSpPr/>
      </dsp:nvSpPr>
      <dsp:spPr>
        <a:xfrm>
          <a:off x="895436" y="551016"/>
          <a:ext cx="2869398" cy="2846261"/>
        </a:xfrm>
        <a:prstGeom prst="ellipse">
          <a:avLst/>
        </a:prstGeom>
        <a:noFill/>
        <a:ln w="15875" cap="flat" cmpd="sng" algn="ctr">
          <a:solidFill>
            <a:schemeClr val="accent4"/>
          </a:solidFill>
          <a:prstDash val="solid"/>
        </a:ln>
        <a:effectLst/>
      </dsp:spPr>
      <dsp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dsp:style>
      <dsp:txBody>
        <a:bodyPr spcFirstLastPara="0" vert="horz" wrap="square" lIns="82550" tIns="82550" rIns="82550" bIns="82550" numCol="1" spcCol="1270" anchor="ctr" anchorCtr="0">
          <a:noAutofit/>
        </a:bodyPr>
        <a:lstStyle/>
        <a:p>
          <a:pPr marL="0" lvl="0" indent="0" algn="ctr" defTabSz="2889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6500" kern="1200"/>
            <a:t> </a:t>
          </a:r>
        </a:p>
      </dsp:txBody>
      <dsp:txXfrm>
        <a:off x="1315650" y="967841"/>
        <a:ext cx="2028970" cy="2012611"/>
      </dsp:txXfrm>
    </dsp:sp>
    <dsp:sp modelId="{774A2DE8-AFF6-46FF-A0E0-2F858C500C72}">
      <dsp:nvSpPr>
        <dsp:cNvPr id="0" name=""/>
        <dsp:cNvSpPr/>
      </dsp:nvSpPr>
      <dsp:spPr>
        <a:xfrm>
          <a:off x="1781630" y="1104"/>
          <a:ext cx="985771" cy="985771"/>
        </a:xfrm>
        <a:prstGeom prst="ellipse">
          <a:avLst/>
        </a:prstGeom>
        <a:gradFill rotWithShape="0">
          <a:gsLst>
            <a:gs pos="0">
              <a:schemeClr val="accent3">
                <a:hueOff val="0"/>
                <a:satOff val="0"/>
                <a:lumOff val="0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0"/>
                <a:satOff val="0"/>
                <a:lumOff val="0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0"/>
              <a:satOff val="0"/>
              <a:lumOff val="0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20320" tIns="20320" rIns="20320" bIns="20320" numCol="1" spcCol="1270" anchor="ctr" anchorCtr="0">
          <a:noAutofit/>
        </a:bodyPr>
        <a:lstStyle/>
        <a:p>
          <a:pPr marL="0" lvl="0" indent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600" kern="1200"/>
            <a:t>Ingresos</a:t>
          </a:r>
        </a:p>
      </dsp:txBody>
      <dsp:txXfrm>
        <a:off x="1925993" y="145467"/>
        <a:ext cx="697045" cy="697045"/>
      </dsp:txXfrm>
    </dsp:sp>
    <dsp:sp modelId="{EF7C0C61-9105-4366-A3B0-0C5E966BDBC2}">
      <dsp:nvSpPr>
        <dsp:cNvPr id="0" name=""/>
        <dsp:cNvSpPr/>
      </dsp:nvSpPr>
      <dsp:spPr>
        <a:xfrm>
          <a:off x="3275984" y="1495458"/>
          <a:ext cx="985771" cy="985771"/>
        </a:xfrm>
        <a:prstGeom prst="ellipse">
          <a:avLst/>
        </a:prstGeom>
        <a:gradFill rotWithShape="0">
          <a:gsLst>
            <a:gs pos="0">
              <a:schemeClr val="accent3">
                <a:hueOff val="-411354"/>
                <a:satOff val="-7224"/>
                <a:lumOff val="-131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411354"/>
                <a:satOff val="-7224"/>
                <a:lumOff val="-131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411354"/>
              <a:satOff val="-7224"/>
              <a:lumOff val="-131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20320" tIns="20320" rIns="20320" bIns="20320" numCol="1" spcCol="1270" anchor="ctr" anchorCtr="0">
          <a:noAutofit/>
        </a:bodyPr>
        <a:lstStyle/>
        <a:p>
          <a:pPr marL="0" lvl="0" indent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600" kern="1200"/>
            <a:t>OPEX</a:t>
          </a:r>
        </a:p>
      </dsp:txBody>
      <dsp:txXfrm>
        <a:off x="3420347" y="1639821"/>
        <a:ext cx="697045" cy="697045"/>
      </dsp:txXfrm>
    </dsp:sp>
    <dsp:sp modelId="{DDE904DE-5D6B-417D-9107-C760ED08BAD2}">
      <dsp:nvSpPr>
        <dsp:cNvPr id="0" name=""/>
        <dsp:cNvSpPr/>
      </dsp:nvSpPr>
      <dsp:spPr>
        <a:xfrm>
          <a:off x="1781630" y="2989811"/>
          <a:ext cx="985771" cy="985771"/>
        </a:xfrm>
        <a:prstGeom prst="ellipse">
          <a:avLst/>
        </a:prstGeom>
        <a:gradFill rotWithShape="0">
          <a:gsLst>
            <a:gs pos="0">
              <a:schemeClr val="accent3">
                <a:hueOff val="-822709"/>
                <a:satOff val="-14447"/>
                <a:lumOff val="-261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822709"/>
                <a:satOff val="-14447"/>
                <a:lumOff val="-261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822709"/>
              <a:satOff val="-14447"/>
              <a:lumOff val="-261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20320" tIns="20320" rIns="20320" bIns="20320" numCol="1" spcCol="1270" anchor="ctr" anchorCtr="0">
          <a:noAutofit/>
        </a:bodyPr>
        <a:lstStyle/>
        <a:p>
          <a:pPr marL="0" lvl="0" indent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600" kern="1200"/>
            <a:t>Cuentas x pagar</a:t>
          </a:r>
        </a:p>
      </dsp:txBody>
      <dsp:txXfrm>
        <a:off x="1925993" y="3134174"/>
        <a:ext cx="697045" cy="697045"/>
      </dsp:txXfrm>
    </dsp:sp>
    <dsp:sp modelId="{D695B8B3-A625-4533-8B71-F37199DAACE0}">
      <dsp:nvSpPr>
        <dsp:cNvPr id="0" name=""/>
        <dsp:cNvSpPr/>
      </dsp:nvSpPr>
      <dsp:spPr>
        <a:xfrm>
          <a:off x="287276" y="1495458"/>
          <a:ext cx="985771" cy="985771"/>
        </a:xfrm>
        <a:prstGeom prst="ellipse">
          <a:avLst/>
        </a:prstGeom>
        <a:gradFill rotWithShape="0">
          <a:gsLst>
            <a:gs pos="0">
              <a:schemeClr val="accent3">
                <a:hueOff val="-1234063"/>
                <a:satOff val="-21671"/>
                <a:lumOff val="-392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1234063"/>
                <a:satOff val="-21671"/>
                <a:lumOff val="-392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1234063"/>
              <a:satOff val="-21671"/>
              <a:lumOff val="-392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20320" tIns="20320" rIns="20320" bIns="20320" numCol="1" spcCol="1270" anchor="ctr" anchorCtr="0">
          <a:noAutofit/>
        </a:bodyPr>
        <a:lstStyle/>
        <a:p>
          <a:pPr marL="0" lvl="0" indent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s-CO" sz="1600" kern="1200"/>
            <a:t>Activos</a:t>
          </a:r>
        </a:p>
      </dsp:txBody>
      <dsp:txXfrm>
        <a:off x="431639" y="1639821"/>
        <a:ext cx="697045" cy="697045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radial6">
  <dgm:title val=""/>
  <dgm:desc val=""/>
  <dgm:catLst>
    <dgm:cat type="cycle" pri="9000"/>
    <dgm:cat type="relationship" pri="210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12">
          <dgm:prSet phldr="1"/>
        </dgm:pt>
        <dgm:pt modelId="13">
          <dgm:prSet phldr="1"/>
        </dgm:pt>
        <dgm:pt modelId="14">
          <dgm:prSet phldr="1"/>
        </dgm:pt>
      </dgm:ptLst>
      <dgm:cxnLst>
        <dgm:cxn modelId="2" srcId="0" destId="1" srcOrd="0" destOrd="0"/>
        <dgm:cxn modelId="3" srcId="1" destId="11" srcOrd="0" destOrd="0"/>
        <dgm:cxn modelId="4" srcId="1" destId="12" srcOrd="1" destOrd="0"/>
        <dgm:cxn modelId="5" srcId="1" destId="13" srcOrd="2" destOrd="0"/>
        <dgm:cxn modelId="6" srcId="1" destId="14" srcOrd="3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12"/>
        <dgm:pt modelId="13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/>
        <dgm:pt modelId="12"/>
        <dgm:pt modelId="13"/>
        <dgm:pt modelId="14"/>
        <dgm:pt modelId="15"/>
        <dgm:pt modelId="16"/>
      </dgm:ptLst>
      <dgm:cxnLst>
        <dgm:cxn modelId="2" srcId="0" destId="1" srcOrd="0" destOrd="0"/>
        <dgm:cxn modelId="16" srcId="1" destId="11" srcOrd="0" destOrd="0"/>
        <dgm:cxn modelId="17" srcId="1" destId="12" srcOrd="1" destOrd="0"/>
        <dgm:cxn modelId="18" srcId="1" destId="13" srcOrd="2" destOrd="0"/>
        <dgm:cxn modelId="19" srcId="1" destId="14" srcOrd="3" destOrd="0"/>
        <dgm:cxn modelId="20" srcId="1" destId="15" srcOrd="4" destOrd="0"/>
        <dgm:cxn modelId="21" srcId="1" destId="16" srcOrd="5" destOrd="0"/>
      </dgm:cxnLst>
      <dgm:bg/>
      <dgm:whole/>
    </dgm:dataModel>
  </dgm:clrData>
  <dgm:layoutNode name="Name0">
    <dgm:varLst>
      <dgm:chMax val="1"/>
      <dgm:dir/>
      <dgm:animLvl val="ctr"/>
      <dgm:resizeHandles val="exact"/>
    </dgm:varLst>
    <dgm:choose name="Name1">
      <dgm:if name="Name2" func="var" arg="dir" op="equ" val="norm">
        <dgm:choose name="Name3">
          <dgm:if name="Name4" axis="ch ch" ptType="node node" st="1 1" cnt="1 0" func="cnt" op="lte" val="1">
            <dgm:alg type="cycle">
              <dgm:param type="stAng" val="90"/>
              <dgm:param type="spanAng" val="360"/>
              <dgm:param type="ctrShpMap" val="fNode"/>
            </dgm:alg>
          </dgm:if>
          <dgm:else name="Name5">
            <dgm:alg type="cycle">
              <dgm:param type="stAng" val="0"/>
              <dgm:param type="spanAng" val="360"/>
              <dgm:param type="ctrShpMap" val="fNode"/>
            </dgm:alg>
          </dgm:else>
        </dgm:choose>
      </dgm:if>
      <dgm:else name="Name6">
        <dgm:choose name="Name7">
          <dgm:if name="Name8" axis="ch ch" ptType="node node" st="1 1" cnt="1 0" func="cnt" op="lte" val="1">
            <dgm:alg type="cycle">
              <dgm:param type="stAng" val="-90"/>
              <dgm:param type="spanAng" val="360"/>
              <dgm:param type="ctrShpMap" val="fNode"/>
            </dgm:alg>
          </dgm:if>
          <dgm:else name="Name9">
            <dgm:alg type="cycle">
              <dgm:param type="stAng" val="0"/>
              <dgm:param type="spanAng" val="-360"/>
              <dgm:param type="ctrShpMap" val="fNode"/>
            </dgm:alg>
          </dgm:else>
        </dgm:choose>
      </dgm:else>
    </dgm:choose>
    <dgm:shape xmlns:r="http://schemas.openxmlformats.org/officeDocument/2006/relationships" r:blip="">
      <dgm:adjLst/>
    </dgm:shape>
    <dgm:presOf/>
    <dgm:choose name="Name10">
      <dgm:if name="Name11" func="var" arg="dir" op="equ" val="norm">
        <dgm:choose name="Name12">
          <dgm:if name="Name13" axis="ch ch" ptType="node node" st="1 1" cnt="1 0" func="cnt" op="equ" val="1">
            <dgm:constrLst>
              <dgm:constr type="diam" val="170"/>
              <dgm:constr type="w" for="ch" forName="centerShape" refType="w"/>
              <dgm:constr type="w" for="ch" forName="oneComp" refType="w" refFor="ch" refForName="centerShape" op="equ" fact="0.7"/>
              <dgm:constr type="sp" refType="w" refFor="ch" refForName="oneComp" fact="0.3"/>
              <dgm:constr type="sibSp" refType="w" refFor="ch" refForName="oneComp" fact="0.3"/>
              <dgm:constr type="primFontSz" for="ch" forName="centerShape" val="65"/>
              <dgm:constr type="primFontSz" for="des" forName="oneNode" refType="primFontSz" refFor="ch" refForName="centerShape" fact="0.95"/>
              <dgm:constr type="primFontSz" for="des" forName="oneNode" refType="primFontSz" refFor="ch" refForName="centerShape" op="lte" fact="0.95"/>
              <dgm:constr type="diam" for="ch" forName="singleconn" refType="diam" op="equ" fact="-1"/>
              <dgm:constr type="h" for="ch" forName="singleconn" refType="w" refFor="ch" refForName="oneComp" fact="0.24"/>
              <dgm:constr type="w" for="ch" forName="dummya" refType="w" refFor="ch" refForName="oneComp" op="equ"/>
              <dgm:constr type="w" for="ch" forName="dummyb" refType="w" refFor="ch" refForName="oneComp" op="equ"/>
              <dgm:constr type="w" for="ch" forName="dummyc" refType="w" refFor="ch" refForName="oneComp" op="equ"/>
            </dgm:constrLst>
          </dgm:if>
          <dgm:else name="Name14">
            <dgm:constrLst>
              <dgm:constr type="diam" val="170"/>
              <dgm:constr type="w" for="ch" forName="centerShape" refType="w"/>
              <dgm:constr type="w" for="ch" forName="node" refType="w" refFor="ch" refForName="centerShape" op="equ" fact="0.7"/>
              <dgm:constr type="sp" refType="w" refFor="ch" refForName="node" fact="0.3"/>
              <dgm:constr type="sibSp" refType="w" refFor="ch" refForName="node" fact="0.3"/>
              <dgm:constr type="primFontSz" for="ch" forName="centerShape" val="65"/>
              <dgm:constr type="primFontSz" for="des" forName="node" refType="primFontSz" refFor="ch" refForName="centerShape" fact="0.78"/>
              <dgm:constr type="primFontSz" for="ch" forName="node" refType="primFontSz" refFor="ch" refForName="centerShape" op="lte" fact="0.95"/>
              <dgm:constr type="diam" for="ch" forName="sibTrans" refType="diam" op="equ"/>
              <dgm:constr type="h" for="ch" forName="sibTrans" refType="w" refFor="ch" refForName="node" fact="0.24"/>
              <dgm:constr type="w" for="ch" forName="dummy" val="1"/>
            </dgm:constrLst>
          </dgm:else>
        </dgm:choose>
      </dgm:if>
      <dgm:else name="Name15">
        <dgm:choose name="Name16">
          <dgm:if name="Name17" axis="ch ch" ptType="node node" st="1 1" cnt="1 0" func="cnt" op="equ" val="1">
            <dgm:constrLst>
              <dgm:constr type="diam" val="170"/>
              <dgm:constr type="w" for="ch" forName="centerShape" refType="w"/>
              <dgm:constr type="w" for="ch" forName="oneComp" refType="w" refFor="ch" refForName="centerShape" op="equ" fact="0.7"/>
              <dgm:constr type="sp" refType="w" refFor="ch" refForName="oneComp" fact="0.3"/>
              <dgm:constr type="sibSp" refType="w" refFor="ch" refForName="oneComp" fact="0.3"/>
              <dgm:constr type="primFontSz" for="ch" forName="centerShape" val="65"/>
              <dgm:constr type="primFontSz" for="des" forName="oneNode" refType="primFontSz" refFor="ch" refForName="centerShape" fact="0.95"/>
              <dgm:constr type="primFontSz" for="ch" forName="oneNode" refType="primFontSz" refFor="ch" refForName="centerShape" op="lte" fact="0.95"/>
              <dgm:constr type="diam" for="ch" forName="singleconn" refType="diam"/>
              <dgm:constr type="h" for="ch" forName="singleconn" refType="w" refFor="ch" refForName="oneComp" fact="0.24"/>
              <dgm:constr type="diam" for="ch" refType="diam" op="equ"/>
              <dgm:constr type="w" for="ch" forName="dummya" refType="w" refFor="ch" refForName="oneComp" op="equ"/>
              <dgm:constr type="w" for="ch" forName="dummyb" refType="w" refFor="ch" refForName="oneComp" op="equ"/>
              <dgm:constr type="w" for="ch" forName="dummyc" refType="w" refFor="ch" refForName="oneComp" op="equ"/>
            </dgm:constrLst>
          </dgm:if>
          <dgm:else name="Name18">
            <dgm:constrLst>
              <dgm:constr type="diam" val="170"/>
              <dgm:constr type="w" for="ch" forName="centerShape" refType="w"/>
              <dgm:constr type="w" for="ch" forName="node" refType="w" refFor="ch" refForName="centerShape" op="equ" fact="0.7"/>
              <dgm:constr type="sp" refType="w" refFor="ch" refForName="node" fact="0.3"/>
              <dgm:constr type="sibSp" refType="w" refFor="ch" refForName="node" fact="0.3"/>
              <dgm:constr type="primFontSz" for="ch" forName="centerShape" val="65"/>
              <dgm:constr type="primFontSz" for="des" forName="node" refType="primFontSz" refFor="ch" refForName="centerShape" fact="0.78"/>
              <dgm:constr type="primFontSz" for="ch" forName="node" refType="primFontSz" refFor="ch" refForName="centerShape" op="lte" fact="0.95"/>
              <dgm:constr type="diam" for="ch" ptType="sibTrans" refType="diam" fact="-1"/>
              <dgm:constr type="h" for="ch" forName="sibTrans" refType="w" refFor="ch" refForName="node" fact="0.24"/>
              <dgm:constr type="diam" for="ch" refType="diam" op="equ" fact="-1"/>
              <dgm:constr type="w" for="ch" forName="dummy" val="1"/>
            </dgm:constrLst>
          </dgm:else>
        </dgm:choose>
      </dgm:else>
    </dgm:choose>
    <dgm:ruleLst>
      <dgm:rule type="diam" val="INF" fact="NaN" max="NaN"/>
    </dgm:ruleLst>
    <dgm:forEach name="Name19" axis="ch" ptType="node" cnt="1">
      <dgm:layoutNode name="centerShape" styleLbl="node0">
        <dgm:alg type="tx"/>
        <dgm:shape xmlns:r="http://schemas.openxmlformats.org/officeDocument/2006/relationships" type="ellipse" r:blip="">
          <dgm:adjLst/>
        </dgm:shape>
        <dgm:presOf axis="self"/>
        <dgm:constrLst>
          <dgm:constr type="h" refType="w"/>
          <dgm:constr type="tMarg" refType="primFontSz" fact="0.1"/>
          <dgm:constr type="bMarg" refType="primFontSz" fact="0.1"/>
          <dgm:constr type="lMarg" refType="primFontSz" fact="0.1"/>
          <dgm:constr type="rMarg" refType="primFontSz" fact="0.1"/>
        </dgm:constrLst>
        <dgm:ruleLst>
          <dgm:rule type="primFontSz" val="5" fact="NaN" max="NaN"/>
        </dgm:ruleLst>
      </dgm:layoutNode>
      <dgm:forEach name="Name20" axis="ch">
        <dgm:forEach name="Name21" axis="self" ptType="node">
          <dgm:choose name="Name22">
            <dgm:if name="Name23" axis="par ch" ptType="node node" func="cnt" op="gt" val="1">
              <dgm:layoutNode name="node" styleLbl="node1">
                <dgm:varLst>
                  <dgm:bulletEnabled val="1"/>
                </dgm:varLst>
                <dgm:alg type="tx">
                  <dgm:param type="txAnchorVertCh" val="mid"/>
                </dgm:alg>
                <dgm:shape xmlns:r="http://schemas.openxmlformats.org/officeDocument/2006/relationships" type="ellipse" r:blip="">
                  <dgm:adjLst/>
                </dgm:shape>
                <dgm:presOf axis="desOrSelf" ptType="node"/>
                <dgm:constrLst>
                  <dgm:constr type="h" refType="w"/>
                  <dgm:constr type="tMarg" refType="primFontSz" fact="0.1"/>
                  <dgm:constr type="bMarg" refType="primFontSz" fact="0.1"/>
                  <dgm:constr type="lMarg" refType="primFontSz" fact="0.1"/>
                  <dgm:constr type="rMarg" refType="primFontSz" fact="0.1"/>
                </dgm:constrLst>
                <dgm:ruleLst>
                  <dgm:rule type="primFontSz" val="5" fact="NaN" max="NaN"/>
                </dgm:ruleLst>
              </dgm:layoutNode>
              <dgm:layoutNode name="dummy">
                <dgm:alg type="sp"/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</dgm:constrLst>
                <dgm:ruleLst/>
              </dgm:layoutNode>
              <dgm:forEach name="sibTransForEach" axis="followSib" ptType="sibTrans" hideLastTrans="0" cnt="1">
                <dgm:layoutNode name="sibTrans" styleLbl="sibTrans2D1">
                  <dgm:alg type="conn">
                    <dgm:param type="connRout" val="curve"/>
                    <dgm:param type="begPts" val="ctr"/>
                    <dgm:param type="endPts" val="ctr"/>
                    <dgm:param type="begSty" val="noArr"/>
                    <dgm:param type="endSty" val="noArr"/>
                    <dgm:param type="dstNode" val="node"/>
                  </dgm:alg>
                  <dgm:shape xmlns:r="http://schemas.openxmlformats.org/officeDocument/2006/relationships" type="conn" r:blip="" zOrderOff="-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</dgm:if>
            <dgm:if name="Name24" axis="par ch" ptType="node node" func="cnt" op="equ" val="1">
              <dgm:layoutNode name="oneComp">
                <dgm:alg type="composite">
                  <dgm:param type="ar" val="1"/>
                </dgm:alg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  <dgm:constr type="l" for="ch" forName="dummyConnPt" refType="w" fact="0.5"/>
                  <dgm:constr type="t" for="ch" forName="dummyConnPt" refType="w" fact="0.5"/>
                  <dgm:constr type="l" for="ch" forName="oneNode"/>
                  <dgm:constr type="t" for="ch" forName="oneNode"/>
                  <dgm:constr type="h" for="ch" forName="oneNode" refType="h"/>
                  <dgm:constr type="w" for="ch" forName="oneNode" refType="w"/>
                </dgm:constrLst>
                <dgm:ruleLst/>
                <dgm:layoutNode name="dummyConnPt" styleLbl="node1">
                  <dgm:alg type="sp"/>
                  <dgm:shape xmlns:r="http://schemas.openxmlformats.org/officeDocument/2006/relationships" r:blip="">
                    <dgm:adjLst/>
                  </dgm:shape>
                  <dgm:presOf/>
                  <dgm:constrLst>
                    <dgm:constr type="w" val="1"/>
                    <dgm:constr type="h" val="1"/>
                  </dgm:constrLst>
                  <dgm:ruleLst/>
                </dgm:layoutNode>
                <dgm:layoutNode name="oneNode" styleLbl="node1">
                  <dgm:varLst>
                    <dgm:bulletEnabled val="1"/>
                  </dgm:varLst>
                  <dgm:alg type="tx">
                    <dgm:param type="txAnchorVertCh" val="mid"/>
                  </dgm:alg>
                  <dgm:shape xmlns:r="http://schemas.openxmlformats.org/officeDocument/2006/relationships" type="ellipse" r:blip="">
                    <dgm:adjLst/>
                  </dgm:shape>
                  <dgm:presOf axis="desOrSelf" ptType="node"/>
                  <dgm:constrLst>
                    <dgm:constr type="h" refType="w"/>
                    <dgm:constr type="tMarg" refType="primFontSz" fact="0.1"/>
                    <dgm:constr type="bMarg" refType="primFontSz" fact="0.1"/>
                    <dgm:constr type="lMarg" refType="primFontSz" fact="0.1"/>
                    <dgm:constr type="rMarg" refType="primFontSz" fact="0.1"/>
                  </dgm:constrLst>
                  <dgm:ruleLst>
                    <dgm:rule type="primFontSz" val="5" fact="NaN" max="NaN"/>
                  </dgm:ruleLst>
                </dgm:layoutNode>
              </dgm:layoutNode>
              <dgm:layoutNode name="dummya">
                <dgm:alg type="sp"/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</dgm:constrLst>
                <dgm:ruleLst/>
              </dgm:layoutNode>
              <dgm:layoutNode name="dummyb">
                <dgm:alg type="sp"/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</dgm:constrLst>
                <dgm:ruleLst/>
              </dgm:layoutNode>
              <dgm:layoutNode name="dummyc">
                <dgm:alg type="sp"/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</dgm:constrLst>
                <dgm:ruleLst/>
              </dgm:layoutNode>
              <dgm:forEach name="sibTransForEach1" axis="followSib" ptType="sibTrans" hideLastTrans="0" cnt="1">
                <dgm:layoutNode name="singleconn" styleLbl="sibTrans2D1">
                  <dgm:alg type="conn">
                    <dgm:param type="connRout" val="longCurve"/>
                    <dgm:param type="begPts" val="bCtr"/>
                    <dgm:param type="endPts" val="tCtr"/>
                    <dgm:param type="begSty" val="noArr"/>
                    <dgm:param type="endSty" val="noArr"/>
                    <dgm:param type="srcNode" val="dummyConnPt"/>
                    <dgm:param type="dstNode" val="dummyConnPt"/>
                  </dgm:alg>
                  <dgm:shape xmlns:r="http://schemas.openxmlformats.org/officeDocument/2006/relationships" type="conn" r:blip="" zOrderOff="-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</dgm:if>
            <dgm:else name="Name25"/>
          </dgm:choose>
        </dgm:forEach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5">
  <dgm:title val=""/>
  <dgm:desc val=""/>
  <dgm:catLst>
    <dgm:cat type="simple" pri="105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1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6" Type="http://schemas.openxmlformats.org/officeDocument/2006/relationships/image" Target="../media/image2.png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hyperlink" Target="#Inicio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hyperlink" Target="#Inicio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3.png"/><Relationship Id="rId1" Type="http://schemas.openxmlformats.org/officeDocument/2006/relationships/hyperlink" Target="#Inicio!A1"/><Relationship Id="rId4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hyperlink" Target="#Inicio!A1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hyperlink" Target="#Ini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76200</xdr:rowOff>
    </xdr:from>
    <xdr:to>
      <xdr:col>5</xdr:col>
      <xdr:colOff>358033</xdr:colOff>
      <xdr:row>22</xdr:row>
      <xdr:rowOff>71438</xdr:rowOff>
    </xdr:to>
    <xdr:graphicFrame macro="">
      <xdr:nvGraphicFramePr>
        <xdr:cNvPr id="6" name="Diagrama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5</xdr:col>
      <xdr:colOff>778565</xdr:colOff>
      <xdr:row>4</xdr:row>
      <xdr:rowOff>49696</xdr:rowOff>
    </xdr:from>
    <xdr:to>
      <xdr:col>7</xdr:col>
      <xdr:colOff>339587</xdr:colOff>
      <xdr:row>6</xdr:row>
      <xdr:rowOff>140806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797826" y="778566"/>
          <a:ext cx="1234109" cy="455544"/>
        </a:xfrm>
        <a:prstGeom prst="roundRect">
          <a:avLst/>
        </a:prstGeom>
        <a:solidFill>
          <a:schemeClr val="accent2">
            <a:lumMod val="75000"/>
          </a:schemeClr>
        </a:solidFill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/>
          <a:contourClr>
            <a:schemeClr val="dk1">
              <a:shade val="35000"/>
              <a:satMod val="160000"/>
            </a:schemeClr>
          </a:contourClr>
        </a:sp3d>
      </xdr:spPr>
      <xdr:style>
        <a:lnRef idx="0">
          <a:schemeClr val="dk1"/>
        </a:lnRef>
        <a:fillRef idx="3">
          <a:schemeClr val="dk1"/>
        </a:fillRef>
        <a:effectRef idx="3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O" sz="1100" b="1">
              <a:solidFill>
                <a:srgbClr val="FFFFA3"/>
              </a:solidFill>
            </a:rPr>
            <a:t>Misión y Visión</a:t>
          </a:r>
        </a:p>
      </xdr:txBody>
    </xdr:sp>
    <xdr:clientData/>
  </xdr:twoCellAnchor>
  <xdr:twoCellAnchor editAs="oneCell">
    <xdr:from>
      <xdr:col>1</xdr:col>
      <xdr:colOff>689894</xdr:colOff>
      <xdr:row>7</xdr:row>
      <xdr:rowOff>46284</xdr:rowOff>
    </xdr:from>
    <xdr:to>
      <xdr:col>3</xdr:col>
      <xdr:colOff>463826</xdr:colOff>
      <xdr:row>13</xdr:row>
      <xdr:rowOff>150103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B29E4DD-1F96-66F4-3413-D7D1E14BC58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907" t="14452" r="4726" b="12768"/>
        <a:stretch>
          <a:fillRect/>
        </a:stretch>
      </xdr:blipFill>
      <xdr:spPr>
        <a:xfrm>
          <a:off x="2362981" y="1321806"/>
          <a:ext cx="1447019" cy="119712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1</xdr:row>
      <xdr:rowOff>0</xdr:rowOff>
    </xdr:from>
    <xdr:to>
      <xdr:col>0</xdr:col>
      <xdr:colOff>587750</xdr:colOff>
      <xdr:row>3</xdr:row>
      <xdr:rowOff>43978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6AD4D53-4046-47A1-BF5C-45CF39E72B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" y="0"/>
          <a:ext cx="578225" cy="56205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24848</xdr:colOff>
      <xdr:row>0</xdr:row>
      <xdr:rowOff>57978</xdr:rowOff>
    </xdr:from>
    <xdr:to>
      <xdr:col>6</xdr:col>
      <xdr:colOff>8282</xdr:colOff>
      <xdr:row>2</xdr:row>
      <xdr:rowOff>91108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132522" y="57978"/>
          <a:ext cx="5449956" cy="397565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Pasivos</a:t>
          </a:r>
        </a:p>
      </xdr:txBody>
    </xdr:sp>
    <xdr:clientData/>
  </xdr:twoCellAnchor>
  <xdr:twoCellAnchor>
    <xdr:from>
      <xdr:col>6</xdr:col>
      <xdr:colOff>364433</xdr:colOff>
      <xdr:row>0</xdr:row>
      <xdr:rowOff>57977</xdr:rowOff>
    </xdr:from>
    <xdr:to>
      <xdr:col>8</xdr:col>
      <xdr:colOff>952500</xdr:colOff>
      <xdr:row>2</xdr:row>
      <xdr:rowOff>82825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5938629" y="57977"/>
          <a:ext cx="2501349" cy="389283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Gastos</a:t>
          </a:r>
          <a:r>
            <a:rPr lang="es-CO" sz="2400" u="sng" baseline="0">
              <a:solidFill>
                <a:schemeClr val="accent3">
                  <a:lumMod val="50000"/>
                </a:schemeClr>
              </a:solidFill>
            </a:rPr>
            <a:t> de entrada</a:t>
          </a:r>
          <a:endParaRPr lang="es-CO" sz="2400" u="sng">
            <a:solidFill>
              <a:schemeClr val="accent3">
                <a:lumMod val="50000"/>
              </a:schemeClr>
            </a:solidFill>
          </a:endParaRPr>
        </a:p>
      </xdr:txBody>
    </xdr:sp>
    <xdr:clientData/>
  </xdr:twoCellAnchor>
  <xdr:twoCellAnchor>
    <xdr:from>
      <xdr:col>1</xdr:col>
      <xdr:colOff>372717</xdr:colOff>
      <xdr:row>27</xdr:row>
      <xdr:rowOff>149085</xdr:rowOff>
    </xdr:from>
    <xdr:to>
      <xdr:col>9</xdr:col>
      <xdr:colOff>472109</xdr:colOff>
      <xdr:row>29</xdr:row>
      <xdr:rowOff>91108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480391" y="5085520"/>
          <a:ext cx="9732066" cy="306458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Patrimonio</a:t>
          </a:r>
        </a:p>
      </xdr:txBody>
    </xdr:sp>
    <xdr:clientData/>
  </xdr:twoCellAnchor>
  <xdr:twoCellAnchor>
    <xdr:from>
      <xdr:col>7</xdr:col>
      <xdr:colOff>24848</xdr:colOff>
      <xdr:row>30</xdr:row>
      <xdr:rowOff>17393</xdr:rowOff>
    </xdr:from>
    <xdr:to>
      <xdr:col>9</xdr:col>
      <xdr:colOff>8283</xdr:colOff>
      <xdr:row>32</xdr:row>
      <xdr:rowOff>49697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5010978" y="4026176"/>
          <a:ext cx="2501348" cy="396738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Inventario (Stock)</a:t>
          </a:r>
        </a:p>
      </xdr:txBody>
    </xdr:sp>
    <xdr:clientData/>
  </xdr:twoCellAnchor>
  <xdr:twoCellAnchor editAs="oneCell">
    <xdr:from>
      <xdr:col>7</xdr:col>
      <xdr:colOff>985631</xdr:colOff>
      <xdr:row>12</xdr:row>
      <xdr:rowOff>124238</xdr:rowOff>
    </xdr:from>
    <xdr:to>
      <xdr:col>8</xdr:col>
      <xdr:colOff>23291</xdr:colOff>
      <xdr:row>15</xdr:row>
      <xdr:rowOff>139642</xdr:rowOff>
    </xdr:to>
    <xdr:pic>
      <xdr:nvPicPr>
        <xdr:cNvPr id="7" name="Imagen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23283" y="2310847"/>
          <a:ext cx="578225" cy="562056"/>
        </a:xfrm>
        <a:prstGeom prst="rect">
          <a:avLst/>
        </a:prstGeom>
      </xdr:spPr>
    </xdr:pic>
    <xdr:clientData/>
  </xdr:twoCellAnchor>
  <xdr:twoCellAnchor>
    <xdr:from>
      <xdr:col>0</xdr:col>
      <xdr:colOff>99391</xdr:colOff>
      <xdr:row>30</xdr:row>
      <xdr:rowOff>12424</xdr:rowOff>
    </xdr:from>
    <xdr:to>
      <xdr:col>4</xdr:col>
      <xdr:colOff>0</xdr:colOff>
      <xdr:row>32</xdr:row>
      <xdr:rowOff>44728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99391" y="4021207"/>
          <a:ext cx="4514022" cy="396738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Planta y Equipo</a:t>
          </a:r>
        </a:p>
      </xdr:txBody>
    </xdr:sp>
    <xdr:clientData/>
  </xdr:twoCellAnchor>
  <xdr:twoCellAnchor>
    <xdr:from>
      <xdr:col>10</xdr:col>
      <xdr:colOff>0</xdr:colOff>
      <xdr:row>0</xdr:row>
      <xdr:rowOff>66260</xdr:rowOff>
    </xdr:from>
    <xdr:to>
      <xdr:col>14</xdr:col>
      <xdr:colOff>0</xdr:colOff>
      <xdr:row>2</xdr:row>
      <xdr:rowOff>173934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 txBox="1"/>
      </xdr:nvSpPr>
      <xdr:spPr>
        <a:xfrm>
          <a:off x="8158370" y="66260"/>
          <a:ext cx="3735456" cy="472109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CO" sz="1600" b="1" u="sng">
              <a:solidFill>
                <a:schemeClr val="accent3">
                  <a:lumMod val="50000"/>
                </a:schemeClr>
              </a:solidFill>
            </a:rPr>
            <a:t>Balance General</a:t>
          </a:r>
          <a:r>
            <a:rPr lang="es-CO" sz="1600" b="1" u="sng" baseline="0">
              <a:solidFill>
                <a:schemeClr val="accent3">
                  <a:lumMod val="50000"/>
                </a:schemeClr>
              </a:solidFill>
            </a:rPr>
            <a:t> </a:t>
          </a:r>
          <a:br>
            <a:rPr lang="es-CO" sz="1800" b="1" u="sng" baseline="0">
              <a:solidFill>
                <a:schemeClr val="accent3">
                  <a:lumMod val="50000"/>
                </a:schemeClr>
              </a:solidFill>
            </a:rPr>
          </a:br>
          <a:r>
            <a:rPr lang="es-CO" sz="1050" b="1" u="sng" baseline="0">
              <a:solidFill>
                <a:schemeClr val="accent3">
                  <a:lumMod val="50000"/>
                </a:schemeClr>
              </a:solidFill>
            </a:rPr>
            <a:t>31 de marzo de 2020</a:t>
          </a:r>
          <a:endParaRPr lang="es-CO" sz="1200" b="1" u="sng">
            <a:solidFill>
              <a:schemeClr val="accent3">
                <a:lumMod val="50000"/>
              </a:schemeClr>
            </a:solidFill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5</xdr:row>
      <xdr:rowOff>180975</xdr:rowOff>
    </xdr:from>
    <xdr:to>
      <xdr:col>21</xdr:col>
      <xdr:colOff>457200</xdr:colOff>
      <xdr:row>11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ía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58400" y="1095375"/>
              <a:ext cx="1533524" cy="9905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18</xdr:col>
      <xdr:colOff>533399</xdr:colOff>
      <xdr:row>0</xdr:row>
      <xdr:rowOff>133350</xdr:rowOff>
    </xdr:from>
    <xdr:to>
      <xdr:col>30</xdr:col>
      <xdr:colOff>133350</xdr:colOff>
      <xdr:row>21</xdr:row>
      <xdr:rowOff>9525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9753599" y="133350"/>
          <a:ext cx="10572751" cy="3790950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19</xdr:col>
      <xdr:colOff>104775</xdr:colOff>
      <xdr:row>1</xdr:row>
      <xdr:rowOff>142875</xdr:rowOff>
    </xdr:from>
    <xdr:to>
      <xdr:col>20</xdr:col>
      <xdr:colOff>63876</xdr:colOff>
      <xdr:row>4</xdr:row>
      <xdr:rowOff>144671</xdr:rowOff>
    </xdr:to>
    <xdr:pic>
      <xdr:nvPicPr>
        <xdr:cNvPr id="8" name="Imagen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96800" y="323850"/>
          <a:ext cx="578225" cy="558329"/>
        </a:xfrm>
        <a:prstGeom prst="rect">
          <a:avLst/>
        </a:prstGeom>
      </xdr:spPr>
    </xdr:pic>
    <xdr:clientData/>
  </xdr:twoCellAnchor>
  <xdr:twoCellAnchor>
    <xdr:from>
      <xdr:col>6</xdr:col>
      <xdr:colOff>695324</xdr:colOff>
      <xdr:row>1</xdr:row>
      <xdr:rowOff>24848</xdr:rowOff>
    </xdr:from>
    <xdr:to>
      <xdr:col>18</xdr:col>
      <xdr:colOff>200024</xdr:colOff>
      <xdr:row>16</xdr:row>
      <xdr:rowOff>1656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28576</xdr:colOff>
      <xdr:row>18</xdr:row>
      <xdr:rowOff>45137</xdr:rowOff>
    </xdr:from>
    <xdr:to>
      <xdr:col>18</xdr:col>
      <xdr:colOff>484909</xdr:colOff>
      <xdr:row>44</xdr:row>
      <xdr:rowOff>66674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857250</xdr:colOff>
      <xdr:row>0</xdr:row>
      <xdr:rowOff>114300</xdr:rowOff>
    </xdr:from>
    <xdr:to>
      <xdr:col>2</xdr:col>
      <xdr:colOff>0</xdr:colOff>
      <xdr:row>2</xdr:row>
      <xdr:rowOff>123825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857250" y="114300"/>
          <a:ext cx="2286000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b="1" u="sng">
              <a:solidFill>
                <a:schemeClr val="accent3">
                  <a:lumMod val="50000"/>
                </a:schemeClr>
              </a:solidFill>
            </a:rPr>
            <a:t>Plan de pagos</a:t>
          </a:r>
        </a:p>
      </xdr:txBody>
    </xdr:sp>
    <xdr:clientData/>
  </xdr:twoCellAnchor>
  <xdr:twoCellAnchor editAs="oneCell">
    <xdr:from>
      <xdr:col>0</xdr:col>
      <xdr:colOff>190500</xdr:colOff>
      <xdr:row>0</xdr:row>
      <xdr:rowOff>76200</xdr:rowOff>
    </xdr:from>
    <xdr:to>
      <xdr:col>0</xdr:col>
      <xdr:colOff>659933</xdr:colOff>
      <xdr:row>2</xdr:row>
      <xdr:rowOff>171490</xdr:rowOff>
    </xdr:to>
    <xdr:pic>
      <xdr:nvPicPr>
        <xdr:cNvPr id="5" name="Imagen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0" y="76200"/>
          <a:ext cx="469433" cy="45724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0</xdr:rowOff>
    </xdr:from>
    <xdr:to>
      <xdr:col>0</xdr:col>
      <xdr:colOff>587750</xdr:colOff>
      <xdr:row>2</xdr:row>
      <xdr:rowOff>43979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FA71A8-7A95-4B08-863B-30698B610B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" y="0"/>
          <a:ext cx="578225" cy="56785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ucursarl_Choriboni/Dashboard%20Chorobi%20Parrilla.xlsx" TargetMode="External"/><Relationship Id="rId2" Type="http://schemas.openxmlformats.org/officeDocument/2006/relationships/externalLinkPath" Target="file:///F:\2025_DigiLivo\GERENTE%20DE%20PROYECTOS\Proyecto%20Choriboni\Base%20Total_Choriboni%20Parrilla\Sucursarl_Choriboni\Dashboard%20Chorobi%20Parrilla.xlsx" TargetMode="External"/><Relationship Id="rId1" Type="http://schemas.openxmlformats.org/officeDocument/2006/relationships/externalLinkPath" Target="/2025_DigiLivo/GERENTE%20DE%20PROYECTOS/Proyecto%20Choriboni/Base%20Total_Choriboni%20Parrilla/Sucursarl_Choriboni/Dashboard%20Chorobi%20Parril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"/>
      <sheetName val="entradas"/>
      <sheetName val="Informe"/>
      <sheetName val="historial de venta"/>
      <sheetName val="urls"/>
    </sheetNames>
    <sheetDataSet>
      <sheetData sheetId="0">
        <row r="7">
          <cell r="A7">
            <v>46076</v>
          </cell>
          <cell r="B7">
            <v>0.69208333333333338</v>
          </cell>
          <cell r="D7" t="str">
            <v>Chorizo</v>
          </cell>
          <cell r="I7">
            <v>16000</v>
          </cell>
          <cell r="J7">
            <v>0</v>
          </cell>
          <cell r="K7">
            <v>16000</v>
          </cell>
        </row>
        <row r="8">
          <cell r="A8">
            <v>46076</v>
          </cell>
          <cell r="B8">
            <v>0.70967592592592588</v>
          </cell>
          <cell r="D8" t="str">
            <v>Chorizo</v>
          </cell>
          <cell r="I8">
            <v>0</v>
          </cell>
          <cell r="J8">
            <v>8000</v>
          </cell>
          <cell r="K8">
            <v>8000</v>
          </cell>
        </row>
        <row r="9">
          <cell r="A9">
            <v>46076</v>
          </cell>
          <cell r="B9">
            <v>0.71737268518518515</v>
          </cell>
          <cell r="D9" t="str">
            <v>Chorizo</v>
          </cell>
          <cell r="I9">
            <v>16000</v>
          </cell>
          <cell r="J9">
            <v>0</v>
          </cell>
          <cell r="K9">
            <v>16000</v>
          </cell>
        </row>
        <row r="10">
          <cell r="A10">
            <v>46076</v>
          </cell>
          <cell r="B10">
            <v>0.71737268518518515</v>
          </cell>
          <cell r="D10" t="str">
            <v>Coca cola</v>
          </cell>
          <cell r="I10">
            <v>6000</v>
          </cell>
          <cell r="J10">
            <v>0</v>
          </cell>
          <cell r="K10">
            <v>6000</v>
          </cell>
        </row>
        <row r="11">
          <cell r="A11">
            <v>46076</v>
          </cell>
          <cell r="B11">
            <v>0.72047453703703701</v>
          </cell>
          <cell r="D11" t="str">
            <v>Chorizo</v>
          </cell>
          <cell r="I11">
            <v>0</v>
          </cell>
          <cell r="J11">
            <v>24000</v>
          </cell>
          <cell r="K11">
            <v>24000</v>
          </cell>
        </row>
        <row r="12">
          <cell r="A12">
            <v>46076</v>
          </cell>
          <cell r="B12">
            <v>0.75028935185185186</v>
          </cell>
          <cell r="D12" t="str">
            <v>Agua</v>
          </cell>
          <cell r="I12">
            <v>6000</v>
          </cell>
          <cell r="J12">
            <v>0</v>
          </cell>
          <cell r="K12">
            <v>6000</v>
          </cell>
        </row>
        <row r="13">
          <cell r="A13">
            <v>46076</v>
          </cell>
          <cell r="B13">
            <v>0.75028935185185186</v>
          </cell>
          <cell r="D13" t="str">
            <v>Chorizo</v>
          </cell>
          <cell r="I13">
            <v>16000</v>
          </cell>
          <cell r="J13">
            <v>0</v>
          </cell>
          <cell r="K13">
            <v>16000</v>
          </cell>
        </row>
        <row r="14">
          <cell r="A14">
            <v>46076</v>
          </cell>
          <cell r="B14">
            <v>0.7519675925925926</v>
          </cell>
          <cell r="D14" t="str">
            <v>Chorizo</v>
          </cell>
          <cell r="I14">
            <v>16000</v>
          </cell>
          <cell r="J14">
            <v>0</v>
          </cell>
          <cell r="K14">
            <v>16000</v>
          </cell>
        </row>
        <row r="15">
          <cell r="A15">
            <v>46076</v>
          </cell>
          <cell r="B15">
            <v>0.7519675925925926</v>
          </cell>
          <cell r="D15" t="str">
            <v>Postobon</v>
          </cell>
          <cell r="I15">
            <v>3000</v>
          </cell>
          <cell r="J15">
            <v>0</v>
          </cell>
          <cell r="K15">
            <v>3000</v>
          </cell>
        </row>
        <row r="16">
          <cell r="A16">
            <v>46076</v>
          </cell>
          <cell r="B16">
            <v>0.78722222222222227</v>
          </cell>
          <cell r="D16" t="str">
            <v>Chorizo</v>
          </cell>
          <cell r="I16">
            <v>8000</v>
          </cell>
          <cell r="J16">
            <v>0</v>
          </cell>
          <cell r="K16">
            <v>8000</v>
          </cell>
        </row>
        <row r="17">
          <cell r="A17">
            <v>46076</v>
          </cell>
          <cell r="B17">
            <v>0.79547453703703708</v>
          </cell>
          <cell r="D17" t="str">
            <v>Chorizo</v>
          </cell>
          <cell r="I17">
            <v>16000</v>
          </cell>
          <cell r="J17">
            <v>0</v>
          </cell>
          <cell r="K17">
            <v>16000</v>
          </cell>
        </row>
        <row r="18">
          <cell r="A18">
            <v>46076</v>
          </cell>
          <cell r="B18">
            <v>0.79547453703703708</v>
          </cell>
          <cell r="D18" t="str">
            <v>Coca cola</v>
          </cell>
          <cell r="I18">
            <v>6000</v>
          </cell>
          <cell r="J18">
            <v>0</v>
          </cell>
          <cell r="K18">
            <v>6000</v>
          </cell>
        </row>
        <row r="19">
          <cell r="A19">
            <v>46076</v>
          </cell>
          <cell r="B19">
            <v>0.81828703703703709</v>
          </cell>
          <cell r="D19" t="str">
            <v>Chorizo</v>
          </cell>
          <cell r="I19">
            <v>24000</v>
          </cell>
          <cell r="J19">
            <v>0</v>
          </cell>
          <cell r="K19">
            <v>24000</v>
          </cell>
        </row>
        <row r="20">
          <cell r="A20">
            <v>46076</v>
          </cell>
          <cell r="B20">
            <v>0.84164351851851849</v>
          </cell>
          <cell r="D20" t="str">
            <v>Chorizo</v>
          </cell>
          <cell r="I20">
            <v>8000</v>
          </cell>
          <cell r="J20">
            <v>0</v>
          </cell>
          <cell r="K20">
            <v>8000</v>
          </cell>
        </row>
        <row r="21">
          <cell r="A21">
            <v>46076</v>
          </cell>
          <cell r="B21">
            <v>0.84385416666666668</v>
          </cell>
          <cell r="D21" t="str">
            <v>Chorizo</v>
          </cell>
          <cell r="I21">
            <v>8000</v>
          </cell>
          <cell r="J21">
            <v>0</v>
          </cell>
          <cell r="K21">
            <v>8000</v>
          </cell>
        </row>
        <row r="22">
          <cell r="A22">
            <v>46076</v>
          </cell>
          <cell r="B22">
            <v>0.84565972222222219</v>
          </cell>
          <cell r="D22" t="str">
            <v>Chorizo</v>
          </cell>
          <cell r="I22">
            <v>8000</v>
          </cell>
          <cell r="J22">
            <v>0</v>
          </cell>
          <cell r="K22">
            <v>8000</v>
          </cell>
        </row>
        <row r="23">
          <cell r="A23">
            <v>46076</v>
          </cell>
          <cell r="B23">
            <v>0.84565972222222219</v>
          </cell>
          <cell r="D23" t="str">
            <v>Postobon</v>
          </cell>
          <cell r="I23">
            <v>3000</v>
          </cell>
          <cell r="J23">
            <v>0</v>
          </cell>
          <cell r="K23">
            <v>3000</v>
          </cell>
        </row>
        <row r="24">
          <cell r="A24">
            <v>46076</v>
          </cell>
          <cell r="B24">
            <v>0.85024305555555557</v>
          </cell>
          <cell r="D24" t="str">
            <v>Chorizo</v>
          </cell>
          <cell r="I24">
            <v>24000</v>
          </cell>
          <cell r="J24">
            <v>0</v>
          </cell>
          <cell r="K24">
            <v>24000</v>
          </cell>
        </row>
        <row r="25">
          <cell r="A25">
            <v>46076</v>
          </cell>
          <cell r="B25">
            <v>0.85265046296296299</v>
          </cell>
          <cell r="D25" t="str">
            <v>Chorizo</v>
          </cell>
          <cell r="I25">
            <v>8000</v>
          </cell>
          <cell r="J25">
            <v>0</v>
          </cell>
          <cell r="K25">
            <v>8000</v>
          </cell>
        </row>
        <row r="26">
          <cell r="A26">
            <v>46077</v>
          </cell>
          <cell r="B26">
            <v>0.64868055555555559</v>
          </cell>
          <cell r="D26" t="str">
            <v>Chorizo</v>
          </cell>
          <cell r="I26">
            <v>40000</v>
          </cell>
          <cell r="J26">
            <v>0</v>
          </cell>
          <cell r="K26">
            <v>40000</v>
          </cell>
        </row>
        <row r="27">
          <cell r="A27">
            <v>46077</v>
          </cell>
          <cell r="B27">
            <v>0.64935185185185185</v>
          </cell>
          <cell r="D27" t="str">
            <v>Chorizo</v>
          </cell>
          <cell r="I27">
            <v>24000</v>
          </cell>
          <cell r="J27">
            <v>0</v>
          </cell>
          <cell r="K27">
            <v>24000</v>
          </cell>
        </row>
        <row r="28">
          <cell r="A28">
            <v>46077</v>
          </cell>
          <cell r="B28">
            <v>0.74003472222222222</v>
          </cell>
          <cell r="D28" t="str">
            <v>Chorizo</v>
          </cell>
          <cell r="I28">
            <v>8000</v>
          </cell>
          <cell r="J28">
            <v>0</v>
          </cell>
          <cell r="K28">
            <v>8000</v>
          </cell>
        </row>
        <row r="29">
          <cell r="A29">
            <v>46077</v>
          </cell>
          <cell r="B29">
            <v>0.75960648148148147</v>
          </cell>
          <cell r="D29" t="str">
            <v>Chorizo</v>
          </cell>
          <cell r="I29">
            <v>8000</v>
          </cell>
          <cell r="J29">
            <v>0</v>
          </cell>
          <cell r="K29">
            <v>8000</v>
          </cell>
        </row>
        <row r="30">
          <cell r="A30">
            <v>46077</v>
          </cell>
          <cell r="B30">
            <v>0.77417824074074071</v>
          </cell>
          <cell r="D30" t="str">
            <v>Chorizo</v>
          </cell>
          <cell r="I30">
            <v>16000</v>
          </cell>
          <cell r="J30">
            <v>0</v>
          </cell>
          <cell r="K30">
            <v>16000</v>
          </cell>
        </row>
        <row r="31">
          <cell r="A31">
            <v>46077</v>
          </cell>
          <cell r="B31">
            <v>0.7751851851851852</v>
          </cell>
          <cell r="D31" t="str">
            <v>Chorizo</v>
          </cell>
          <cell r="I31">
            <v>8000</v>
          </cell>
          <cell r="J31">
            <v>0</v>
          </cell>
          <cell r="K31">
            <v>8000</v>
          </cell>
        </row>
        <row r="32">
          <cell r="A32">
            <v>46077</v>
          </cell>
          <cell r="B32">
            <v>0.77952546296296299</v>
          </cell>
          <cell r="D32" t="str">
            <v>Chori- CRUDO</v>
          </cell>
          <cell r="I32">
            <v>9000</v>
          </cell>
          <cell r="J32">
            <v>0</v>
          </cell>
          <cell r="K32">
            <v>9000</v>
          </cell>
        </row>
        <row r="33">
          <cell r="A33">
            <v>46077</v>
          </cell>
          <cell r="B33">
            <v>0.77952546296296299</v>
          </cell>
          <cell r="D33" t="str">
            <v>Chorizo</v>
          </cell>
          <cell r="I33">
            <v>8000</v>
          </cell>
          <cell r="J33">
            <v>0</v>
          </cell>
          <cell r="K33">
            <v>8000</v>
          </cell>
        </row>
        <row r="34">
          <cell r="A34">
            <v>46077</v>
          </cell>
          <cell r="B34">
            <v>0.79715277777777782</v>
          </cell>
          <cell r="D34" t="str">
            <v>Chorizo</v>
          </cell>
          <cell r="I34">
            <v>8000</v>
          </cell>
          <cell r="J34">
            <v>0</v>
          </cell>
          <cell r="K34">
            <v>8000</v>
          </cell>
        </row>
        <row r="35">
          <cell r="A35">
            <v>46077</v>
          </cell>
          <cell r="B35">
            <v>0.83438657407407413</v>
          </cell>
          <cell r="D35" t="str">
            <v>Chorizo</v>
          </cell>
          <cell r="I35">
            <v>0</v>
          </cell>
          <cell r="J35">
            <v>8000</v>
          </cell>
          <cell r="K35">
            <v>8000</v>
          </cell>
        </row>
        <row r="36">
          <cell r="A36">
            <v>46077</v>
          </cell>
          <cell r="B36">
            <v>0.83687500000000004</v>
          </cell>
          <cell r="D36" t="str">
            <v>Chorizo</v>
          </cell>
          <cell r="I36">
            <v>8000</v>
          </cell>
          <cell r="J36">
            <v>0</v>
          </cell>
          <cell r="K36">
            <v>8000</v>
          </cell>
        </row>
        <row r="37">
          <cell r="A37">
            <v>46077</v>
          </cell>
          <cell r="B37">
            <v>0.84701388888888884</v>
          </cell>
          <cell r="D37" t="str">
            <v>Agua</v>
          </cell>
          <cell r="I37">
            <v>3000</v>
          </cell>
          <cell r="J37">
            <v>0</v>
          </cell>
          <cell r="K37">
            <v>3000</v>
          </cell>
        </row>
        <row r="38">
          <cell r="A38">
            <v>46077</v>
          </cell>
          <cell r="B38">
            <v>0.84701388888888884</v>
          </cell>
          <cell r="D38" t="str">
            <v>Chorizo</v>
          </cell>
          <cell r="I38">
            <v>24000</v>
          </cell>
          <cell r="J38">
            <v>0</v>
          </cell>
          <cell r="K38">
            <v>24000</v>
          </cell>
        </row>
        <row r="39">
          <cell r="A39">
            <v>46077</v>
          </cell>
          <cell r="B39">
            <v>0.84701388888888884</v>
          </cell>
          <cell r="D39" t="str">
            <v>Postobon</v>
          </cell>
          <cell r="I39">
            <v>3000</v>
          </cell>
          <cell r="J39">
            <v>0</v>
          </cell>
          <cell r="K39">
            <v>3000</v>
          </cell>
        </row>
        <row r="40">
          <cell r="A40">
            <v>46077</v>
          </cell>
          <cell r="B40">
            <v>0.84987268518518522</v>
          </cell>
          <cell r="D40" t="str">
            <v>Chorizo</v>
          </cell>
          <cell r="I40">
            <v>32000</v>
          </cell>
          <cell r="J40">
            <v>0</v>
          </cell>
          <cell r="K40">
            <v>32000</v>
          </cell>
        </row>
        <row r="41">
          <cell r="A41">
            <v>46077</v>
          </cell>
          <cell r="B41">
            <v>0.84987268518518522</v>
          </cell>
          <cell r="D41" t="str">
            <v>Coca cola</v>
          </cell>
          <cell r="I41">
            <v>6000</v>
          </cell>
          <cell r="J41">
            <v>0</v>
          </cell>
          <cell r="K41">
            <v>6000</v>
          </cell>
        </row>
        <row r="42">
          <cell r="A42">
            <v>46077</v>
          </cell>
          <cell r="B42">
            <v>0.86760416666666662</v>
          </cell>
          <cell r="D42" t="str">
            <v>Chorizo</v>
          </cell>
          <cell r="I42">
            <v>8000</v>
          </cell>
          <cell r="J42">
            <v>0</v>
          </cell>
          <cell r="K42">
            <v>8000</v>
          </cell>
        </row>
        <row r="43">
          <cell r="A43">
            <v>46078</v>
          </cell>
          <cell r="B43">
            <v>0.57804398148148151</v>
          </cell>
          <cell r="D43" t="str">
            <v>Chorizo</v>
          </cell>
          <cell r="I43">
            <v>8000</v>
          </cell>
          <cell r="J43">
            <v>0</v>
          </cell>
          <cell r="K43">
            <v>8000</v>
          </cell>
        </row>
        <row r="44">
          <cell r="A44">
            <v>46078</v>
          </cell>
          <cell r="B44">
            <v>0.57990740740740743</v>
          </cell>
          <cell r="D44" t="str">
            <v>Chorizo</v>
          </cell>
          <cell r="I44">
            <v>8000</v>
          </cell>
          <cell r="J44">
            <v>0</v>
          </cell>
          <cell r="K44">
            <v>8000</v>
          </cell>
        </row>
        <row r="45">
          <cell r="A45">
            <v>46078</v>
          </cell>
          <cell r="B45">
            <v>0.58693287037037034</v>
          </cell>
          <cell r="D45" t="str">
            <v>Chorizo</v>
          </cell>
          <cell r="I45">
            <v>8000</v>
          </cell>
          <cell r="J45">
            <v>0</v>
          </cell>
          <cell r="K45">
            <v>8000</v>
          </cell>
        </row>
        <row r="46">
          <cell r="A46">
            <v>46078</v>
          </cell>
          <cell r="B46">
            <v>0.59138888888888885</v>
          </cell>
          <cell r="D46" t="str">
            <v>parri tres carnes</v>
          </cell>
          <cell r="I46">
            <v>35000</v>
          </cell>
          <cell r="J46">
            <v>0</v>
          </cell>
          <cell r="K46">
            <v>35000</v>
          </cell>
        </row>
        <row r="47">
          <cell r="A47">
            <v>46078</v>
          </cell>
          <cell r="B47">
            <v>0.60063657407407411</v>
          </cell>
          <cell r="D47" t="str">
            <v>parri tres carnes</v>
          </cell>
          <cell r="I47">
            <v>35000</v>
          </cell>
          <cell r="J47">
            <v>0</v>
          </cell>
          <cell r="K47">
            <v>35000</v>
          </cell>
        </row>
        <row r="48">
          <cell r="A48">
            <v>46078</v>
          </cell>
          <cell r="B48">
            <v>0.6012615740740741</v>
          </cell>
          <cell r="D48" t="str">
            <v>Chorizo</v>
          </cell>
          <cell r="I48">
            <v>16000</v>
          </cell>
          <cell r="J48">
            <v>0</v>
          </cell>
          <cell r="K48">
            <v>16000</v>
          </cell>
        </row>
        <row r="49">
          <cell r="A49">
            <v>46078</v>
          </cell>
          <cell r="B49">
            <v>0.69451388888888888</v>
          </cell>
          <cell r="D49" t="str">
            <v>Chorizo</v>
          </cell>
          <cell r="I49">
            <v>8000</v>
          </cell>
          <cell r="J49">
            <v>0</v>
          </cell>
          <cell r="K49">
            <v>8000</v>
          </cell>
        </row>
        <row r="50">
          <cell r="A50">
            <v>46078</v>
          </cell>
          <cell r="B50">
            <v>0.69530092592592596</v>
          </cell>
          <cell r="D50" t="str">
            <v>Chorizo</v>
          </cell>
          <cell r="I50">
            <v>0</v>
          </cell>
          <cell r="J50">
            <v>8000</v>
          </cell>
          <cell r="K50">
            <v>8000</v>
          </cell>
        </row>
        <row r="51">
          <cell r="A51">
            <v>46078</v>
          </cell>
          <cell r="B51">
            <v>0.76214120370370375</v>
          </cell>
          <cell r="D51" t="str">
            <v>Chorizo</v>
          </cell>
          <cell r="I51">
            <v>8000</v>
          </cell>
          <cell r="J51">
            <v>0</v>
          </cell>
          <cell r="K51">
            <v>8000</v>
          </cell>
        </row>
        <row r="52">
          <cell r="A52">
            <v>46078</v>
          </cell>
          <cell r="B52">
            <v>0.76402777777777775</v>
          </cell>
          <cell r="D52" t="str">
            <v>Chorizo</v>
          </cell>
          <cell r="I52">
            <v>8000</v>
          </cell>
          <cell r="J52">
            <v>0</v>
          </cell>
          <cell r="K52">
            <v>8000</v>
          </cell>
        </row>
        <row r="53">
          <cell r="A53">
            <v>46078</v>
          </cell>
          <cell r="B53">
            <v>0.76837962962962958</v>
          </cell>
          <cell r="D53" t="str">
            <v>Chorizo</v>
          </cell>
          <cell r="I53">
            <v>8000</v>
          </cell>
          <cell r="J53">
            <v>0</v>
          </cell>
          <cell r="K53">
            <v>8000</v>
          </cell>
        </row>
        <row r="54">
          <cell r="A54">
            <v>46078</v>
          </cell>
          <cell r="B54">
            <v>0.77375000000000005</v>
          </cell>
          <cell r="D54" t="str">
            <v>Chorizo</v>
          </cell>
          <cell r="I54">
            <v>40000</v>
          </cell>
          <cell r="J54">
            <v>0</v>
          </cell>
          <cell r="K54">
            <v>40000</v>
          </cell>
        </row>
        <row r="55">
          <cell r="A55">
            <v>46078</v>
          </cell>
          <cell r="B55">
            <v>0.77424768518518516</v>
          </cell>
          <cell r="D55" t="str">
            <v>Coca cola</v>
          </cell>
          <cell r="I55">
            <v>6000</v>
          </cell>
          <cell r="J55">
            <v>0</v>
          </cell>
          <cell r="K55">
            <v>6000</v>
          </cell>
        </row>
        <row r="56">
          <cell r="A56">
            <v>46078</v>
          </cell>
          <cell r="B56">
            <v>0.77424768518518516</v>
          </cell>
          <cell r="D56" t="str">
            <v>Postobon</v>
          </cell>
          <cell r="I56">
            <v>3000</v>
          </cell>
          <cell r="J56">
            <v>0</v>
          </cell>
          <cell r="K56">
            <v>3000</v>
          </cell>
        </row>
        <row r="57">
          <cell r="A57">
            <v>46078</v>
          </cell>
          <cell r="B57">
            <v>0.77776620370370375</v>
          </cell>
          <cell r="D57" t="str">
            <v>Chorizo</v>
          </cell>
          <cell r="I57">
            <v>24000</v>
          </cell>
          <cell r="J57">
            <v>0</v>
          </cell>
          <cell r="K57">
            <v>24000</v>
          </cell>
        </row>
        <row r="58">
          <cell r="A58">
            <v>46078</v>
          </cell>
          <cell r="B58">
            <v>0.79901620370370374</v>
          </cell>
          <cell r="D58" t="str">
            <v>Chorizo</v>
          </cell>
          <cell r="I58">
            <v>0</v>
          </cell>
          <cell r="J58">
            <v>8000</v>
          </cell>
          <cell r="K58">
            <v>8000</v>
          </cell>
        </row>
        <row r="59">
          <cell r="A59">
            <v>46078</v>
          </cell>
          <cell r="B59">
            <v>0.80049768518518516</v>
          </cell>
          <cell r="D59" t="str">
            <v>Chorizo</v>
          </cell>
          <cell r="I59">
            <v>8000</v>
          </cell>
          <cell r="J59">
            <v>0</v>
          </cell>
          <cell r="K59">
            <v>8000</v>
          </cell>
        </row>
        <row r="60">
          <cell r="A60">
            <v>46078</v>
          </cell>
          <cell r="B60">
            <v>0.80049768518518516</v>
          </cell>
          <cell r="D60" t="str">
            <v>Coca cola</v>
          </cell>
          <cell r="I60">
            <v>3000</v>
          </cell>
          <cell r="J60">
            <v>0</v>
          </cell>
          <cell r="K60">
            <v>3000</v>
          </cell>
        </row>
        <row r="61">
          <cell r="A61">
            <v>46078</v>
          </cell>
          <cell r="B61">
            <v>0.80687500000000001</v>
          </cell>
          <cell r="D61" t="str">
            <v>Chori- CRUDO</v>
          </cell>
          <cell r="I61">
            <v>0</v>
          </cell>
          <cell r="J61">
            <v>22500</v>
          </cell>
          <cell r="K61">
            <v>22500</v>
          </cell>
        </row>
        <row r="62">
          <cell r="A62">
            <v>46078</v>
          </cell>
          <cell r="B62">
            <v>0.8189467592592593</v>
          </cell>
          <cell r="D62" t="str">
            <v>parri tres carnes</v>
          </cell>
          <cell r="I62">
            <v>35000</v>
          </cell>
          <cell r="J62">
            <v>0</v>
          </cell>
          <cell r="K62">
            <v>35000</v>
          </cell>
        </row>
        <row r="63">
          <cell r="A63">
            <v>46078</v>
          </cell>
          <cell r="B63">
            <v>0.8189467592592593</v>
          </cell>
          <cell r="D63" t="str">
            <v>Postobon</v>
          </cell>
          <cell r="I63">
            <v>3000</v>
          </cell>
          <cell r="J63">
            <v>0</v>
          </cell>
          <cell r="K63">
            <v>3000</v>
          </cell>
        </row>
        <row r="64">
          <cell r="A64">
            <v>46078</v>
          </cell>
          <cell r="B64">
            <v>0.8197916666666667</v>
          </cell>
          <cell r="D64" t="str">
            <v>Chorizo</v>
          </cell>
          <cell r="I64">
            <v>16000</v>
          </cell>
          <cell r="J64">
            <v>0</v>
          </cell>
          <cell r="K64">
            <v>16000</v>
          </cell>
        </row>
        <row r="65">
          <cell r="A65">
            <v>46078</v>
          </cell>
          <cell r="B65">
            <v>0.83253472222222225</v>
          </cell>
          <cell r="D65" t="str">
            <v>Chorizo</v>
          </cell>
          <cell r="I65">
            <v>16000</v>
          </cell>
          <cell r="J65">
            <v>0</v>
          </cell>
          <cell r="K65">
            <v>16000</v>
          </cell>
        </row>
        <row r="66">
          <cell r="A66">
            <v>46078</v>
          </cell>
          <cell r="B66">
            <v>0.83809027777777778</v>
          </cell>
          <cell r="D66" t="str">
            <v>Chorizo</v>
          </cell>
          <cell r="I66">
            <v>32000</v>
          </cell>
          <cell r="J66">
            <v>0</v>
          </cell>
          <cell r="K66">
            <v>32000</v>
          </cell>
        </row>
        <row r="67">
          <cell r="A67">
            <v>46078</v>
          </cell>
          <cell r="B67">
            <v>0.84167824074074071</v>
          </cell>
          <cell r="D67" t="str">
            <v>Chorizo</v>
          </cell>
          <cell r="I67">
            <v>0</v>
          </cell>
          <cell r="J67">
            <v>8000</v>
          </cell>
          <cell r="K67">
            <v>8000</v>
          </cell>
        </row>
        <row r="68">
          <cell r="A68">
            <v>46078</v>
          </cell>
          <cell r="B68">
            <v>0.84804398148148152</v>
          </cell>
          <cell r="D68" t="str">
            <v>Chorizo</v>
          </cell>
          <cell r="I68">
            <v>16000</v>
          </cell>
          <cell r="J68">
            <v>0</v>
          </cell>
          <cell r="K68">
            <v>16000</v>
          </cell>
        </row>
        <row r="69">
          <cell r="A69">
            <v>46079</v>
          </cell>
          <cell r="B69">
            <v>0.55702546296296296</v>
          </cell>
          <cell r="D69" t="str">
            <v>Chori- CRUDO</v>
          </cell>
          <cell r="I69">
            <v>9000</v>
          </cell>
          <cell r="J69">
            <v>0</v>
          </cell>
          <cell r="K69">
            <v>9000</v>
          </cell>
        </row>
        <row r="70">
          <cell r="A70">
            <v>46079</v>
          </cell>
          <cell r="B70">
            <v>0.56067129629629631</v>
          </cell>
          <cell r="D70" t="str">
            <v>Chorizo</v>
          </cell>
          <cell r="I70">
            <v>16000</v>
          </cell>
          <cell r="J70">
            <v>0</v>
          </cell>
          <cell r="K70">
            <v>16000</v>
          </cell>
        </row>
        <row r="71">
          <cell r="A71">
            <v>46079</v>
          </cell>
          <cell r="B71">
            <v>0.63410879629629635</v>
          </cell>
          <cell r="D71" t="str">
            <v>carne + chorizo</v>
          </cell>
          <cell r="I71">
            <v>0</v>
          </cell>
          <cell r="J71">
            <v>25000</v>
          </cell>
          <cell r="K71">
            <v>25000</v>
          </cell>
        </row>
        <row r="72">
          <cell r="A72">
            <v>46079</v>
          </cell>
          <cell r="B72">
            <v>0.72755787037037034</v>
          </cell>
          <cell r="D72" t="str">
            <v>Chorizo</v>
          </cell>
          <cell r="I72">
            <v>0</v>
          </cell>
          <cell r="J72">
            <v>40000</v>
          </cell>
          <cell r="K72">
            <v>40000</v>
          </cell>
        </row>
        <row r="73">
          <cell r="A73">
            <v>46079</v>
          </cell>
          <cell r="B73">
            <v>0.72755787037037034</v>
          </cell>
          <cell r="D73" t="str">
            <v>Postobon</v>
          </cell>
          <cell r="I73">
            <v>0</v>
          </cell>
          <cell r="J73">
            <v>9000</v>
          </cell>
          <cell r="K73">
            <v>9000</v>
          </cell>
        </row>
        <row r="74">
          <cell r="A74">
            <v>46079</v>
          </cell>
          <cell r="B74">
            <v>0.75289351851851849</v>
          </cell>
          <cell r="D74" t="str">
            <v>Chorizo</v>
          </cell>
          <cell r="I74">
            <v>8000</v>
          </cell>
          <cell r="J74">
            <v>0</v>
          </cell>
          <cell r="K74">
            <v>8000</v>
          </cell>
        </row>
        <row r="75">
          <cell r="A75">
            <v>46079</v>
          </cell>
          <cell r="B75">
            <v>0.7630555555555556</v>
          </cell>
          <cell r="D75" t="str">
            <v>Chorizo</v>
          </cell>
          <cell r="I75">
            <v>0</v>
          </cell>
          <cell r="J75">
            <v>8000</v>
          </cell>
          <cell r="K75">
            <v>8000</v>
          </cell>
        </row>
        <row r="76">
          <cell r="A76">
            <v>46079</v>
          </cell>
          <cell r="B76">
            <v>0.76405092592592594</v>
          </cell>
          <cell r="D76" t="str">
            <v>Chorizo</v>
          </cell>
          <cell r="I76">
            <v>8000</v>
          </cell>
          <cell r="J76">
            <v>0</v>
          </cell>
          <cell r="K76">
            <v>8000</v>
          </cell>
        </row>
        <row r="77">
          <cell r="A77">
            <v>46079</v>
          </cell>
          <cell r="B77">
            <v>0.77359953703703699</v>
          </cell>
          <cell r="D77" t="str">
            <v>Chorizo</v>
          </cell>
          <cell r="I77">
            <v>0</v>
          </cell>
          <cell r="J77">
            <v>8000</v>
          </cell>
          <cell r="K77">
            <v>8000</v>
          </cell>
        </row>
        <row r="78">
          <cell r="A78">
            <v>46079</v>
          </cell>
          <cell r="B78">
            <v>0.79465277777777776</v>
          </cell>
          <cell r="D78" t="str">
            <v>Chorizo</v>
          </cell>
          <cell r="I78">
            <v>16000</v>
          </cell>
          <cell r="J78">
            <v>0</v>
          </cell>
          <cell r="K78">
            <v>16000</v>
          </cell>
        </row>
        <row r="79">
          <cell r="A79">
            <v>46079</v>
          </cell>
          <cell r="B79">
            <v>0.81241898148148151</v>
          </cell>
          <cell r="D79" t="str">
            <v>Chorizo</v>
          </cell>
          <cell r="I79">
            <v>0</v>
          </cell>
          <cell r="J79">
            <v>16000</v>
          </cell>
          <cell r="K79">
            <v>16000</v>
          </cell>
        </row>
        <row r="80">
          <cell r="A80">
            <v>46079</v>
          </cell>
          <cell r="B80">
            <v>0.81241898148148151</v>
          </cell>
          <cell r="D80" t="str">
            <v>Coca cola</v>
          </cell>
          <cell r="I80">
            <v>0</v>
          </cell>
          <cell r="J80">
            <v>3000</v>
          </cell>
          <cell r="K80">
            <v>3000</v>
          </cell>
        </row>
        <row r="81">
          <cell r="A81">
            <v>46079</v>
          </cell>
          <cell r="B81">
            <v>0.81355324074074076</v>
          </cell>
          <cell r="D81" t="str">
            <v>Chorizo</v>
          </cell>
          <cell r="I81">
            <v>8000</v>
          </cell>
          <cell r="J81">
            <v>0</v>
          </cell>
          <cell r="K81">
            <v>8000</v>
          </cell>
        </row>
        <row r="82">
          <cell r="A82">
            <v>46079</v>
          </cell>
          <cell r="B82">
            <v>0.81472222222222224</v>
          </cell>
          <cell r="D82" t="str">
            <v>Chorizo</v>
          </cell>
          <cell r="I82">
            <v>8000</v>
          </cell>
          <cell r="J82">
            <v>0</v>
          </cell>
          <cell r="K82">
            <v>8000</v>
          </cell>
        </row>
        <row r="83">
          <cell r="A83">
            <v>46079</v>
          </cell>
          <cell r="B83">
            <v>0.84375</v>
          </cell>
          <cell r="D83" t="str">
            <v>Chorizo</v>
          </cell>
          <cell r="I83">
            <v>8000</v>
          </cell>
          <cell r="J83">
            <v>0</v>
          </cell>
          <cell r="K83">
            <v>8000</v>
          </cell>
        </row>
        <row r="84">
          <cell r="A84">
            <v>46079</v>
          </cell>
          <cell r="B84">
            <v>0.84375</v>
          </cell>
          <cell r="D84" t="str">
            <v>Postobon</v>
          </cell>
          <cell r="I84">
            <v>3000</v>
          </cell>
          <cell r="J84">
            <v>0</v>
          </cell>
          <cell r="K84">
            <v>3000</v>
          </cell>
        </row>
        <row r="85">
          <cell r="A85">
            <v>46079</v>
          </cell>
          <cell r="B85">
            <v>0.84394675925925922</v>
          </cell>
          <cell r="D85" t="str">
            <v>Chorizo</v>
          </cell>
          <cell r="I85">
            <v>0</v>
          </cell>
          <cell r="J85">
            <v>8000</v>
          </cell>
          <cell r="K85">
            <v>8000</v>
          </cell>
        </row>
        <row r="86">
          <cell r="A86">
            <v>46079</v>
          </cell>
          <cell r="B86">
            <v>0.84410879629629632</v>
          </cell>
          <cell r="D86" t="str">
            <v>Chorizo</v>
          </cell>
          <cell r="I86">
            <v>0</v>
          </cell>
          <cell r="J86">
            <v>8000</v>
          </cell>
          <cell r="K86">
            <v>8000</v>
          </cell>
        </row>
        <row r="87">
          <cell r="A87">
            <v>46080</v>
          </cell>
          <cell r="B87">
            <v>0.63017361111111114</v>
          </cell>
          <cell r="D87" t="str">
            <v>Chorizo</v>
          </cell>
          <cell r="I87">
            <v>0</v>
          </cell>
          <cell r="J87">
            <v>8000</v>
          </cell>
          <cell r="K87">
            <v>8000</v>
          </cell>
        </row>
        <row r="88">
          <cell r="A88">
            <v>46080</v>
          </cell>
          <cell r="B88">
            <v>0.63017361111111114</v>
          </cell>
          <cell r="D88" t="str">
            <v>Postobon</v>
          </cell>
          <cell r="I88">
            <v>0</v>
          </cell>
          <cell r="J88">
            <v>3000</v>
          </cell>
          <cell r="K88">
            <v>3000</v>
          </cell>
        </row>
        <row r="89">
          <cell r="A89">
            <v>46080</v>
          </cell>
          <cell r="B89">
            <v>0.63124999999999998</v>
          </cell>
          <cell r="D89" t="str">
            <v>Chorizo</v>
          </cell>
          <cell r="I89">
            <v>8000</v>
          </cell>
          <cell r="J89">
            <v>0</v>
          </cell>
          <cell r="K89">
            <v>8000</v>
          </cell>
        </row>
        <row r="90">
          <cell r="A90">
            <v>46080</v>
          </cell>
          <cell r="B90">
            <v>0.71579861111111109</v>
          </cell>
          <cell r="D90" t="str">
            <v>Chorizo</v>
          </cell>
          <cell r="I90">
            <v>8000</v>
          </cell>
          <cell r="J90">
            <v>0</v>
          </cell>
          <cell r="K90">
            <v>8000</v>
          </cell>
        </row>
        <row r="91">
          <cell r="A91">
            <v>46080</v>
          </cell>
          <cell r="B91">
            <v>0.71579861111111109</v>
          </cell>
          <cell r="D91" t="str">
            <v>parri tres carnes</v>
          </cell>
          <cell r="I91">
            <v>35000</v>
          </cell>
          <cell r="J91">
            <v>0</v>
          </cell>
          <cell r="K91">
            <v>35000</v>
          </cell>
        </row>
        <row r="92">
          <cell r="A92">
            <v>46080</v>
          </cell>
          <cell r="B92">
            <v>0.71579861111111109</v>
          </cell>
          <cell r="D92" t="str">
            <v>tinto</v>
          </cell>
          <cell r="I92">
            <v>2000</v>
          </cell>
          <cell r="J92">
            <v>0</v>
          </cell>
          <cell r="K92">
            <v>2000</v>
          </cell>
        </row>
        <row r="93">
          <cell r="A93">
            <v>46080</v>
          </cell>
          <cell r="B93">
            <v>0.72542824074074075</v>
          </cell>
          <cell r="D93" t="str">
            <v>Chorizo</v>
          </cell>
          <cell r="I93">
            <v>24000</v>
          </cell>
          <cell r="J93">
            <v>0</v>
          </cell>
          <cell r="K93">
            <v>24000</v>
          </cell>
        </row>
        <row r="94">
          <cell r="A94">
            <v>46080</v>
          </cell>
          <cell r="B94">
            <v>0.72542824074074075</v>
          </cell>
          <cell r="D94" t="str">
            <v>Coca cola</v>
          </cell>
          <cell r="I94">
            <v>6000</v>
          </cell>
          <cell r="J94">
            <v>0</v>
          </cell>
          <cell r="K94">
            <v>6000</v>
          </cell>
        </row>
        <row r="95">
          <cell r="A95">
            <v>46080</v>
          </cell>
          <cell r="B95">
            <v>0.72542824074074075</v>
          </cell>
          <cell r="D95" t="str">
            <v>parri tres carnes</v>
          </cell>
          <cell r="I95">
            <v>35000</v>
          </cell>
          <cell r="J95">
            <v>0</v>
          </cell>
          <cell r="K95">
            <v>35000</v>
          </cell>
        </row>
        <row r="96">
          <cell r="A96">
            <v>46080</v>
          </cell>
          <cell r="B96">
            <v>0.74226851851851849</v>
          </cell>
          <cell r="D96" t="str">
            <v>Chorizo</v>
          </cell>
          <cell r="I96">
            <v>16000</v>
          </cell>
          <cell r="J96">
            <v>0</v>
          </cell>
          <cell r="K96">
            <v>16000</v>
          </cell>
        </row>
        <row r="97">
          <cell r="A97">
            <v>46080</v>
          </cell>
          <cell r="B97">
            <v>0.74226851851851849</v>
          </cell>
          <cell r="D97" t="str">
            <v>Coca cola</v>
          </cell>
          <cell r="I97">
            <v>3000</v>
          </cell>
          <cell r="J97">
            <v>0</v>
          </cell>
          <cell r="K97">
            <v>3000</v>
          </cell>
        </row>
        <row r="98">
          <cell r="A98">
            <v>46080</v>
          </cell>
          <cell r="B98">
            <v>0.76141203703703708</v>
          </cell>
          <cell r="D98" t="str">
            <v>Chorizo</v>
          </cell>
          <cell r="I98">
            <v>0</v>
          </cell>
          <cell r="J98">
            <v>24000</v>
          </cell>
          <cell r="K98">
            <v>24000</v>
          </cell>
        </row>
        <row r="99">
          <cell r="A99">
            <v>46080</v>
          </cell>
          <cell r="B99">
            <v>0.82401620370370365</v>
          </cell>
          <cell r="D99" t="str">
            <v>Agua</v>
          </cell>
          <cell r="I99">
            <v>0</v>
          </cell>
          <cell r="J99">
            <v>3000</v>
          </cell>
          <cell r="K99">
            <v>3000</v>
          </cell>
        </row>
        <row r="100">
          <cell r="A100">
            <v>46080</v>
          </cell>
          <cell r="B100">
            <v>0.82401620370370365</v>
          </cell>
          <cell r="D100" t="str">
            <v>Chorizo</v>
          </cell>
          <cell r="I100">
            <v>0</v>
          </cell>
          <cell r="J100">
            <v>8000</v>
          </cell>
          <cell r="K100">
            <v>8000</v>
          </cell>
        </row>
        <row r="101">
          <cell r="A101">
            <v>46080</v>
          </cell>
          <cell r="B101">
            <v>0.83636574074074077</v>
          </cell>
          <cell r="D101" t="str">
            <v>Chorizo</v>
          </cell>
          <cell r="I101">
            <v>0</v>
          </cell>
          <cell r="J101">
            <v>16000</v>
          </cell>
          <cell r="K101">
            <v>16000</v>
          </cell>
        </row>
        <row r="102">
          <cell r="A102">
            <v>46080</v>
          </cell>
          <cell r="B102">
            <v>0.83721064814814816</v>
          </cell>
          <cell r="D102" t="str">
            <v>Chorizo</v>
          </cell>
          <cell r="I102">
            <v>32000</v>
          </cell>
          <cell r="J102">
            <v>0</v>
          </cell>
          <cell r="K102">
            <v>32000</v>
          </cell>
        </row>
        <row r="103">
          <cell r="A103">
            <v>46080</v>
          </cell>
          <cell r="B103">
            <v>0.83721064814814816</v>
          </cell>
          <cell r="D103" t="str">
            <v>Coca cola</v>
          </cell>
          <cell r="I103">
            <v>9000</v>
          </cell>
          <cell r="J103">
            <v>0</v>
          </cell>
          <cell r="K103">
            <v>9000</v>
          </cell>
        </row>
        <row r="104">
          <cell r="A104">
            <v>46080</v>
          </cell>
          <cell r="B104">
            <v>0.83902777777777782</v>
          </cell>
          <cell r="D104" t="str">
            <v>Chorizo</v>
          </cell>
          <cell r="I104">
            <v>8000</v>
          </cell>
          <cell r="J104">
            <v>0</v>
          </cell>
          <cell r="K104">
            <v>8000</v>
          </cell>
        </row>
        <row r="105">
          <cell r="A105">
            <v>46081</v>
          </cell>
          <cell r="B105">
            <v>0.78979166666666667</v>
          </cell>
          <cell r="D105" t="str">
            <v>Chori- CRUDO</v>
          </cell>
          <cell r="I105">
            <v>27000</v>
          </cell>
          <cell r="J105">
            <v>0</v>
          </cell>
          <cell r="K105">
            <v>27000</v>
          </cell>
        </row>
        <row r="106">
          <cell r="A106">
            <v>46081</v>
          </cell>
          <cell r="B106">
            <v>0.79023148148148148</v>
          </cell>
          <cell r="D106" t="str">
            <v>Chorizo</v>
          </cell>
          <cell r="I106">
            <v>0</v>
          </cell>
          <cell r="J106">
            <v>16000</v>
          </cell>
          <cell r="K106">
            <v>16000</v>
          </cell>
        </row>
        <row r="107">
          <cell r="A107">
            <v>46081</v>
          </cell>
          <cell r="B107">
            <v>0.79096064814814815</v>
          </cell>
          <cell r="D107" t="str">
            <v>Agua</v>
          </cell>
          <cell r="I107">
            <v>0</v>
          </cell>
          <cell r="J107">
            <v>3000</v>
          </cell>
          <cell r="K107">
            <v>3000</v>
          </cell>
        </row>
        <row r="108">
          <cell r="A108">
            <v>46081</v>
          </cell>
          <cell r="B108">
            <v>0.79096064814814815</v>
          </cell>
          <cell r="D108" t="str">
            <v>Chorizo</v>
          </cell>
          <cell r="I108">
            <v>0</v>
          </cell>
          <cell r="J108">
            <v>8000</v>
          </cell>
          <cell r="K108">
            <v>8000</v>
          </cell>
        </row>
        <row r="109">
          <cell r="A109">
            <v>46081</v>
          </cell>
          <cell r="B109">
            <v>0.79096064814814815</v>
          </cell>
          <cell r="D109" t="str">
            <v>tinto</v>
          </cell>
          <cell r="I109">
            <v>0</v>
          </cell>
          <cell r="J109">
            <v>2000</v>
          </cell>
          <cell r="K109">
            <v>2000</v>
          </cell>
        </row>
        <row r="110">
          <cell r="A110">
            <v>46081</v>
          </cell>
          <cell r="B110">
            <v>0.79240740740740745</v>
          </cell>
          <cell r="D110" t="str">
            <v>Chorizo</v>
          </cell>
          <cell r="I110">
            <v>16000</v>
          </cell>
          <cell r="J110">
            <v>0</v>
          </cell>
          <cell r="K110">
            <v>16000</v>
          </cell>
        </row>
        <row r="111">
          <cell r="A111">
            <v>46081</v>
          </cell>
          <cell r="B111">
            <v>0.79240740740740745</v>
          </cell>
          <cell r="D111" t="str">
            <v>Coca cola</v>
          </cell>
          <cell r="I111">
            <v>3000</v>
          </cell>
          <cell r="J111">
            <v>0</v>
          </cell>
          <cell r="K111">
            <v>3000</v>
          </cell>
        </row>
        <row r="112">
          <cell r="A112">
            <v>46081</v>
          </cell>
          <cell r="B112">
            <v>0.79320601851851846</v>
          </cell>
          <cell r="D112" t="str">
            <v>Chorizo</v>
          </cell>
          <cell r="I112">
            <v>16000</v>
          </cell>
          <cell r="J112">
            <v>0</v>
          </cell>
          <cell r="K112">
            <v>16000</v>
          </cell>
        </row>
        <row r="113">
          <cell r="A113">
            <v>46081</v>
          </cell>
          <cell r="B113">
            <v>0.79320601851851846</v>
          </cell>
          <cell r="D113" t="str">
            <v>Coca cola</v>
          </cell>
          <cell r="I113">
            <v>3000</v>
          </cell>
          <cell r="J113">
            <v>0</v>
          </cell>
          <cell r="K113">
            <v>3000</v>
          </cell>
        </row>
        <row r="114">
          <cell r="A114">
            <v>46081</v>
          </cell>
          <cell r="B114">
            <v>0.79386574074074079</v>
          </cell>
          <cell r="D114" t="str">
            <v>Chorizo</v>
          </cell>
          <cell r="I114">
            <v>8000</v>
          </cell>
          <cell r="J114">
            <v>0</v>
          </cell>
          <cell r="K114">
            <v>8000</v>
          </cell>
        </row>
        <row r="115">
          <cell r="A115">
            <v>46081</v>
          </cell>
          <cell r="B115">
            <v>0.79386574074074079</v>
          </cell>
          <cell r="D115" t="str">
            <v>Coca cola</v>
          </cell>
          <cell r="I115">
            <v>3000</v>
          </cell>
          <cell r="J115">
            <v>0</v>
          </cell>
          <cell r="K115">
            <v>3000</v>
          </cell>
        </row>
        <row r="116">
          <cell r="A116">
            <v>46081</v>
          </cell>
          <cell r="B116">
            <v>0.79442129629629632</v>
          </cell>
          <cell r="D116" t="str">
            <v>Chorizo</v>
          </cell>
          <cell r="I116">
            <v>32000</v>
          </cell>
          <cell r="J116">
            <v>0</v>
          </cell>
          <cell r="K116">
            <v>32000</v>
          </cell>
        </row>
        <row r="117">
          <cell r="A117">
            <v>46081</v>
          </cell>
          <cell r="B117">
            <v>0.79442129629629632</v>
          </cell>
          <cell r="D117" t="str">
            <v>Coca cola</v>
          </cell>
          <cell r="I117">
            <v>6000</v>
          </cell>
          <cell r="J117">
            <v>0</v>
          </cell>
          <cell r="K117">
            <v>6000</v>
          </cell>
        </row>
        <row r="118">
          <cell r="A118">
            <v>46081</v>
          </cell>
          <cell r="B118">
            <v>0.79465277777777776</v>
          </cell>
          <cell r="D118" t="str">
            <v>Chorizo</v>
          </cell>
          <cell r="I118">
            <v>16000</v>
          </cell>
          <cell r="J118">
            <v>0</v>
          </cell>
          <cell r="K118">
            <v>16000</v>
          </cell>
        </row>
        <row r="119">
          <cell r="A119">
            <v>46081</v>
          </cell>
          <cell r="B119">
            <v>0.79509259259259257</v>
          </cell>
          <cell r="D119" t="str">
            <v>Chorizo</v>
          </cell>
          <cell r="I119">
            <v>24000</v>
          </cell>
          <cell r="J119">
            <v>0</v>
          </cell>
          <cell r="K119">
            <v>24000</v>
          </cell>
        </row>
        <row r="120">
          <cell r="A120">
            <v>46081</v>
          </cell>
          <cell r="B120">
            <v>0.79509259259259257</v>
          </cell>
          <cell r="D120" t="str">
            <v>Hit</v>
          </cell>
          <cell r="I120">
            <v>4500</v>
          </cell>
          <cell r="J120">
            <v>0</v>
          </cell>
          <cell r="K120">
            <v>4500</v>
          </cell>
        </row>
        <row r="121">
          <cell r="A121">
            <v>46081</v>
          </cell>
          <cell r="B121">
            <v>0.79549768518518515</v>
          </cell>
          <cell r="D121" t="str">
            <v>parri tres carnes</v>
          </cell>
          <cell r="I121">
            <v>35000</v>
          </cell>
          <cell r="J121">
            <v>0</v>
          </cell>
          <cell r="K121">
            <v>35000</v>
          </cell>
        </row>
        <row r="122">
          <cell r="A122">
            <v>46081</v>
          </cell>
          <cell r="B122">
            <v>0.79572916666666671</v>
          </cell>
          <cell r="D122" t="str">
            <v>parri tres carnes</v>
          </cell>
          <cell r="I122">
            <v>35000</v>
          </cell>
          <cell r="J122">
            <v>0</v>
          </cell>
          <cell r="K122">
            <v>35000</v>
          </cell>
        </row>
        <row r="123">
          <cell r="A123">
            <v>46081</v>
          </cell>
          <cell r="B123">
            <v>0.79718750000000005</v>
          </cell>
          <cell r="D123" t="str">
            <v>parri 48</v>
          </cell>
          <cell r="I123">
            <v>48000</v>
          </cell>
          <cell r="J123">
            <v>0</v>
          </cell>
          <cell r="K123">
            <v>48000</v>
          </cell>
        </row>
        <row r="124">
          <cell r="A124">
            <v>46081</v>
          </cell>
          <cell r="B124">
            <v>0.79751157407407403</v>
          </cell>
          <cell r="D124" t="str">
            <v>parri 70</v>
          </cell>
          <cell r="I124">
            <v>140000</v>
          </cell>
          <cell r="J124">
            <v>0</v>
          </cell>
          <cell r="K124">
            <v>140000</v>
          </cell>
        </row>
        <row r="125">
          <cell r="A125">
            <v>46081</v>
          </cell>
          <cell r="B125">
            <v>0.79766203703703709</v>
          </cell>
          <cell r="D125" t="str">
            <v>parri 40</v>
          </cell>
          <cell r="I125">
            <v>40000</v>
          </cell>
          <cell r="J125">
            <v>0</v>
          </cell>
          <cell r="K125">
            <v>40000</v>
          </cell>
        </row>
        <row r="126">
          <cell r="A126">
            <v>46081</v>
          </cell>
          <cell r="B126">
            <v>0.79902777777777778</v>
          </cell>
          <cell r="D126" t="str">
            <v>Chori- CRUDO</v>
          </cell>
          <cell r="I126">
            <v>0</v>
          </cell>
          <cell r="J126">
            <v>18000</v>
          </cell>
          <cell r="K126">
            <v>18000</v>
          </cell>
        </row>
        <row r="127">
          <cell r="A127">
            <v>46083</v>
          </cell>
          <cell r="B127">
            <v>0.5111458333333333</v>
          </cell>
          <cell r="D127" t="str">
            <v>Chorizo</v>
          </cell>
          <cell r="I127">
            <v>8000</v>
          </cell>
          <cell r="J127">
            <v>0</v>
          </cell>
          <cell r="K127">
            <v>8000</v>
          </cell>
        </row>
        <row r="128">
          <cell r="A128">
            <v>46083</v>
          </cell>
          <cell r="B128">
            <v>0.5111458333333333</v>
          </cell>
          <cell r="D128" t="str">
            <v>Coca cola</v>
          </cell>
          <cell r="I128">
            <v>3000</v>
          </cell>
          <cell r="J128">
            <v>0</v>
          </cell>
          <cell r="K128">
            <v>3000</v>
          </cell>
        </row>
        <row r="129">
          <cell r="A129">
            <v>46083</v>
          </cell>
          <cell r="B129">
            <v>0.72031250000000002</v>
          </cell>
          <cell r="D129" t="str">
            <v>Chorizo</v>
          </cell>
          <cell r="I129">
            <v>8000</v>
          </cell>
          <cell r="J129">
            <v>0</v>
          </cell>
          <cell r="K129">
            <v>8000</v>
          </cell>
        </row>
        <row r="130">
          <cell r="A130">
            <v>46083</v>
          </cell>
          <cell r="B130">
            <v>0.73594907407407406</v>
          </cell>
          <cell r="D130" t="str">
            <v>Chorizo</v>
          </cell>
          <cell r="I130">
            <v>8000</v>
          </cell>
          <cell r="J130">
            <v>0</v>
          </cell>
          <cell r="K130">
            <v>8000</v>
          </cell>
        </row>
        <row r="131">
          <cell r="A131">
            <v>46083</v>
          </cell>
          <cell r="B131">
            <v>0.82541666666666669</v>
          </cell>
          <cell r="D131" t="str">
            <v>Chorizo</v>
          </cell>
          <cell r="I131">
            <v>24000</v>
          </cell>
          <cell r="J131">
            <v>0</v>
          </cell>
          <cell r="K131">
            <v>24000</v>
          </cell>
        </row>
        <row r="132">
          <cell r="A132">
            <v>46083</v>
          </cell>
          <cell r="B132">
            <v>0.82541666666666669</v>
          </cell>
          <cell r="D132" t="str">
            <v>Coca cola</v>
          </cell>
          <cell r="I132">
            <v>3000</v>
          </cell>
          <cell r="J132">
            <v>0</v>
          </cell>
          <cell r="K132">
            <v>3000</v>
          </cell>
        </row>
        <row r="133">
          <cell r="A133">
            <v>46083</v>
          </cell>
          <cell r="B133">
            <v>0.82541666666666669</v>
          </cell>
          <cell r="D133" t="str">
            <v>Postobon</v>
          </cell>
          <cell r="I133">
            <v>6000</v>
          </cell>
          <cell r="J133">
            <v>0</v>
          </cell>
          <cell r="K133">
            <v>6000</v>
          </cell>
        </row>
        <row r="134">
          <cell r="A134">
            <v>46084</v>
          </cell>
          <cell r="B134">
            <v>0.4917361111111111</v>
          </cell>
          <cell r="D134" t="str">
            <v>Coca cola</v>
          </cell>
          <cell r="I134">
            <v>6000</v>
          </cell>
          <cell r="J134">
            <v>0</v>
          </cell>
          <cell r="K134">
            <v>6000</v>
          </cell>
        </row>
        <row r="135">
          <cell r="A135">
            <v>46084</v>
          </cell>
          <cell r="B135">
            <v>0.55184027777777778</v>
          </cell>
          <cell r="D135" t="str">
            <v>Chorizo</v>
          </cell>
          <cell r="I135">
            <v>8000</v>
          </cell>
          <cell r="J135">
            <v>0</v>
          </cell>
          <cell r="K135">
            <v>8000</v>
          </cell>
        </row>
        <row r="136">
          <cell r="A136">
            <v>46084</v>
          </cell>
          <cell r="B136">
            <v>0.61869212962962961</v>
          </cell>
          <cell r="D136" t="str">
            <v>Chorizo</v>
          </cell>
          <cell r="I136">
            <v>8000</v>
          </cell>
          <cell r="J136">
            <v>0</v>
          </cell>
          <cell r="K136">
            <v>8000</v>
          </cell>
        </row>
        <row r="137">
          <cell r="A137">
            <v>46084</v>
          </cell>
          <cell r="B137">
            <v>0.66587962962962965</v>
          </cell>
          <cell r="D137" t="str">
            <v>Chorizo</v>
          </cell>
          <cell r="I137">
            <v>8000</v>
          </cell>
          <cell r="J137">
            <v>0</v>
          </cell>
          <cell r="K137">
            <v>8000</v>
          </cell>
        </row>
        <row r="138">
          <cell r="A138">
            <v>46084</v>
          </cell>
          <cell r="B138">
            <v>0.66587962962962965</v>
          </cell>
          <cell r="D138" t="str">
            <v>Hit</v>
          </cell>
          <cell r="I138">
            <v>4500</v>
          </cell>
          <cell r="J138">
            <v>0</v>
          </cell>
          <cell r="K138">
            <v>4500</v>
          </cell>
        </row>
        <row r="139">
          <cell r="A139">
            <v>46084</v>
          </cell>
          <cell r="B139">
            <v>0.66723379629629631</v>
          </cell>
          <cell r="D139" t="str">
            <v>Chorizo</v>
          </cell>
          <cell r="I139">
            <v>8000</v>
          </cell>
          <cell r="J139">
            <v>0</v>
          </cell>
          <cell r="K139">
            <v>8000</v>
          </cell>
        </row>
        <row r="140">
          <cell r="A140">
            <v>46084</v>
          </cell>
          <cell r="B140">
            <v>0.70716435185185189</v>
          </cell>
          <cell r="D140" t="str">
            <v>Carne con chorizo -30</v>
          </cell>
          <cell r="I140">
            <v>0</v>
          </cell>
          <cell r="J140">
            <v>30000</v>
          </cell>
          <cell r="K140">
            <v>30000</v>
          </cell>
        </row>
        <row r="141">
          <cell r="A141">
            <v>46084</v>
          </cell>
          <cell r="B141">
            <v>0.70716435185185189</v>
          </cell>
          <cell r="D141" t="str">
            <v>Coca cola</v>
          </cell>
          <cell r="I141">
            <v>0</v>
          </cell>
          <cell r="J141">
            <v>3000</v>
          </cell>
          <cell r="K141">
            <v>3000</v>
          </cell>
        </row>
        <row r="142">
          <cell r="A142">
            <v>46084</v>
          </cell>
          <cell r="B142">
            <v>0.72910879629629632</v>
          </cell>
          <cell r="D142" t="str">
            <v>Chorizo</v>
          </cell>
          <cell r="I142">
            <v>8000</v>
          </cell>
          <cell r="J142">
            <v>0</v>
          </cell>
          <cell r="K142">
            <v>8000</v>
          </cell>
        </row>
        <row r="143">
          <cell r="A143">
            <v>46084</v>
          </cell>
          <cell r="B143">
            <v>0.74128472222222219</v>
          </cell>
          <cell r="D143" t="str">
            <v>Chori- CRUDO</v>
          </cell>
          <cell r="I143">
            <v>9000</v>
          </cell>
          <cell r="J143">
            <v>0</v>
          </cell>
          <cell r="K143">
            <v>9000</v>
          </cell>
        </row>
        <row r="144">
          <cell r="A144">
            <v>46084</v>
          </cell>
          <cell r="B144">
            <v>0.74128472222222219</v>
          </cell>
          <cell r="D144" t="str">
            <v>Chorizo</v>
          </cell>
          <cell r="I144">
            <v>8000</v>
          </cell>
          <cell r="J144">
            <v>0</v>
          </cell>
          <cell r="K144">
            <v>8000</v>
          </cell>
        </row>
        <row r="145">
          <cell r="A145">
            <v>46084</v>
          </cell>
          <cell r="B145">
            <v>0.75469907407407411</v>
          </cell>
          <cell r="D145" t="str">
            <v>Chorizo</v>
          </cell>
          <cell r="I145">
            <v>8000</v>
          </cell>
          <cell r="J145">
            <v>0</v>
          </cell>
          <cell r="K145">
            <v>8000</v>
          </cell>
        </row>
        <row r="146">
          <cell r="A146">
            <v>46084</v>
          </cell>
          <cell r="B146">
            <v>0.75469907407407411</v>
          </cell>
          <cell r="D146" t="str">
            <v>Coca cola</v>
          </cell>
          <cell r="I146">
            <v>3000</v>
          </cell>
          <cell r="J146">
            <v>0</v>
          </cell>
          <cell r="K146">
            <v>3000</v>
          </cell>
        </row>
        <row r="147">
          <cell r="A147">
            <v>46084</v>
          </cell>
          <cell r="B147">
            <v>0.76284722222222223</v>
          </cell>
          <cell r="D147" t="str">
            <v>Hit</v>
          </cell>
          <cell r="I147">
            <v>4500</v>
          </cell>
          <cell r="J147">
            <v>0</v>
          </cell>
          <cell r="K147">
            <v>4500</v>
          </cell>
        </row>
        <row r="148">
          <cell r="A148">
            <v>46084</v>
          </cell>
          <cell r="B148">
            <v>0.76518518518518519</v>
          </cell>
          <cell r="D148" t="str">
            <v>Chorizo</v>
          </cell>
          <cell r="I148">
            <v>0</v>
          </cell>
          <cell r="J148">
            <v>8000</v>
          </cell>
          <cell r="K148">
            <v>8000</v>
          </cell>
        </row>
        <row r="149">
          <cell r="A149">
            <v>46084</v>
          </cell>
          <cell r="B149">
            <v>0.76518518518518519</v>
          </cell>
          <cell r="D149" t="str">
            <v>Coca cola</v>
          </cell>
          <cell r="I149">
            <v>0</v>
          </cell>
          <cell r="J149">
            <v>3000</v>
          </cell>
          <cell r="K149">
            <v>3000</v>
          </cell>
        </row>
        <row r="150">
          <cell r="A150">
            <v>46084</v>
          </cell>
          <cell r="B150">
            <v>0.77130787037037041</v>
          </cell>
          <cell r="D150" t="str">
            <v>Hamb. CRUDA</v>
          </cell>
          <cell r="I150">
            <v>0</v>
          </cell>
          <cell r="J150">
            <v>20000</v>
          </cell>
          <cell r="K150">
            <v>20000</v>
          </cell>
        </row>
        <row r="151">
          <cell r="A151">
            <v>46084</v>
          </cell>
          <cell r="B151">
            <v>0.85248842592592589</v>
          </cell>
          <cell r="D151" t="str">
            <v>Chorizo</v>
          </cell>
          <cell r="I151">
            <v>16000</v>
          </cell>
          <cell r="J151">
            <v>0</v>
          </cell>
          <cell r="K151">
            <v>16000</v>
          </cell>
        </row>
        <row r="152">
          <cell r="A152">
            <v>46084</v>
          </cell>
          <cell r="B152">
            <v>0.85248842592592589</v>
          </cell>
          <cell r="D152" t="str">
            <v>Coca cola</v>
          </cell>
          <cell r="I152">
            <v>6000</v>
          </cell>
          <cell r="J152">
            <v>0</v>
          </cell>
          <cell r="K152">
            <v>6000</v>
          </cell>
        </row>
        <row r="153">
          <cell r="A153">
            <v>46085</v>
          </cell>
          <cell r="B153">
            <v>0.63070601851851849</v>
          </cell>
          <cell r="D153" t="str">
            <v>Chorizo</v>
          </cell>
          <cell r="I153">
            <v>8000</v>
          </cell>
          <cell r="J153">
            <v>0</v>
          </cell>
          <cell r="K153">
            <v>8000</v>
          </cell>
        </row>
        <row r="154">
          <cell r="A154">
            <v>46085</v>
          </cell>
          <cell r="B154">
            <v>0.63070601851851849</v>
          </cell>
          <cell r="D154" t="str">
            <v>Coca cola</v>
          </cell>
          <cell r="I154">
            <v>3000</v>
          </cell>
          <cell r="J154">
            <v>0</v>
          </cell>
          <cell r="K154">
            <v>3000</v>
          </cell>
        </row>
        <row r="155">
          <cell r="A155">
            <v>46085</v>
          </cell>
          <cell r="B155">
            <v>0.63070601851851849</v>
          </cell>
          <cell r="D155" t="str">
            <v>Ham. combo</v>
          </cell>
          <cell r="I155">
            <v>22000</v>
          </cell>
          <cell r="J155">
            <v>0</v>
          </cell>
          <cell r="K155">
            <v>22000</v>
          </cell>
        </row>
        <row r="156">
          <cell r="A156">
            <v>46085</v>
          </cell>
          <cell r="B156">
            <v>0.63363425925925931</v>
          </cell>
          <cell r="D156" t="str">
            <v>Chorizo</v>
          </cell>
          <cell r="I156">
            <v>8000</v>
          </cell>
          <cell r="J156">
            <v>0</v>
          </cell>
          <cell r="K156">
            <v>8000</v>
          </cell>
        </row>
        <row r="157">
          <cell r="A157">
            <v>46085</v>
          </cell>
          <cell r="B157">
            <v>0.66638888888888892</v>
          </cell>
          <cell r="D157" t="str">
            <v>Chorizo</v>
          </cell>
          <cell r="I157">
            <v>8000</v>
          </cell>
          <cell r="J157">
            <v>0</v>
          </cell>
          <cell r="K157">
            <v>8000</v>
          </cell>
        </row>
        <row r="158">
          <cell r="A158">
            <v>46085</v>
          </cell>
          <cell r="B158">
            <v>0.6906944444444445</v>
          </cell>
          <cell r="D158" t="str">
            <v>Chorizo</v>
          </cell>
          <cell r="I158">
            <v>8000</v>
          </cell>
          <cell r="J158">
            <v>0</v>
          </cell>
          <cell r="K158">
            <v>8000</v>
          </cell>
        </row>
        <row r="159">
          <cell r="A159">
            <v>46085</v>
          </cell>
          <cell r="B159">
            <v>0.6906944444444445</v>
          </cell>
          <cell r="D159" t="str">
            <v>Coca cola</v>
          </cell>
          <cell r="I159">
            <v>3000</v>
          </cell>
          <cell r="J159">
            <v>0</v>
          </cell>
          <cell r="K159">
            <v>3000</v>
          </cell>
        </row>
        <row r="160">
          <cell r="A160">
            <v>46085</v>
          </cell>
          <cell r="B160">
            <v>0.69087962962962968</v>
          </cell>
          <cell r="D160" t="str">
            <v>Agua</v>
          </cell>
          <cell r="I160">
            <v>6000</v>
          </cell>
          <cell r="J160">
            <v>0</v>
          </cell>
          <cell r="K160">
            <v>6000</v>
          </cell>
        </row>
        <row r="161">
          <cell r="A161">
            <v>46085</v>
          </cell>
          <cell r="B161">
            <v>0.69216435185185188</v>
          </cell>
          <cell r="D161" t="str">
            <v>Ham. combo</v>
          </cell>
          <cell r="I161">
            <v>22000</v>
          </cell>
          <cell r="J161">
            <v>0</v>
          </cell>
          <cell r="K161">
            <v>22000</v>
          </cell>
        </row>
        <row r="162">
          <cell r="A162">
            <v>46085</v>
          </cell>
          <cell r="B162">
            <v>0.69216435185185188</v>
          </cell>
          <cell r="D162" t="str">
            <v>Ham. sencilla</v>
          </cell>
          <cell r="I162">
            <v>17000</v>
          </cell>
          <cell r="J162">
            <v>0</v>
          </cell>
          <cell r="K162">
            <v>17000</v>
          </cell>
        </row>
        <row r="163">
          <cell r="A163">
            <v>46085</v>
          </cell>
          <cell r="B163">
            <v>0.70192129629629629</v>
          </cell>
          <cell r="D163" t="str">
            <v>carne + chorizo</v>
          </cell>
          <cell r="I163">
            <v>0</v>
          </cell>
          <cell r="J163">
            <v>25000</v>
          </cell>
          <cell r="K163">
            <v>25000</v>
          </cell>
        </row>
        <row r="164">
          <cell r="A164">
            <v>46085</v>
          </cell>
          <cell r="B164">
            <v>0.70192129629629629</v>
          </cell>
          <cell r="D164" t="str">
            <v>Chorizo</v>
          </cell>
          <cell r="I164">
            <v>0</v>
          </cell>
          <cell r="J164">
            <v>24000</v>
          </cell>
          <cell r="K164">
            <v>24000</v>
          </cell>
        </row>
        <row r="165">
          <cell r="A165">
            <v>46085</v>
          </cell>
          <cell r="B165">
            <v>0.70192129629629629</v>
          </cell>
          <cell r="D165" t="str">
            <v>Coca cola</v>
          </cell>
          <cell r="I165">
            <v>0</v>
          </cell>
          <cell r="J165">
            <v>6000</v>
          </cell>
          <cell r="K165">
            <v>6000</v>
          </cell>
        </row>
        <row r="166">
          <cell r="A166">
            <v>46085</v>
          </cell>
          <cell r="B166">
            <v>0.70192129629629629</v>
          </cell>
          <cell r="D166" t="str">
            <v>Postobon</v>
          </cell>
          <cell r="I166">
            <v>0</v>
          </cell>
          <cell r="J166">
            <v>9000</v>
          </cell>
          <cell r="K166">
            <v>9000</v>
          </cell>
        </row>
        <row r="167">
          <cell r="A167">
            <v>46085</v>
          </cell>
          <cell r="B167">
            <v>0.7832175925925926</v>
          </cell>
          <cell r="D167" t="str">
            <v>Chori- CRUDO</v>
          </cell>
          <cell r="I167">
            <v>18000</v>
          </cell>
          <cell r="J167">
            <v>0</v>
          </cell>
          <cell r="K167">
            <v>18000</v>
          </cell>
        </row>
        <row r="168">
          <cell r="A168">
            <v>46085</v>
          </cell>
          <cell r="B168">
            <v>0.80460648148148151</v>
          </cell>
          <cell r="D168" t="str">
            <v>Chorizo</v>
          </cell>
          <cell r="I168">
            <v>32000</v>
          </cell>
          <cell r="J168">
            <v>0</v>
          </cell>
          <cell r="K168">
            <v>32000</v>
          </cell>
        </row>
        <row r="169">
          <cell r="A169">
            <v>46085</v>
          </cell>
          <cell r="B169">
            <v>0.81076388888888884</v>
          </cell>
          <cell r="D169" t="str">
            <v>Chorizo</v>
          </cell>
          <cell r="I169">
            <v>0</v>
          </cell>
          <cell r="J169">
            <v>16000</v>
          </cell>
          <cell r="K169">
            <v>16000</v>
          </cell>
        </row>
        <row r="170">
          <cell r="A170">
            <v>46085</v>
          </cell>
          <cell r="B170">
            <v>0.81076388888888884</v>
          </cell>
          <cell r="D170" t="str">
            <v>Coca cola</v>
          </cell>
          <cell r="I170">
            <v>0</v>
          </cell>
          <cell r="J170">
            <v>3000</v>
          </cell>
          <cell r="K170">
            <v>3000</v>
          </cell>
        </row>
        <row r="171">
          <cell r="A171">
            <v>46085</v>
          </cell>
          <cell r="B171">
            <v>0.8313194444444445</v>
          </cell>
          <cell r="D171" t="str">
            <v>Chorizo</v>
          </cell>
          <cell r="I171">
            <v>40000</v>
          </cell>
          <cell r="J171">
            <v>0</v>
          </cell>
          <cell r="K171">
            <v>40000</v>
          </cell>
        </row>
        <row r="172">
          <cell r="A172">
            <v>46085</v>
          </cell>
          <cell r="B172">
            <v>0.8313194444444445</v>
          </cell>
          <cell r="D172" t="str">
            <v>Coca cola</v>
          </cell>
          <cell r="I172">
            <v>6000</v>
          </cell>
          <cell r="J172">
            <v>0</v>
          </cell>
          <cell r="K172">
            <v>6000</v>
          </cell>
        </row>
        <row r="173">
          <cell r="A173">
            <v>46085</v>
          </cell>
          <cell r="B173">
            <v>0.8313194444444445</v>
          </cell>
          <cell r="D173" t="str">
            <v>Postobon</v>
          </cell>
          <cell r="I173">
            <v>9000</v>
          </cell>
          <cell r="J173">
            <v>0</v>
          </cell>
          <cell r="K173">
            <v>9000</v>
          </cell>
        </row>
        <row r="174">
          <cell r="A174">
            <v>46085</v>
          </cell>
          <cell r="B174">
            <v>0.8313194444444445</v>
          </cell>
          <cell r="D174" t="str">
            <v>VARIOS: Costillas BBQ</v>
          </cell>
          <cell r="I174">
            <v>50000</v>
          </cell>
          <cell r="J174">
            <v>0</v>
          </cell>
          <cell r="K174">
            <v>50000</v>
          </cell>
        </row>
        <row r="175">
          <cell r="A175">
            <v>46086</v>
          </cell>
          <cell r="B175">
            <v>0.58488425925925924</v>
          </cell>
          <cell r="D175" t="str">
            <v>Carne con chorizo -30</v>
          </cell>
          <cell r="I175">
            <v>0</v>
          </cell>
          <cell r="J175">
            <v>30000</v>
          </cell>
          <cell r="K175">
            <v>30000</v>
          </cell>
        </row>
        <row r="176">
          <cell r="A176">
            <v>46086</v>
          </cell>
          <cell r="B176">
            <v>0.58488425925925924</v>
          </cell>
          <cell r="D176" t="str">
            <v>Propina - Gustavo</v>
          </cell>
          <cell r="I176">
            <v>0</v>
          </cell>
          <cell r="J176">
            <v>5000</v>
          </cell>
          <cell r="K176">
            <v>5000</v>
          </cell>
        </row>
        <row r="177">
          <cell r="A177">
            <v>46086</v>
          </cell>
          <cell r="B177">
            <v>0.627349537037037</v>
          </cell>
          <cell r="D177" t="str">
            <v>Chorizo</v>
          </cell>
          <cell r="I177">
            <v>16000</v>
          </cell>
          <cell r="J177">
            <v>0</v>
          </cell>
          <cell r="K177">
            <v>16000</v>
          </cell>
        </row>
        <row r="178">
          <cell r="A178">
            <v>46086</v>
          </cell>
          <cell r="B178">
            <v>0.627349537037037</v>
          </cell>
          <cell r="D178" t="str">
            <v>Coca cola</v>
          </cell>
          <cell r="I178">
            <v>6000</v>
          </cell>
          <cell r="J178">
            <v>0</v>
          </cell>
          <cell r="K178">
            <v>6000</v>
          </cell>
        </row>
        <row r="179">
          <cell r="A179">
            <v>46086</v>
          </cell>
          <cell r="B179">
            <v>0.63901620370370371</v>
          </cell>
          <cell r="D179" t="str">
            <v>Chorizo</v>
          </cell>
          <cell r="I179">
            <v>32000</v>
          </cell>
          <cell r="J179">
            <v>0</v>
          </cell>
          <cell r="K179">
            <v>32000</v>
          </cell>
        </row>
        <row r="180">
          <cell r="A180">
            <v>46086</v>
          </cell>
          <cell r="B180">
            <v>0.63901620370370371</v>
          </cell>
          <cell r="D180" t="str">
            <v>Hit</v>
          </cell>
          <cell r="I180">
            <v>4500</v>
          </cell>
          <cell r="J180">
            <v>0</v>
          </cell>
          <cell r="K180">
            <v>4500</v>
          </cell>
        </row>
        <row r="181">
          <cell r="A181">
            <v>46086</v>
          </cell>
          <cell r="B181">
            <v>0.64901620370370372</v>
          </cell>
          <cell r="D181" t="str">
            <v>Hit</v>
          </cell>
          <cell r="I181">
            <v>0</v>
          </cell>
          <cell r="J181">
            <v>4500</v>
          </cell>
          <cell r="K181">
            <v>4500</v>
          </cell>
        </row>
        <row r="182">
          <cell r="A182">
            <v>46086</v>
          </cell>
          <cell r="B182">
            <v>0.64901620370370372</v>
          </cell>
          <cell r="D182" t="str">
            <v>parri tres carnes</v>
          </cell>
          <cell r="I182">
            <v>0</v>
          </cell>
          <cell r="J182">
            <v>35000</v>
          </cell>
          <cell r="K182">
            <v>35000</v>
          </cell>
        </row>
        <row r="183">
          <cell r="A183">
            <v>46086</v>
          </cell>
          <cell r="B183">
            <v>0.65855324074074073</v>
          </cell>
          <cell r="D183" t="str">
            <v>parri tres carnes</v>
          </cell>
          <cell r="I183">
            <v>35000</v>
          </cell>
          <cell r="J183">
            <v>0</v>
          </cell>
          <cell r="K183">
            <v>35000</v>
          </cell>
        </row>
        <row r="184">
          <cell r="A184">
            <v>46086</v>
          </cell>
          <cell r="B184">
            <v>0.71677083333333336</v>
          </cell>
          <cell r="D184" t="str">
            <v>Chorizo</v>
          </cell>
          <cell r="I184">
            <v>8000</v>
          </cell>
          <cell r="J184">
            <v>0</v>
          </cell>
          <cell r="K184">
            <v>8000</v>
          </cell>
        </row>
        <row r="185">
          <cell r="A185">
            <v>46086</v>
          </cell>
          <cell r="B185">
            <v>0.72050925925925924</v>
          </cell>
          <cell r="D185" t="str">
            <v>Chorizo</v>
          </cell>
          <cell r="I185">
            <v>8000</v>
          </cell>
          <cell r="J185">
            <v>0</v>
          </cell>
          <cell r="K185">
            <v>8000</v>
          </cell>
        </row>
        <row r="186">
          <cell r="A186">
            <v>46086</v>
          </cell>
          <cell r="B186">
            <v>0.73907407407407411</v>
          </cell>
          <cell r="D186" t="str">
            <v>Chorizo</v>
          </cell>
          <cell r="I186">
            <v>8000</v>
          </cell>
          <cell r="J186">
            <v>0</v>
          </cell>
          <cell r="K186">
            <v>8000</v>
          </cell>
        </row>
        <row r="187">
          <cell r="A187">
            <v>46086</v>
          </cell>
          <cell r="B187">
            <v>0.7546180555555555</v>
          </cell>
          <cell r="D187" t="str">
            <v>Chorizo</v>
          </cell>
          <cell r="I187">
            <v>8000</v>
          </cell>
          <cell r="J187">
            <v>0</v>
          </cell>
          <cell r="K187">
            <v>8000</v>
          </cell>
        </row>
        <row r="188">
          <cell r="A188">
            <v>46086</v>
          </cell>
          <cell r="B188">
            <v>0.77195601851851847</v>
          </cell>
          <cell r="D188" t="str">
            <v>Chorizo</v>
          </cell>
          <cell r="I188">
            <v>8000</v>
          </cell>
          <cell r="J188">
            <v>0</v>
          </cell>
          <cell r="K188">
            <v>8000</v>
          </cell>
        </row>
        <row r="189">
          <cell r="A189">
            <v>46086</v>
          </cell>
          <cell r="B189">
            <v>0.78481481481481485</v>
          </cell>
          <cell r="D189" t="str">
            <v>Chorizo</v>
          </cell>
          <cell r="I189">
            <v>0</v>
          </cell>
          <cell r="J189">
            <v>8000</v>
          </cell>
          <cell r="K189">
            <v>8000</v>
          </cell>
        </row>
        <row r="190">
          <cell r="A190">
            <v>46086</v>
          </cell>
          <cell r="B190">
            <v>0.78481481481481485</v>
          </cell>
          <cell r="D190" t="str">
            <v>Postobon</v>
          </cell>
          <cell r="I190">
            <v>0</v>
          </cell>
          <cell r="J190">
            <v>3000</v>
          </cell>
          <cell r="K190">
            <v>3000</v>
          </cell>
        </row>
        <row r="191">
          <cell r="A191">
            <v>46086</v>
          </cell>
          <cell r="B191">
            <v>0.802337962962963</v>
          </cell>
          <cell r="D191" t="str">
            <v>Chorizo</v>
          </cell>
          <cell r="I191">
            <v>0</v>
          </cell>
          <cell r="J191">
            <v>24000</v>
          </cell>
          <cell r="K191">
            <v>24000</v>
          </cell>
        </row>
        <row r="192">
          <cell r="A192">
            <v>46086</v>
          </cell>
          <cell r="B192">
            <v>0.802337962962963</v>
          </cell>
          <cell r="D192" t="str">
            <v>Postobon</v>
          </cell>
          <cell r="I192">
            <v>0</v>
          </cell>
          <cell r="J192">
            <v>6000</v>
          </cell>
          <cell r="K192">
            <v>6000</v>
          </cell>
        </row>
        <row r="193">
          <cell r="A193">
            <v>46086</v>
          </cell>
          <cell r="B193">
            <v>0.84318287037037032</v>
          </cell>
          <cell r="D193" t="str">
            <v>Chorizo</v>
          </cell>
          <cell r="I193">
            <v>8000</v>
          </cell>
          <cell r="J193">
            <v>0</v>
          </cell>
          <cell r="K193">
            <v>8000</v>
          </cell>
        </row>
        <row r="194">
          <cell r="A194">
            <v>46086</v>
          </cell>
          <cell r="B194">
            <v>0.84318287037037032</v>
          </cell>
          <cell r="D194" t="str">
            <v>tinto</v>
          </cell>
          <cell r="I194">
            <v>2000</v>
          </cell>
          <cell r="J194">
            <v>0</v>
          </cell>
          <cell r="K194">
            <v>2000</v>
          </cell>
        </row>
        <row r="195">
          <cell r="A195">
            <v>46088</v>
          </cell>
          <cell r="B195">
            <v>0.95762731481481478</v>
          </cell>
          <cell r="D195" t="str">
            <v>Chorizo</v>
          </cell>
          <cell r="I195">
            <v>16000</v>
          </cell>
          <cell r="J195">
            <v>0</v>
          </cell>
          <cell r="K195">
            <v>16000</v>
          </cell>
        </row>
        <row r="196">
          <cell r="A196">
            <v>46088</v>
          </cell>
          <cell r="B196">
            <v>0.95777777777777773</v>
          </cell>
          <cell r="D196" t="str">
            <v>Chorizo</v>
          </cell>
          <cell r="I196">
            <v>16000</v>
          </cell>
          <cell r="J196">
            <v>0</v>
          </cell>
          <cell r="K196">
            <v>16000</v>
          </cell>
        </row>
        <row r="197">
          <cell r="A197">
            <v>46088</v>
          </cell>
          <cell r="B197">
            <v>0.95832175925925922</v>
          </cell>
          <cell r="D197" t="str">
            <v>Chorizo</v>
          </cell>
          <cell r="I197">
            <v>32000</v>
          </cell>
          <cell r="J197">
            <v>0</v>
          </cell>
          <cell r="K197">
            <v>32000</v>
          </cell>
        </row>
        <row r="198">
          <cell r="A198">
            <v>46088</v>
          </cell>
          <cell r="B198">
            <v>0.95832175925925922</v>
          </cell>
          <cell r="D198" t="str">
            <v>Coca cola</v>
          </cell>
          <cell r="I198">
            <v>6000</v>
          </cell>
          <cell r="J198">
            <v>0</v>
          </cell>
          <cell r="K198">
            <v>6000</v>
          </cell>
        </row>
        <row r="199">
          <cell r="A199">
            <v>46088</v>
          </cell>
          <cell r="B199">
            <v>0.95892361111111113</v>
          </cell>
          <cell r="D199" t="str">
            <v>Chorizo</v>
          </cell>
          <cell r="I199">
            <v>8000</v>
          </cell>
          <cell r="J199">
            <v>0</v>
          </cell>
          <cell r="K199">
            <v>8000</v>
          </cell>
        </row>
        <row r="200">
          <cell r="A200">
            <v>46088</v>
          </cell>
          <cell r="B200">
            <v>0.95892361111111113</v>
          </cell>
          <cell r="D200" t="str">
            <v>Coca cola</v>
          </cell>
          <cell r="I200">
            <v>3000</v>
          </cell>
          <cell r="J200">
            <v>0</v>
          </cell>
          <cell r="K200">
            <v>3000</v>
          </cell>
        </row>
        <row r="201">
          <cell r="A201">
            <v>46088</v>
          </cell>
          <cell r="B201">
            <v>0.95915509259259257</v>
          </cell>
          <cell r="D201" t="str">
            <v>Chorizo</v>
          </cell>
          <cell r="I201">
            <v>16000</v>
          </cell>
          <cell r="J201">
            <v>0</v>
          </cell>
          <cell r="K201">
            <v>16000</v>
          </cell>
        </row>
        <row r="202">
          <cell r="A202">
            <v>46088</v>
          </cell>
          <cell r="B202">
            <v>0.95915509259259257</v>
          </cell>
          <cell r="D202" t="str">
            <v>Coca cola</v>
          </cell>
          <cell r="I202">
            <v>6000</v>
          </cell>
          <cell r="J202">
            <v>0</v>
          </cell>
          <cell r="K202">
            <v>6000</v>
          </cell>
        </row>
        <row r="203">
          <cell r="A203">
            <v>46088</v>
          </cell>
          <cell r="B203">
            <v>0.96042824074074074</v>
          </cell>
          <cell r="D203" t="str">
            <v>Chorizo</v>
          </cell>
          <cell r="I203">
            <v>0</v>
          </cell>
          <cell r="J203">
            <v>16000</v>
          </cell>
          <cell r="K203">
            <v>16000</v>
          </cell>
        </row>
        <row r="204">
          <cell r="A204">
            <v>46088</v>
          </cell>
          <cell r="B204">
            <v>0.96141203703703704</v>
          </cell>
          <cell r="D204" t="str">
            <v>Chorizo</v>
          </cell>
          <cell r="I204">
            <v>0</v>
          </cell>
          <cell r="J204">
            <v>24000</v>
          </cell>
          <cell r="K204">
            <v>24000</v>
          </cell>
        </row>
        <row r="205">
          <cell r="A205">
            <v>46088</v>
          </cell>
          <cell r="B205">
            <v>0.96141203703703704</v>
          </cell>
          <cell r="D205" t="str">
            <v>Hit</v>
          </cell>
          <cell r="I205">
            <v>0</v>
          </cell>
          <cell r="J205">
            <v>4500</v>
          </cell>
          <cell r="K205">
            <v>4500</v>
          </cell>
        </row>
        <row r="206">
          <cell r="A206">
            <v>46088</v>
          </cell>
          <cell r="B206">
            <v>0.96318287037037043</v>
          </cell>
          <cell r="D206" t="str">
            <v>OTRO: promo vecino de jenesano</v>
          </cell>
          <cell r="I206">
            <v>15000</v>
          </cell>
          <cell r="J206">
            <v>0</v>
          </cell>
          <cell r="K206">
            <v>15000</v>
          </cell>
        </row>
        <row r="207">
          <cell r="A207">
            <v>46088</v>
          </cell>
          <cell r="B207">
            <v>0.96481481481481479</v>
          </cell>
          <cell r="D207" t="str">
            <v>Parrilla de 60.000</v>
          </cell>
          <cell r="I207">
            <v>60000</v>
          </cell>
          <cell r="J207">
            <v>0</v>
          </cell>
          <cell r="K207">
            <v>60000</v>
          </cell>
        </row>
        <row r="208">
          <cell r="A208">
            <v>46088</v>
          </cell>
          <cell r="B208">
            <v>0.96510416666666665</v>
          </cell>
          <cell r="D208" t="str">
            <v>Chorizo</v>
          </cell>
          <cell r="I208">
            <v>8000</v>
          </cell>
          <cell r="J208">
            <v>0</v>
          </cell>
          <cell r="K208">
            <v>8000</v>
          </cell>
        </row>
        <row r="209">
          <cell r="A209">
            <v>46088</v>
          </cell>
          <cell r="B209">
            <v>0.96510416666666665</v>
          </cell>
          <cell r="D209" t="str">
            <v>Hit</v>
          </cell>
          <cell r="I209">
            <v>4500</v>
          </cell>
          <cell r="J209">
            <v>0</v>
          </cell>
          <cell r="K209">
            <v>4500</v>
          </cell>
        </row>
        <row r="210">
          <cell r="A210">
            <v>46088</v>
          </cell>
          <cell r="B210">
            <v>0.96643518518518523</v>
          </cell>
          <cell r="D210" t="str">
            <v>Carne Asada de 40</v>
          </cell>
          <cell r="I210">
            <v>0</v>
          </cell>
          <cell r="J210">
            <v>40000</v>
          </cell>
          <cell r="K210">
            <v>40000</v>
          </cell>
        </row>
        <row r="211">
          <cell r="A211">
            <v>46088</v>
          </cell>
          <cell r="B211">
            <v>0.96643518518518523</v>
          </cell>
          <cell r="D211" t="str">
            <v>Coca cola</v>
          </cell>
          <cell r="I211">
            <v>0</v>
          </cell>
          <cell r="J211">
            <v>3000</v>
          </cell>
          <cell r="K211">
            <v>3000</v>
          </cell>
        </row>
        <row r="212">
          <cell r="A212">
            <v>46088</v>
          </cell>
          <cell r="B212">
            <v>0.96680555555555558</v>
          </cell>
          <cell r="D212" t="str">
            <v>Chorizo</v>
          </cell>
          <cell r="I212">
            <v>16000</v>
          </cell>
          <cell r="J212">
            <v>0</v>
          </cell>
          <cell r="K212">
            <v>16000</v>
          </cell>
        </row>
        <row r="213">
          <cell r="A213">
            <v>46088</v>
          </cell>
          <cell r="B213">
            <v>0.96680555555555558</v>
          </cell>
          <cell r="D213" t="str">
            <v>Hit</v>
          </cell>
          <cell r="I213">
            <v>4500</v>
          </cell>
          <cell r="J213">
            <v>0</v>
          </cell>
          <cell r="K213">
            <v>4500</v>
          </cell>
        </row>
        <row r="214">
          <cell r="A214">
            <v>46089</v>
          </cell>
          <cell r="B214">
            <v>0.59064814814814814</v>
          </cell>
          <cell r="D214" t="str">
            <v>Chorizo</v>
          </cell>
          <cell r="I214">
            <v>0</v>
          </cell>
          <cell r="J214">
            <v>24000</v>
          </cell>
          <cell r="K214">
            <v>24000</v>
          </cell>
        </row>
        <row r="215">
          <cell r="A215">
            <v>46089</v>
          </cell>
          <cell r="B215">
            <v>0.59064814814814814</v>
          </cell>
          <cell r="D215" t="str">
            <v>Coca cola</v>
          </cell>
          <cell r="I215">
            <v>0</v>
          </cell>
          <cell r="J215">
            <v>6000</v>
          </cell>
          <cell r="K215">
            <v>6000</v>
          </cell>
        </row>
        <row r="216">
          <cell r="A216">
            <v>46089</v>
          </cell>
          <cell r="B216">
            <v>0.59089120370370374</v>
          </cell>
          <cell r="D216" t="str">
            <v>Chorizo</v>
          </cell>
          <cell r="I216">
            <v>8000</v>
          </cell>
          <cell r="J216">
            <v>0</v>
          </cell>
          <cell r="K216">
            <v>8000</v>
          </cell>
        </row>
        <row r="217">
          <cell r="A217">
            <v>46089</v>
          </cell>
          <cell r="B217">
            <v>0.59089120370370374</v>
          </cell>
          <cell r="D217" t="str">
            <v>Postobon</v>
          </cell>
          <cell r="I217">
            <v>3000</v>
          </cell>
          <cell r="J217">
            <v>0</v>
          </cell>
          <cell r="K217">
            <v>3000</v>
          </cell>
        </row>
        <row r="218">
          <cell r="A218">
            <v>46089</v>
          </cell>
          <cell r="B218">
            <v>0.59761574074074075</v>
          </cell>
          <cell r="D218" t="str">
            <v>Carne con chorizo -30</v>
          </cell>
          <cell r="I218">
            <v>0</v>
          </cell>
          <cell r="J218">
            <v>30000</v>
          </cell>
          <cell r="K218">
            <v>30000</v>
          </cell>
        </row>
        <row r="219">
          <cell r="A219">
            <v>46089</v>
          </cell>
          <cell r="B219">
            <v>0.59761574074074075</v>
          </cell>
          <cell r="D219" t="str">
            <v>Chorizo</v>
          </cell>
          <cell r="I219">
            <v>0</v>
          </cell>
          <cell r="J219">
            <v>24000</v>
          </cell>
          <cell r="K219">
            <v>24000</v>
          </cell>
        </row>
        <row r="220">
          <cell r="A220">
            <v>46089</v>
          </cell>
          <cell r="B220">
            <v>0.62121527777777774</v>
          </cell>
          <cell r="D220" t="str">
            <v>Chorizo</v>
          </cell>
          <cell r="I220">
            <v>8000</v>
          </cell>
          <cell r="J220">
            <v>0</v>
          </cell>
          <cell r="K220">
            <v>8000</v>
          </cell>
        </row>
        <row r="221">
          <cell r="A221">
            <v>46089</v>
          </cell>
          <cell r="B221">
            <v>0.62121527777777774</v>
          </cell>
          <cell r="D221" t="str">
            <v>Coca cola</v>
          </cell>
          <cell r="I221">
            <v>3000</v>
          </cell>
          <cell r="J221">
            <v>0</v>
          </cell>
          <cell r="K221">
            <v>3000</v>
          </cell>
        </row>
        <row r="222">
          <cell r="A222">
            <v>46089</v>
          </cell>
          <cell r="B222">
            <v>0.63009259259259254</v>
          </cell>
          <cell r="D222" t="str">
            <v>Carne con chorizo - 35</v>
          </cell>
          <cell r="I222">
            <v>35000</v>
          </cell>
          <cell r="J222">
            <v>0</v>
          </cell>
          <cell r="K222">
            <v>35000</v>
          </cell>
        </row>
        <row r="223">
          <cell r="A223">
            <v>46089</v>
          </cell>
          <cell r="B223">
            <v>0.63009259259259254</v>
          </cell>
          <cell r="D223" t="str">
            <v>Coca cola</v>
          </cell>
          <cell r="I223">
            <v>3000</v>
          </cell>
          <cell r="J223">
            <v>0</v>
          </cell>
          <cell r="K223">
            <v>3000</v>
          </cell>
        </row>
        <row r="224">
          <cell r="A224">
            <v>46089</v>
          </cell>
          <cell r="B224">
            <v>0.63009259259259254</v>
          </cell>
          <cell r="D224" t="str">
            <v>Hit</v>
          </cell>
          <cell r="I224">
            <v>4500</v>
          </cell>
          <cell r="J224">
            <v>0</v>
          </cell>
          <cell r="K224">
            <v>4500</v>
          </cell>
        </row>
        <row r="225">
          <cell r="A225">
            <v>46089</v>
          </cell>
          <cell r="B225">
            <v>0.63078703703703709</v>
          </cell>
          <cell r="D225" t="str">
            <v>Agua</v>
          </cell>
          <cell r="I225">
            <v>3000</v>
          </cell>
          <cell r="J225">
            <v>0</v>
          </cell>
          <cell r="K225">
            <v>3000</v>
          </cell>
        </row>
        <row r="226">
          <cell r="A226">
            <v>46089</v>
          </cell>
          <cell r="B226">
            <v>0.63078703703703709</v>
          </cell>
          <cell r="D226" t="str">
            <v>Carne con chorizo - 35</v>
          </cell>
          <cell r="I226">
            <v>35000</v>
          </cell>
          <cell r="J226">
            <v>0</v>
          </cell>
          <cell r="K226">
            <v>35000</v>
          </cell>
        </row>
        <row r="227">
          <cell r="A227">
            <v>46089</v>
          </cell>
          <cell r="B227">
            <v>0.63078703703703709</v>
          </cell>
          <cell r="D227" t="str">
            <v>Chorizo</v>
          </cell>
          <cell r="I227">
            <v>8000</v>
          </cell>
          <cell r="J227">
            <v>0</v>
          </cell>
          <cell r="K227">
            <v>8000</v>
          </cell>
        </row>
        <row r="228">
          <cell r="A228">
            <v>46089</v>
          </cell>
          <cell r="B228">
            <v>0.63078703703703709</v>
          </cell>
          <cell r="D228" t="str">
            <v>Coca cola</v>
          </cell>
          <cell r="I228">
            <v>3000</v>
          </cell>
          <cell r="J228">
            <v>0</v>
          </cell>
          <cell r="K228">
            <v>3000</v>
          </cell>
        </row>
        <row r="229">
          <cell r="A229">
            <v>46089</v>
          </cell>
          <cell r="B229">
            <v>0.72372685185185182</v>
          </cell>
          <cell r="D229" t="str">
            <v>Chorizo</v>
          </cell>
          <cell r="I229">
            <v>0</v>
          </cell>
          <cell r="J229">
            <v>8000</v>
          </cell>
          <cell r="K229">
            <v>8000</v>
          </cell>
        </row>
        <row r="230">
          <cell r="A230">
            <v>46089</v>
          </cell>
          <cell r="B230">
            <v>0.72736111111111112</v>
          </cell>
          <cell r="D230" t="str">
            <v>Agua</v>
          </cell>
          <cell r="I230">
            <v>0</v>
          </cell>
          <cell r="J230">
            <v>3000</v>
          </cell>
          <cell r="K230">
            <v>3000</v>
          </cell>
        </row>
        <row r="231">
          <cell r="A231">
            <v>46089</v>
          </cell>
          <cell r="B231">
            <v>0.75215277777777778</v>
          </cell>
          <cell r="D231" t="str">
            <v>Chorizo</v>
          </cell>
          <cell r="I231">
            <v>8000</v>
          </cell>
          <cell r="J231">
            <v>0</v>
          </cell>
          <cell r="K231">
            <v>8000</v>
          </cell>
        </row>
        <row r="232">
          <cell r="A232">
            <v>46089</v>
          </cell>
          <cell r="B232">
            <v>0.75215277777777778</v>
          </cell>
          <cell r="D232" t="str">
            <v>OTROS: pedazo de carne</v>
          </cell>
          <cell r="I232">
            <v>2000</v>
          </cell>
          <cell r="J232">
            <v>0</v>
          </cell>
          <cell r="K232">
            <v>2000</v>
          </cell>
        </row>
      </sheetData>
      <sheetData sheetId="1"/>
      <sheetData sheetId="2"/>
      <sheetData sheetId="3"/>
      <sheetData sheetId="4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win Torres" refreshedDate="44040.519693402777" createdVersion="5" refreshedVersion="6" minRefreshableVersion="3" recordCount="19" xr:uid="{00000000-000A-0000-FFFF-FFFF00000000}">
  <cacheSource type="worksheet">
    <worksheetSource name="Pasivos"/>
  </cacheSource>
  <cacheFields count="18">
    <cacheField name="Nombre proveedor" numFmtId="0">
      <sharedItems containsBlank="1" count="22">
        <s v=" Diego"/>
        <s v=" Martin"/>
        <s v=" Sarmiento"/>
        <s v=" Leornardo"/>
        <s v=" Orlando"/>
        <s v=" Hector"/>
        <s v=" Vecino"/>
        <s v="Nd"/>
        <s v="Arredatario"/>
        <s v="Vitrina, ollas"/>
        <s v=" Saul"/>
        <s v="Gota x Gota"/>
        <s v="Nomina"/>
        <s v="enel - 6451508-5"/>
        <s v="Sandra"/>
        <s v="Ladron de Gas"/>
        <s v="Licuadora"/>
        <m u="1"/>
        <s v="vecino" u="1"/>
        <s v="Stefania" u="1"/>
        <s v="ESP de Tocancipá" u="1"/>
        <s v="Vantì-Cta: 3721477" u="1"/>
      </sharedItems>
    </cacheField>
    <cacheField name="Proveedor" numFmtId="171">
      <sharedItems containsBlank="1" count="21">
        <s v="Carne de cerdo"/>
        <s v="Carne de res"/>
        <s v="Mercado"/>
        <s v="Menudo y prestamo"/>
        <s v="Carne de Pollo"/>
        <s v="PUBLICIDAD"/>
        <s v="Pintura, local"/>
        <s v="ARRIENDO"/>
        <s v="Vitrina, ollas"/>
        <s v="FINANCIERO"/>
        <s v="NOMINA"/>
        <s v="CODENSA"/>
        <s v="Arriendo Apto."/>
        <s v="Contingencia: Gas"/>
        <s v="Contingencia: Licuadora"/>
        <m u="1"/>
        <s v="Servicios, AGUA" u="1"/>
        <s v="Coca Cola" u="1"/>
        <s v="Servicios, LUZ" u="1"/>
        <s v="Pollo" u="1"/>
        <s v="Servicios, GAS" u="1"/>
      </sharedItems>
    </cacheField>
    <cacheField name="Tipo de obligación" numFmtId="171">
      <sharedItems count="5">
        <s v="Pasivo de corto plazo"/>
        <s v="Pasivo de largo plazo"/>
        <s v="Gerardo" u="1"/>
        <s v="Antigua deuda" u="1"/>
        <s v="Nueva obligación" u="1"/>
      </sharedItems>
    </cacheField>
    <cacheField name="Marzo" numFmtId="0">
      <sharedItems containsSemiMixedTypes="0" containsString="0" containsNumber="1" containsInteger="1" minValue="0" maxValue="3000000"/>
    </cacheField>
    <cacheField name="Valor pagado_x000a_Marzo" numFmtId="171">
      <sharedItems containsString="0" containsBlank="1" containsNumber="1" containsInteger="1" minValue="-631210" maxValue="150000"/>
    </cacheField>
    <cacheField name="Abril" numFmtId="171">
      <sharedItems containsSemiMixedTypes="0" containsString="0" containsNumber="1" containsInteger="1" minValue="0" maxValue="3000000"/>
    </cacheField>
    <cacheField name="Valor pagado_x000a_Abril" numFmtId="171">
      <sharedItems containsString="0" containsBlank="1" containsNumber="1" containsInteger="1" minValue="-463290" maxValue="150000"/>
    </cacheField>
    <cacheField name="Mayo" numFmtId="171">
      <sharedItems containsSemiMixedTypes="0" containsString="0" containsNumber="1" containsInteger="1" minValue="0" maxValue="3000000"/>
    </cacheField>
    <cacheField name="Valor pagado_x000a_Mayo" numFmtId="171">
      <sharedItems containsString="0" containsBlank="1" containsNumber="1" containsInteger="1" minValue="0" maxValue="150000"/>
    </cacheField>
    <cacheField name="Junio" numFmtId="171">
      <sharedItems containsSemiMixedTypes="0" containsString="0" containsNumber="1" containsInteger="1" minValue="0" maxValue="3000000"/>
    </cacheField>
    <cacheField name="Valor pagado_x000a_Junio" numFmtId="171">
      <sharedItems containsSemiMixedTypes="0" containsString="0" containsNumber="1" containsInteger="1" minValue="0" maxValue="400000"/>
    </cacheField>
    <cacheField name="Julio" numFmtId="171">
      <sharedItems containsSemiMixedTypes="0" containsString="0" containsNumber="1" containsInteger="1" minValue="0" maxValue="3000000"/>
    </cacheField>
    <cacheField name="Pagos Julio x programar" numFmtId="171">
      <sharedItems containsSemiMixedTypes="0" containsString="0" containsNumber="1" containsInteger="1" minValue="0" maxValue="750000"/>
    </cacheField>
    <cacheField name="Valor pagado_x000a_Julio" numFmtId="171">
      <sharedItems containsString="0" containsBlank="1" containsNumber="1" containsInteger="1" minValue="0" maxValue="150000"/>
    </cacheField>
    <cacheField name="Valor por Pagar" numFmtId="171">
      <sharedItems containsSemiMixedTypes="0" containsString="0" containsNumber="1" containsInteger="1" minValue="0" maxValue="750000"/>
    </cacheField>
    <cacheField name="Estado Tesoreria" numFmtId="0">
      <sharedItems/>
    </cacheField>
    <cacheField name="Origen" numFmtId="171">
      <sharedItems/>
    </cacheField>
    <cacheField name="Saldo nuevo admón" numFmtId="171">
      <sharedItems containsSemiMixedTypes="0" containsString="0" containsNumber="1" minValue="0" maxValue="15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90.012405787034" createdVersion="5" refreshedVersion="8" minRefreshableVersion="3" recordCount="236" xr:uid="{00000000-000A-0000-FFFF-FFFF01000000}">
  <cacheSource type="worksheet">
    <worksheetSource name="sales"/>
  </cacheSource>
  <cacheFields count="11">
    <cacheField name="Fecha" numFmtId="14">
      <sharedItems containsSemiMixedTypes="0" containsNonDate="0" containsDate="1" containsString="0" minDate="2026-02-15T00:00:00" maxDate="2026-03-09T00:00:00" count="22"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3-01T00:00:00"/>
        <d v="2026-03-06T00:00:00"/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</sharedItems>
    </cacheField>
    <cacheField name="Hora" numFmtId="0">
      <sharedItems containsDate="1" containsMixedTypes="1" minDate="1899-12-30T13:00:00" maxDate="1899-12-30T13:00:00"/>
    </cacheField>
    <cacheField name="Tipo día" numFmtId="14">
      <sharedItems containsBlank="1" count="4">
        <s v="cerrado"/>
        <s v="Normal"/>
        <m u="1"/>
        <s v="Cuarentena" u="1"/>
      </sharedItems>
    </cacheField>
    <cacheField name="nombre_producto" numFmtId="14">
      <sharedItems/>
    </cacheField>
    <cacheField name="No. Semana de operación" numFmtId="0">
      <sharedItems containsSemiMixedTypes="0" containsString="0" containsNumber="1" containsInteger="1" minValue="0" maxValue="31" count="32">
        <n v="0"/>
        <n v="1"/>
        <n v="3"/>
        <n v="2"/>
        <n v="4" u="1"/>
        <n v="5" u="1"/>
        <n v="6" u="1"/>
        <n v="7" u="1"/>
        <n v="8" u="1"/>
        <n v="9" u="1"/>
        <n v="10" u="1"/>
        <n v="11" u="1"/>
        <n v="12" u="1"/>
        <n v="13" u="1"/>
        <n v="14" u="1"/>
        <n v="15" u="1"/>
        <n v="16" u="1"/>
        <n v="17" u="1"/>
        <n v="18" u="1"/>
        <n v="19" u="1"/>
        <n v="20" u="1"/>
        <n v="21" u="1"/>
        <n v="22" u="1"/>
        <n v="23" u="1"/>
        <n v="24" u="1"/>
        <n v="25" u="1"/>
        <n v="26" u="1"/>
        <n v="27" u="1"/>
        <n v="28" u="1"/>
        <n v="29" u="1"/>
        <n v="30" u="1"/>
        <n v="31" u="1"/>
      </sharedItems>
    </cacheField>
    <cacheField name="Tipo día2" numFmtId="14">
      <sharedItems/>
    </cacheField>
    <cacheField name="Día" numFmtId="14">
      <sharedItems containsBlank="1" count="15">
        <s v="dom"/>
        <s v="lun"/>
        <s v="mar"/>
        <s v="mié"/>
        <s v="jue"/>
        <s v="vie"/>
        <s v="sáb"/>
        <m u="1"/>
        <s v="lunes" u="1"/>
        <s v="miércoles" u="1"/>
        <s v="martes" u="1"/>
        <s v="domingo" u="1"/>
        <s v="viernes" u="1"/>
        <s v="jueves" u="1"/>
        <s v="sábado" u="1"/>
      </sharedItems>
    </cacheField>
    <cacheField name="MG" numFmtId="166">
      <sharedItems containsSemiMixedTypes="0" containsString="0" containsNumber="1" containsInteger="1" minValue="0" maxValue="56000"/>
    </cacheField>
    <cacheField name="Venta" numFmtId="166">
      <sharedItems containsSemiMixedTypes="0" containsString="0" containsNumber="1" containsInteger="1" minValue="0" maxValue="140000"/>
    </cacheField>
    <cacheField name="Caja" numFmtId="166">
      <sharedItems containsSemiMixedTypes="0" containsString="0" containsNumber="1" containsInteger="1" minValue="0" maxValue="140000"/>
    </cacheField>
    <cacheField name="Bancos" numFmtId="166">
      <sharedItems containsSemiMixedTypes="0" containsString="0" containsNumber="1" containsInteger="1" minValue="0" maxValue="40000"/>
    </cacheField>
  </cacheFields>
  <extLst>
    <ext xmlns:x14="http://schemas.microsoft.com/office/spreadsheetml/2009/9/main" uri="{725AE2AE-9491-48be-B2B4-4EB974FC3084}">
      <x14:pivotCacheDefinition pivotCacheId="182549033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x v="0"/>
    <x v="0"/>
    <x v="0"/>
    <n v="1088000"/>
    <n v="0"/>
    <n v="1088000"/>
    <n v="0"/>
    <n v="1088000"/>
    <n v="0"/>
    <n v="1088000"/>
    <n v="0"/>
    <n v="1088000"/>
    <n v="0"/>
    <n v="0"/>
    <n v="0"/>
    <s v="Congelado"/>
    <s v="Papá"/>
    <n v="1088000"/>
  </r>
  <r>
    <x v="1"/>
    <x v="0"/>
    <x v="1"/>
    <n v="300000"/>
    <n v="0"/>
    <n v="300000"/>
    <n v="60000"/>
    <n v="240000"/>
    <n v="0"/>
    <n v="240000"/>
    <n v="0"/>
    <n v="240000"/>
    <n v="0"/>
    <n v="0"/>
    <n v="0"/>
    <s v="Congelado"/>
    <s v="Vigente"/>
    <n v="240000"/>
  </r>
  <r>
    <x v="2"/>
    <x v="0"/>
    <x v="1"/>
    <n v="350000"/>
    <n v="0"/>
    <n v="350000"/>
    <n v="0"/>
    <n v="350000"/>
    <n v="0"/>
    <n v="350000"/>
    <n v="0"/>
    <n v="350000"/>
    <n v="0"/>
    <n v="0"/>
    <n v="0"/>
    <s v="Congelado"/>
    <s v="Papá"/>
    <n v="350000"/>
  </r>
  <r>
    <x v="3"/>
    <x v="1"/>
    <x v="1"/>
    <n v="1350000"/>
    <n v="0"/>
    <n v="1350000"/>
    <n v="0"/>
    <n v="1350000"/>
    <n v="0"/>
    <n v="1350000"/>
    <n v="0"/>
    <n v="1350000"/>
    <n v="0"/>
    <n v="0"/>
    <n v="0"/>
    <s v="Congelado"/>
    <s v="Vigente"/>
    <n v="675000"/>
  </r>
  <r>
    <x v="4"/>
    <x v="2"/>
    <x v="1"/>
    <n v="1599599"/>
    <n v="0"/>
    <n v="1599599"/>
    <n v="0"/>
    <n v="1599599"/>
    <n v="0"/>
    <n v="1599599"/>
    <n v="0"/>
    <n v="1599599"/>
    <n v="0"/>
    <n v="0"/>
    <n v="0"/>
    <s v="Congelado"/>
    <s v="Vigente"/>
    <n v="799799.5"/>
  </r>
  <r>
    <x v="5"/>
    <x v="3"/>
    <x v="1"/>
    <n v="800000"/>
    <n v="0"/>
    <n v="0"/>
    <n v="0"/>
    <n v="0"/>
    <n v="0"/>
    <n v="0"/>
    <n v="0"/>
    <n v="0"/>
    <n v="0"/>
    <n v="0"/>
    <n v="0"/>
    <s v="Pagado"/>
    <s v="Pagado"/>
    <n v="0"/>
  </r>
  <r>
    <x v="6"/>
    <x v="1"/>
    <x v="0"/>
    <n v="480000"/>
    <n v="100000"/>
    <n v="380000"/>
    <n v="0"/>
    <n v="380000"/>
    <n v="0"/>
    <n v="380000"/>
    <n v="0"/>
    <n v="380000"/>
    <n v="0"/>
    <n v="0"/>
    <n v="0"/>
    <s v="Congelado"/>
    <s v="Vigente"/>
    <n v="380000"/>
  </r>
  <r>
    <x v="7"/>
    <x v="4"/>
    <x v="0"/>
    <n v="750000"/>
    <n v="0"/>
    <n v="750000"/>
    <n v="0"/>
    <n v="750000"/>
    <n v="0"/>
    <n v="750000"/>
    <n v="0"/>
    <n v="750000"/>
    <n v="300000"/>
    <m/>
    <n v="750000"/>
    <s v="Pagar Urgente"/>
    <s v="Vigente"/>
    <n v="750000"/>
  </r>
  <r>
    <x v="7"/>
    <x v="5"/>
    <x v="0"/>
    <n v="400000"/>
    <n v="0"/>
    <n v="400000"/>
    <n v="0"/>
    <n v="400000"/>
    <n v="0"/>
    <n v="400000"/>
    <n v="0"/>
    <n v="400000"/>
    <n v="0"/>
    <n v="0"/>
    <n v="0"/>
    <s v="Congelado"/>
    <s v="Papá"/>
    <n v="400000"/>
  </r>
  <r>
    <x v="7"/>
    <x v="6"/>
    <x v="0"/>
    <n v="370000"/>
    <n v="0"/>
    <n v="370000"/>
    <n v="0"/>
    <n v="370000"/>
    <n v="0"/>
    <n v="370000"/>
    <n v="0"/>
    <n v="370000"/>
    <n v="0"/>
    <n v="0"/>
    <n v="0"/>
    <s v="Congelado"/>
    <s v="Papá"/>
    <n v="370000"/>
  </r>
  <r>
    <x v="8"/>
    <x v="7"/>
    <x v="0"/>
    <n v="0"/>
    <n v="0"/>
    <n v="0"/>
    <n v="0"/>
    <n v="240000"/>
    <n v="0"/>
    <n v="0"/>
    <n v="0"/>
    <n v="750000"/>
    <n v="750000"/>
    <n v="0"/>
    <n v="750000"/>
    <s v="Pagar Urgente"/>
    <s v="Vigente"/>
    <n v="750000"/>
  </r>
  <r>
    <x v="9"/>
    <x v="8"/>
    <x v="0"/>
    <n v="180000"/>
    <n v="0"/>
    <n v="180000"/>
    <n v="0"/>
    <n v="180000"/>
    <n v="0"/>
    <n v="120000"/>
    <n v="120000"/>
    <n v="0"/>
    <n v="0"/>
    <n v="0"/>
    <n v="0"/>
    <s v="Pagado"/>
    <s v="Papá"/>
    <n v="0"/>
  </r>
  <r>
    <x v="10"/>
    <x v="9"/>
    <x v="1"/>
    <n v="3000000"/>
    <n v="0"/>
    <n v="3000000"/>
    <n v="150000"/>
    <n v="3000000"/>
    <n v="150000"/>
    <n v="3000000"/>
    <n v="150000"/>
    <n v="3000000"/>
    <n v="150000"/>
    <n v="150000"/>
    <n v="0"/>
    <s v="Financiero"/>
    <s v="Vigente"/>
    <n v="1500000"/>
  </r>
  <r>
    <x v="11"/>
    <x v="9"/>
    <x v="0"/>
    <n v="500000"/>
    <n v="150000"/>
    <n v="350000"/>
    <n v="0"/>
    <n v="260000"/>
    <n v="0"/>
    <n v="150000"/>
    <n v="150000"/>
    <n v="0"/>
    <n v="0"/>
    <n v="0"/>
    <n v="0"/>
    <s v="Pagado"/>
    <s v="Papá"/>
    <n v="0"/>
  </r>
  <r>
    <x v="12"/>
    <x v="10"/>
    <x v="0"/>
    <n v="300000"/>
    <n v="150000"/>
    <n v="150000"/>
    <n v="150000"/>
    <n v="0"/>
    <n v="0"/>
    <n v="100000"/>
    <n v="100000"/>
    <n v="0"/>
    <n v="0"/>
    <n v="0"/>
    <n v="0"/>
    <s v="Pagado"/>
    <s v="Vigente"/>
    <n v="0"/>
  </r>
  <r>
    <x v="13"/>
    <x v="11"/>
    <x v="0"/>
    <n v="429710"/>
    <n v="-631210"/>
    <n v="1060920"/>
    <n v="-463290"/>
    <n v="1524210"/>
    <n v="37000"/>
    <n v="1524210"/>
    <n v="30000"/>
    <n v="734830"/>
    <n v="150000"/>
    <m/>
    <n v="150000"/>
    <s v="Pagar Urgente"/>
    <s v="Vigente"/>
    <n v="734830"/>
  </r>
  <r>
    <x v="14"/>
    <x v="12"/>
    <x v="0"/>
    <n v="0"/>
    <n v="0"/>
    <n v="0"/>
    <n v="0"/>
    <n v="0"/>
    <n v="0"/>
    <n v="400000"/>
    <n v="400000"/>
    <n v="450000"/>
    <n v="450000"/>
    <n v="0"/>
    <n v="450000"/>
    <s v="Pagar Urgente"/>
    <s v="Vigente"/>
    <n v="450000"/>
  </r>
  <r>
    <x v="15"/>
    <x v="13"/>
    <x v="0"/>
    <n v="0"/>
    <m/>
    <n v="0"/>
    <m/>
    <n v="0"/>
    <m/>
    <n v="100000"/>
    <n v="100000"/>
    <n v="0"/>
    <n v="0"/>
    <n v="0"/>
    <n v="0"/>
    <s v="Pagado"/>
    <s v="Pagado"/>
    <n v="0"/>
  </r>
  <r>
    <x v="16"/>
    <x v="14"/>
    <x v="0"/>
    <n v="0"/>
    <m/>
    <n v="0"/>
    <m/>
    <n v="0"/>
    <m/>
    <n v="0"/>
    <n v="20000"/>
    <n v="0"/>
    <n v="0"/>
    <n v="0"/>
    <n v="0"/>
    <s v="Pagado"/>
    <s v="Pagado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6">
  <r>
    <x v="0"/>
    <d v="1899-12-30T13:00:00"/>
    <x v="0"/>
    <s v="N/A"/>
    <x v="0"/>
    <s v="D) Domingo"/>
    <x v="0"/>
    <n v="0"/>
    <n v="0"/>
    <n v="0"/>
    <n v="0"/>
  </r>
  <r>
    <x v="1"/>
    <d v="1899-12-30T13:00:00"/>
    <x v="0"/>
    <s v="N/A"/>
    <x v="1"/>
    <s v="A) Día hábil"/>
    <x v="1"/>
    <n v="0"/>
    <n v="0"/>
    <n v="0"/>
    <n v="0"/>
  </r>
  <r>
    <x v="2"/>
    <d v="1899-12-30T13:00:00"/>
    <x v="0"/>
    <s v="N/A"/>
    <x v="1"/>
    <s v="A) Día hábil"/>
    <x v="2"/>
    <n v="0"/>
    <n v="0"/>
    <n v="0"/>
    <n v="0"/>
  </r>
  <r>
    <x v="3"/>
    <d v="1899-12-30T13:00:00"/>
    <x v="0"/>
    <s v="N/A"/>
    <x v="1"/>
    <s v="A) Día hábil"/>
    <x v="3"/>
    <n v="0"/>
    <n v="0"/>
    <n v="0"/>
    <n v="0"/>
  </r>
  <r>
    <x v="4"/>
    <d v="1899-12-30T13:00:00"/>
    <x v="0"/>
    <s v="N/A"/>
    <x v="1"/>
    <s v="A) Día hábil"/>
    <x v="4"/>
    <n v="0"/>
    <n v="0"/>
    <n v="0"/>
    <n v="0"/>
  </r>
  <r>
    <x v="5"/>
    <d v="1899-12-30T13:00:00"/>
    <x v="0"/>
    <s v="N/A"/>
    <x v="1"/>
    <s v="B) Viernes"/>
    <x v="5"/>
    <n v="0"/>
    <n v="0"/>
    <n v="0"/>
    <n v="0"/>
  </r>
  <r>
    <x v="6"/>
    <d v="1899-12-30T13:00:00"/>
    <x v="0"/>
    <s v="N/A"/>
    <x v="1"/>
    <s v="C) Sábado"/>
    <x v="6"/>
    <n v="0"/>
    <n v="0"/>
    <n v="0"/>
    <n v="0"/>
  </r>
  <r>
    <x v="7"/>
    <d v="1899-12-30T13:00:00"/>
    <x v="0"/>
    <s v="N/A"/>
    <x v="1"/>
    <s v="D) Domingo"/>
    <x v="0"/>
    <n v="0"/>
    <n v="0"/>
    <n v="0"/>
    <n v="0"/>
  </r>
  <r>
    <x v="8"/>
    <d v="1899-12-30T13:00:00"/>
    <x v="0"/>
    <s v="N/A"/>
    <x v="1"/>
    <s v="D) Domingo"/>
    <x v="0"/>
    <n v="0"/>
    <n v="0"/>
    <n v="0"/>
    <n v="0"/>
  </r>
  <r>
    <x v="9"/>
    <d v="1899-12-30T13:00:00"/>
    <x v="0"/>
    <s v="N/A"/>
    <x v="2"/>
    <s v="E) Festivo"/>
    <x v="5"/>
    <n v="0"/>
    <n v="0"/>
    <n v="0"/>
    <n v="0"/>
  </r>
  <r>
    <x v="10"/>
    <s v="04:36 p. m."/>
    <x v="1"/>
    <s v="Chorizo"/>
    <x v="3"/>
    <s v="A) Día hábil"/>
    <x v="1"/>
    <n v="6400"/>
    <n v="16000"/>
    <n v="16000"/>
    <n v="0"/>
  </r>
  <r>
    <x v="10"/>
    <s v="05:01 p. m."/>
    <x v="1"/>
    <s v="Chorizo"/>
    <x v="3"/>
    <s v="A) Día hábil"/>
    <x v="1"/>
    <n v="3200"/>
    <n v="8000"/>
    <n v="0"/>
    <n v="8000"/>
  </r>
  <r>
    <x v="10"/>
    <s v="05:13 p. m."/>
    <x v="1"/>
    <s v="Chorizo"/>
    <x v="3"/>
    <s v="A) Día hábil"/>
    <x v="1"/>
    <n v="6400"/>
    <n v="16000"/>
    <n v="16000"/>
    <n v="0"/>
  </r>
  <r>
    <x v="10"/>
    <s v="05:13 p. m."/>
    <x v="1"/>
    <s v="Coca cola"/>
    <x v="3"/>
    <s v="A) Día hábil"/>
    <x v="1"/>
    <n v="2400"/>
    <n v="6000"/>
    <n v="6000"/>
    <n v="0"/>
  </r>
  <r>
    <x v="10"/>
    <s v="05:17 p. m."/>
    <x v="1"/>
    <s v="Chorizo"/>
    <x v="3"/>
    <s v="A) Día hábil"/>
    <x v="1"/>
    <n v="9600"/>
    <n v="24000"/>
    <n v="0"/>
    <n v="24000"/>
  </r>
  <r>
    <x v="10"/>
    <s v="06:00 p. m."/>
    <x v="1"/>
    <s v="Agua"/>
    <x v="3"/>
    <s v="A) Día hábil"/>
    <x v="1"/>
    <n v="2400"/>
    <n v="6000"/>
    <n v="6000"/>
    <n v="0"/>
  </r>
  <r>
    <x v="10"/>
    <s v="06:00 p. m."/>
    <x v="1"/>
    <s v="Chorizo"/>
    <x v="3"/>
    <s v="A) Día hábil"/>
    <x v="1"/>
    <n v="6400"/>
    <n v="16000"/>
    <n v="16000"/>
    <n v="0"/>
  </r>
  <r>
    <x v="10"/>
    <s v="06:02 p. m."/>
    <x v="1"/>
    <s v="Chorizo"/>
    <x v="3"/>
    <s v="A) Día hábil"/>
    <x v="1"/>
    <n v="6400"/>
    <n v="16000"/>
    <n v="16000"/>
    <n v="0"/>
  </r>
  <r>
    <x v="10"/>
    <s v="06:02 p. m."/>
    <x v="1"/>
    <s v="Postobon"/>
    <x v="3"/>
    <s v="A) Día hábil"/>
    <x v="1"/>
    <n v="1200"/>
    <n v="3000"/>
    <n v="3000"/>
    <n v="0"/>
  </r>
  <r>
    <x v="10"/>
    <s v="06:53 p. m."/>
    <x v="1"/>
    <s v="Chorizo"/>
    <x v="3"/>
    <s v="A) Día hábil"/>
    <x v="1"/>
    <n v="3200"/>
    <n v="8000"/>
    <n v="8000"/>
    <n v="0"/>
  </r>
  <r>
    <x v="10"/>
    <s v="07:05 p. m."/>
    <x v="1"/>
    <s v="Chorizo"/>
    <x v="3"/>
    <s v="A) Día hábil"/>
    <x v="1"/>
    <n v="6400"/>
    <n v="16000"/>
    <n v="16000"/>
    <n v="0"/>
  </r>
  <r>
    <x v="10"/>
    <s v="07:05 p. m."/>
    <x v="1"/>
    <s v="Coca cola"/>
    <x v="3"/>
    <s v="A) Día hábil"/>
    <x v="1"/>
    <n v="2400"/>
    <n v="6000"/>
    <n v="6000"/>
    <n v="0"/>
  </r>
  <r>
    <x v="10"/>
    <s v="07:38 p. m."/>
    <x v="1"/>
    <s v="Chorizo"/>
    <x v="3"/>
    <s v="A) Día hábil"/>
    <x v="1"/>
    <n v="9600"/>
    <n v="24000"/>
    <n v="24000"/>
    <n v="0"/>
  </r>
  <r>
    <x v="10"/>
    <s v="08:11 p. m."/>
    <x v="1"/>
    <s v="Chorizo"/>
    <x v="3"/>
    <s v="A) Día hábil"/>
    <x v="1"/>
    <n v="3200"/>
    <n v="8000"/>
    <n v="8000"/>
    <n v="0"/>
  </r>
  <r>
    <x v="10"/>
    <s v="08:15 p. m."/>
    <x v="1"/>
    <s v="Chorizo"/>
    <x v="3"/>
    <s v="A) Día hábil"/>
    <x v="1"/>
    <n v="3200"/>
    <n v="8000"/>
    <n v="8000"/>
    <n v="0"/>
  </r>
  <r>
    <x v="10"/>
    <s v="08:17 p. m."/>
    <x v="1"/>
    <s v="Chorizo"/>
    <x v="3"/>
    <s v="A) Día hábil"/>
    <x v="1"/>
    <n v="3200"/>
    <n v="8000"/>
    <n v="8000"/>
    <n v="0"/>
  </r>
  <r>
    <x v="10"/>
    <s v="08:17 p. m."/>
    <x v="1"/>
    <s v="Postobon"/>
    <x v="3"/>
    <s v="A) Día hábil"/>
    <x v="1"/>
    <n v="1200"/>
    <n v="3000"/>
    <n v="3000"/>
    <n v="0"/>
  </r>
  <r>
    <x v="10"/>
    <s v="08:24 p. m."/>
    <x v="1"/>
    <s v="Chorizo"/>
    <x v="3"/>
    <s v="A) Día hábil"/>
    <x v="1"/>
    <n v="9600"/>
    <n v="24000"/>
    <n v="24000"/>
    <n v="0"/>
  </r>
  <r>
    <x v="10"/>
    <s v="08:27 p. m."/>
    <x v="1"/>
    <s v="Chorizo"/>
    <x v="3"/>
    <s v="A) Día hábil"/>
    <x v="1"/>
    <n v="3200"/>
    <n v="8000"/>
    <n v="8000"/>
    <n v="0"/>
  </r>
  <r>
    <x v="11"/>
    <s v="03:34 p. m."/>
    <x v="1"/>
    <s v="Chorizo"/>
    <x v="3"/>
    <s v="A) Día hábil"/>
    <x v="2"/>
    <n v="16000"/>
    <n v="40000"/>
    <n v="40000"/>
    <n v="0"/>
  </r>
  <r>
    <x v="11"/>
    <s v="03:35 p. m."/>
    <x v="1"/>
    <s v="Chorizo"/>
    <x v="3"/>
    <s v="A) Día hábil"/>
    <x v="2"/>
    <n v="9600"/>
    <n v="24000"/>
    <n v="24000"/>
    <n v="0"/>
  </r>
  <r>
    <x v="11"/>
    <s v="05:45 p. m."/>
    <x v="1"/>
    <s v="Chorizo"/>
    <x v="3"/>
    <s v="A) Día hábil"/>
    <x v="2"/>
    <n v="3200"/>
    <n v="8000"/>
    <n v="8000"/>
    <n v="0"/>
  </r>
  <r>
    <x v="11"/>
    <s v="06:13 p. m."/>
    <x v="1"/>
    <s v="Chorizo"/>
    <x v="3"/>
    <s v="A) Día hábil"/>
    <x v="2"/>
    <n v="3200"/>
    <n v="8000"/>
    <n v="8000"/>
    <n v="0"/>
  </r>
  <r>
    <x v="11"/>
    <s v="06:34 p. m."/>
    <x v="1"/>
    <s v="Chorizo"/>
    <x v="3"/>
    <s v="A) Día hábil"/>
    <x v="2"/>
    <n v="6400"/>
    <n v="16000"/>
    <n v="16000"/>
    <n v="0"/>
  </r>
  <r>
    <x v="11"/>
    <s v="06:36 p. m."/>
    <x v="1"/>
    <s v="Chorizo"/>
    <x v="3"/>
    <s v="A) Día hábil"/>
    <x v="2"/>
    <n v="3200"/>
    <n v="8000"/>
    <n v="8000"/>
    <n v="0"/>
  </r>
  <r>
    <x v="11"/>
    <s v="06:42 p. m."/>
    <x v="1"/>
    <s v="Chori- CRUDO"/>
    <x v="3"/>
    <s v="A) Día hábil"/>
    <x v="2"/>
    <n v="3600"/>
    <n v="9000"/>
    <n v="9000"/>
    <n v="0"/>
  </r>
  <r>
    <x v="11"/>
    <s v="06:42 p. m."/>
    <x v="1"/>
    <s v="Chorizo"/>
    <x v="3"/>
    <s v="A) Día hábil"/>
    <x v="2"/>
    <n v="3200"/>
    <n v="8000"/>
    <n v="8000"/>
    <n v="0"/>
  </r>
  <r>
    <x v="11"/>
    <s v="07:07 p. m."/>
    <x v="1"/>
    <s v="Chorizo"/>
    <x v="3"/>
    <s v="A) Día hábil"/>
    <x v="2"/>
    <n v="3200"/>
    <n v="8000"/>
    <n v="8000"/>
    <n v="0"/>
  </r>
  <r>
    <x v="11"/>
    <s v="08:01 p. m."/>
    <x v="1"/>
    <s v="Chorizo"/>
    <x v="3"/>
    <s v="A) Día hábil"/>
    <x v="2"/>
    <n v="3200"/>
    <n v="8000"/>
    <n v="0"/>
    <n v="8000"/>
  </r>
  <r>
    <x v="11"/>
    <s v="08:05 p. m."/>
    <x v="1"/>
    <s v="Chorizo"/>
    <x v="3"/>
    <s v="A) Día hábil"/>
    <x v="2"/>
    <n v="3200"/>
    <n v="8000"/>
    <n v="8000"/>
    <n v="0"/>
  </r>
  <r>
    <x v="11"/>
    <s v="08:19 p. m."/>
    <x v="1"/>
    <s v="Agua"/>
    <x v="3"/>
    <s v="A) Día hábil"/>
    <x v="2"/>
    <n v="1200"/>
    <n v="3000"/>
    <n v="3000"/>
    <n v="0"/>
  </r>
  <r>
    <x v="11"/>
    <s v="08:19 p. m."/>
    <x v="1"/>
    <s v="Chorizo"/>
    <x v="3"/>
    <s v="A) Día hábil"/>
    <x v="2"/>
    <n v="9600"/>
    <n v="24000"/>
    <n v="24000"/>
    <n v="0"/>
  </r>
  <r>
    <x v="11"/>
    <s v="08:19 p. m."/>
    <x v="1"/>
    <s v="Postobon"/>
    <x v="3"/>
    <s v="A) Día hábil"/>
    <x v="2"/>
    <n v="1200"/>
    <n v="3000"/>
    <n v="3000"/>
    <n v="0"/>
  </r>
  <r>
    <x v="11"/>
    <s v="08:23 p. m."/>
    <x v="1"/>
    <s v="Chorizo"/>
    <x v="3"/>
    <s v="A) Día hábil"/>
    <x v="2"/>
    <n v="12800"/>
    <n v="32000"/>
    <n v="32000"/>
    <n v="0"/>
  </r>
  <r>
    <x v="11"/>
    <s v="08:23 p. m."/>
    <x v="1"/>
    <s v="Coca cola"/>
    <x v="3"/>
    <s v="A) Día hábil"/>
    <x v="2"/>
    <n v="2400"/>
    <n v="6000"/>
    <n v="6000"/>
    <n v="0"/>
  </r>
  <r>
    <x v="11"/>
    <s v="08:49 p. m."/>
    <x v="1"/>
    <s v="Chorizo"/>
    <x v="3"/>
    <s v="A) Día hábil"/>
    <x v="2"/>
    <n v="3200"/>
    <n v="8000"/>
    <n v="8000"/>
    <n v="0"/>
  </r>
  <r>
    <x v="12"/>
    <s v="01:52 p. m."/>
    <x v="1"/>
    <s v="Chorizo"/>
    <x v="3"/>
    <s v="A) Día hábil"/>
    <x v="3"/>
    <n v="3200"/>
    <n v="8000"/>
    <n v="8000"/>
    <n v="0"/>
  </r>
  <r>
    <x v="12"/>
    <s v="01:55 p. m."/>
    <x v="1"/>
    <s v="Chorizo"/>
    <x v="3"/>
    <s v="A) Día hábil"/>
    <x v="3"/>
    <n v="3200"/>
    <n v="8000"/>
    <n v="8000"/>
    <n v="0"/>
  </r>
  <r>
    <x v="12"/>
    <s v="02:05 p. m."/>
    <x v="1"/>
    <s v="Chorizo"/>
    <x v="3"/>
    <s v="A) Día hábil"/>
    <x v="3"/>
    <n v="3200"/>
    <n v="8000"/>
    <n v="8000"/>
    <n v="0"/>
  </r>
  <r>
    <x v="12"/>
    <s v="02:11 p. m."/>
    <x v="1"/>
    <s v="parri tres carnes"/>
    <x v="3"/>
    <s v="A) Día hábil"/>
    <x v="3"/>
    <n v="14000"/>
    <n v="35000"/>
    <n v="35000"/>
    <n v="0"/>
  </r>
  <r>
    <x v="12"/>
    <s v="02:24 p. m."/>
    <x v="1"/>
    <s v="parri tres carnes"/>
    <x v="3"/>
    <s v="A) Día hábil"/>
    <x v="3"/>
    <n v="14000"/>
    <n v="35000"/>
    <n v="35000"/>
    <n v="0"/>
  </r>
  <r>
    <x v="12"/>
    <s v="02:25 p. m."/>
    <x v="1"/>
    <s v="Chorizo"/>
    <x v="3"/>
    <s v="A) Día hábil"/>
    <x v="3"/>
    <n v="6400"/>
    <n v="16000"/>
    <n v="16000"/>
    <n v="0"/>
  </r>
  <r>
    <x v="12"/>
    <s v="04:40 p. m."/>
    <x v="1"/>
    <s v="Chorizo"/>
    <x v="3"/>
    <s v="A) Día hábil"/>
    <x v="3"/>
    <n v="3200"/>
    <n v="8000"/>
    <n v="8000"/>
    <n v="0"/>
  </r>
  <r>
    <x v="12"/>
    <s v="04:41 p. m."/>
    <x v="1"/>
    <s v="Chorizo"/>
    <x v="3"/>
    <s v="A) Día hábil"/>
    <x v="3"/>
    <n v="3200"/>
    <n v="8000"/>
    <n v="0"/>
    <n v="8000"/>
  </r>
  <r>
    <x v="12"/>
    <s v="06:17 p. m."/>
    <x v="1"/>
    <s v="Chorizo"/>
    <x v="3"/>
    <s v="A) Día hábil"/>
    <x v="3"/>
    <n v="3200"/>
    <n v="8000"/>
    <n v="8000"/>
    <n v="0"/>
  </r>
  <r>
    <x v="12"/>
    <s v="06:20 p. m."/>
    <x v="1"/>
    <s v="Chorizo"/>
    <x v="3"/>
    <s v="A) Día hábil"/>
    <x v="3"/>
    <n v="3200"/>
    <n v="8000"/>
    <n v="8000"/>
    <n v="0"/>
  </r>
  <r>
    <x v="12"/>
    <s v="06:26 p. m."/>
    <x v="1"/>
    <s v="Chorizo"/>
    <x v="3"/>
    <s v="A) Día hábil"/>
    <x v="3"/>
    <n v="3200"/>
    <n v="8000"/>
    <n v="8000"/>
    <n v="0"/>
  </r>
  <r>
    <x v="12"/>
    <s v="06:34 p. m."/>
    <x v="1"/>
    <s v="Chorizo"/>
    <x v="3"/>
    <s v="A) Día hábil"/>
    <x v="3"/>
    <n v="16000"/>
    <n v="40000"/>
    <n v="40000"/>
    <n v="0"/>
  </r>
  <r>
    <x v="12"/>
    <s v="06:34 p. m."/>
    <x v="1"/>
    <s v="Coca cola"/>
    <x v="3"/>
    <s v="A) Día hábil"/>
    <x v="3"/>
    <n v="2400"/>
    <n v="6000"/>
    <n v="6000"/>
    <n v="0"/>
  </r>
  <r>
    <x v="12"/>
    <s v="06:34 p. m."/>
    <x v="1"/>
    <s v="Postobon"/>
    <x v="3"/>
    <s v="A) Día hábil"/>
    <x v="3"/>
    <n v="1200"/>
    <n v="3000"/>
    <n v="3000"/>
    <n v="0"/>
  </r>
  <r>
    <x v="12"/>
    <s v="06:39 p. m."/>
    <x v="1"/>
    <s v="Chorizo"/>
    <x v="3"/>
    <s v="A) Día hábil"/>
    <x v="3"/>
    <n v="9600"/>
    <n v="24000"/>
    <n v="24000"/>
    <n v="0"/>
  </r>
  <r>
    <x v="12"/>
    <s v="07:10 p. m."/>
    <x v="1"/>
    <s v="Chorizo"/>
    <x v="3"/>
    <s v="A) Día hábil"/>
    <x v="3"/>
    <n v="3200"/>
    <n v="8000"/>
    <n v="0"/>
    <n v="8000"/>
  </r>
  <r>
    <x v="12"/>
    <s v="07:12 p. m."/>
    <x v="1"/>
    <s v="Chorizo"/>
    <x v="3"/>
    <s v="A) Día hábil"/>
    <x v="3"/>
    <n v="3200"/>
    <n v="8000"/>
    <n v="8000"/>
    <n v="0"/>
  </r>
  <r>
    <x v="12"/>
    <s v="07:12 p. m."/>
    <x v="1"/>
    <s v="Coca cola"/>
    <x v="3"/>
    <s v="A) Día hábil"/>
    <x v="3"/>
    <n v="1200"/>
    <n v="3000"/>
    <n v="3000"/>
    <n v="0"/>
  </r>
  <r>
    <x v="12"/>
    <s v="07:21 p. m."/>
    <x v="1"/>
    <s v="Chori- CRUDO"/>
    <x v="3"/>
    <s v="A) Día hábil"/>
    <x v="3"/>
    <n v="9000"/>
    <n v="22500"/>
    <n v="0"/>
    <n v="22500"/>
  </r>
  <r>
    <x v="12"/>
    <s v="07:39 p. m."/>
    <x v="1"/>
    <s v="parri tres carnes"/>
    <x v="3"/>
    <s v="A) Día hábil"/>
    <x v="3"/>
    <n v="14000"/>
    <n v="35000"/>
    <n v="35000"/>
    <n v="0"/>
  </r>
  <r>
    <x v="12"/>
    <s v="07:39 p. m."/>
    <x v="1"/>
    <s v="Postobon"/>
    <x v="3"/>
    <s v="A) Día hábil"/>
    <x v="3"/>
    <n v="1200"/>
    <n v="3000"/>
    <n v="3000"/>
    <n v="0"/>
  </r>
  <r>
    <x v="12"/>
    <s v="07:40 p. m."/>
    <x v="1"/>
    <s v="Chorizo"/>
    <x v="3"/>
    <s v="A) Día hábil"/>
    <x v="3"/>
    <n v="6400"/>
    <n v="16000"/>
    <n v="16000"/>
    <n v="0"/>
  </r>
  <r>
    <x v="12"/>
    <s v="07:58 p. m."/>
    <x v="1"/>
    <s v="Chorizo"/>
    <x v="3"/>
    <s v="A) Día hábil"/>
    <x v="3"/>
    <n v="6400"/>
    <n v="16000"/>
    <n v="16000"/>
    <n v="0"/>
  </r>
  <r>
    <x v="12"/>
    <s v="08:06 p. m."/>
    <x v="1"/>
    <s v="Chorizo"/>
    <x v="3"/>
    <s v="A) Día hábil"/>
    <x v="3"/>
    <n v="12800"/>
    <n v="32000"/>
    <n v="32000"/>
    <n v="0"/>
  </r>
  <r>
    <x v="12"/>
    <s v="08:12 p. m."/>
    <x v="1"/>
    <s v="Chorizo"/>
    <x v="3"/>
    <s v="A) Día hábil"/>
    <x v="3"/>
    <n v="3200"/>
    <n v="8000"/>
    <n v="0"/>
    <n v="8000"/>
  </r>
  <r>
    <x v="12"/>
    <s v="08:21 p. m."/>
    <x v="1"/>
    <s v="Chorizo"/>
    <x v="3"/>
    <s v="A) Día hábil"/>
    <x v="3"/>
    <n v="6400"/>
    <n v="16000"/>
    <n v="16000"/>
    <n v="0"/>
  </r>
  <r>
    <x v="13"/>
    <s v="01:22 p. m."/>
    <x v="1"/>
    <s v="Chori- CRUDO"/>
    <x v="3"/>
    <s v="A) Día hábil"/>
    <x v="4"/>
    <n v="3600"/>
    <n v="9000"/>
    <n v="9000"/>
    <n v="0"/>
  </r>
  <r>
    <x v="13"/>
    <s v="01:27 p. m."/>
    <x v="1"/>
    <s v="Chorizo"/>
    <x v="3"/>
    <s v="A) Día hábil"/>
    <x v="4"/>
    <n v="6400"/>
    <n v="16000"/>
    <n v="16000"/>
    <n v="0"/>
  </r>
  <r>
    <x v="13"/>
    <s v="03:13 p. m."/>
    <x v="1"/>
    <s v="carne + chorizo"/>
    <x v="3"/>
    <s v="A) Día hábil"/>
    <x v="4"/>
    <n v="10000"/>
    <n v="25000"/>
    <n v="0"/>
    <n v="25000"/>
  </r>
  <r>
    <x v="13"/>
    <s v="05:27 p. m."/>
    <x v="1"/>
    <s v="Chorizo"/>
    <x v="3"/>
    <s v="A) Día hábil"/>
    <x v="4"/>
    <n v="16000"/>
    <n v="40000"/>
    <n v="0"/>
    <n v="40000"/>
  </r>
  <r>
    <x v="13"/>
    <s v="05:27 p. m."/>
    <x v="1"/>
    <s v="Postobon"/>
    <x v="3"/>
    <s v="A) Día hábil"/>
    <x v="4"/>
    <n v="3600"/>
    <n v="9000"/>
    <n v="0"/>
    <n v="9000"/>
  </r>
  <r>
    <x v="13"/>
    <s v="06:04 p. m."/>
    <x v="1"/>
    <s v="Chorizo"/>
    <x v="3"/>
    <s v="A) Día hábil"/>
    <x v="4"/>
    <n v="3200"/>
    <n v="8000"/>
    <n v="8000"/>
    <n v="0"/>
  </r>
  <r>
    <x v="13"/>
    <s v="06:18 p. m."/>
    <x v="1"/>
    <s v="Chorizo"/>
    <x v="3"/>
    <s v="A) Día hábil"/>
    <x v="4"/>
    <n v="3200"/>
    <n v="8000"/>
    <n v="0"/>
    <n v="8000"/>
  </r>
  <r>
    <x v="13"/>
    <s v="06:20 p. m."/>
    <x v="1"/>
    <s v="Chorizo"/>
    <x v="3"/>
    <s v="A) Día hábil"/>
    <x v="4"/>
    <n v="3200"/>
    <n v="8000"/>
    <n v="8000"/>
    <n v="0"/>
  </r>
  <r>
    <x v="13"/>
    <s v="06:33 p. m."/>
    <x v="1"/>
    <s v="Chorizo"/>
    <x v="3"/>
    <s v="A) Día hábil"/>
    <x v="4"/>
    <n v="3200"/>
    <n v="8000"/>
    <n v="0"/>
    <n v="8000"/>
  </r>
  <r>
    <x v="13"/>
    <s v="07:04 p. m."/>
    <x v="1"/>
    <s v="Chorizo"/>
    <x v="3"/>
    <s v="A) Día hábil"/>
    <x v="4"/>
    <n v="6400"/>
    <n v="16000"/>
    <n v="16000"/>
    <n v="0"/>
  </r>
  <r>
    <x v="13"/>
    <s v="07:29 p. m."/>
    <x v="1"/>
    <s v="Chorizo"/>
    <x v="3"/>
    <s v="A) Día hábil"/>
    <x v="4"/>
    <n v="6400"/>
    <n v="16000"/>
    <n v="0"/>
    <n v="16000"/>
  </r>
  <r>
    <x v="13"/>
    <s v="07:29 p. m."/>
    <x v="1"/>
    <s v="Coca cola"/>
    <x v="3"/>
    <s v="A) Día hábil"/>
    <x v="4"/>
    <n v="1200"/>
    <n v="3000"/>
    <n v="0"/>
    <n v="3000"/>
  </r>
  <r>
    <x v="13"/>
    <s v="07:31 p. m."/>
    <x v="1"/>
    <s v="Chorizo"/>
    <x v="3"/>
    <s v="A) Día hábil"/>
    <x v="4"/>
    <n v="3200"/>
    <n v="8000"/>
    <n v="8000"/>
    <n v="0"/>
  </r>
  <r>
    <x v="13"/>
    <s v="07:33 p. m."/>
    <x v="1"/>
    <s v="Chorizo"/>
    <x v="3"/>
    <s v="A) Día hábil"/>
    <x v="4"/>
    <n v="3200"/>
    <n v="8000"/>
    <n v="8000"/>
    <n v="0"/>
  </r>
  <r>
    <x v="13"/>
    <s v="08:15 p. m."/>
    <x v="1"/>
    <s v="Chorizo"/>
    <x v="3"/>
    <s v="A) Día hábil"/>
    <x v="4"/>
    <n v="3200"/>
    <n v="8000"/>
    <n v="8000"/>
    <n v="0"/>
  </r>
  <r>
    <x v="13"/>
    <s v="08:15 p. m."/>
    <x v="1"/>
    <s v="Postobon"/>
    <x v="3"/>
    <s v="A) Día hábil"/>
    <x v="4"/>
    <n v="1200"/>
    <n v="3000"/>
    <n v="3000"/>
    <n v="0"/>
  </r>
  <r>
    <x v="13"/>
    <s v="08:15 p. m."/>
    <x v="1"/>
    <s v="Chorizo"/>
    <x v="3"/>
    <s v="A) Día hábil"/>
    <x v="4"/>
    <n v="3200"/>
    <n v="8000"/>
    <n v="0"/>
    <n v="8000"/>
  </r>
  <r>
    <x v="13"/>
    <s v="08:15 p. m."/>
    <x v="1"/>
    <s v="Chorizo"/>
    <x v="3"/>
    <s v="A) Día hábil"/>
    <x v="4"/>
    <n v="3200"/>
    <n v="8000"/>
    <n v="0"/>
    <n v="8000"/>
  </r>
  <r>
    <x v="14"/>
    <s v="03:07 p. m."/>
    <x v="1"/>
    <s v="Chorizo"/>
    <x v="3"/>
    <s v="B) Viernes"/>
    <x v="5"/>
    <n v="3200"/>
    <n v="8000"/>
    <n v="0"/>
    <n v="8000"/>
  </r>
  <r>
    <x v="14"/>
    <s v="03:07 p. m."/>
    <x v="1"/>
    <s v="Postobon"/>
    <x v="3"/>
    <s v="B) Viernes"/>
    <x v="5"/>
    <n v="1200"/>
    <n v="3000"/>
    <n v="0"/>
    <n v="3000"/>
  </r>
  <r>
    <x v="14"/>
    <s v="03:09 p. m."/>
    <x v="1"/>
    <s v="Chorizo"/>
    <x v="3"/>
    <s v="B) Viernes"/>
    <x v="5"/>
    <n v="3200"/>
    <n v="8000"/>
    <n v="8000"/>
    <n v="0"/>
  </r>
  <r>
    <x v="14"/>
    <s v="05:10 p. m."/>
    <x v="1"/>
    <s v="Chorizo"/>
    <x v="3"/>
    <s v="B) Viernes"/>
    <x v="5"/>
    <n v="3200"/>
    <n v="8000"/>
    <n v="8000"/>
    <n v="0"/>
  </r>
  <r>
    <x v="14"/>
    <s v="05:10 p. m."/>
    <x v="1"/>
    <s v="parri tres carnes"/>
    <x v="3"/>
    <s v="B) Viernes"/>
    <x v="5"/>
    <n v="14000"/>
    <n v="35000"/>
    <n v="35000"/>
    <n v="0"/>
  </r>
  <r>
    <x v="14"/>
    <s v="05:10 p. m."/>
    <x v="1"/>
    <s v="tinto"/>
    <x v="3"/>
    <s v="B) Viernes"/>
    <x v="5"/>
    <n v="800"/>
    <n v="2000"/>
    <n v="2000"/>
    <n v="0"/>
  </r>
  <r>
    <x v="14"/>
    <s v="05:24 p. m."/>
    <x v="1"/>
    <s v="Chorizo"/>
    <x v="3"/>
    <s v="B) Viernes"/>
    <x v="5"/>
    <n v="9600"/>
    <n v="24000"/>
    <n v="24000"/>
    <n v="0"/>
  </r>
  <r>
    <x v="14"/>
    <s v="05:24 p. m."/>
    <x v="1"/>
    <s v="Coca cola"/>
    <x v="3"/>
    <s v="B) Viernes"/>
    <x v="5"/>
    <n v="2400"/>
    <n v="6000"/>
    <n v="6000"/>
    <n v="0"/>
  </r>
  <r>
    <x v="14"/>
    <s v="05:24 p. m."/>
    <x v="1"/>
    <s v="parri tres carnes"/>
    <x v="3"/>
    <s v="B) Viernes"/>
    <x v="5"/>
    <n v="14000"/>
    <n v="35000"/>
    <n v="35000"/>
    <n v="0"/>
  </r>
  <r>
    <x v="14"/>
    <s v="05:48 p. m."/>
    <x v="1"/>
    <s v="Chorizo"/>
    <x v="3"/>
    <s v="B) Viernes"/>
    <x v="5"/>
    <n v="6400"/>
    <n v="16000"/>
    <n v="16000"/>
    <n v="0"/>
  </r>
  <r>
    <x v="14"/>
    <s v="05:48 p. m."/>
    <x v="1"/>
    <s v="Coca cola"/>
    <x v="3"/>
    <s v="B) Viernes"/>
    <x v="5"/>
    <n v="1200"/>
    <n v="3000"/>
    <n v="3000"/>
    <n v="0"/>
  </r>
  <r>
    <x v="14"/>
    <s v="06:16 p. m."/>
    <x v="1"/>
    <s v="Chorizo"/>
    <x v="3"/>
    <s v="B) Viernes"/>
    <x v="5"/>
    <n v="9600"/>
    <n v="24000"/>
    <n v="0"/>
    <n v="24000"/>
  </r>
  <r>
    <x v="14"/>
    <s v="07:46 p. m."/>
    <x v="1"/>
    <s v="Agua"/>
    <x v="3"/>
    <s v="B) Viernes"/>
    <x v="5"/>
    <n v="1200"/>
    <n v="3000"/>
    <n v="0"/>
    <n v="3000"/>
  </r>
  <r>
    <x v="14"/>
    <s v="07:46 p. m."/>
    <x v="1"/>
    <s v="Chorizo"/>
    <x v="3"/>
    <s v="B) Viernes"/>
    <x v="5"/>
    <n v="3200"/>
    <n v="8000"/>
    <n v="0"/>
    <n v="8000"/>
  </r>
  <r>
    <x v="14"/>
    <s v="08:04 p. m."/>
    <x v="1"/>
    <s v="Chorizo"/>
    <x v="3"/>
    <s v="B) Viernes"/>
    <x v="5"/>
    <n v="6400"/>
    <n v="16000"/>
    <n v="0"/>
    <n v="16000"/>
  </r>
  <r>
    <x v="14"/>
    <s v="08:05 p. m."/>
    <x v="1"/>
    <s v="Chorizo"/>
    <x v="3"/>
    <s v="B) Viernes"/>
    <x v="5"/>
    <n v="12800"/>
    <n v="32000"/>
    <n v="32000"/>
    <n v="0"/>
  </r>
  <r>
    <x v="14"/>
    <s v="08:05 p. m."/>
    <x v="1"/>
    <s v="Coca cola"/>
    <x v="3"/>
    <s v="B) Viernes"/>
    <x v="5"/>
    <n v="3600"/>
    <n v="9000"/>
    <n v="9000"/>
    <n v="0"/>
  </r>
  <r>
    <x v="14"/>
    <s v="08:08 p. m."/>
    <x v="1"/>
    <s v="Chorizo"/>
    <x v="3"/>
    <s v="B) Viernes"/>
    <x v="5"/>
    <n v="3200"/>
    <n v="8000"/>
    <n v="8000"/>
    <n v="0"/>
  </r>
  <r>
    <x v="15"/>
    <s v="06:57 p. m."/>
    <x v="1"/>
    <s v="Chori- CRUDO"/>
    <x v="3"/>
    <s v="C) Sábado"/>
    <x v="6"/>
    <n v="10800"/>
    <n v="27000"/>
    <n v="27000"/>
    <n v="0"/>
  </r>
  <r>
    <x v="15"/>
    <s v="06:57 p. m."/>
    <x v="1"/>
    <s v="Chorizo"/>
    <x v="3"/>
    <s v="C) Sábado"/>
    <x v="6"/>
    <n v="6400"/>
    <n v="16000"/>
    <n v="0"/>
    <n v="16000"/>
  </r>
  <r>
    <x v="15"/>
    <s v="06:58 p. m."/>
    <x v="1"/>
    <s v="Agua"/>
    <x v="3"/>
    <s v="C) Sábado"/>
    <x v="6"/>
    <n v="1200"/>
    <n v="3000"/>
    <n v="0"/>
    <n v="3000"/>
  </r>
  <r>
    <x v="15"/>
    <s v="06:58 p. m."/>
    <x v="1"/>
    <s v="Chorizo"/>
    <x v="3"/>
    <s v="C) Sábado"/>
    <x v="6"/>
    <n v="3200"/>
    <n v="8000"/>
    <n v="0"/>
    <n v="8000"/>
  </r>
  <r>
    <x v="15"/>
    <s v="06:58 p. m."/>
    <x v="1"/>
    <s v="tinto"/>
    <x v="3"/>
    <s v="C) Sábado"/>
    <x v="6"/>
    <n v="800"/>
    <n v="2000"/>
    <n v="0"/>
    <n v="2000"/>
  </r>
  <r>
    <x v="15"/>
    <s v="07:01 p. m."/>
    <x v="1"/>
    <s v="Chorizo"/>
    <x v="3"/>
    <s v="C) Sábado"/>
    <x v="6"/>
    <n v="6400"/>
    <n v="16000"/>
    <n v="16000"/>
    <n v="0"/>
  </r>
  <r>
    <x v="15"/>
    <s v="07:01 p. m."/>
    <x v="1"/>
    <s v="Coca cola"/>
    <x v="3"/>
    <s v="C) Sábado"/>
    <x v="6"/>
    <n v="1200"/>
    <n v="3000"/>
    <n v="3000"/>
    <n v="0"/>
  </r>
  <r>
    <x v="15"/>
    <s v="07:02 p. m."/>
    <x v="1"/>
    <s v="Chorizo"/>
    <x v="3"/>
    <s v="C) Sábado"/>
    <x v="6"/>
    <n v="6400"/>
    <n v="16000"/>
    <n v="16000"/>
    <n v="0"/>
  </r>
  <r>
    <x v="15"/>
    <s v="07:02 p. m."/>
    <x v="1"/>
    <s v="Coca cola"/>
    <x v="3"/>
    <s v="C) Sábado"/>
    <x v="6"/>
    <n v="1200"/>
    <n v="3000"/>
    <n v="3000"/>
    <n v="0"/>
  </r>
  <r>
    <x v="15"/>
    <s v="07:03 p. m."/>
    <x v="1"/>
    <s v="Chorizo"/>
    <x v="3"/>
    <s v="C) Sábado"/>
    <x v="6"/>
    <n v="3200"/>
    <n v="8000"/>
    <n v="8000"/>
    <n v="0"/>
  </r>
  <r>
    <x v="15"/>
    <s v="07:03 p. m."/>
    <x v="1"/>
    <s v="Coca cola"/>
    <x v="3"/>
    <s v="C) Sábado"/>
    <x v="6"/>
    <n v="1200"/>
    <n v="3000"/>
    <n v="3000"/>
    <n v="0"/>
  </r>
  <r>
    <x v="15"/>
    <s v="07:03 p. m."/>
    <x v="1"/>
    <s v="Chorizo"/>
    <x v="3"/>
    <s v="C) Sábado"/>
    <x v="6"/>
    <n v="12800"/>
    <n v="32000"/>
    <n v="32000"/>
    <n v="0"/>
  </r>
  <r>
    <x v="15"/>
    <s v="07:03 p. m."/>
    <x v="1"/>
    <s v="Coca cola"/>
    <x v="3"/>
    <s v="C) Sábado"/>
    <x v="6"/>
    <n v="2400"/>
    <n v="6000"/>
    <n v="6000"/>
    <n v="0"/>
  </r>
  <r>
    <x v="15"/>
    <s v="07:04 p. m."/>
    <x v="1"/>
    <s v="Chorizo"/>
    <x v="3"/>
    <s v="C) Sábado"/>
    <x v="6"/>
    <n v="6400"/>
    <n v="16000"/>
    <n v="16000"/>
    <n v="0"/>
  </r>
  <r>
    <x v="15"/>
    <s v="07:04 p. m."/>
    <x v="1"/>
    <s v="Chorizo"/>
    <x v="3"/>
    <s v="C) Sábado"/>
    <x v="6"/>
    <n v="9600"/>
    <n v="24000"/>
    <n v="24000"/>
    <n v="0"/>
  </r>
  <r>
    <x v="15"/>
    <s v="07:04 p. m."/>
    <x v="1"/>
    <s v="Hit"/>
    <x v="3"/>
    <s v="C) Sábado"/>
    <x v="6"/>
    <n v="1800"/>
    <n v="4500"/>
    <n v="4500"/>
    <n v="0"/>
  </r>
  <r>
    <x v="15"/>
    <s v="07:05 p. m."/>
    <x v="1"/>
    <s v="parri tres carnes"/>
    <x v="3"/>
    <s v="C) Sábado"/>
    <x v="6"/>
    <n v="14000"/>
    <n v="35000"/>
    <n v="35000"/>
    <n v="0"/>
  </r>
  <r>
    <x v="15"/>
    <s v="07:05 p. m."/>
    <x v="1"/>
    <s v="parri tres carnes"/>
    <x v="3"/>
    <s v="C) Sábado"/>
    <x v="6"/>
    <n v="14000"/>
    <n v="35000"/>
    <n v="35000"/>
    <n v="0"/>
  </r>
  <r>
    <x v="15"/>
    <s v="07:07 p. m."/>
    <x v="1"/>
    <s v="parri 48"/>
    <x v="3"/>
    <s v="C) Sábado"/>
    <x v="6"/>
    <n v="19200"/>
    <n v="48000"/>
    <n v="48000"/>
    <n v="0"/>
  </r>
  <r>
    <x v="15"/>
    <s v="07:08 p. m."/>
    <x v="1"/>
    <s v="parri 70"/>
    <x v="3"/>
    <s v="C) Sábado"/>
    <x v="6"/>
    <n v="56000"/>
    <n v="140000"/>
    <n v="140000"/>
    <n v="0"/>
  </r>
  <r>
    <x v="15"/>
    <s v="07:08 p. m."/>
    <x v="1"/>
    <s v="parri 40"/>
    <x v="3"/>
    <s v="C) Sábado"/>
    <x v="6"/>
    <n v="16000"/>
    <n v="40000"/>
    <n v="40000"/>
    <n v="0"/>
  </r>
  <r>
    <x v="15"/>
    <s v="07:10 p. m."/>
    <x v="1"/>
    <s v="Chori- CRUDO"/>
    <x v="3"/>
    <s v="C) Sábado"/>
    <x v="6"/>
    <n v="7200"/>
    <n v="18000"/>
    <n v="0"/>
    <n v="18000"/>
  </r>
  <r>
    <x v="16"/>
    <s v="12:16 p. m."/>
    <x v="1"/>
    <s v="Chorizo"/>
    <x v="2"/>
    <s v="A) Día hábil"/>
    <x v="1"/>
    <n v="3200"/>
    <n v="8000"/>
    <n v="8000"/>
    <n v="0"/>
  </r>
  <r>
    <x v="16"/>
    <s v="12:16 p. m."/>
    <x v="1"/>
    <s v="Coca cola"/>
    <x v="2"/>
    <s v="A) Día hábil"/>
    <x v="1"/>
    <n v="1200"/>
    <n v="3000"/>
    <n v="3000"/>
    <n v="0"/>
  </r>
  <r>
    <x v="16"/>
    <s v="05:17 p. m."/>
    <x v="1"/>
    <s v="Chorizo"/>
    <x v="2"/>
    <s v="A) Día hábil"/>
    <x v="1"/>
    <n v="3200"/>
    <n v="8000"/>
    <n v="8000"/>
    <n v="0"/>
  </r>
  <r>
    <x v="16"/>
    <s v="05:39 p. m."/>
    <x v="1"/>
    <s v="Chorizo"/>
    <x v="2"/>
    <s v="A) Día hábil"/>
    <x v="1"/>
    <n v="3200"/>
    <n v="8000"/>
    <n v="8000"/>
    <n v="0"/>
  </r>
  <r>
    <x v="16"/>
    <s v="07:48 p. m."/>
    <x v="1"/>
    <s v="Chorizo"/>
    <x v="2"/>
    <s v="A) Día hábil"/>
    <x v="1"/>
    <n v="9600"/>
    <n v="24000"/>
    <n v="24000"/>
    <n v="0"/>
  </r>
  <r>
    <x v="16"/>
    <s v="07:48 p. m."/>
    <x v="1"/>
    <s v="Coca cola"/>
    <x v="2"/>
    <s v="A) Día hábil"/>
    <x v="1"/>
    <n v="1200"/>
    <n v="3000"/>
    <n v="3000"/>
    <n v="0"/>
  </r>
  <r>
    <x v="16"/>
    <s v="07:48 p. m."/>
    <x v="1"/>
    <s v="Postobon"/>
    <x v="2"/>
    <s v="A) Día hábil"/>
    <x v="1"/>
    <n v="2400"/>
    <n v="6000"/>
    <n v="6000"/>
    <n v="0"/>
  </r>
  <r>
    <x v="17"/>
    <s v="11:48 a. m."/>
    <x v="1"/>
    <s v="Coca cola"/>
    <x v="2"/>
    <s v="A) Día hábil"/>
    <x v="2"/>
    <n v="2400"/>
    <n v="6000"/>
    <n v="6000"/>
    <n v="0"/>
  </r>
  <r>
    <x v="17"/>
    <s v="01:14 p. m."/>
    <x v="1"/>
    <s v="Chorizo"/>
    <x v="2"/>
    <s v="A) Día hábil"/>
    <x v="2"/>
    <n v="3200"/>
    <n v="8000"/>
    <n v="8000"/>
    <n v="0"/>
  </r>
  <r>
    <x v="17"/>
    <s v="02:50 p. m."/>
    <x v="1"/>
    <s v="Chorizo"/>
    <x v="2"/>
    <s v="A) Día hábil"/>
    <x v="2"/>
    <n v="3200"/>
    <n v="8000"/>
    <n v="8000"/>
    <n v="0"/>
  </r>
  <r>
    <x v="17"/>
    <s v="03:58 p. m."/>
    <x v="1"/>
    <s v="Chorizo"/>
    <x v="2"/>
    <s v="A) Día hábil"/>
    <x v="2"/>
    <n v="3200"/>
    <n v="8000"/>
    <n v="8000"/>
    <n v="0"/>
  </r>
  <r>
    <x v="17"/>
    <s v="03:58 p. m."/>
    <x v="1"/>
    <s v="Hit"/>
    <x v="2"/>
    <s v="A) Día hábil"/>
    <x v="2"/>
    <n v="1800"/>
    <n v="4500"/>
    <n v="4500"/>
    <n v="0"/>
  </r>
  <r>
    <x v="17"/>
    <s v="04:00 p. m."/>
    <x v="1"/>
    <s v="Chorizo"/>
    <x v="2"/>
    <s v="A) Día hábil"/>
    <x v="2"/>
    <n v="3200"/>
    <n v="8000"/>
    <n v="8000"/>
    <n v="0"/>
  </r>
  <r>
    <x v="17"/>
    <s v="04:58 p. m."/>
    <x v="1"/>
    <s v="Carne con chorizo -30"/>
    <x v="2"/>
    <s v="A) Día hábil"/>
    <x v="2"/>
    <n v="12000"/>
    <n v="30000"/>
    <n v="0"/>
    <n v="30000"/>
  </r>
  <r>
    <x v="17"/>
    <s v="04:58 p. m."/>
    <x v="1"/>
    <s v="Coca cola"/>
    <x v="2"/>
    <s v="A) Día hábil"/>
    <x v="2"/>
    <n v="1200"/>
    <n v="3000"/>
    <n v="0"/>
    <n v="3000"/>
  </r>
  <r>
    <x v="17"/>
    <s v="05:29 p. m."/>
    <x v="1"/>
    <s v="Chorizo"/>
    <x v="2"/>
    <s v="A) Día hábil"/>
    <x v="2"/>
    <n v="3200"/>
    <n v="8000"/>
    <n v="8000"/>
    <n v="0"/>
  </r>
  <r>
    <x v="17"/>
    <s v="05:47 p. m."/>
    <x v="1"/>
    <s v="Chori- CRUDO"/>
    <x v="2"/>
    <s v="A) Día hábil"/>
    <x v="2"/>
    <n v="3600"/>
    <n v="9000"/>
    <n v="9000"/>
    <n v="0"/>
  </r>
  <r>
    <x v="17"/>
    <s v="05:47 p. m."/>
    <x v="1"/>
    <s v="Chorizo"/>
    <x v="2"/>
    <s v="A) Día hábil"/>
    <x v="2"/>
    <n v="3200"/>
    <n v="8000"/>
    <n v="8000"/>
    <n v="0"/>
  </r>
  <r>
    <x v="17"/>
    <s v="06:06 p. m."/>
    <x v="1"/>
    <s v="Chorizo"/>
    <x v="2"/>
    <s v="A) Día hábil"/>
    <x v="2"/>
    <n v="3200"/>
    <n v="8000"/>
    <n v="8000"/>
    <n v="0"/>
  </r>
  <r>
    <x v="17"/>
    <s v="06:06 p. m."/>
    <x v="1"/>
    <s v="Coca cola"/>
    <x v="2"/>
    <s v="A) Día hábil"/>
    <x v="2"/>
    <n v="1200"/>
    <n v="3000"/>
    <n v="3000"/>
    <n v="0"/>
  </r>
  <r>
    <x v="17"/>
    <s v="06:18 p. m."/>
    <x v="1"/>
    <s v="Hit"/>
    <x v="2"/>
    <s v="A) Día hábil"/>
    <x v="2"/>
    <n v="1800"/>
    <n v="4500"/>
    <n v="4500"/>
    <n v="0"/>
  </r>
  <r>
    <x v="17"/>
    <s v="06:21 p. m."/>
    <x v="1"/>
    <s v="Chorizo"/>
    <x v="2"/>
    <s v="A) Día hábil"/>
    <x v="2"/>
    <n v="3200"/>
    <n v="8000"/>
    <n v="0"/>
    <n v="8000"/>
  </r>
  <r>
    <x v="17"/>
    <s v="06:21 p. m."/>
    <x v="1"/>
    <s v="Coca cola"/>
    <x v="2"/>
    <s v="A) Día hábil"/>
    <x v="2"/>
    <n v="1200"/>
    <n v="3000"/>
    <n v="0"/>
    <n v="3000"/>
  </r>
  <r>
    <x v="17"/>
    <s v="06:30 p. m."/>
    <x v="1"/>
    <s v="Hamb. CRUDA"/>
    <x v="2"/>
    <s v="A) Día hábil"/>
    <x v="2"/>
    <n v="8000"/>
    <n v="20000"/>
    <n v="0"/>
    <n v="20000"/>
  </r>
  <r>
    <x v="17"/>
    <s v="08:27 p. m."/>
    <x v="1"/>
    <s v="Chorizo"/>
    <x v="2"/>
    <s v="A) Día hábil"/>
    <x v="2"/>
    <n v="6400"/>
    <n v="16000"/>
    <n v="16000"/>
    <n v="0"/>
  </r>
  <r>
    <x v="17"/>
    <s v="08:27 p. m."/>
    <x v="1"/>
    <s v="Coca cola"/>
    <x v="2"/>
    <s v="A) Día hábil"/>
    <x v="2"/>
    <n v="2400"/>
    <n v="6000"/>
    <n v="6000"/>
    <n v="0"/>
  </r>
  <r>
    <x v="18"/>
    <s v="03:08 p. m."/>
    <x v="1"/>
    <s v="Chorizo"/>
    <x v="2"/>
    <s v="A) Día hábil"/>
    <x v="3"/>
    <n v="3200"/>
    <n v="8000"/>
    <n v="8000"/>
    <n v="0"/>
  </r>
  <r>
    <x v="18"/>
    <s v="03:08 p. m."/>
    <x v="1"/>
    <s v="Coca cola"/>
    <x v="2"/>
    <s v="A) Día hábil"/>
    <x v="3"/>
    <n v="1200"/>
    <n v="3000"/>
    <n v="3000"/>
    <n v="0"/>
  </r>
  <r>
    <x v="18"/>
    <s v="03:08 p. m."/>
    <x v="1"/>
    <s v="Ham. combo"/>
    <x v="2"/>
    <s v="A) Día hábil"/>
    <x v="3"/>
    <n v="8800"/>
    <n v="22000"/>
    <n v="22000"/>
    <n v="0"/>
  </r>
  <r>
    <x v="18"/>
    <s v="03:12 p. m."/>
    <x v="1"/>
    <s v="Chorizo"/>
    <x v="2"/>
    <s v="A) Día hábil"/>
    <x v="3"/>
    <n v="3200"/>
    <n v="8000"/>
    <n v="8000"/>
    <n v="0"/>
  </r>
  <r>
    <x v="18"/>
    <s v="03:59 p. m."/>
    <x v="1"/>
    <s v="Chorizo"/>
    <x v="2"/>
    <s v="A) Día hábil"/>
    <x v="3"/>
    <n v="3200"/>
    <n v="8000"/>
    <n v="8000"/>
    <n v="0"/>
  </r>
  <r>
    <x v="18"/>
    <s v="04:34 p. m."/>
    <x v="1"/>
    <s v="Chorizo"/>
    <x v="2"/>
    <s v="A) Día hábil"/>
    <x v="3"/>
    <n v="3200"/>
    <n v="8000"/>
    <n v="8000"/>
    <n v="0"/>
  </r>
  <r>
    <x v="18"/>
    <s v="04:34 p. m."/>
    <x v="1"/>
    <s v="Coca cola"/>
    <x v="2"/>
    <s v="A) Día hábil"/>
    <x v="3"/>
    <n v="1200"/>
    <n v="3000"/>
    <n v="3000"/>
    <n v="0"/>
  </r>
  <r>
    <x v="18"/>
    <s v="04:34 p. m."/>
    <x v="1"/>
    <s v="Agua"/>
    <x v="2"/>
    <s v="A) Día hábil"/>
    <x v="3"/>
    <n v="2400"/>
    <n v="6000"/>
    <n v="6000"/>
    <n v="0"/>
  </r>
  <r>
    <x v="18"/>
    <s v="04:36 p. m."/>
    <x v="1"/>
    <s v="Ham. combo"/>
    <x v="2"/>
    <s v="A) Día hábil"/>
    <x v="3"/>
    <n v="8800"/>
    <n v="22000"/>
    <n v="22000"/>
    <n v="0"/>
  </r>
  <r>
    <x v="18"/>
    <s v="04:36 p. m."/>
    <x v="1"/>
    <s v="Ham. sencilla"/>
    <x v="2"/>
    <s v="A) Día hábil"/>
    <x v="3"/>
    <n v="6800"/>
    <n v="17000"/>
    <n v="17000"/>
    <n v="0"/>
  </r>
  <r>
    <x v="18"/>
    <s v="04:50 p. m."/>
    <x v="1"/>
    <s v="carne + chorizo"/>
    <x v="2"/>
    <s v="A) Día hábil"/>
    <x v="3"/>
    <n v="10000"/>
    <n v="25000"/>
    <n v="0"/>
    <n v="25000"/>
  </r>
  <r>
    <x v="18"/>
    <s v="04:50 p. m."/>
    <x v="1"/>
    <s v="Chorizo"/>
    <x v="2"/>
    <s v="A) Día hábil"/>
    <x v="3"/>
    <n v="9600"/>
    <n v="24000"/>
    <n v="0"/>
    <n v="24000"/>
  </r>
  <r>
    <x v="18"/>
    <s v="04:50 p. m."/>
    <x v="1"/>
    <s v="Coca cola"/>
    <x v="2"/>
    <s v="A) Día hábil"/>
    <x v="3"/>
    <n v="2400"/>
    <n v="6000"/>
    <n v="0"/>
    <n v="6000"/>
  </r>
  <r>
    <x v="18"/>
    <s v="04:50 p. m."/>
    <x v="1"/>
    <s v="Postobon"/>
    <x v="2"/>
    <s v="A) Día hábil"/>
    <x v="3"/>
    <n v="3600"/>
    <n v="9000"/>
    <n v="0"/>
    <n v="9000"/>
  </r>
  <r>
    <x v="18"/>
    <s v="06:47 p. m."/>
    <x v="1"/>
    <s v="Chori- CRUDO"/>
    <x v="2"/>
    <s v="A) Día hábil"/>
    <x v="3"/>
    <n v="7200"/>
    <n v="18000"/>
    <n v="18000"/>
    <n v="0"/>
  </r>
  <r>
    <x v="18"/>
    <s v="07:18 p. m."/>
    <x v="1"/>
    <s v="Chorizo"/>
    <x v="2"/>
    <s v="A) Día hábil"/>
    <x v="3"/>
    <n v="12800"/>
    <n v="32000"/>
    <n v="32000"/>
    <n v="0"/>
  </r>
  <r>
    <x v="18"/>
    <s v="07:27 p. m."/>
    <x v="1"/>
    <s v="Chorizo"/>
    <x v="2"/>
    <s v="A) Día hábil"/>
    <x v="3"/>
    <n v="6400"/>
    <n v="16000"/>
    <n v="0"/>
    <n v="16000"/>
  </r>
  <r>
    <x v="18"/>
    <s v="07:27 p. m."/>
    <x v="1"/>
    <s v="Coca cola"/>
    <x v="2"/>
    <s v="A) Día hábil"/>
    <x v="3"/>
    <n v="1200"/>
    <n v="3000"/>
    <n v="0"/>
    <n v="3000"/>
  </r>
  <r>
    <x v="18"/>
    <s v="07:57 p. m."/>
    <x v="1"/>
    <s v="Chorizo"/>
    <x v="2"/>
    <s v="A) Día hábil"/>
    <x v="3"/>
    <n v="16000"/>
    <n v="40000"/>
    <n v="40000"/>
    <n v="0"/>
  </r>
  <r>
    <x v="18"/>
    <s v="07:57 p. m."/>
    <x v="1"/>
    <s v="Coca cola"/>
    <x v="2"/>
    <s v="A) Día hábil"/>
    <x v="3"/>
    <n v="2400"/>
    <n v="6000"/>
    <n v="6000"/>
    <n v="0"/>
  </r>
  <r>
    <x v="18"/>
    <s v="07:57 p. m."/>
    <x v="1"/>
    <s v="Postobon"/>
    <x v="2"/>
    <s v="A) Día hábil"/>
    <x v="3"/>
    <n v="3600"/>
    <n v="9000"/>
    <n v="9000"/>
    <n v="0"/>
  </r>
  <r>
    <x v="18"/>
    <s v="07:57 p. m."/>
    <x v="1"/>
    <s v="VARIOS: Costillas BBQ"/>
    <x v="2"/>
    <s v="A) Día hábil"/>
    <x v="3"/>
    <n v="20000"/>
    <n v="50000"/>
    <n v="50000"/>
    <n v="0"/>
  </r>
  <r>
    <x v="19"/>
    <s v="02:02 p. m."/>
    <x v="1"/>
    <s v="Carne con chorizo -30"/>
    <x v="2"/>
    <s v="A) Día hábil"/>
    <x v="4"/>
    <n v="12000"/>
    <n v="30000"/>
    <n v="0"/>
    <n v="30000"/>
  </r>
  <r>
    <x v="19"/>
    <s v="02:02 p. m."/>
    <x v="1"/>
    <s v="Propina - Gustavo"/>
    <x v="2"/>
    <s v="A) Día hábil"/>
    <x v="4"/>
    <n v="2000"/>
    <n v="5000"/>
    <n v="0"/>
    <n v="5000"/>
  </r>
  <r>
    <x v="19"/>
    <s v="03:03 p. m."/>
    <x v="1"/>
    <s v="Chorizo"/>
    <x v="2"/>
    <s v="A) Día hábil"/>
    <x v="4"/>
    <n v="6400"/>
    <n v="16000"/>
    <n v="16000"/>
    <n v="0"/>
  </r>
  <r>
    <x v="19"/>
    <s v="03:03 p. m."/>
    <x v="1"/>
    <s v="Coca cola"/>
    <x v="2"/>
    <s v="A) Día hábil"/>
    <x v="4"/>
    <n v="2400"/>
    <n v="6000"/>
    <n v="6000"/>
    <n v="0"/>
  </r>
  <r>
    <x v="19"/>
    <s v="03:20 p. m."/>
    <x v="1"/>
    <s v="Chorizo"/>
    <x v="2"/>
    <s v="A) Día hábil"/>
    <x v="4"/>
    <n v="12800"/>
    <n v="32000"/>
    <n v="32000"/>
    <n v="0"/>
  </r>
  <r>
    <x v="19"/>
    <s v="03:20 p. m."/>
    <x v="1"/>
    <s v="Hit"/>
    <x v="2"/>
    <s v="A) Día hábil"/>
    <x v="4"/>
    <n v="1800"/>
    <n v="4500"/>
    <n v="4500"/>
    <n v="0"/>
  </r>
  <r>
    <x v="19"/>
    <s v="03:34 p. m."/>
    <x v="1"/>
    <s v="Hit"/>
    <x v="2"/>
    <s v="A) Día hábil"/>
    <x v="4"/>
    <n v="1800"/>
    <n v="4500"/>
    <n v="0"/>
    <n v="4500"/>
  </r>
  <r>
    <x v="19"/>
    <s v="03:34 p. m."/>
    <x v="1"/>
    <s v="parri tres carnes"/>
    <x v="2"/>
    <s v="A) Día hábil"/>
    <x v="4"/>
    <n v="14000"/>
    <n v="35000"/>
    <n v="0"/>
    <n v="35000"/>
  </r>
  <r>
    <x v="19"/>
    <s v="03:48 p. m."/>
    <x v="1"/>
    <s v="parri tres carnes"/>
    <x v="2"/>
    <s v="A) Día hábil"/>
    <x v="4"/>
    <n v="14000"/>
    <n v="35000"/>
    <n v="35000"/>
    <n v="0"/>
  </r>
  <r>
    <x v="19"/>
    <s v="05:12 p. m."/>
    <x v="1"/>
    <s v="Chorizo"/>
    <x v="2"/>
    <s v="A) Día hábil"/>
    <x v="4"/>
    <n v="3200"/>
    <n v="8000"/>
    <n v="8000"/>
    <n v="0"/>
  </r>
  <r>
    <x v="19"/>
    <s v="05:17 p. m."/>
    <x v="1"/>
    <s v="Chorizo"/>
    <x v="2"/>
    <s v="A) Día hábil"/>
    <x v="4"/>
    <n v="3200"/>
    <n v="8000"/>
    <n v="8000"/>
    <n v="0"/>
  </r>
  <r>
    <x v="19"/>
    <s v="05:44 p. m."/>
    <x v="1"/>
    <s v="Chorizo"/>
    <x v="2"/>
    <s v="A) Día hábil"/>
    <x v="4"/>
    <n v="3200"/>
    <n v="8000"/>
    <n v="8000"/>
    <n v="0"/>
  </r>
  <r>
    <x v="19"/>
    <s v="06:06 p. m."/>
    <x v="1"/>
    <s v="Chorizo"/>
    <x v="2"/>
    <s v="A) Día hábil"/>
    <x v="4"/>
    <n v="3200"/>
    <n v="8000"/>
    <n v="8000"/>
    <n v="0"/>
  </r>
  <r>
    <x v="19"/>
    <s v="06:31 p. m."/>
    <x v="1"/>
    <s v="Chorizo"/>
    <x v="2"/>
    <s v="A) Día hábil"/>
    <x v="4"/>
    <n v="3200"/>
    <n v="8000"/>
    <n v="8000"/>
    <n v="0"/>
  </r>
  <r>
    <x v="19"/>
    <s v="06:50 p. m."/>
    <x v="1"/>
    <s v="Chorizo"/>
    <x v="2"/>
    <s v="A) Día hábil"/>
    <x v="4"/>
    <n v="3200"/>
    <n v="8000"/>
    <n v="0"/>
    <n v="8000"/>
  </r>
  <r>
    <x v="19"/>
    <s v="06:50 p. m."/>
    <x v="1"/>
    <s v="Postobon"/>
    <x v="2"/>
    <s v="A) Día hábil"/>
    <x v="4"/>
    <n v="1200"/>
    <n v="3000"/>
    <n v="0"/>
    <n v="3000"/>
  </r>
  <r>
    <x v="19"/>
    <s v="07:15 p. m."/>
    <x v="1"/>
    <s v="Chorizo"/>
    <x v="2"/>
    <s v="A) Día hábil"/>
    <x v="4"/>
    <n v="9600"/>
    <n v="24000"/>
    <n v="0"/>
    <n v="24000"/>
  </r>
  <r>
    <x v="19"/>
    <s v="07:15 p. m."/>
    <x v="1"/>
    <s v="Postobon"/>
    <x v="2"/>
    <s v="A) Día hábil"/>
    <x v="4"/>
    <n v="2400"/>
    <n v="6000"/>
    <n v="0"/>
    <n v="6000"/>
  </r>
  <r>
    <x v="19"/>
    <s v="08:14 p. m."/>
    <x v="1"/>
    <s v="Chorizo"/>
    <x v="2"/>
    <s v="A) Día hábil"/>
    <x v="4"/>
    <n v="3200"/>
    <n v="8000"/>
    <n v="8000"/>
    <n v="0"/>
  </r>
  <r>
    <x v="19"/>
    <s v="08:14 p. m."/>
    <x v="1"/>
    <s v="tinto"/>
    <x v="2"/>
    <s v="A) Día hábil"/>
    <x v="4"/>
    <n v="800"/>
    <n v="2000"/>
    <n v="2000"/>
    <n v="0"/>
  </r>
  <r>
    <x v="20"/>
    <s v="10:58 p. m."/>
    <x v="1"/>
    <s v="Chorizo"/>
    <x v="2"/>
    <s v="C) Sábado"/>
    <x v="6"/>
    <n v="6400"/>
    <n v="16000"/>
    <n v="16000"/>
    <n v="0"/>
  </r>
  <r>
    <x v="20"/>
    <s v="10:59 p. m."/>
    <x v="1"/>
    <s v="Chorizo"/>
    <x v="2"/>
    <s v="C) Sábado"/>
    <x v="6"/>
    <n v="6400"/>
    <n v="16000"/>
    <n v="16000"/>
    <n v="0"/>
  </r>
  <r>
    <x v="20"/>
    <s v="10:59 p. m."/>
    <x v="1"/>
    <s v="Chorizo"/>
    <x v="2"/>
    <s v="C) Sábado"/>
    <x v="6"/>
    <n v="12800"/>
    <n v="32000"/>
    <n v="32000"/>
    <n v="0"/>
  </r>
  <r>
    <x v="20"/>
    <s v="10:59 p. m."/>
    <x v="1"/>
    <s v="Coca cola"/>
    <x v="2"/>
    <s v="C) Sábado"/>
    <x v="6"/>
    <n v="2400"/>
    <n v="6000"/>
    <n v="6000"/>
    <n v="0"/>
  </r>
  <r>
    <x v="20"/>
    <s v="11:00 p. m."/>
    <x v="1"/>
    <s v="Chorizo"/>
    <x v="2"/>
    <s v="C) Sábado"/>
    <x v="6"/>
    <n v="3200"/>
    <n v="8000"/>
    <n v="8000"/>
    <n v="0"/>
  </r>
  <r>
    <x v="20"/>
    <s v="11:00 p. m."/>
    <x v="1"/>
    <s v="Coca cola"/>
    <x v="2"/>
    <s v="C) Sábado"/>
    <x v="6"/>
    <n v="1200"/>
    <n v="3000"/>
    <n v="3000"/>
    <n v="0"/>
  </r>
  <r>
    <x v="20"/>
    <s v="11:01 p. m."/>
    <x v="1"/>
    <s v="Chorizo"/>
    <x v="2"/>
    <s v="C) Sábado"/>
    <x v="6"/>
    <n v="6400"/>
    <n v="16000"/>
    <n v="16000"/>
    <n v="0"/>
  </r>
  <r>
    <x v="20"/>
    <s v="11:01 p. m."/>
    <x v="1"/>
    <s v="Coca cola"/>
    <x v="2"/>
    <s v="C) Sábado"/>
    <x v="6"/>
    <n v="2400"/>
    <n v="6000"/>
    <n v="6000"/>
    <n v="0"/>
  </r>
  <r>
    <x v="20"/>
    <s v="11:03 p. m."/>
    <x v="1"/>
    <s v="Chorizo"/>
    <x v="2"/>
    <s v="C) Sábado"/>
    <x v="6"/>
    <n v="6400"/>
    <n v="16000"/>
    <n v="0"/>
    <n v="16000"/>
  </r>
  <r>
    <x v="20"/>
    <s v="11:04 p. m."/>
    <x v="1"/>
    <s v="Chorizo"/>
    <x v="2"/>
    <s v="C) Sábado"/>
    <x v="6"/>
    <n v="9600"/>
    <n v="24000"/>
    <n v="0"/>
    <n v="24000"/>
  </r>
  <r>
    <x v="20"/>
    <s v="11:04 p. m."/>
    <x v="1"/>
    <s v="Hit"/>
    <x v="2"/>
    <s v="C) Sábado"/>
    <x v="6"/>
    <n v="1800"/>
    <n v="4500"/>
    <n v="0"/>
    <n v="4500"/>
  </r>
  <r>
    <x v="20"/>
    <s v="11:06 p. m."/>
    <x v="1"/>
    <s v="OTRO: promo vecino de jenesano"/>
    <x v="2"/>
    <s v="C) Sábado"/>
    <x v="6"/>
    <n v="6000"/>
    <n v="15000"/>
    <n v="15000"/>
    <n v="0"/>
  </r>
  <r>
    <x v="20"/>
    <s v="11:09 p. m."/>
    <x v="1"/>
    <s v="Parrilla de 60.000"/>
    <x v="2"/>
    <s v="C) Sábado"/>
    <x v="6"/>
    <n v="24000"/>
    <n v="60000"/>
    <n v="60000"/>
    <n v="0"/>
  </r>
  <r>
    <x v="20"/>
    <s v="11:09 p. m."/>
    <x v="1"/>
    <s v="Chorizo"/>
    <x v="2"/>
    <s v="C) Sábado"/>
    <x v="6"/>
    <n v="3200"/>
    <n v="8000"/>
    <n v="8000"/>
    <n v="0"/>
  </r>
  <r>
    <x v="20"/>
    <s v="11:09 p. m."/>
    <x v="1"/>
    <s v="Hit"/>
    <x v="2"/>
    <s v="C) Sábado"/>
    <x v="6"/>
    <n v="1800"/>
    <n v="4500"/>
    <n v="4500"/>
    <n v="0"/>
  </r>
  <r>
    <x v="20"/>
    <s v="11:11 p. m."/>
    <x v="1"/>
    <s v="Carne Asada de 40"/>
    <x v="2"/>
    <s v="C) Sábado"/>
    <x v="6"/>
    <n v="16000"/>
    <n v="40000"/>
    <n v="0"/>
    <n v="40000"/>
  </r>
  <r>
    <x v="20"/>
    <s v="11:11 p. m."/>
    <x v="1"/>
    <s v="Coca cola"/>
    <x v="2"/>
    <s v="C) Sábado"/>
    <x v="6"/>
    <n v="1200"/>
    <n v="3000"/>
    <n v="0"/>
    <n v="3000"/>
  </r>
  <r>
    <x v="20"/>
    <s v="11:12 p. m."/>
    <x v="1"/>
    <s v="Chorizo"/>
    <x v="2"/>
    <s v="C) Sábado"/>
    <x v="6"/>
    <n v="6400"/>
    <n v="16000"/>
    <n v="16000"/>
    <n v="0"/>
  </r>
  <r>
    <x v="20"/>
    <s v="11:12 p. m."/>
    <x v="1"/>
    <s v="Hit"/>
    <x v="2"/>
    <s v="C) Sábado"/>
    <x v="6"/>
    <n v="1800"/>
    <n v="4500"/>
    <n v="4500"/>
    <n v="0"/>
  </r>
  <r>
    <x v="21"/>
    <s v="02:10 p. m."/>
    <x v="1"/>
    <s v="Chorizo"/>
    <x v="2"/>
    <s v="D) Domingo"/>
    <x v="0"/>
    <n v="9600"/>
    <n v="24000"/>
    <n v="0"/>
    <n v="24000"/>
  </r>
  <r>
    <x v="21"/>
    <s v="02:10 p. m."/>
    <x v="1"/>
    <s v="Coca cola"/>
    <x v="2"/>
    <s v="D) Domingo"/>
    <x v="0"/>
    <n v="2400"/>
    <n v="6000"/>
    <n v="0"/>
    <n v="6000"/>
  </r>
  <r>
    <x v="21"/>
    <s v="02:10 p. m."/>
    <x v="1"/>
    <s v="Chorizo"/>
    <x v="2"/>
    <s v="D) Domingo"/>
    <x v="0"/>
    <n v="3200"/>
    <n v="8000"/>
    <n v="8000"/>
    <n v="0"/>
  </r>
  <r>
    <x v="21"/>
    <s v="02:10 p. m."/>
    <x v="1"/>
    <s v="Postobon"/>
    <x v="2"/>
    <s v="D) Domingo"/>
    <x v="0"/>
    <n v="1200"/>
    <n v="3000"/>
    <n v="3000"/>
    <n v="0"/>
  </r>
  <r>
    <x v="21"/>
    <s v="02:20 p. m."/>
    <x v="1"/>
    <s v="Carne con chorizo -30"/>
    <x v="2"/>
    <s v="D) Domingo"/>
    <x v="0"/>
    <n v="12000"/>
    <n v="30000"/>
    <n v="0"/>
    <n v="30000"/>
  </r>
  <r>
    <x v="21"/>
    <s v="02:20 p. m."/>
    <x v="1"/>
    <s v="Chorizo"/>
    <x v="2"/>
    <s v="D) Domingo"/>
    <x v="0"/>
    <n v="9600"/>
    <n v="24000"/>
    <n v="0"/>
    <n v="24000"/>
  </r>
  <r>
    <x v="21"/>
    <s v="02:54 p. m."/>
    <x v="1"/>
    <s v="Chorizo"/>
    <x v="2"/>
    <s v="D) Domingo"/>
    <x v="0"/>
    <n v="3200"/>
    <n v="8000"/>
    <n v="8000"/>
    <n v="0"/>
  </r>
  <r>
    <x v="21"/>
    <s v="02:54 p. m."/>
    <x v="1"/>
    <s v="Coca cola"/>
    <x v="2"/>
    <s v="D) Domingo"/>
    <x v="0"/>
    <n v="1200"/>
    <n v="3000"/>
    <n v="3000"/>
    <n v="0"/>
  </r>
  <r>
    <x v="21"/>
    <s v="03:07 p. m."/>
    <x v="1"/>
    <s v="Carne con chorizo - 35"/>
    <x v="2"/>
    <s v="D) Domingo"/>
    <x v="0"/>
    <n v="14000"/>
    <n v="35000"/>
    <n v="35000"/>
    <n v="0"/>
  </r>
  <r>
    <x v="21"/>
    <s v="03:07 p. m."/>
    <x v="1"/>
    <s v="Coca cola"/>
    <x v="2"/>
    <s v="D) Domingo"/>
    <x v="0"/>
    <n v="1200"/>
    <n v="3000"/>
    <n v="3000"/>
    <n v="0"/>
  </r>
  <r>
    <x v="21"/>
    <s v="03:07 p. m."/>
    <x v="1"/>
    <s v="Hit"/>
    <x v="2"/>
    <s v="D) Domingo"/>
    <x v="0"/>
    <n v="1800"/>
    <n v="4500"/>
    <n v="4500"/>
    <n v="0"/>
  </r>
  <r>
    <x v="21"/>
    <s v="03:08 p. m."/>
    <x v="1"/>
    <s v="Agua"/>
    <x v="2"/>
    <s v="D) Domingo"/>
    <x v="0"/>
    <n v="1200"/>
    <n v="3000"/>
    <n v="3000"/>
    <n v="0"/>
  </r>
  <r>
    <x v="21"/>
    <s v="03:08 p. m."/>
    <x v="1"/>
    <s v="Carne con chorizo - 35"/>
    <x v="2"/>
    <s v="D) Domingo"/>
    <x v="0"/>
    <n v="14000"/>
    <n v="35000"/>
    <n v="35000"/>
    <n v="0"/>
  </r>
  <r>
    <x v="21"/>
    <s v="03:08 p. m."/>
    <x v="1"/>
    <s v="Chorizo"/>
    <x v="2"/>
    <s v="D) Domingo"/>
    <x v="0"/>
    <n v="3200"/>
    <n v="8000"/>
    <n v="8000"/>
    <n v="0"/>
  </r>
  <r>
    <x v="21"/>
    <s v="03:08 p. m."/>
    <x v="1"/>
    <s v="Coca cola"/>
    <x v="2"/>
    <s v="D) Domingo"/>
    <x v="0"/>
    <n v="1200"/>
    <n v="3000"/>
    <n v="3000"/>
    <n v="0"/>
  </r>
  <r>
    <x v="21"/>
    <s v="05:22 p. m."/>
    <x v="1"/>
    <s v="Chorizo"/>
    <x v="2"/>
    <s v="D) Domingo"/>
    <x v="0"/>
    <n v="3200"/>
    <n v="8000"/>
    <n v="0"/>
    <n v="8000"/>
  </r>
  <r>
    <x v="21"/>
    <s v="05:27 p. m."/>
    <x v="1"/>
    <s v="Agua"/>
    <x v="2"/>
    <s v="D) Domingo"/>
    <x v="0"/>
    <n v="1200"/>
    <n v="3000"/>
    <n v="0"/>
    <n v="3000"/>
  </r>
  <r>
    <x v="21"/>
    <s v="06:03 p. m."/>
    <x v="1"/>
    <s v="Chorizo"/>
    <x v="2"/>
    <s v="D) Domingo"/>
    <x v="0"/>
    <n v="3200"/>
    <n v="8000"/>
    <n v="8000"/>
    <n v="0"/>
  </r>
  <r>
    <x v="21"/>
    <s v="06:03 p. m."/>
    <x v="1"/>
    <s v="OTROS: pedazo de carne"/>
    <x v="2"/>
    <s v="D) Domingo"/>
    <x v="0"/>
    <n v="800"/>
    <n v="2000"/>
    <n v="200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331246-F498-49BE-8A69-15E46464E530}" name="TablaDinámica2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5" indent="0" outline="1" outlineData="1" multipleFieldFilters="0">
  <location ref="A1:C23" firstHeaderRow="0" firstDataRow="1" firstDataCol="1"/>
  <pivotFields count="11">
    <pivotField axis="axisRow" numFmtId="14" showAll="0" sortType="ascending">
      <items count="23">
        <item x="0"/>
        <item x="1"/>
        <item x="2"/>
        <item x="3"/>
        <item x="4"/>
        <item x="5"/>
        <item x="6"/>
        <item x="7"/>
        <item x="10"/>
        <item x="11"/>
        <item x="12"/>
        <item x="13"/>
        <item x="14"/>
        <item x="15"/>
        <item x="8"/>
        <item x="16"/>
        <item x="17"/>
        <item x="18"/>
        <item x="19"/>
        <item x="9"/>
        <item x="20"/>
        <item x="21"/>
        <item t="default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numFmtId="166" subtotalTop="0" showAll="0" defaultSubtotal="0"/>
    <pivotField dataField="1" numFmtId="166" showAll="0" defaultSubtotal="0"/>
    <pivotField numFmtId="166" showAll="0" defaultSubtotal="0"/>
    <pivotField numFmtId="166" showAll="0" defaultSubtotal="0"/>
  </pivotFields>
  <rowFields count="1">
    <field x="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</rowItems>
  <colFields count="1">
    <field x="-2"/>
  </colFields>
  <colItems count="2">
    <i>
      <x/>
    </i>
    <i i="1">
      <x v="1"/>
    </i>
  </colItems>
  <dataFields count="2">
    <dataField name="Suma de Venta" fld="8" baseField="0" baseItem="0" numFmtId="166"/>
    <dataField name="Suma de MG" fld="7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5000000}" name="TablaDinámica3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 rowHeaderCaption="Día" colHeaderCaption="Semana">
  <location ref="M4:M12" firstHeaderRow="1" firstDataRow="1" firstDataCol="1"/>
  <pivotFields count="11">
    <pivotField showAll="0" defaultSubtotal="0"/>
    <pivotField subtotalTop="0" showAll="0" defaultSubtotal="0"/>
    <pivotField showAll="0" defaultSubtotal="0"/>
    <pivotField subtotalTop="0" showAll="0" defaultSubtotal="0"/>
    <pivotField showAll="0" defaultSubtotal="0"/>
    <pivotField showAll="0" defaultSubtotal="0"/>
    <pivotField axis="axisRow" showAll="0" defaultSubtotal="0">
      <items count="15">
        <item m="1" x="11"/>
        <item m="1" x="8"/>
        <item m="1" x="10"/>
        <item m="1" x="9"/>
        <item m="1" x="13"/>
        <item x="1"/>
        <item x="2"/>
        <item x="3"/>
        <item x="4"/>
        <item m="1" x="12"/>
        <item m="1" x="14"/>
        <item x="5"/>
        <item x="6"/>
        <item x="0"/>
        <item m="1" x="7"/>
      </items>
    </pivotField>
    <pivotField numFmtId="166" subtotalTop="0" showAll="0" defaultSubtotal="0"/>
    <pivotField numFmtId="166" showAll="0" defaultSubtotal="0"/>
    <pivotField showAll="0" defaultSubtotal="0"/>
    <pivotField numFmtId="166" showAll="0" defaultSubtotal="0"/>
  </pivotFields>
  <rowFields count="1">
    <field x="6"/>
  </rowFields>
  <rowItems count="8">
    <i>
      <x v="5"/>
    </i>
    <i>
      <x v="6"/>
    </i>
    <i>
      <x v="7"/>
    </i>
    <i>
      <x v="8"/>
    </i>
    <i>
      <x v="11"/>
    </i>
    <i>
      <x v="12"/>
    </i>
    <i>
      <x v="13"/>
    </i>
    <i t="grand">
      <x/>
    </i>
  </rowItems>
  <colItems count="1">
    <i/>
  </colItems>
  <formats count="12">
    <format dxfId="43">
      <pivotArea outline="0" collapsedLevelsAreSubtotals="1" fieldPosition="0"/>
    </format>
    <format dxfId="44">
      <pivotArea field="6" type="button" dataOnly="0" labelOnly="1" outline="0" axis="axisRow" fieldPosition="0"/>
    </format>
    <format dxfId="45">
      <pivotArea dataOnly="0" labelOnly="1" grandCol="1" outline="0" fieldPosition="0"/>
    </format>
    <format dxfId="46">
      <pivotArea dataOnly="0" labelOnly="1" fieldPosition="0">
        <references count="1">
          <reference field="6" count="1">
            <x v="13"/>
          </reference>
        </references>
      </pivotArea>
    </format>
    <format dxfId="47">
      <pivotArea dataOnly="0" labelOnly="1" fieldPosition="0">
        <references count="1">
          <reference field="6" count="1">
            <x v="6"/>
          </reference>
        </references>
      </pivotArea>
    </format>
    <format dxfId="48">
      <pivotArea dataOnly="0" labelOnly="1" fieldPosition="0">
        <references count="1">
          <reference field="6" count="1">
            <x v="5"/>
          </reference>
        </references>
      </pivotArea>
    </format>
    <format dxfId="49">
      <pivotArea field="6" collapsedLevelsAreSubtotals="1" axis="axisRow" fieldPosition="0">
        <references count="1">
          <reference field="6" count="3">
            <x v="11"/>
            <x v="12"/>
            <x v="13"/>
          </reference>
        </references>
      </pivotArea>
    </format>
    <format dxfId="50">
      <pivotArea collapsedLevelsAreSubtotals="1" fieldPosition="0">
        <references count="1">
          <reference field="6" count="3">
            <x v="11"/>
            <x v="12"/>
            <x v="13"/>
          </reference>
        </references>
      </pivotArea>
    </format>
    <format dxfId="51">
      <pivotArea field="6" type="button" dataOnly="0" labelOnly="1" outline="0" axis="axisRow" fieldPosition="0"/>
    </format>
    <format dxfId="52">
      <pivotArea dataOnly="0" labelOnly="1" fieldPosition="0">
        <references count="1">
          <reference field="6" count="4">
            <x v="7"/>
            <x v="8"/>
            <x v="11"/>
            <x v="12"/>
          </reference>
        </references>
      </pivotArea>
    </format>
    <format dxfId="53">
      <pivotArea dataOnly="0" labelOnly="1" fieldPosition="0">
        <references count="1">
          <reference field="6" count="1">
            <x v="11"/>
          </reference>
        </references>
      </pivotArea>
    </format>
    <format dxfId="54">
      <pivotArea dataOnly="0" labelOnly="1" fieldPosition="0">
        <references count="1">
          <reference field="6" count="1">
            <x v="11"/>
          </reference>
        </references>
      </pivotArea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6000000}" name="TablaDinámica2" cacheId="6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5" indent="0" outline="1" outlineData="1" multipleFieldFilters="0" rowHeaderCaption="Día" colHeaderCaption="Semana">
  <location ref="A3:E12" firstHeaderRow="1" firstDataRow="2" firstDataCol="1"/>
  <pivotFields count="11">
    <pivotField showAll="0" defaultSubtotal="0"/>
    <pivotField subtotalTop="0" showAll="0" defaultSubtotal="0"/>
    <pivotField showAll="0" defaultSubtotal="0"/>
    <pivotField subtotalTop="0" showAll="0" defaultSubtotal="0"/>
    <pivotField axis="axisCol" showAll="0" defaultSubtotal="0">
      <items count="32">
        <item x="0"/>
        <item x="1"/>
        <item x="3"/>
        <item x="2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</items>
    </pivotField>
    <pivotField showAll="0" defaultSubtotal="0"/>
    <pivotField axis="axisRow" showAll="0" defaultSubtotal="0">
      <items count="15">
        <item m="1" x="11"/>
        <item m="1" x="8"/>
        <item m="1" x="10"/>
        <item m="1" x="9"/>
        <item m="1" x="13"/>
        <item x="1"/>
        <item x="2"/>
        <item x="3"/>
        <item x="4"/>
        <item m="1" x="12"/>
        <item m="1" x="14"/>
        <item x="5"/>
        <item x="6"/>
        <item x="0"/>
        <item m="1" x="7"/>
      </items>
    </pivotField>
    <pivotField numFmtId="166" subtotalTop="0" showAll="0" defaultSubtotal="0"/>
    <pivotField dataField="1" numFmtId="166" showAll="0" defaultSubtotal="0"/>
    <pivotField showAll="0" defaultSubtotal="0"/>
    <pivotField numFmtId="166" showAll="0" defaultSubtotal="0"/>
  </pivotFields>
  <rowFields count="1">
    <field x="6"/>
  </rowFields>
  <rowItems count="8">
    <i>
      <x v="5"/>
    </i>
    <i>
      <x v="6"/>
    </i>
    <i>
      <x v="7"/>
    </i>
    <i>
      <x v="8"/>
    </i>
    <i>
      <x v="11"/>
    </i>
    <i>
      <x v="12"/>
    </i>
    <i>
      <x v="13"/>
    </i>
    <i t="grand">
      <x/>
    </i>
  </rowItems>
  <colFields count="1">
    <field x="4"/>
  </colFields>
  <colItems count="4">
    <i>
      <x/>
    </i>
    <i>
      <x v="1"/>
    </i>
    <i>
      <x v="2"/>
    </i>
    <i>
      <x v="3"/>
    </i>
  </colItems>
  <dataFields count="1">
    <dataField name="Suma de Venta" fld="8" baseField="4" baseItem="7"/>
  </dataFields>
  <formats count="36">
    <format dxfId="7">
      <pivotArea outline="0" collapsedLevelsAreSubtotals="1" fieldPosition="0"/>
    </format>
    <format dxfId="8">
      <pivotArea field="6" type="button" dataOnly="0" labelOnly="1" outline="0" axis="axisRow" fieldPosition="0"/>
    </format>
    <format dxfId="9">
      <pivotArea dataOnly="0" labelOnly="1" fieldPosition="0">
        <references count="1">
          <reference field="4" count="0"/>
        </references>
      </pivotArea>
    </format>
    <format dxfId="10">
      <pivotArea dataOnly="0" labelOnly="1" grandCol="1" outline="0" fieldPosition="0"/>
    </format>
    <format dxfId="11">
      <pivotArea collapsedLevelsAreSubtotals="1" fieldPosition="0">
        <references count="2">
          <reference field="4" count="3" selected="0">
            <x v="5"/>
            <x v="6"/>
            <x v="7"/>
          </reference>
          <reference field="6" count="5">
            <x v="7"/>
            <x v="8"/>
            <x v="11"/>
            <x v="12"/>
            <x v="13"/>
          </reference>
        </references>
      </pivotArea>
    </format>
    <format dxfId="12">
      <pivotArea collapsedLevelsAreSubtotals="1" fieldPosition="0">
        <references count="2">
          <reference field="4" count="4" selected="0">
            <x v="6"/>
            <x v="7"/>
            <x v="8"/>
            <x v="9"/>
          </reference>
          <reference field="6" count="4">
            <x v="5"/>
            <x v="6"/>
            <x v="7"/>
            <x v="8"/>
          </reference>
        </references>
      </pivotArea>
    </format>
    <format dxfId="13">
      <pivotArea collapsedLevelsAreSubtotals="1" fieldPosition="0">
        <references count="2">
          <reference field="4" count="1" selected="0">
            <x v="8"/>
          </reference>
          <reference field="6" count="4">
            <x v="8"/>
            <x v="11"/>
            <x v="12"/>
            <x v="13"/>
          </reference>
        </references>
      </pivotArea>
    </format>
    <format dxfId="14">
      <pivotArea collapsedLevelsAreSubtotals="1" fieldPosition="0">
        <references count="2">
          <reference field="4" count="1" selected="0">
            <x v="14"/>
          </reference>
          <reference field="6" count="0"/>
        </references>
      </pivotArea>
    </format>
    <format dxfId="15">
      <pivotArea dataOnly="0" labelOnly="1" fieldPosition="0">
        <references count="1">
          <reference field="6" count="1">
            <x v="13"/>
          </reference>
        </references>
      </pivotArea>
    </format>
    <format dxfId="16">
      <pivotArea dataOnly="0" labelOnly="1" fieldPosition="0">
        <references count="1">
          <reference field="6" count="1">
            <x v="6"/>
          </reference>
        </references>
      </pivotArea>
    </format>
    <format dxfId="17">
      <pivotArea dataOnly="0" labelOnly="1" fieldPosition="0">
        <references count="1">
          <reference field="6" count="1">
            <x v="5"/>
          </reference>
        </references>
      </pivotArea>
    </format>
    <format dxfId="18">
      <pivotArea collapsedLevelsAreSubtotals="1" fieldPosition="0">
        <references count="2">
          <reference field="4" count="16" selected="0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  <reference field="6" count="3">
            <x v="11"/>
            <x v="12"/>
            <x v="13"/>
          </reference>
        </references>
      </pivotArea>
    </format>
    <format dxfId="19">
      <pivotArea field="6" grandCol="1" collapsedLevelsAreSubtotals="1" axis="axisRow" fieldPosition="0">
        <references count="1">
          <reference field="6" count="3">
            <x v="11"/>
            <x v="12"/>
            <x v="13"/>
          </reference>
        </references>
      </pivotArea>
    </format>
    <format dxfId="20">
      <pivotArea collapsedLevelsAreSubtotals="1" fieldPosition="0">
        <references count="2">
          <reference field="4" count="2" selected="0">
            <x v="1"/>
            <x v="2"/>
          </reference>
          <reference field="6" count="3">
            <x v="11"/>
            <x v="12"/>
            <x v="13"/>
          </reference>
        </references>
      </pivotArea>
    </format>
    <format dxfId="21">
      <pivotArea collapsedLevelsAreSubtotals="1" fieldPosition="0">
        <references count="1">
          <reference field="6" count="3">
            <x v="11"/>
            <x v="12"/>
            <x v="13"/>
          </reference>
        </references>
      </pivotArea>
    </format>
    <format dxfId="22">
      <pivotArea collapsedLevelsAreSubtotals="1" fieldPosition="0">
        <references count="2">
          <reference field="4" count="15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6" count="3">
            <x v="11"/>
            <x v="12"/>
            <x v="13"/>
          </reference>
        </references>
      </pivotArea>
    </format>
    <format dxfId="23">
      <pivotArea field="6" type="button" dataOnly="0" labelOnly="1" outline="0" axis="axisRow" fieldPosition="0"/>
    </format>
    <format dxfId="24">
      <pivotArea collapsedLevelsAreSubtotals="1" fieldPosition="0">
        <references count="2">
          <reference field="4" count="4" selected="0">
            <x v="15"/>
            <x v="16"/>
            <x v="17"/>
            <x v="18"/>
          </reference>
          <reference field="6" count="0"/>
        </references>
      </pivotArea>
    </format>
    <format dxfId="25">
      <pivotArea collapsedLevelsAreSubtotals="1" fieldPosition="0">
        <references count="2">
          <reference field="4" count="1" selected="0">
            <x v="18"/>
          </reference>
          <reference field="6" count="5">
            <x v="7"/>
            <x v="8"/>
            <x v="11"/>
            <x v="12"/>
            <x v="13"/>
          </reference>
        </references>
      </pivotArea>
    </format>
    <format dxfId="26">
      <pivotArea dataOnly="0" labelOnly="1" fieldPosition="0">
        <references count="1">
          <reference field="6" count="4">
            <x v="7"/>
            <x v="8"/>
            <x v="11"/>
            <x v="12"/>
          </reference>
        </references>
      </pivotArea>
    </format>
    <format dxfId="27">
      <pivotArea dataOnly="0" labelOnly="1" fieldPosition="0">
        <references count="1">
          <reference field="6" count="1">
            <x v="11"/>
          </reference>
        </references>
      </pivotArea>
    </format>
    <format dxfId="28">
      <pivotArea collapsedLevelsAreSubtotals="1" fieldPosition="0">
        <references count="2">
          <reference field="4" count="3" selected="0">
            <x v="15"/>
            <x v="16"/>
            <x v="17"/>
          </reference>
          <reference field="6" count="0"/>
        </references>
      </pivotArea>
    </format>
    <format dxfId="29">
      <pivotArea collapsedLevelsAreSubtotals="1" fieldPosition="0">
        <references count="2">
          <reference field="4" count="1" selected="0">
            <x v="18"/>
          </reference>
          <reference field="6" count="2">
            <x v="5"/>
            <x v="6"/>
          </reference>
        </references>
      </pivotArea>
    </format>
    <format dxfId="30">
      <pivotArea dataOnly="0" labelOnly="1" fieldPosition="0">
        <references count="1">
          <reference field="6" count="1">
            <x v="11"/>
          </reference>
        </references>
      </pivotArea>
    </format>
    <format dxfId="31">
      <pivotArea collapsedLevelsAreSubtotals="1" fieldPosition="0">
        <references count="2">
          <reference field="4" count="1" selected="0">
            <x v="14"/>
          </reference>
          <reference field="6" count="0"/>
        </references>
      </pivotArea>
    </format>
    <format dxfId="32">
      <pivotArea collapsedLevelsAreSubtotals="1" fieldPosition="0">
        <references count="2">
          <reference field="4" count="6" selected="0">
            <x v="21"/>
            <x v="22"/>
            <x v="23"/>
            <x v="24"/>
            <x v="25"/>
            <x v="26"/>
          </reference>
          <reference field="6" count="2">
            <x v="12"/>
            <x v="13"/>
          </reference>
        </references>
      </pivotArea>
    </format>
    <format dxfId="33">
      <pivotArea collapsedLevelsAreSubtotals="1" fieldPosition="0">
        <references count="2">
          <reference field="4" count="5" selected="0">
            <x v="22"/>
            <x v="23"/>
            <x v="24"/>
            <x v="25"/>
            <x v="26"/>
          </reference>
          <reference field="6" count="5">
            <x v="5"/>
            <x v="6"/>
            <x v="7"/>
            <x v="8"/>
            <x v="11"/>
          </reference>
        </references>
      </pivotArea>
    </format>
    <format dxfId="34">
      <pivotArea collapsedLevelsAreSubtotals="1" fieldPosition="0">
        <references count="2">
          <reference field="4" count="1" selected="0">
            <x v="27"/>
          </reference>
          <reference field="6" count="1">
            <x v="5"/>
          </reference>
        </references>
      </pivotArea>
    </format>
    <format dxfId="35">
      <pivotArea collapsedLevelsAreSubtotals="1" fieldPosition="0">
        <references count="2">
          <reference field="4" count="1" selected="0">
            <x v="21"/>
          </reference>
          <reference field="6" count="2">
            <x v="12"/>
            <x v="13"/>
          </reference>
        </references>
      </pivotArea>
    </format>
    <format dxfId="36">
      <pivotArea collapsedLevelsAreSubtotals="1" fieldPosition="0">
        <references count="2">
          <reference field="4" count="1" selected="0">
            <x v="22"/>
          </reference>
          <reference field="6" count="5">
            <x v="5"/>
            <x v="6"/>
            <x v="7"/>
            <x v="8"/>
            <x v="11"/>
          </reference>
        </references>
      </pivotArea>
    </format>
    <format dxfId="37">
      <pivotArea collapsedLevelsAreSubtotals="1" fieldPosition="0">
        <references count="2">
          <reference field="4" count="1" selected="0">
            <x v="23"/>
          </reference>
          <reference field="6" count="1">
            <x v="7"/>
          </reference>
        </references>
      </pivotArea>
    </format>
    <format dxfId="38">
      <pivotArea collapsedLevelsAreSubtotals="1" fieldPosition="0">
        <references count="2">
          <reference field="4" count="1" selected="0">
            <x v="23"/>
          </reference>
          <reference field="6" count="1">
            <x v="7"/>
          </reference>
        </references>
      </pivotArea>
    </format>
    <format dxfId="39">
      <pivotArea collapsedLevelsAreSubtotals="1" fieldPosition="0">
        <references count="2">
          <reference field="4" count="4" selected="0">
            <x v="23"/>
            <x v="24"/>
            <x v="25"/>
            <x v="26"/>
          </reference>
          <reference field="6" count="1">
            <x v="13"/>
          </reference>
        </references>
      </pivotArea>
    </format>
    <format dxfId="40">
      <pivotArea collapsedLevelsAreSubtotals="1" fieldPosition="0">
        <references count="2">
          <reference field="4" count="3" selected="0">
            <x v="24"/>
            <x v="25"/>
            <x v="26"/>
          </reference>
          <reference field="6" count="5">
            <x v="6"/>
            <x v="7"/>
            <x v="8"/>
            <x v="11"/>
            <x v="12"/>
          </reference>
        </references>
      </pivotArea>
    </format>
    <format dxfId="41">
      <pivotArea collapsedLevelsAreSubtotals="1" fieldPosition="0">
        <references count="2">
          <reference field="4" count="4" selected="0">
            <x v="24"/>
            <x v="25"/>
            <x v="26"/>
            <x v="27"/>
          </reference>
          <reference field="6" count="1">
            <x v="5"/>
          </reference>
        </references>
      </pivotArea>
    </format>
    <format dxfId="42">
      <pivotArea collapsedLevelsAreSubtotals="1" fieldPosition="0">
        <references count="2">
          <reference field="4" count="1" selected="0">
            <x v="23"/>
          </reference>
          <reference field="6" count="2">
            <x v="12"/>
            <x v="13"/>
          </reference>
        </references>
      </pivotArea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0000000}" name="Tabla dinámica1" cacheId="5" applyNumberFormats="0" applyBorderFormats="0" applyFontFormats="0" applyPatternFormats="0" applyAlignmentFormats="0" applyWidthHeightFormats="1" dataCaption="Valores" updatedVersion="6" minRefreshableVersion="3" useAutoFormatting="1" colGrandTotals="0" itemPrintTitles="1" createdVersion="5" indent="0" compact="0" compactData="0" multipleFieldFilters="0">
  <location ref="B4:E24" firstHeaderRow="1" firstDataRow="1" firstDataCol="3"/>
  <pivotFields count="18">
    <pivotField axis="axisRow" compact="0" outline="0" showAll="0" defaultSubtotal="0">
      <items count="22">
        <item x="0"/>
        <item x="5"/>
        <item x="3"/>
        <item x="1"/>
        <item x="4"/>
        <item x="2"/>
        <item x="10"/>
        <item x="8"/>
        <item x="11"/>
        <item m="1" x="19"/>
        <item m="1" x="18"/>
        <item m="1" x="17"/>
        <item x="6"/>
        <item x="7"/>
        <item m="1" x="21"/>
        <item x="13"/>
        <item m="1" x="20"/>
        <item x="9"/>
        <item x="12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">
        <item x="9"/>
        <item x="7"/>
        <item x="0"/>
        <item x="1"/>
        <item x="4"/>
        <item m="1" x="17"/>
        <item x="3"/>
        <item x="2"/>
        <item x="10"/>
        <item m="1" x="19"/>
        <item x="5"/>
        <item m="1" x="16"/>
        <item m="1" x="20"/>
        <item m="1" x="18"/>
        <item m="1" x="15"/>
        <item x="6"/>
        <item x="8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m="1" x="3"/>
        <item m="1" x="4"/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7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1"/>
    <field x="0"/>
  </rowFields>
  <rowItems count="20">
    <i>
      <x v="3"/>
      <x/>
      <x v="8"/>
    </i>
    <i r="1">
      <x v="1"/>
      <x v="7"/>
    </i>
    <i r="1">
      <x v="2"/>
      <x/>
    </i>
    <i r="1">
      <x v="3"/>
      <x v="12"/>
    </i>
    <i r="1">
      <x v="4"/>
      <x v="13"/>
    </i>
    <i r="1">
      <x v="8"/>
      <x v="18"/>
    </i>
    <i r="1">
      <x v="10"/>
      <x v="13"/>
    </i>
    <i r="1">
      <x v="15"/>
      <x v="13"/>
    </i>
    <i r="1">
      <x v="16"/>
      <x v="17"/>
    </i>
    <i r="1">
      <x v="17"/>
      <x v="15"/>
    </i>
    <i r="1">
      <x v="18"/>
      <x v="19"/>
    </i>
    <i r="1">
      <x v="19"/>
      <x v="20"/>
    </i>
    <i r="1">
      <x v="20"/>
      <x v="21"/>
    </i>
    <i>
      <x v="4"/>
      <x/>
      <x v="6"/>
    </i>
    <i r="1">
      <x v="2"/>
      <x v="3"/>
    </i>
    <i r="2">
      <x v="5"/>
    </i>
    <i r="1">
      <x v="3"/>
      <x v="2"/>
    </i>
    <i r="1">
      <x v="6"/>
      <x v="1"/>
    </i>
    <i r="1">
      <x v="7"/>
      <x v="4"/>
    </i>
    <i t="grand">
      <x/>
    </i>
  </rowItems>
  <colItems count="1">
    <i/>
  </colItems>
  <dataFields count="1">
    <dataField name="Valor" fld="5" baseField="0" baseItem="0" numFmtId="166"/>
  </dataFields>
  <formats count="16">
    <format dxfId="174">
      <pivotArea outline="0" fieldPosition="0">
        <references count="3">
          <reference field="0" count="0" selected="0"/>
          <reference field="1" count="0" selected="0"/>
          <reference field="2" count="0" selected="0"/>
        </references>
      </pivotArea>
    </format>
    <format dxfId="173">
      <pivotArea dataOnly="0" labelOnly="1" outline="0" fieldPosition="0">
        <references count="1">
          <reference field="2" count="1">
            <x v="1"/>
          </reference>
        </references>
      </pivotArea>
    </format>
    <format dxfId="172">
      <pivotArea dataOnly="0" labelOnly="1" outline="0" fieldPosition="0">
        <references count="1">
          <reference field="2" count="1">
            <x v="0"/>
          </reference>
        </references>
      </pivotArea>
    </format>
    <format dxfId="171">
      <pivotArea field="2" type="button" dataOnly="0" labelOnly="1" outline="0" axis="axisRow" fieldPosition="0"/>
    </format>
    <format dxfId="170">
      <pivotArea field="1" type="button" dataOnly="0" labelOnly="1" outline="0" axis="axisRow" fieldPosition="1"/>
    </format>
    <format dxfId="169">
      <pivotArea field="0" type="button" dataOnly="0" labelOnly="1" outline="0" axis="axisRow" fieldPosition="2"/>
    </format>
    <format dxfId="168">
      <pivotArea dataOnly="0" labelOnly="1" outline="0" axis="axisValues" fieldPosition="0"/>
    </format>
    <format dxfId="167">
      <pivotArea field="2" type="button" dataOnly="0" labelOnly="1" outline="0" axis="axisRow" fieldPosition="0"/>
    </format>
    <format dxfId="166">
      <pivotArea field="1" type="button" dataOnly="0" labelOnly="1" outline="0" axis="axisRow" fieldPosition="1"/>
    </format>
    <format dxfId="165">
      <pivotArea field="0" type="button" dataOnly="0" labelOnly="1" outline="0" axis="axisRow" fieldPosition="2"/>
    </format>
    <format dxfId="164">
      <pivotArea dataOnly="0" labelOnly="1" outline="0" axis="axisValues" fieldPosition="0"/>
    </format>
    <format dxfId="163">
      <pivotArea outline="0" collapsedLevelsAreSubtotals="1" fieldPosition="0"/>
    </format>
    <format dxfId="162">
      <pivotArea dataOnly="0" labelOnly="1" outline="0" axis="axisValues" fieldPosition="0"/>
    </format>
    <format dxfId="161">
      <pivotArea outline="0" fieldPosition="0">
        <references count="3">
          <reference field="0" count="1" selected="0">
            <x v="6"/>
          </reference>
          <reference field="1" count="1" selected="0">
            <x v="0"/>
          </reference>
          <reference field="2" count="1" selected="0">
            <x v="1"/>
          </reference>
        </references>
      </pivotArea>
    </format>
    <format dxfId="160">
      <pivotArea outline="0" fieldPosition="0">
        <references count="3">
          <reference field="0" count="2" selected="0">
            <x v="12"/>
            <x v="13"/>
          </reference>
          <reference field="1" count="3" selected="0">
            <x v="3"/>
            <x v="4"/>
            <x v="5"/>
          </reference>
          <reference field="2" count="1" selected="0">
            <x v="1"/>
          </reference>
        </references>
      </pivotArea>
    </format>
    <format dxfId="159">
      <pivotArea outline="0" fieldPosition="0">
        <references count="3">
          <reference field="0" count="1" selected="0">
            <x v="0"/>
          </reference>
          <reference field="1" count="1" selected="0">
            <x v="2"/>
          </reference>
          <reference field="2" count="1" selected="0">
            <x v="0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3000000}" name="Rentabilidad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5" indent="0" compact="0" compactData="0" multipleFieldFilters="0" chartFormat="78">
  <location ref="AQ4:AR26" firstHeaderRow="1" firstDataRow="1" firstDataCol="2" rowPageCount="1" colPageCount="1"/>
  <pivotFields count="11">
    <pivotField axis="axisRow" compact="0" numFmtId="14" outline="0" showAll="0" defaultSubtotal="0">
      <items count="22">
        <item x="10"/>
        <item x="11"/>
        <item x="12"/>
        <item x="13"/>
        <item x="14"/>
        <item x="15"/>
        <item x="0"/>
        <item x="1"/>
        <item x="2"/>
        <item x="3"/>
        <item x="4"/>
        <item x="5"/>
        <item x="6"/>
        <item x="7"/>
        <item x="8"/>
        <item x="18"/>
        <item x="19"/>
        <item x="9"/>
        <item x="16"/>
        <item x="17"/>
        <item x="20"/>
        <item x="21"/>
      </items>
    </pivotField>
    <pivotField compact="0" outline="0" showAll="0"/>
    <pivotField axis="axisPage" compact="0" outline="0" showAll="0" defaultSubtotal="0">
      <items count="4">
        <item m="1" x="3"/>
        <item x="1"/>
        <item x="0"/>
        <item m="1" x="2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15">
        <item m="1" x="8"/>
        <item m="1" x="10"/>
        <item m="1" x="9"/>
        <item m="1" x="13"/>
        <item m="1" x="12"/>
        <item m="1" x="14"/>
        <item m="1" x="11"/>
        <item x="0"/>
        <item x="1"/>
        <item x="2"/>
        <item x="3"/>
        <item x="4"/>
        <item x="5"/>
        <item x="6"/>
        <item m="1" x="7"/>
      </items>
    </pivotField>
    <pivotField compact="0" numFmtId="166" outline="0" showAll="0"/>
    <pivotField compact="0" numFmtId="166" outline="0" showAll="0"/>
    <pivotField compact="0" outline="0" showAll="0"/>
    <pivotField compact="0" numFmtId="166" outline="0" showAll="0"/>
  </pivotFields>
  <rowFields count="2">
    <field x="0"/>
    <field x="6"/>
  </rowFields>
  <rowItems count="22">
    <i>
      <x/>
      <x v="8"/>
    </i>
    <i>
      <x v="1"/>
      <x v="9"/>
    </i>
    <i>
      <x v="2"/>
      <x v="10"/>
    </i>
    <i>
      <x v="3"/>
      <x v="11"/>
    </i>
    <i>
      <x v="4"/>
      <x v="12"/>
    </i>
    <i>
      <x v="5"/>
      <x v="13"/>
    </i>
    <i>
      <x v="6"/>
      <x v="7"/>
    </i>
    <i>
      <x v="7"/>
      <x v="8"/>
    </i>
    <i>
      <x v="8"/>
      <x v="9"/>
    </i>
    <i>
      <x v="9"/>
      <x v="10"/>
    </i>
    <i>
      <x v="10"/>
      <x v="11"/>
    </i>
    <i>
      <x v="11"/>
      <x v="12"/>
    </i>
    <i>
      <x v="12"/>
      <x v="13"/>
    </i>
    <i>
      <x v="13"/>
      <x v="7"/>
    </i>
    <i>
      <x v="14"/>
      <x v="7"/>
    </i>
    <i>
      <x v="15"/>
      <x v="10"/>
    </i>
    <i>
      <x v="16"/>
      <x v="11"/>
    </i>
    <i>
      <x v="17"/>
      <x v="12"/>
    </i>
    <i>
      <x v="18"/>
      <x v="8"/>
    </i>
    <i>
      <x v="19"/>
      <x v="9"/>
    </i>
    <i>
      <x v="20"/>
      <x v="13"/>
    </i>
    <i>
      <x v="21"/>
      <x v="7"/>
    </i>
  </rowItems>
  <colItems count="1">
    <i/>
  </colItems>
  <pageFields count="1">
    <pageField fld="2" hier="-1"/>
  </pageFields>
  <formats count="1"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2000000}" name="Ventas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5" indent="0" compact="0" compactData="0" multipleFieldFilters="0" chartFormat="64">
  <location ref="AJ4:AL26" firstHeaderRow="1" firstDataRow="1" firstDataCol="2"/>
  <pivotFields count="11">
    <pivotField axis="axisRow" compact="0" numFmtId="14" outline="0" showAll="0" defaultSubtotal="0">
      <items count="22">
        <item x="10"/>
        <item x="11"/>
        <item x="12"/>
        <item x="13"/>
        <item x="14"/>
        <item x="15"/>
        <item x="0"/>
        <item x="1"/>
        <item x="2"/>
        <item x="3"/>
        <item x="4"/>
        <item x="5"/>
        <item x="6"/>
        <item x="7"/>
        <item x="8"/>
        <item x="18"/>
        <item x="19"/>
        <item x="9"/>
        <item x="16"/>
        <item x="17"/>
        <item x="20"/>
        <item x="21"/>
      </items>
    </pivotField>
    <pivotField compact="0" outline="0" showAll="0"/>
    <pivotField compact="0" outline="0" showAll="0" defaultSubtotal="0">
      <items count="4">
        <item x="0"/>
        <item m="1" x="3"/>
        <item x="1"/>
        <item m="1" x="2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15">
        <item m="1" x="8"/>
        <item m="1" x="10"/>
        <item m="1" x="9"/>
        <item m="1" x="13"/>
        <item m="1" x="12"/>
        <item m="1" x="14"/>
        <item m="1" x="11"/>
        <item x="0"/>
        <item x="1"/>
        <item x="2"/>
        <item x="3"/>
        <item x="4"/>
        <item x="5"/>
        <item x="6"/>
        <item m="1" x="7"/>
      </items>
    </pivotField>
    <pivotField compact="0" numFmtId="166" outline="0" showAll="0"/>
    <pivotField dataField="1" compact="0" numFmtId="166" outline="0" showAll="0"/>
    <pivotField compact="0" outline="0" showAll="0"/>
    <pivotField compact="0" numFmtId="166" outline="0" showAll="0"/>
  </pivotFields>
  <rowFields count="2">
    <field x="0"/>
    <field x="6"/>
  </rowFields>
  <rowItems count="22">
    <i>
      <x/>
      <x v="8"/>
    </i>
    <i>
      <x v="1"/>
      <x v="9"/>
    </i>
    <i>
      <x v="2"/>
      <x v="10"/>
    </i>
    <i>
      <x v="3"/>
      <x v="11"/>
    </i>
    <i>
      <x v="4"/>
      <x v="12"/>
    </i>
    <i>
      <x v="5"/>
      <x v="13"/>
    </i>
    <i>
      <x v="6"/>
      <x v="7"/>
    </i>
    <i>
      <x v="7"/>
      <x v="8"/>
    </i>
    <i>
      <x v="8"/>
      <x v="9"/>
    </i>
    <i>
      <x v="9"/>
      <x v="10"/>
    </i>
    <i>
      <x v="10"/>
      <x v="11"/>
    </i>
    <i>
      <x v="11"/>
      <x v="12"/>
    </i>
    <i>
      <x v="12"/>
      <x v="13"/>
    </i>
    <i>
      <x v="13"/>
      <x v="7"/>
    </i>
    <i>
      <x v="14"/>
      <x v="7"/>
    </i>
    <i>
      <x v="15"/>
      <x v="10"/>
    </i>
    <i>
      <x v="16"/>
      <x v="11"/>
    </i>
    <i>
      <x v="17"/>
      <x v="12"/>
    </i>
    <i>
      <x v="18"/>
      <x v="8"/>
    </i>
    <i>
      <x v="19"/>
      <x v="9"/>
    </i>
    <i>
      <x v="20"/>
      <x v="13"/>
    </i>
    <i>
      <x v="21"/>
      <x v="7"/>
    </i>
  </rowItems>
  <colItems count="1">
    <i/>
  </colItems>
  <dataFields count="1">
    <dataField name=" Venta" fld="8" baseField="0" baseItem="0" numFmtId="167"/>
  </dataFields>
  <formats count="1">
    <format dxfId="5">
      <pivotArea outline="0" collapsedLevelsAreSubtotals="1" fieldPosition="0"/>
    </format>
  </formats>
  <chartFormats count="2">
    <chartFormat chart="3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Tabla diná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5" indent="0" compact="0" compactData="0" multipleFieldFilters="0" chartFormat="53">
  <location ref="A4:C26" firstHeaderRow="1" firstDataRow="1" firstDataCol="2" rowPageCount="1" colPageCount="1"/>
  <pivotFields count="11">
    <pivotField axis="axisRow" compact="0" numFmtId="14" outline="0" showAll="0" defaultSubtotal="0">
      <items count="22">
        <item x="10"/>
        <item x="11"/>
        <item x="12"/>
        <item x="13"/>
        <item x="14"/>
        <item x="15"/>
        <item x="0"/>
        <item x="1"/>
        <item x="2"/>
        <item x="3"/>
        <item x="4"/>
        <item x="5"/>
        <item x="6"/>
        <item x="7"/>
        <item x="8"/>
        <item x="18"/>
        <item x="19"/>
        <item x="9"/>
        <item x="16"/>
        <item x="17"/>
        <item x="20"/>
        <item x="21"/>
      </items>
    </pivotField>
    <pivotField compact="0" outline="0" showAll="0"/>
    <pivotField axis="axisPage" compact="0" outline="0" showAll="0" defaultSubtotal="0">
      <items count="4">
        <item m="1" x="3"/>
        <item x="1"/>
        <item x="0"/>
        <item m="1" x="2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15">
        <item m="1" x="8"/>
        <item m="1" x="10"/>
        <item m="1" x="9"/>
        <item m="1" x="13"/>
        <item m="1" x="12"/>
        <item m="1" x="14"/>
        <item m="1" x="11"/>
        <item x="0"/>
        <item x="1"/>
        <item x="2"/>
        <item x="3"/>
        <item x="4"/>
        <item x="5"/>
        <item x="6"/>
        <item m="1" x="7"/>
      </items>
    </pivotField>
    <pivotField compact="0" numFmtId="166" outline="0" showAll="0"/>
    <pivotField dataField="1" compact="0" numFmtId="166" outline="0" showAll="0"/>
    <pivotField compact="0" outline="0" showAll="0"/>
    <pivotField compact="0" numFmtId="166" outline="0" showAll="0"/>
  </pivotFields>
  <rowFields count="2">
    <field x="0"/>
    <field x="6"/>
  </rowFields>
  <rowItems count="22">
    <i>
      <x/>
      <x v="8"/>
    </i>
    <i>
      <x v="1"/>
      <x v="9"/>
    </i>
    <i>
      <x v="2"/>
      <x v="10"/>
    </i>
    <i>
      <x v="3"/>
      <x v="11"/>
    </i>
    <i>
      <x v="4"/>
      <x v="12"/>
    </i>
    <i>
      <x v="5"/>
      <x v="13"/>
    </i>
    <i>
      <x v="6"/>
      <x v="7"/>
    </i>
    <i>
      <x v="7"/>
      <x v="8"/>
    </i>
    <i>
      <x v="8"/>
      <x v="9"/>
    </i>
    <i>
      <x v="9"/>
      <x v="10"/>
    </i>
    <i>
      <x v="10"/>
      <x v="11"/>
    </i>
    <i>
      <x v="11"/>
      <x v="12"/>
    </i>
    <i>
      <x v="12"/>
      <x v="13"/>
    </i>
    <i>
      <x v="13"/>
      <x v="7"/>
    </i>
    <i>
      <x v="14"/>
      <x v="7"/>
    </i>
    <i>
      <x v="15"/>
      <x v="10"/>
    </i>
    <i>
      <x v="16"/>
      <x v="11"/>
    </i>
    <i>
      <x v="17"/>
      <x v="12"/>
    </i>
    <i>
      <x v="18"/>
      <x v="8"/>
    </i>
    <i>
      <x v="19"/>
      <x v="9"/>
    </i>
    <i>
      <x v="20"/>
      <x v="13"/>
    </i>
    <i>
      <x v="21"/>
      <x v="7"/>
    </i>
  </rowItems>
  <colItems count="1">
    <i/>
  </colItems>
  <pageFields count="1">
    <pageField fld="2" hier="-1"/>
  </pageFields>
  <dataFields count="1">
    <dataField name=" Venta" fld="8" baseField="0" baseItem="0" numFmtId="167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4000000}" name="Tabla dinámica4" cacheId="6" applyNumberFormats="0" applyBorderFormats="0" applyFontFormats="0" applyPatternFormats="0" applyAlignmentFormats="0" applyWidthHeightFormats="1" dataCaption="Figures" updatedVersion="8" minRefreshableVersion="3" useAutoFormatting="1" rowGrandTotals="0" itemPrintTitles="1" createdVersion="5" indent="0" compact="0" compactData="0" multipleFieldFilters="0" chartFormat="37">
  <location ref="W2:X3" firstHeaderRow="0" firstDataRow="1" firstDataCol="0"/>
  <pivotFields count="11">
    <pivotField compact="0" numFmtId="14" outline="0" showAll="0" insertBlankRow="1" defaultSubtotal="0"/>
    <pivotField compact="0" outline="0" showAll="0"/>
    <pivotField compact="0" outline="0" showAll="0" insertBlankRow="1" defaultSubtotal="0">
      <items count="4">
        <item x="0"/>
        <item m="1" x="3"/>
        <item x="1"/>
        <item m="1" x="2"/>
      </items>
    </pivotField>
    <pivotField compact="0" outline="0" showAll="0"/>
    <pivotField compact="0" outline="0" showAll="0"/>
    <pivotField compact="0" outline="0" showAll="0"/>
    <pivotField compact="0" outline="0" showAll="0" insertBlankRow="1" defaultSubtotal="0"/>
    <pivotField compact="0" numFmtId="166" outline="0" showAll="0"/>
    <pivotField dataField="1" compact="0" numFmtId="166" outline="0" showAll="0" insertBlankRow="1" defaultSubtotal="0"/>
    <pivotField compact="0" outline="0" showAll="0"/>
    <pivotField compact="0" numFmtId="166" outline="0"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 Venta" fld="8" baseField="0" baseItem="0" numFmtId="167"/>
    <dataField name="Promedio Venta" fld="8" subtotal="average" baseField="3" baseItem="0"/>
  </dataFields>
  <formats count="4">
    <format dxfId="0">
      <pivotArea outline="0" collapsedLevelsAreSubtotals="1" fieldPosition="0"/>
    </format>
    <format dxfId="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">
      <pivotArea outline="0" collapsedLevelsAreSubtotals="1" fieldPosition="0"/>
    </format>
    <format dxfId="3">
      <pivotArea dataOnly="0" outline="0" fieldPosition="0">
        <references count="1">
          <reference field="4294967294" count="1">
            <x v="0"/>
          </reference>
        </references>
      </pivotArea>
    </format>
  </format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filters count="1">
    <filter fld="0" type="dateNewerThan" evalOrder="-1" id="1">
      <autoFilter ref="A1">
        <filterColumn colId="0">
          <customFilters>
            <customFilter operator="greaterThan" val="43909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ía" xr10:uid="{00000000-0013-0000-FFFF-FFFF01000000}" sourceName="Tipo día">
  <pivotTables>
    <pivotTable tabId="33" name="Tabla dinámica4"/>
    <pivotTable tabId="33" name="Tabla dinámica1"/>
    <pivotTable tabId="33" name="Ventas"/>
    <pivotTable tabId="33" name="Rentabilidad"/>
  </pivotTables>
  <data>
    <tabular pivotCacheId="1825490339">
      <items count="4">
        <i x="0" s="1"/>
        <i x="1" s="1"/>
        <i x="3" s="1" nd="1"/>
        <i x="2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ía" xr10:uid="{00000000-0014-0000-FFFF-FFFF01000000}" cache="SegmentaciónDeDatos_Tipo_día" caption="            Tipo día" style="SlicerStyleLight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2C64A0-4CF3-4BF3-B4D1-A582AE379202}" name="Opex_VE" displayName="Opex_VE" ref="A2:U369" totalsRowShown="0" headerRowDxfId="225" dataDxfId="223" headerRowBorderDxfId="224" tableBorderDxfId="222" headerRowCellStyle="Moneda" dataCellStyle="Moneda">
  <autoFilter ref="A2:U369" xr:uid="{F42C64A0-4CF3-4BF3-B4D1-A582AE379202}"/>
  <tableColumns count="21">
    <tableColumn id="1" xr3:uid="{2C5FFC6B-4D97-4DFE-A08E-9FC41A8AEB71}" name="Fecha" dataDxfId="221"/>
    <tableColumn id="3" xr3:uid="{2DEF0433-2FD6-4B43-AFF4-7F81F1CF232A}" name="No. Semana de operación" dataDxfId="220"/>
    <tableColumn id="19" xr3:uid="{43681804-F1D8-44D3-B0E2-91EFC1FA0F53}" name="dia" dataDxfId="219">
      <calculatedColumnFormula>+TEXT(Opex_VE[[#This Row],[Fecha]],"ddd")</calculatedColumnFormula>
    </tableColumn>
    <tableColumn id="2" xr3:uid="{F1A86BF2-0231-4C9F-A933-6CCF3FACCC1E}" name="Tipo día" dataDxfId="89"/>
    <tableColumn id="4" xr3:uid="{71E889C6-6EC4-472B-860E-42CD06AF6D56}" name="Tipo día2" dataDxfId="218"/>
    <tableColumn id="20" xr3:uid="{286ADCA7-C767-4750-8CC7-DDAB7F56E0D7}" name="Venta" dataDxfId="217" dataCellStyle="Moneda">
      <calculatedColumnFormula>IFERROR(VLOOKUP(Opex_VE[[#This Row],[Fecha]],Historia!A:B,2,0),VLOOKUP(Opex_VE[[#This Row],[dia]],Historia!#REF!,2,))</calculatedColumnFormula>
    </tableColumn>
    <tableColumn id="22" xr3:uid="{9714C417-3D16-448E-9EF5-D355BA4DFE1F}" name="MG" dataDxfId="216" dataCellStyle="Moneda">
      <calculatedColumnFormula>IFERROR(VLOOKUP(Opex_VE[[#This Row],[Fecha]],Historia!A:C,3,0),VLOOKUP(Opex_VE[[#This Row],[dia]],Historia!#REF!,3,0))</calculatedColumnFormula>
    </tableColumn>
    <tableColumn id="17" xr3:uid="{F11A243E-5177-4716-90A9-8DE1DFCCC901}" name="Rentabilidad" dataDxfId="215" dataCellStyle="Moneda">
      <calculatedColumnFormula>+Opex_VE[[#This Row],[MG]]-Opex_VE[[#This Row],[Opex]]</calculatedColumnFormula>
    </tableColumn>
    <tableColumn id="21" xr3:uid="{81336B45-3F3D-4285-98D9-1524F740B346}" name="Tipo" dataDxfId="214" dataCellStyle="Moneda">
      <calculatedColumnFormula>IFERROR(VLOOKUP(Opex_VE[[#This Row],[Fecha]],Historia!A:D,4,0),"Forecast")</calculatedColumnFormula>
    </tableColumn>
    <tableColumn id="5" xr3:uid="{1A36727E-2DF2-4E33-9350-BEAA4CE0F3F6}" name="Venta PE" dataDxfId="213" dataCellStyle="Moneda">
      <calculatedColumnFormula>+K3/0.4</calculatedColumnFormula>
    </tableColumn>
    <tableColumn id="6" xr3:uid="{2767A925-A389-401C-837F-E3E6BC57B8BE}" name="Opex" dataDxfId="88">
      <calculatedColumnFormula>+Opex_VE[[#This Row],[MG]]-Opex_VE[[#This Row],[Opex]]</calculatedColumnFormula>
    </tableColumn>
    <tableColumn id="8" xr3:uid="{0C7F97FE-83ED-4790-8A3A-AB7F123ED0F8}" name="Arriendo" dataDxfId="212" dataCellStyle="Moneda">
      <calculatedColumnFormula>+VLOOKUP($A3,Opex!$C:$Z,N$1,1)</calculatedColumnFormula>
    </tableColumn>
    <tableColumn id="7" xr3:uid="{BF098FC3-D1FB-4DCD-BE39-4D2B10617672}" name="Servicios publicos" dataDxfId="87">
      <calculatedColumnFormula>+Opex_VE[[#This Row],[Opex]]</calculatedColumnFormula>
    </tableColumn>
    <tableColumn id="9" xr3:uid="{2750D25F-D951-4E42-B79F-75FCC330D879}" name="Internet" dataDxfId="86" dataCellStyle="Moneda">
      <calculatedColumnFormula>+SUM(O3,P3,U3)</calculatedColumnFormula>
    </tableColumn>
    <tableColumn id="10" xr3:uid="{B0E96ABB-0666-42E8-96F4-7C9D66FBDA10}" name="Gas" dataDxfId="85" dataCellStyle="Moneda">
      <calculatedColumnFormula>+VLOOKUP($A3,Opex!$C:$Z,Q$1,1)</calculatedColumnFormula>
    </tableColumn>
    <tableColumn id="11" xr3:uid="{1CFB4C1B-1B9F-433E-8AA4-2EC0F6C7E3DE}" name="Agua" dataDxfId="84" dataCellStyle="Moneda">
      <calculatedColumnFormula>+SUM(Q3:T3)</calculatedColumnFormula>
    </tableColumn>
    <tableColumn id="12" xr3:uid="{563C9589-A6B4-4E12-A978-F9705F4D99D9}" name="Electricidad" dataDxfId="211" dataCellStyle="Moneda">
      <calculatedColumnFormula>+VLOOKUP($A3,Opex!$C:$Z,R$1,1)</calculatedColumnFormula>
    </tableColumn>
    <tableColumn id="13" xr3:uid="{2A07929F-3DDA-4577-A2D0-311A0ECA8CC6}" name="Nomina" dataDxfId="83">
      <calculatedColumnFormula>+SUM(Opex_VE[[#This Row],[Cajero]:[Domiciliario]])</calculatedColumnFormula>
    </tableColumn>
    <tableColumn id="14" xr3:uid="{6AAEFF98-C28E-48DC-976A-978B7EA004FF}" name="Cajero" dataDxfId="210" dataCellStyle="Moneda"/>
    <tableColumn id="15" xr3:uid="{6B28CF05-8D97-4A2E-B899-9E86B338C380}" name="Parrillero" dataDxfId="209" dataCellStyle="Moneda"/>
    <tableColumn id="16" xr3:uid="{AB38AAC2-23E6-40AE-9802-9929704AE2F6}" name="Domiciliario" dataDxfId="208" dataCellStyle="Mon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sales" displayName="sales" ref="A1:K227" totalsRowShown="0" headerRowDxfId="244">
  <autoFilter ref="A1:K227" xr:uid="{00000000-0009-0000-0100-000005000000}"/>
  <tableColumns count="11">
    <tableColumn id="1" xr3:uid="{00000000-0010-0000-0000-000001000000}" name="Fecha" dataDxfId="243"/>
    <tableColumn id="25" xr3:uid="{00000000-0010-0000-0000-000019000000}" name="Hora" dataDxfId="242"/>
    <tableColumn id="2" xr3:uid="{00000000-0010-0000-0000-000002000000}" name="Tipo día" dataDxfId="241" totalsRowDxfId="240"/>
    <tableColumn id="7" xr3:uid="{00000000-0010-0000-0000-000007000000}" name="nombre_producto" dataDxfId="239" totalsRowDxfId="238"/>
    <tableColumn id="21" xr3:uid="{00000000-0010-0000-0000-000015000000}" name="No. Semana de operación" dataDxfId="237" totalsRowDxfId="236" dataCellStyle="Millares [0]">
      <calculatedColumnFormula>+_xlfn.XLOOKUP(sales[[#This Row],[Fecha]],OPEX_VE!A:A,OPEX_VE!B:B)</calculatedColumnFormula>
    </tableColumn>
    <tableColumn id="10" xr3:uid="{00000000-0010-0000-0000-00000A000000}" name="Tipo día2" dataDxfId="235" totalsRowDxfId="234">
      <calculatedColumnFormula>+_xlfn.XLOOKUP(sales[[#This Row],[Fecha]],OPEX_VE!A:A,OPEX_VE!E:E)</calculatedColumnFormula>
    </tableColumn>
    <tableColumn id="3" xr3:uid="{00000000-0010-0000-0000-000003000000}" name="Día" dataDxfId="233">
      <calculatedColumnFormula>+TEXT(sales[[#This Row],[Fecha]],"ddd")</calculatedColumnFormula>
    </tableColumn>
    <tableColumn id="5" xr3:uid="{00000000-0010-0000-0000-000005000000}" name="MG" dataDxfId="232" totalsRowDxfId="231">
      <calculatedColumnFormula>+sales[[#This Row],[Venta]]*0.4</calculatedColumnFormula>
    </tableColumn>
    <tableColumn id="6" xr3:uid="{00000000-0010-0000-0000-000006000000}" name="Venta" dataDxfId="230" totalsRowDxfId="229">
      <calculatedColumnFormula>+SUM(sales[[#This Row],[Caja]:[Bancos]])</calculatedColumnFormula>
    </tableColumn>
    <tableColumn id="9" xr3:uid="{00000000-0010-0000-0000-000009000000}" name="Caja" dataDxfId="228"/>
    <tableColumn id="11" xr3:uid="{00000000-0010-0000-0000-00000B000000}" name="Bancos" dataDxfId="227" totalsRowDxfId="2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Opex" displayName="Opex" ref="B2:Z14" headerRowDxfId="207">
  <autoFilter ref="B2:Z14" xr:uid="{00000000-0009-0000-0100-000006000000}"/>
  <sortState xmlns:xlrd2="http://schemas.microsoft.com/office/spreadsheetml/2017/richdata2" ref="C3:T10">
    <sortCondition ref="C2:C10"/>
  </sortState>
  <tableColumns count="25">
    <tableColumn id="18" xr3:uid="{00000000-0010-0000-0200-000012000000}" name="Tipo" dataDxfId="206"/>
    <tableColumn id="1" xr3:uid="{00000000-0010-0000-0200-000001000000}" name="Fecha" dataDxfId="205" totalsRowDxfId="204"/>
    <tableColumn id="23" xr3:uid="{00000000-0010-0000-0200-000017000000}" name="fecha_fin" dataDxfId="203" totalsRowDxfId="202"/>
    <tableColumn id="4" xr3:uid="{00000000-0010-0000-0200-000004000000}" name="Mes" dataDxfId="201">
      <calculatedColumnFormula>+TEXT(C3,"mmmm")</calculatedColumnFormula>
    </tableColumn>
    <tableColumn id="10" xr3:uid="{00000000-0010-0000-0200-00000A000000}" name="Cuentas x Pagar" dataDxfId="200"/>
    <tableColumn id="22" xr3:uid="{00000000-0010-0000-0200-000016000000}" name="Día C x P" dataDxfId="199">
      <calculatedColumnFormula>+Opex[[#This Row],[Cuentas x Pagar]]/31</calculatedColumnFormula>
    </tableColumn>
    <tableColumn id="5" xr3:uid="{00000000-0010-0000-0200-000005000000}" name="Arriendo" dataDxfId="198" totalsRowDxfId="197">
      <calculatedColumnFormula>+M3*0.3</calculatedColumnFormula>
    </tableColumn>
    <tableColumn id="14" xr3:uid="{00000000-0010-0000-0200-00000E000000}" name="No. Días Arriendo" dataDxfId="196" totalsRowDxfId="195">
      <calculatedColumnFormula>+Opex[[#This Row],[fecha_fin]]-Opex[[#This Row],[Fecha]]</calculatedColumnFormula>
    </tableColumn>
    <tableColumn id="16" xr3:uid="{00000000-0010-0000-0200-000010000000}" name="Día Arriendo" dataDxfId="194" totalsRowDxfId="193">
      <calculatedColumnFormula>IFERROR(Opex[[#This Row],[Arriendo]]/Opex[[#This Row],[No. Días Arriendo]],0)</calculatedColumnFormula>
    </tableColumn>
    <tableColumn id="6" xr3:uid="{00000000-0010-0000-0200-000006000000}" name="Gas" dataDxfId="192"/>
    <tableColumn id="12" xr3:uid="{00000000-0010-0000-0200-00000C000000}" name="No. Días Gas" dataDxfId="191">
      <calculatedColumnFormula>+I2</calculatedColumnFormula>
    </tableColumn>
    <tableColumn id="9" xr3:uid="{00000000-0010-0000-0200-000009000000}" name="Consumo (m3)" dataDxfId="190"/>
    <tableColumn id="17" xr3:uid="{00000000-0010-0000-0200-000011000000}" name="Costo prom. Gas" dataDxfId="189">
      <calculatedColumnFormula>IFERROR(Opex[[#This Row],[Gas]]/Opex[[#This Row],[Consumo (m3)]],0)</calculatedColumnFormula>
    </tableColumn>
    <tableColumn id="19" xr3:uid="{00000000-0010-0000-0200-000013000000}" name="Día Gas" dataDxfId="188">
      <calculatedColumnFormula>IFERROR(Opex[[#This Row],[Gas]]/Opex[[#This Row],[No. Días Arriendo]],0)</calculatedColumnFormula>
    </tableColumn>
    <tableColumn id="3" xr3:uid="{00000000-0010-0000-0200-000003000000}" name="Agua" dataDxfId="187"/>
    <tableColumn id="7" xr3:uid="{00000000-0010-0000-0200-000007000000}" name="Dìa Agua" dataDxfId="186">
      <calculatedColumnFormula>IFERROR(Opex[[#This Row],[Agua]]/Opex[[#This Row],[No. Días Arriendo]],0)</calculatedColumnFormula>
    </tableColumn>
    <tableColumn id="11" xr3:uid="{00000000-0010-0000-0200-00000B000000}" name="Energia" dataDxfId="185" totalsRowDxfId="184"/>
    <tableColumn id="2" xr3:uid="{00000000-0010-0000-0200-000002000000}" name="Financiació Energia" dataDxfId="183" totalsRowDxfId="182"/>
    <tableColumn id="13" xr3:uid="{00000000-0010-0000-0200-00000D000000}" name="No. Días Energia" dataDxfId="181">
      <calculatedColumnFormula>+AA3</calculatedColumnFormula>
    </tableColumn>
    <tableColumn id="15" xr3:uid="{00000000-0010-0000-0200-00000F000000}" name="Consumo_x000a_(KhW" dataDxfId="180"/>
    <tableColumn id="20" xr3:uid="{00000000-0010-0000-0200-000014000000}" name="Costo prom. Energia" dataDxfId="179">
      <calculatedColumnFormula>IFERROR(Opex[[#This Row],[Energia]]/Opex[[#This Row],[Consumo
(KhW]],0)</calculatedColumnFormula>
    </tableColumn>
    <tableColumn id="8" xr3:uid="{00000000-0010-0000-0200-000008000000}" name="Fecha corte enega" dataDxfId="178">
      <calculatedColumnFormula>+Opex[[#This Row],[Arriendo]]-#REF!</calculatedColumnFormula>
    </tableColumn>
    <tableColumn id="21" xr3:uid="{00000000-0010-0000-0200-000015000000}" name="Día Energia" dataDxfId="177" dataCellStyle="Millares [0]">
      <calculatedColumnFormula>IFERROR(Opex[[#This Row],[Energia]]/Opex[[#This Row],[No. Días Arriendo]],0)</calculatedColumnFormula>
    </tableColumn>
    <tableColumn id="24" xr3:uid="{250A8029-F687-40A5-97B0-D75AA1291B83}" name="Internet" dataDxfId="176"/>
    <tableColumn id="25" xr3:uid="{A8105879-F33B-4759-B0B8-B8514DE62C29}" name="Día internet" dataDxfId="175">
      <calculatedColumnFormula>+Opex[[#This Row],[Internet]]/Opex[[#This Row],[No. Días Arriendo]]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3000000}" name="Planta_y_Equipo" displayName="Planta_y_Equipo" ref="B34:D56" totalsRowCount="1" headerRowDxfId="158">
  <autoFilter ref="B34:D55" xr:uid="{00000000-0009-0000-0100-00000D000000}"/>
  <sortState xmlns:xlrd2="http://schemas.microsoft.com/office/spreadsheetml/2017/richdata2" ref="B19:D42">
    <sortCondition descending="1" ref="D18:D42"/>
  </sortState>
  <tableColumns count="3">
    <tableColumn id="1" xr3:uid="{00000000-0010-0000-0300-000001000000}" name="Inversion Proyecto" totalsRowLabel="Total"/>
    <tableColumn id="2" xr3:uid="{00000000-0010-0000-0300-000002000000}" name="Origen Equipo" dataDxfId="157" dataCellStyle="Millares"/>
    <tableColumn id="3" xr3:uid="{00000000-0010-0000-0300-000003000000}" name="Valor" totalsRowFunction="sum" dataDxfId="156" totalsRowDxfId="155" dataCellStyle="Millare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4000000}" name="Stock_Actual" displayName="Stock_Actual" ref="H34:I43" totalsRowCount="1" headerRowDxfId="154" dataDxfId="152" headerRowBorderDxfId="153" tableBorderDxfId="151" totalsRowBorderDxfId="150">
  <autoFilter ref="H34:I42" xr:uid="{00000000-0009-0000-0100-00000E000000}"/>
  <sortState xmlns:xlrd2="http://schemas.microsoft.com/office/spreadsheetml/2017/richdata2" ref="H25:I36">
    <sortCondition descending="1" ref="I19:I31"/>
  </sortState>
  <tableColumns count="2">
    <tableColumn id="1" xr3:uid="{00000000-0010-0000-0400-000001000000}" name="Materia Prima" totalsRowLabel="Total" dataDxfId="149" totalsRowDxfId="148"/>
    <tableColumn id="2" xr3:uid="{00000000-0010-0000-0400-000002000000}" name="Valor" totalsRowFunction="sum" dataDxfId="147" totalsRowDxfId="146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5000000}" name="Gastos_entrada" displayName="Gastos_entrada" ref="H4:I9" totalsRowCount="1" headerRowDxfId="145">
  <autoFilter ref="H4:I8" xr:uid="{00000000-0009-0000-0100-00000F000000}"/>
  <sortState xmlns:xlrd2="http://schemas.microsoft.com/office/spreadsheetml/2017/richdata2" ref="H5:I11">
    <sortCondition descending="1" ref="I2:I9"/>
  </sortState>
  <tableColumns count="2">
    <tableColumn id="1" xr3:uid="{00000000-0010-0000-0500-000001000000}" name="Tipo de gasto" totalsRowLabel="Total"/>
    <tableColumn id="2" xr3:uid="{00000000-0010-0000-0500-000002000000}" name="Valor" totalsRowFunction="sum" dataDxfId="144" totalsRowDxfId="143" dataCellStyle="Millares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6000000}" name="Stock_Ideal" displayName="Stock_Ideal" ref="H46:I54" totalsRowCount="1" headerRowDxfId="142" dataDxfId="140" headerRowBorderDxfId="141" tableBorderDxfId="139" totalsRowBorderDxfId="138">
  <autoFilter ref="H46:I53" xr:uid="{00000000-0009-0000-0100-000004000000}"/>
  <sortState xmlns:xlrd2="http://schemas.microsoft.com/office/spreadsheetml/2017/richdata2" ref="H47:I53">
    <sortCondition descending="1" ref="I19:I31"/>
  </sortState>
  <tableColumns count="2">
    <tableColumn id="1" xr3:uid="{00000000-0010-0000-0600-000001000000}" name="Materia Prima" totalsRowLabel="Total" dataDxfId="137" totalsRowDxfId="136"/>
    <tableColumn id="2" xr3:uid="{00000000-0010-0000-0600-000002000000}" name="Valor" totalsRowFunction="sum" dataDxfId="135" totalsRowDxfId="134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7000000}" name="Pasivos" displayName="Pasivos" ref="A5:D8" totalsRowCount="1" headerRowDxfId="133" dataDxfId="131" totalsRowDxfId="129" headerRowBorderDxfId="132" tableBorderDxfId="130">
  <autoFilter ref="A5:D7" xr:uid="{00000000-0009-0000-0100-000002000000}"/>
  <tableColumns count="4">
    <tableColumn id="5" xr3:uid="{00000000-0010-0000-0700-000005000000}" name="Nombre proveedor" dataDxfId="128" totalsRowDxfId="127" dataCellStyle="Moneda"/>
    <tableColumn id="7" xr3:uid="{00000000-0010-0000-0700-000007000000}" name="Descripción" totalsRowLabel="Total" dataDxfId="126" totalsRowDxfId="125" dataCellStyle="Moneda 3"/>
    <tableColumn id="16" xr3:uid="{00000000-0010-0000-0700-000010000000}" name="Estado Tesoreria" dataDxfId="124" totalsRowDxfId="123" dataCellStyle="Moneda 3"/>
    <tableColumn id="15" xr3:uid="{00000000-0010-0000-0700-00000F000000}" name="Saldo nuevo admón" dataDxfId="122" totalsRowDxfId="121" dataCellStyle="Moneda 3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9000000}" name="Opex9" displayName="Opex9" ref="B1:U20" headerRowDxfId="120">
  <autoFilter ref="B1:U20" xr:uid="{00000000-0009-0000-0100-000008000000}"/>
  <sortState xmlns:xlrd2="http://schemas.microsoft.com/office/spreadsheetml/2017/richdata2" ref="B2:Q9">
    <sortCondition ref="B1:B9"/>
  </sortState>
  <tableColumns count="20">
    <tableColumn id="18" xr3:uid="{00000000-0010-0000-0900-000012000000}" name="Tipo" dataDxfId="119"/>
    <tableColumn id="1" xr3:uid="{00000000-0010-0000-0900-000001000000}" name="Fecha" dataDxfId="118" totalsRowDxfId="117"/>
    <tableColumn id="4" xr3:uid="{00000000-0010-0000-0900-000004000000}" name="Mes" dataDxfId="116">
      <calculatedColumnFormula>+TEXT(C2,"mmmm")</calculatedColumnFormula>
    </tableColumn>
    <tableColumn id="5" xr3:uid="{00000000-0010-0000-0900-000005000000}" name="Arriendo" dataDxfId="115" totalsRowDxfId="114">
      <calculatedColumnFormula>+J2*0.3</calculatedColumnFormula>
    </tableColumn>
    <tableColumn id="14" xr3:uid="{00000000-0010-0000-0900-00000E000000}" name="No. Días Arriendo" dataDxfId="113" totalsRowDxfId="112"/>
    <tableColumn id="16" xr3:uid="{00000000-0010-0000-0900-000010000000}" name="Día Arriendo" dataDxfId="111" totalsRowDxfId="110">
      <calculatedColumnFormula>IFERROR(Opex9[[#This Row],[Arriendo]]/Opex9[[#This Row],[No. Días Arriendo]],0)</calculatedColumnFormula>
    </tableColumn>
    <tableColumn id="6" xr3:uid="{00000000-0010-0000-0900-000006000000}" name="Gas" dataDxfId="109" totalsRowDxfId="108"/>
    <tableColumn id="12" xr3:uid="{00000000-0010-0000-0900-00000C000000}" name="No. Días Gas" dataDxfId="107" totalsRowDxfId="106">
      <calculatedColumnFormula>+F1</calculatedColumnFormula>
    </tableColumn>
    <tableColumn id="9" xr3:uid="{00000000-0010-0000-0900-000009000000}" name="Consumo (m3)" dataDxfId="105" totalsRowDxfId="104"/>
    <tableColumn id="17" xr3:uid="{00000000-0010-0000-0900-000011000000}" name="Costo prom. Gas" dataDxfId="103" totalsRowDxfId="102">
      <calculatedColumnFormula>IFERROR(Opex9[[#This Row],[Gas]]/Opex9[[#This Row],[Consumo (m3)]],0)</calculatedColumnFormula>
    </tableColumn>
    <tableColumn id="19" xr3:uid="{00000000-0010-0000-0900-000013000000}" name="Día Gas" dataDxfId="101">
      <calculatedColumnFormula>IFERROR(Opex9[[#This Row],[Gas]]/Opex9[[#This Row],[No. Días Arriendo]],0)</calculatedColumnFormula>
    </tableColumn>
    <tableColumn id="3" xr3:uid="{00000000-0010-0000-0900-000003000000}" name="Agua" dataDxfId="100"/>
    <tableColumn id="7" xr3:uid="{00000000-0010-0000-0900-000007000000}" name="Dìa Agua" dataDxfId="99">
      <calculatedColumnFormula>IFERROR(Opex9[[#This Row],[Agua]]/Opex9[[#This Row],[No. Días Arriendo]],0)</calculatedColumnFormula>
    </tableColumn>
    <tableColumn id="11" xr3:uid="{00000000-0010-0000-0900-00000B000000}" name="Energia" dataDxfId="98" totalsRowDxfId="97"/>
    <tableColumn id="2" xr3:uid="{00000000-0010-0000-0900-000002000000}" name="Financiació Energia" dataDxfId="96" totalsRowDxfId="95"/>
    <tableColumn id="13" xr3:uid="{00000000-0010-0000-0900-00000D000000}" name="No. Días Energia" dataDxfId="94">
      <calculatedColumnFormula>+X2</calculatedColumnFormula>
    </tableColumn>
    <tableColumn id="15" xr3:uid="{00000000-0010-0000-0900-00000F000000}" name="Consumo_x000a_(KhW" dataDxfId="93"/>
    <tableColumn id="20" xr3:uid="{00000000-0010-0000-0900-000014000000}" name="Costo prom. Energia" dataDxfId="92">
      <calculatedColumnFormula>IFERROR(Opex9[[#This Row],[Energia]]/Opex9[[#This Row],[Consumo
(KhW]],0)</calculatedColumnFormula>
    </tableColumn>
    <tableColumn id="8" xr3:uid="{00000000-0010-0000-0900-000008000000}" name="Fecha corte enega" dataDxfId="91">
      <calculatedColumnFormula>+Opex9[[#This Row],[Arriendo]]-#REF!</calculatedColumnFormula>
    </tableColumn>
    <tableColumn id="21" xr3:uid="{00000000-0010-0000-0900-000015000000}" name="Día Energia" dataDxfId="90" dataCellStyle="Millares [0]">
      <calculatedColumnFormula>IFERROR(Opex9[[#This Row],[Energia]]/Opex9[[#This Row],[No. Días Arriendo]],0)</calculatedColumnFormula>
    </tableColumn>
  </tableColumns>
  <tableStyleInfo name="TableStyleMedium1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drawing" Target="../drawings/drawing3.xml"/><Relationship Id="rId7" Type="http://schemas.openxmlformats.org/officeDocument/2006/relationships/table" Target="../tables/table6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vmlDrawing" Target="../drawings/vmlDrawing1.vml"/><Relationship Id="rId9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7" Type="http://schemas.microsoft.com/office/2007/relationships/slicer" Target="../slicers/slicer1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A1"/>
  <sheetViews>
    <sheetView showGridLines="0" zoomScale="115" zoomScaleNormal="115" workbookViewId="0">
      <selection activeCell="F8" sqref="F8"/>
    </sheetView>
  </sheetViews>
  <sheetFormatPr baseColWidth="10" defaultRowHeight="14.25" x14ac:dyDescent="0.2"/>
  <sheetData>
    <row r="1" spans="27:27" x14ac:dyDescent="0.2">
      <c r="AA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69"/>
  <sheetViews>
    <sheetView workbookViewId="0">
      <pane ySplit="2" topLeftCell="A3" activePane="bottomLeft" state="frozen"/>
      <selection pane="bottomLeft" activeCell="C3" sqref="C3"/>
    </sheetView>
  </sheetViews>
  <sheetFormatPr baseColWidth="10" defaultRowHeight="14.25" x14ac:dyDescent="0.2"/>
  <cols>
    <col min="2" max="2" width="25.25" bestFit="1" customWidth="1"/>
    <col min="3" max="3" width="7.375" style="3" bestFit="1" customWidth="1"/>
    <col min="4" max="4" width="7.375" style="3" customWidth="1"/>
    <col min="5" max="5" width="10.25" style="3" bestFit="1" customWidth="1"/>
    <col min="7" max="7" width="23.5" bestFit="1" customWidth="1"/>
    <col min="8" max="8" width="14.125" bestFit="1" customWidth="1"/>
    <col min="9" max="9" width="8.5" bestFit="1" customWidth="1"/>
    <col min="10" max="10" width="12.375" customWidth="1"/>
    <col min="11" max="11" width="12.375" bestFit="1" customWidth="1"/>
    <col min="12" max="12" width="11" style="156"/>
    <col min="13" max="13" width="17.875" style="156" customWidth="1"/>
    <col min="14" max="14" width="11.375" style="156" bestFit="1" customWidth="1"/>
    <col min="15" max="15" width="11.375" style="156" customWidth="1"/>
    <col min="16" max="17" width="11" style="156"/>
    <col min="18" max="18" width="12.625" style="156" customWidth="1"/>
    <col min="19" max="21" width="11" style="156"/>
    <col min="22" max="22" width="13.375" style="156" customWidth="1"/>
  </cols>
  <sheetData>
    <row r="1" spans="1:22" x14ac:dyDescent="0.2">
      <c r="L1" s="37"/>
      <c r="N1" s="156">
        <v>8</v>
      </c>
      <c r="O1" s="156">
        <v>24</v>
      </c>
      <c r="P1" s="156">
        <v>13</v>
      </c>
      <c r="Q1" s="156">
        <v>15</v>
      </c>
      <c r="R1" s="156">
        <v>22</v>
      </c>
    </row>
    <row r="2" spans="1:22" x14ac:dyDescent="0.2">
      <c r="A2" s="162" t="s">
        <v>38</v>
      </c>
      <c r="B2" s="163" t="s">
        <v>171</v>
      </c>
      <c r="C2" s="163" t="s">
        <v>201</v>
      </c>
      <c r="D2" s="4" t="s">
        <v>47</v>
      </c>
      <c r="E2" s="162" t="s">
        <v>110</v>
      </c>
      <c r="F2" s="162" t="s">
        <v>9</v>
      </c>
      <c r="G2" s="102" t="s">
        <v>203</v>
      </c>
      <c r="H2" s="178" t="s">
        <v>46</v>
      </c>
      <c r="I2" s="162" t="s">
        <v>133</v>
      </c>
      <c r="J2" s="162" t="s">
        <v>198</v>
      </c>
      <c r="K2" s="164" t="s">
        <v>224</v>
      </c>
      <c r="L2" s="165" t="s">
        <v>116</v>
      </c>
      <c r="M2" s="164" t="s">
        <v>200</v>
      </c>
      <c r="N2" s="166" t="s">
        <v>192</v>
      </c>
      <c r="O2" s="167" t="s">
        <v>117</v>
      </c>
      <c r="P2" s="168" t="s">
        <v>140</v>
      </c>
      <c r="Q2" s="169" t="s">
        <v>142</v>
      </c>
      <c r="R2" s="170" t="s">
        <v>143</v>
      </c>
      <c r="S2" s="171" t="s">
        <v>190</v>
      </c>
      <c r="T2" s="171" t="s">
        <v>191</v>
      </c>
      <c r="U2" s="171" t="s">
        <v>146</v>
      </c>
      <c r="V2"/>
    </row>
    <row r="3" spans="1:22" x14ac:dyDescent="0.2">
      <c r="A3" s="180">
        <v>46068</v>
      </c>
      <c r="B3" s="181">
        <v>0</v>
      </c>
      <c r="C3" s="181" t="str">
        <f>+TEXT(Opex_VE[[#This Row],[Fecha]],"ddd")</f>
        <v>dom</v>
      </c>
      <c r="D3" s="179" t="s">
        <v>216</v>
      </c>
      <c r="E3" s="14" t="s">
        <v>145</v>
      </c>
      <c r="F3" s="182">
        <v>0</v>
      </c>
      <c r="G3" s="184">
        <v>0</v>
      </c>
      <c r="H3" s="185">
        <f ca="1">+Opex_VE[[#This Row],[MG]]-Opex_VE[[#This Row],[Opex]]</f>
        <v>-61111.111111111109</v>
      </c>
      <c r="I3" s="182" t="s">
        <v>134</v>
      </c>
      <c r="J3" s="184">
        <f ca="1">+Opex_VE[[#This Row],[Opex]]</f>
        <v>61111.111111111109</v>
      </c>
      <c r="K3" s="155">
        <f ca="1">+Opex_VE[[#This Row],[MG]]-Opex_VE[[#This Row],[Opex]]</f>
        <v>0</v>
      </c>
      <c r="L3" s="183">
        <f>+VLOOKUP($A3,Opex!$C:$Z,N$1,1)</f>
        <v>61111.111111111109</v>
      </c>
      <c r="M3" s="155">
        <f ca="1">+Opex_VE[[#This Row],[Opex]]</f>
        <v>0</v>
      </c>
      <c r="N3" s="183">
        <f>+SUM(O3,P3,U3)</f>
        <v>0</v>
      </c>
      <c r="O3" s="183">
        <f>+VLOOKUP($A3,Opex!$C:$Z,Q$1,1)</f>
        <v>0</v>
      </c>
      <c r="P3" s="183">
        <f t="shared" ref="P3:P66" si="0">+SUM(Q3:T3)</f>
        <v>0</v>
      </c>
      <c r="Q3" s="183">
        <f>+VLOOKUP($A3,Opex!$C:$Z,R$1,1)</f>
        <v>0</v>
      </c>
      <c r="R3" s="155">
        <f>+SUM(Opex_VE[[#This Row],[Cajero]:[Domiciliario]])</f>
        <v>0</v>
      </c>
      <c r="S3" s="183">
        <v>0</v>
      </c>
      <c r="T3" s="183">
        <v>0</v>
      </c>
      <c r="U3" s="183">
        <v>0</v>
      </c>
      <c r="V3"/>
    </row>
    <row r="4" spans="1:22" x14ac:dyDescent="0.2">
      <c r="A4" s="180">
        <v>46069</v>
      </c>
      <c r="B4" s="181">
        <v>1</v>
      </c>
      <c r="C4" s="181" t="str">
        <f>+TEXT(Opex_VE[[#This Row],[Fecha]],"ddd")</f>
        <v>lun</v>
      </c>
      <c r="D4" s="179" t="s">
        <v>216</v>
      </c>
      <c r="E4" s="14" t="s">
        <v>112</v>
      </c>
      <c r="F4" s="182">
        <v>0</v>
      </c>
      <c r="G4" s="184">
        <v>0</v>
      </c>
      <c r="H4" s="185">
        <f ca="1">+Opex_VE[[#This Row],[MG]]-Opex_VE[[#This Row],[Opex]]</f>
        <v>-61111.111111111109</v>
      </c>
      <c r="I4" s="182" t="s">
        <v>134</v>
      </c>
      <c r="J4" s="184">
        <f ca="1">+Opex_VE[[#This Row],[Opex]]</f>
        <v>61111.111111111109</v>
      </c>
      <c r="K4" s="155">
        <f ca="1">+Opex_VE[[#This Row],[MG]]-Opex_VE[[#This Row],[Opex]]</f>
        <v>0</v>
      </c>
      <c r="L4" s="183">
        <f>+VLOOKUP($A4,Opex!$C:$Z,N$1,1)</f>
        <v>61111.111111111109</v>
      </c>
      <c r="M4" s="155">
        <f ca="1">+Opex_VE[[#This Row],[Opex]]</f>
        <v>0</v>
      </c>
      <c r="N4" s="183">
        <f t="shared" ref="N3:N66" si="1">+SUM(O4,P4,U4)</f>
        <v>0</v>
      </c>
      <c r="O4" s="183">
        <f>+VLOOKUP($A4,Opex!$C:$Z,Q$1,1)</f>
        <v>0</v>
      </c>
      <c r="P4" s="183">
        <f t="shared" si="0"/>
        <v>0</v>
      </c>
      <c r="Q4" s="183">
        <f>+VLOOKUP($A4,Opex!$C:$Z,R$1,1)</f>
        <v>0</v>
      </c>
      <c r="R4" s="155">
        <f>+SUM(Opex_VE[[#This Row],[Cajero]:[Domiciliario]])</f>
        <v>0</v>
      </c>
      <c r="S4" s="183">
        <v>0</v>
      </c>
      <c r="T4" s="183">
        <v>0</v>
      </c>
      <c r="U4" s="183">
        <v>0</v>
      </c>
      <c r="V4"/>
    </row>
    <row r="5" spans="1:22" x14ac:dyDescent="0.2">
      <c r="A5" s="180">
        <v>46070</v>
      </c>
      <c r="B5" s="181">
        <v>1</v>
      </c>
      <c r="C5" s="181" t="str">
        <f>+TEXT(Opex_VE[[#This Row],[Fecha]],"ddd")</f>
        <v>mar</v>
      </c>
      <c r="D5" s="179" t="s">
        <v>216</v>
      </c>
      <c r="E5" s="14" t="s">
        <v>112</v>
      </c>
      <c r="F5" s="182">
        <v>0</v>
      </c>
      <c r="G5" s="184">
        <v>0</v>
      </c>
      <c r="H5" s="185">
        <f ca="1">+Opex_VE[[#This Row],[MG]]-Opex_VE[[#This Row],[Opex]]</f>
        <v>-61111.111111111109</v>
      </c>
      <c r="I5" s="182" t="s">
        <v>134</v>
      </c>
      <c r="J5" s="184">
        <f ca="1">+Opex_VE[[#This Row],[Opex]]</f>
        <v>61111.111111111109</v>
      </c>
      <c r="K5" s="155">
        <f ca="1">+Opex_VE[[#This Row],[MG]]-Opex_VE[[#This Row],[Opex]]</f>
        <v>0</v>
      </c>
      <c r="L5" s="183">
        <f>+VLOOKUP($A5,Opex!$C:$Z,N$1,1)</f>
        <v>61111.111111111109</v>
      </c>
      <c r="M5" s="155">
        <f ca="1">+Opex_VE[[#This Row],[Opex]]</f>
        <v>0</v>
      </c>
      <c r="N5" s="183">
        <f t="shared" si="1"/>
        <v>0</v>
      </c>
      <c r="O5" s="183">
        <f>+VLOOKUP($A5,Opex!$C:$Z,Q$1,1)</f>
        <v>0</v>
      </c>
      <c r="P5" s="183">
        <f t="shared" si="0"/>
        <v>0</v>
      </c>
      <c r="Q5" s="183">
        <f>+VLOOKUP($A5,Opex!$C:$Z,R$1,1)</f>
        <v>0</v>
      </c>
      <c r="R5" s="155">
        <f>+SUM(Opex_VE[[#This Row],[Cajero]:[Domiciliario]])</f>
        <v>0</v>
      </c>
      <c r="S5" s="183">
        <v>0</v>
      </c>
      <c r="T5" s="183">
        <v>0</v>
      </c>
      <c r="U5" s="183">
        <v>0</v>
      </c>
      <c r="V5"/>
    </row>
    <row r="6" spans="1:22" x14ac:dyDescent="0.2">
      <c r="A6" s="180">
        <v>46071</v>
      </c>
      <c r="B6" s="181">
        <v>1</v>
      </c>
      <c r="C6" s="181" t="str">
        <f>+TEXT(Opex_VE[[#This Row],[Fecha]],"ddd")</f>
        <v>mié</v>
      </c>
      <c r="D6" s="179" t="s">
        <v>216</v>
      </c>
      <c r="E6" s="14" t="s">
        <v>112</v>
      </c>
      <c r="F6" s="182">
        <v>0</v>
      </c>
      <c r="G6" s="184">
        <v>0</v>
      </c>
      <c r="H6" s="185">
        <f ca="1">+Opex_VE[[#This Row],[MG]]-Opex_VE[[#This Row],[Opex]]</f>
        <v>-61111.111111111109</v>
      </c>
      <c r="I6" s="182" t="s">
        <v>134</v>
      </c>
      <c r="J6" s="184">
        <f ca="1">+Opex_VE[[#This Row],[Opex]]</f>
        <v>61111.111111111109</v>
      </c>
      <c r="K6" s="155">
        <f ca="1">+Opex_VE[[#This Row],[MG]]-Opex_VE[[#This Row],[Opex]]</f>
        <v>0</v>
      </c>
      <c r="L6" s="183">
        <f>+VLOOKUP($A6,Opex!$C:$Z,N$1,1)</f>
        <v>61111.111111111109</v>
      </c>
      <c r="M6" s="155">
        <f ca="1">+Opex_VE[[#This Row],[Opex]]</f>
        <v>0</v>
      </c>
      <c r="N6" s="183">
        <f t="shared" si="1"/>
        <v>0</v>
      </c>
      <c r="O6" s="183">
        <f>+VLOOKUP($A6,Opex!$C:$Z,Q$1,1)</f>
        <v>0</v>
      </c>
      <c r="P6" s="183">
        <f t="shared" si="0"/>
        <v>0</v>
      </c>
      <c r="Q6" s="183">
        <f>+VLOOKUP($A6,Opex!$C:$Z,R$1,1)</f>
        <v>0</v>
      </c>
      <c r="R6" s="155">
        <f>+SUM(Opex_VE[[#This Row],[Cajero]:[Domiciliario]])</f>
        <v>0</v>
      </c>
      <c r="S6" s="183">
        <v>0</v>
      </c>
      <c r="T6" s="183">
        <v>0</v>
      </c>
      <c r="U6" s="183">
        <v>0</v>
      </c>
      <c r="V6"/>
    </row>
    <row r="7" spans="1:22" x14ac:dyDescent="0.2">
      <c r="A7" s="180">
        <v>46072</v>
      </c>
      <c r="B7" s="181">
        <v>1</v>
      </c>
      <c r="C7" s="181" t="str">
        <f>+TEXT(Opex_VE[[#This Row],[Fecha]],"ddd")</f>
        <v>jue</v>
      </c>
      <c r="D7" s="179" t="s">
        <v>216</v>
      </c>
      <c r="E7" s="14" t="s">
        <v>112</v>
      </c>
      <c r="F7" s="182">
        <v>0</v>
      </c>
      <c r="G7" s="184">
        <v>0</v>
      </c>
      <c r="H7" s="185">
        <f ca="1">+Opex_VE[[#This Row],[MG]]-Opex_VE[[#This Row],[Opex]]</f>
        <v>-61111.111111111109</v>
      </c>
      <c r="I7" s="182" t="s">
        <v>134</v>
      </c>
      <c r="J7" s="184">
        <f ca="1">+Opex_VE[[#This Row],[Opex]]</f>
        <v>61111.111111111109</v>
      </c>
      <c r="K7" s="155">
        <f ca="1">+Opex_VE[[#This Row],[MG]]-Opex_VE[[#This Row],[Opex]]</f>
        <v>0</v>
      </c>
      <c r="L7" s="183">
        <f>+VLOOKUP($A7,Opex!$C:$Z,N$1,1)</f>
        <v>61111.111111111109</v>
      </c>
      <c r="M7" s="155">
        <f ca="1">+Opex_VE[[#This Row],[Opex]]</f>
        <v>0</v>
      </c>
      <c r="N7" s="183">
        <f t="shared" si="1"/>
        <v>0</v>
      </c>
      <c r="O7" s="183">
        <f>+VLOOKUP($A7,Opex!$C:$Z,Q$1,1)</f>
        <v>0</v>
      </c>
      <c r="P7" s="183">
        <f t="shared" si="0"/>
        <v>0</v>
      </c>
      <c r="Q7" s="183">
        <f>+VLOOKUP($A7,Opex!$C:$Z,R$1,1)</f>
        <v>0</v>
      </c>
      <c r="R7" s="155">
        <f>+SUM(Opex_VE[[#This Row],[Cajero]:[Domiciliario]])</f>
        <v>0</v>
      </c>
      <c r="S7" s="183">
        <v>0</v>
      </c>
      <c r="T7" s="183">
        <v>0</v>
      </c>
      <c r="U7" s="183">
        <v>0</v>
      </c>
      <c r="V7"/>
    </row>
    <row r="8" spans="1:22" x14ac:dyDescent="0.2">
      <c r="A8" s="180">
        <v>46073</v>
      </c>
      <c r="B8" s="181">
        <v>1</v>
      </c>
      <c r="C8" s="181" t="str">
        <f>+TEXT(Opex_VE[[#This Row],[Fecha]],"ddd")</f>
        <v>vie</v>
      </c>
      <c r="D8" s="179" t="s">
        <v>216</v>
      </c>
      <c r="E8" s="14" t="s">
        <v>217</v>
      </c>
      <c r="F8" s="182">
        <v>0</v>
      </c>
      <c r="G8" s="184">
        <v>0</v>
      </c>
      <c r="H8" s="185">
        <f ca="1">+Opex_VE[[#This Row],[MG]]-Opex_VE[[#This Row],[Opex]]</f>
        <v>-61111.111111111109</v>
      </c>
      <c r="I8" s="182" t="s">
        <v>134</v>
      </c>
      <c r="J8" s="184">
        <f ca="1">+Opex_VE[[#This Row],[Opex]]</f>
        <v>61111.111111111109</v>
      </c>
      <c r="K8" s="155">
        <f ca="1">+Opex_VE[[#This Row],[MG]]-Opex_VE[[#This Row],[Opex]]</f>
        <v>0</v>
      </c>
      <c r="L8" s="183">
        <f>+VLOOKUP($A8,Opex!$C:$Z,N$1,1)</f>
        <v>61111.111111111109</v>
      </c>
      <c r="M8" s="155">
        <f ca="1">+Opex_VE[[#This Row],[Opex]]</f>
        <v>0</v>
      </c>
      <c r="N8" s="183">
        <f t="shared" si="1"/>
        <v>0</v>
      </c>
      <c r="O8" s="183">
        <f>+VLOOKUP($A8,Opex!$C:$Z,Q$1,1)</f>
        <v>0</v>
      </c>
      <c r="P8" s="183">
        <f t="shared" si="0"/>
        <v>0</v>
      </c>
      <c r="Q8" s="183">
        <f>+VLOOKUP($A8,Opex!$C:$Z,R$1,1)</f>
        <v>0</v>
      </c>
      <c r="R8" s="155">
        <f>+SUM(Opex_VE[[#This Row],[Cajero]:[Domiciliario]])</f>
        <v>0</v>
      </c>
      <c r="S8" s="183">
        <v>0</v>
      </c>
      <c r="T8" s="183">
        <v>0</v>
      </c>
      <c r="U8" s="183">
        <v>0</v>
      </c>
      <c r="V8"/>
    </row>
    <row r="9" spans="1:22" x14ac:dyDescent="0.2">
      <c r="A9" s="180">
        <v>46074</v>
      </c>
      <c r="B9" s="181">
        <v>1</v>
      </c>
      <c r="C9" s="181" t="str">
        <f>+TEXT(Opex_VE[[#This Row],[Fecha]],"ddd")</f>
        <v>sáb</v>
      </c>
      <c r="D9" s="179" t="s">
        <v>216</v>
      </c>
      <c r="E9" s="14" t="s">
        <v>113</v>
      </c>
      <c r="F9" s="182">
        <v>0</v>
      </c>
      <c r="G9" s="184">
        <v>0</v>
      </c>
      <c r="H9" s="185">
        <f ca="1">+Opex_VE[[#This Row],[MG]]-Opex_VE[[#This Row],[Opex]]</f>
        <v>-61111.111111111109</v>
      </c>
      <c r="I9" s="182" t="s">
        <v>134</v>
      </c>
      <c r="J9" s="184">
        <f ca="1">+Opex_VE[[#This Row],[Opex]]</f>
        <v>61111.111111111109</v>
      </c>
      <c r="K9" s="155">
        <f ca="1">+Opex_VE[[#This Row],[MG]]-Opex_VE[[#This Row],[Opex]]</f>
        <v>0</v>
      </c>
      <c r="L9" s="183">
        <f>+VLOOKUP($A9,Opex!$C:$Z,N$1,1)</f>
        <v>61111.111111111109</v>
      </c>
      <c r="M9" s="155">
        <f ca="1">+Opex_VE[[#This Row],[Opex]]</f>
        <v>0</v>
      </c>
      <c r="N9" s="183">
        <f t="shared" si="1"/>
        <v>0</v>
      </c>
      <c r="O9" s="183">
        <f>+VLOOKUP($A9,Opex!$C:$Z,Q$1,1)</f>
        <v>0</v>
      </c>
      <c r="P9" s="183">
        <f t="shared" si="0"/>
        <v>0</v>
      </c>
      <c r="Q9" s="183">
        <f>+VLOOKUP($A9,Opex!$C:$Z,R$1,1)</f>
        <v>0</v>
      </c>
      <c r="R9" s="155">
        <f>+SUM(Opex_VE[[#This Row],[Cajero]:[Domiciliario]])</f>
        <v>0</v>
      </c>
      <c r="S9" s="183">
        <v>0</v>
      </c>
      <c r="T9" s="183">
        <v>0</v>
      </c>
      <c r="U9" s="183">
        <v>0</v>
      </c>
      <c r="V9"/>
    </row>
    <row r="10" spans="1:22" x14ac:dyDescent="0.2">
      <c r="A10" s="180">
        <v>46075</v>
      </c>
      <c r="B10" s="181">
        <v>1</v>
      </c>
      <c r="C10" s="181" t="str">
        <f>+TEXT(Opex_VE[[#This Row],[Fecha]],"ddd")</f>
        <v>dom</v>
      </c>
      <c r="D10" s="179" t="s">
        <v>216</v>
      </c>
      <c r="E10" s="14" t="s">
        <v>145</v>
      </c>
      <c r="F10" s="182">
        <v>0</v>
      </c>
      <c r="G10" s="184">
        <v>0</v>
      </c>
      <c r="H10" s="185">
        <f ca="1">+Opex_VE[[#This Row],[MG]]-Opex_VE[[#This Row],[Opex]]</f>
        <v>-61111.111111111109</v>
      </c>
      <c r="I10" s="182" t="s">
        <v>134</v>
      </c>
      <c r="J10" s="184">
        <f ca="1">+Opex_VE[[#This Row],[Opex]]</f>
        <v>61111.111111111109</v>
      </c>
      <c r="K10" s="155">
        <f ca="1">+Opex_VE[[#This Row],[MG]]-Opex_VE[[#This Row],[Opex]]</f>
        <v>0</v>
      </c>
      <c r="L10" s="183">
        <f>+VLOOKUP($A10,Opex!$C:$Z,N$1,1)</f>
        <v>61111.111111111109</v>
      </c>
      <c r="M10" s="155">
        <f ca="1">+Opex_VE[[#This Row],[Opex]]</f>
        <v>0</v>
      </c>
      <c r="N10" s="183">
        <f t="shared" si="1"/>
        <v>0</v>
      </c>
      <c r="O10" s="183">
        <f>+VLOOKUP($A10,Opex!$C:$Z,Q$1,1)</f>
        <v>0</v>
      </c>
      <c r="P10" s="183">
        <f t="shared" si="0"/>
        <v>0</v>
      </c>
      <c r="Q10" s="183">
        <f>+VLOOKUP($A10,Opex!$C:$Z,R$1,1)</f>
        <v>0</v>
      </c>
      <c r="R10" s="155">
        <f>+SUM(Opex_VE[[#This Row],[Cajero]:[Domiciliario]])</f>
        <v>0</v>
      </c>
      <c r="S10" s="183">
        <v>0</v>
      </c>
      <c r="T10" s="183">
        <v>0</v>
      </c>
      <c r="U10" s="183">
        <v>0</v>
      </c>
      <c r="V10"/>
    </row>
    <row r="11" spans="1:22" x14ac:dyDescent="0.2">
      <c r="A11" s="180">
        <v>46082</v>
      </c>
      <c r="B11" s="181">
        <v>1</v>
      </c>
      <c r="C11" s="181" t="str">
        <f>+TEXT(Opex_VE[[#This Row],[Fecha]],"ddd")</f>
        <v>dom</v>
      </c>
      <c r="D11" s="179" t="s">
        <v>216</v>
      </c>
      <c r="E11" s="14" t="s">
        <v>145</v>
      </c>
      <c r="F11" s="182">
        <v>0</v>
      </c>
      <c r="G11" s="184">
        <v>0</v>
      </c>
      <c r="H11" s="185">
        <f ca="1">+Opex_VE[[#This Row],[MG]]-Opex_VE[[#This Row],[Opex]]</f>
        <v>-61111.111111111109</v>
      </c>
      <c r="I11" s="182" t="s">
        <v>134</v>
      </c>
      <c r="J11" s="184">
        <f ca="1">+Opex_VE[[#This Row],[Opex]]</f>
        <v>61111.111111111109</v>
      </c>
      <c r="K11" s="155">
        <f ca="1">+Opex_VE[[#This Row],[MG]]-Opex_VE[[#This Row],[Opex]]</f>
        <v>0</v>
      </c>
      <c r="L11" s="183">
        <f>+VLOOKUP($A11,Opex!$C:$Z,N$1,1)</f>
        <v>61111.111111111109</v>
      </c>
      <c r="M11" s="155">
        <f ca="1">+Opex_VE[[#This Row],[Opex]]</f>
        <v>0</v>
      </c>
      <c r="N11" s="183">
        <f t="shared" si="1"/>
        <v>0</v>
      </c>
      <c r="O11" s="183">
        <f>+VLOOKUP($A11,Opex!$C:$Z,Q$1,1)</f>
        <v>0</v>
      </c>
      <c r="P11" s="183">
        <f t="shared" si="0"/>
        <v>0</v>
      </c>
      <c r="Q11" s="183">
        <f>+VLOOKUP($A11,Opex!$C:$Z,R$1,1)</f>
        <v>0</v>
      </c>
      <c r="R11" s="155">
        <f>+SUM(Opex_VE[[#This Row],[Cajero]:[Domiciliario]])</f>
        <v>0</v>
      </c>
      <c r="S11" s="183">
        <v>0</v>
      </c>
      <c r="T11" s="183">
        <v>0</v>
      </c>
      <c r="U11" s="183">
        <v>0</v>
      </c>
      <c r="V11"/>
    </row>
    <row r="12" spans="1:22" x14ac:dyDescent="0.2">
      <c r="A12" s="180">
        <v>46087</v>
      </c>
      <c r="B12" s="181">
        <v>1</v>
      </c>
      <c r="C12" s="181" t="str">
        <f>+TEXT(Opex_VE[[#This Row],[Fecha]],"ddd")</f>
        <v>vie</v>
      </c>
      <c r="D12" s="179" t="s">
        <v>216</v>
      </c>
      <c r="E12" s="14" t="s">
        <v>217</v>
      </c>
      <c r="F12" s="182">
        <v>0</v>
      </c>
      <c r="G12" s="184">
        <v>0</v>
      </c>
      <c r="H12" s="185">
        <f ca="1">+Opex_VE[[#This Row],[MG]]-Opex_VE[[#This Row],[Opex]]</f>
        <v>-61111.111111111109</v>
      </c>
      <c r="I12" s="182" t="s">
        <v>134</v>
      </c>
      <c r="J12" s="184">
        <f ca="1">+Opex_VE[[#This Row],[Opex]]</f>
        <v>61111.111111111109</v>
      </c>
      <c r="K12" s="155">
        <f ca="1">+Opex_VE[[#This Row],[MG]]-Opex_VE[[#This Row],[Opex]]</f>
        <v>0</v>
      </c>
      <c r="L12" s="183">
        <f>+VLOOKUP($A12,Opex!$C:$Z,N$1,1)</f>
        <v>61111.111111111109</v>
      </c>
      <c r="M12" s="155">
        <f ca="1">+Opex_VE[[#This Row],[Opex]]</f>
        <v>0</v>
      </c>
      <c r="N12" s="183">
        <f t="shared" ref="N12" si="2">+SUM(O12,P12,U12)</f>
        <v>0</v>
      </c>
      <c r="O12" s="183">
        <f>+VLOOKUP($A12,Opex!$C:$Z,Q$1,1)</f>
        <v>0</v>
      </c>
      <c r="P12" s="183">
        <f t="shared" ref="P12" si="3">+SUM(Q12:T12)</f>
        <v>0</v>
      </c>
      <c r="Q12" s="183">
        <f>+VLOOKUP($A12,Opex!$C:$Z,R$1,1)</f>
        <v>0</v>
      </c>
      <c r="R12" s="155">
        <f>+SUM(Opex_VE[[#This Row],[Cajero]:[Domiciliario]])</f>
        <v>0</v>
      </c>
      <c r="S12" s="183">
        <v>0</v>
      </c>
      <c r="T12" s="183">
        <v>0</v>
      </c>
      <c r="U12" s="183">
        <v>0</v>
      </c>
      <c r="V12"/>
    </row>
    <row r="13" spans="1:22" x14ac:dyDescent="0.2">
      <c r="A13" s="153">
        <v>46076</v>
      </c>
      <c r="B13" s="3">
        <v>1</v>
      </c>
      <c r="C13" s="3" t="str">
        <f>+TEXT(Opex_VE[[#This Row],[Fecha]],"ddd")</f>
        <v>lun</v>
      </c>
      <c r="D13" s="189" t="s">
        <v>216</v>
      </c>
      <c r="E13" s="14" t="s">
        <v>112</v>
      </c>
      <c r="F13" s="172">
        <f>IFERROR(VLOOKUP(Opex_VE[[#This Row],[Fecha]],Historia!A:B,2,0),_xlfn.XLOOKUP(Opex_VE[[#This Row],[dia]],Forecast!H:H,Forecast!I:I))</f>
        <v>224000</v>
      </c>
      <c r="G13" s="172">
        <f>IFERROR(VLOOKUP(Opex_VE[[#This Row],[Fecha]],Historia!A:C,3,0),_xlfn.XLOOKUP(Opex_VE[[#This Row],[dia]],Forecast!H:H,Forecast!J:J))</f>
        <v>89600</v>
      </c>
      <c r="H13" s="186">
        <f ca="1">+Opex_VE[[#This Row],[MG]]-Opex_VE[[#This Row],[Opex]]</f>
        <v>-21511.111111111109</v>
      </c>
      <c r="I13" s="172" t="str">
        <f>IFERROR(VLOOKUP(Opex_VE[[#This Row],[Fecha]],Historia!A:D,4,0),"Forecast")</f>
        <v>Histórico</v>
      </c>
      <c r="J13" s="161">
        <f ca="1">+K13/0.4</f>
        <v>277777.77777777775</v>
      </c>
      <c r="K13" s="157">
        <f ca="1">+Opex_VE[[#This Row],[MG]]-Opex_VE[[#This Row],[Opex]]</f>
        <v>0</v>
      </c>
      <c r="L13" s="156">
        <f>+VLOOKUP($A13,Opex!$C:$Z,N$1,1)</f>
        <v>61111.111111111109</v>
      </c>
      <c r="M13" s="157">
        <f ca="1">+Opex_VE[[#This Row],[Opex]]</f>
        <v>0</v>
      </c>
      <c r="N13" s="156">
        <f>+SUM(O13,P13,U13)</f>
        <v>100000</v>
      </c>
      <c r="O13" s="156">
        <f>+VLOOKUP($A13,Opex!$C:$Z,Q$1,1)</f>
        <v>0</v>
      </c>
      <c r="P13" s="156">
        <f t="shared" si="0"/>
        <v>100000</v>
      </c>
      <c r="Q13" s="156">
        <f>+VLOOKUP($A13,Opex!$C:$Z,R$1,1)</f>
        <v>0</v>
      </c>
      <c r="R13" s="157">
        <f>+SUM(Opex_VE[[#This Row],[Cajero]:[Domiciliario]])</f>
        <v>50000</v>
      </c>
      <c r="S13" s="156">
        <v>50000</v>
      </c>
      <c r="T13" s="156">
        <v>0</v>
      </c>
      <c r="U13" s="156">
        <v>0</v>
      </c>
      <c r="V13"/>
    </row>
    <row r="14" spans="1:22" x14ac:dyDescent="0.2">
      <c r="A14" s="153">
        <v>46077</v>
      </c>
      <c r="B14" s="3">
        <v>1</v>
      </c>
      <c r="C14" s="3" t="str">
        <f>+TEXT(Opex_VE[[#This Row],[Fecha]],"ddd")</f>
        <v>mar</v>
      </c>
      <c r="D14" s="189" t="s">
        <v>49</v>
      </c>
      <c r="E14" s="14" t="s">
        <v>112</v>
      </c>
      <c r="F14" s="172">
        <f>IFERROR(VLOOKUP(Opex_VE[[#This Row],[Fecha]],Historia!A:B,2,0),_xlfn.XLOOKUP(Opex_VE[[#This Row],[dia]],Forecast!H:H,Forecast!I:I))</f>
        <v>221000</v>
      </c>
      <c r="G14" s="172">
        <f>IFERROR(VLOOKUP(Opex_VE[[#This Row],[Fecha]],Historia!A:C,3,0),_xlfn.XLOOKUP(Opex_VE[[#This Row],[dia]],Forecast!H:H,Forecast!J:J))</f>
        <v>88400</v>
      </c>
      <c r="H14" s="186">
        <f ca="1">+Opex_VE[[#This Row],[MG]]-Opex_VE[[#This Row],[Opex]]</f>
        <v>-42711.111111111124</v>
      </c>
      <c r="I14" s="172" t="str">
        <f>IFERROR(VLOOKUP(Opex_VE[[#This Row],[Fecha]],Historia!A:D,4,0),"Forecast")</f>
        <v>Histórico</v>
      </c>
      <c r="J14" s="161">
        <f t="shared" ref="J14:J76" ca="1" si="4">+K14/0.4</f>
        <v>327777.77777777781</v>
      </c>
      <c r="K14" s="157">
        <f ca="1">+Opex_VE[[#This Row],[MG]]-Opex_VE[[#This Row],[Opex]]</f>
        <v>0</v>
      </c>
      <c r="L14" s="156">
        <f>+VLOOKUP($A14,Opex!$C:$Z,N$1,1)</f>
        <v>61111.111111111109</v>
      </c>
      <c r="M14" s="157">
        <f ca="1">+Opex_VE[[#This Row],[Opex]]</f>
        <v>0</v>
      </c>
      <c r="N14" s="156">
        <f t="shared" si="1"/>
        <v>140000</v>
      </c>
      <c r="O14" s="156">
        <f>+VLOOKUP($A14,Opex!$C:$Z,Q$1,1)</f>
        <v>0</v>
      </c>
      <c r="P14" s="156">
        <f t="shared" si="0"/>
        <v>140000</v>
      </c>
      <c r="Q14" s="156">
        <f>+VLOOKUP($A14,Opex!$C:$Z,R$1,1)</f>
        <v>0</v>
      </c>
      <c r="R14" s="157">
        <f>+SUM(Opex_VE[[#This Row],[Cajero]:[Domiciliario]])</f>
        <v>70000</v>
      </c>
      <c r="S14" s="156">
        <v>70000</v>
      </c>
      <c r="T14" s="156">
        <v>0</v>
      </c>
      <c r="U14" s="156">
        <v>0</v>
      </c>
      <c r="V14"/>
    </row>
    <row r="15" spans="1:22" x14ac:dyDescent="0.2">
      <c r="A15" s="153">
        <v>46078</v>
      </c>
      <c r="B15" s="3">
        <v>1</v>
      </c>
      <c r="C15" s="3" t="str">
        <f>+TEXT(Opex_VE[[#This Row],[Fecha]],"ddd")</f>
        <v>mié</v>
      </c>
      <c r="D15" s="189" t="s">
        <v>49</v>
      </c>
      <c r="E15" s="14" t="s">
        <v>112</v>
      </c>
      <c r="F15" s="172">
        <f>IFERROR(VLOOKUP(Opex_VE[[#This Row],[Fecha]],Historia!A:B,2,0),_xlfn.XLOOKUP(Opex_VE[[#This Row],[dia]],Forecast!H:H,Forecast!I:I))</f>
        <v>390500</v>
      </c>
      <c r="G15" s="172">
        <f>IFERROR(VLOOKUP(Opex_VE[[#This Row],[Fecha]],Historia!A:C,3,0),_xlfn.XLOOKUP(Opex_VE[[#This Row],[dia]],Forecast!H:H,Forecast!J:J))</f>
        <v>156200</v>
      </c>
      <c r="H15" s="186">
        <f ca="1">+Opex_VE[[#This Row],[MG]]-Opex_VE[[#This Row],[Opex]]</f>
        <v>5088.888888888876</v>
      </c>
      <c r="I15" s="172" t="str">
        <f>IFERROR(VLOOKUP(Opex_VE[[#This Row],[Fecha]],Historia!A:D,4,0),"Forecast")</f>
        <v>Histórico</v>
      </c>
      <c r="J15" s="161">
        <f t="shared" ca="1" si="4"/>
        <v>377777.77777777781</v>
      </c>
      <c r="K15" s="157">
        <f ca="1">+Opex_VE[[#This Row],[MG]]-Opex_VE[[#This Row],[Opex]]</f>
        <v>0</v>
      </c>
      <c r="L15" s="156">
        <f>+VLOOKUP($A15,Opex!$C:$Z,N$1,1)</f>
        <v>61111.111111111109</v>
      </c>
      <c r="M15" s="157">
        <f ca="1">+Opex_VE[[#This Row],[Opex]]</f>
        <v>0</v>
      </c>
      <c r="N15" s="156">
        <f t="shared" si="1"/>
        <v>180000</v>
      </c>
      <c r="O15" s="156">
        <f>+VLOOKUP($A15,Opex!$C:$Z,Q$1,1)</f>
        <v>0</v>
      </c>
      <c r="P15" s="156">
        <f t="shared" si="0"/>
        <v>180000</v>
      </c>
      <c r="Q15" s="156">
        <f>+VLOOKUP($A15,Opex!$C:$Z,R$1,1)</f>
        <v>0</v>
      </c>
      <c r="R15" s="157">
        <f>+SUM(Opex_VE[[#This Row],[Cajero]:[Domiciliario]])</f>
        <v>90000</v>
      </c>
      <c r="S15" s="156">
        <v>70000</v>
      </c>
      <c r="T15" s="156">
        <v>20000</v>
      </c>
      <c r="U15" s="156">
        <v>0</v>
      </c>
      <c r="V15"/>
    </row>
    <row r="16" spans="1:22" x14ac:dyDescent="0.2">
      <c r="A16" s="153">
        <v>46079</v>
      </c>
      <c r="B16" s="3">
        <v>1</v>
      </c>
      <c r="C16" s="3" t="str">
        <f>+TEXT(Opex_VE[[#This Row],[Fecha]],"ddd")</f>
        <v>jue</v>
      </c>
      <c r="E16" s="14" t="s">
        <v>112</v>
      </c>
      <c r="F16" s="172">
        <f>IFERROR(VLOOKUP(Opex_VE[[#This Row],[Fecha]],Historia!A:B,2,0),_xlfn.XLOOKUP(Opex_VE[[#This Row],[dia]],Forecast!H:H,Forecast!I:I))</f>
        <v>209000</v>
      </c>
      <c r="G16" s="172">
        <f>IFERROR(VLOOKUP(Opex_VE[[#This Row],[Fecha]],Historia!A:C,3,0),_xlfn.XLOOKUP(Opex_VE[[#This Row],[dia]],Forecast!H:H,Forecast!J:J))</f>
        <v>83600</v>
      </c>
      <c r="H16" s="186">
        <f ca="1">+Opex_VE[[#This Row],[MG]]-Opex_VE[[#This Row],[Opex]]</f>
        <v>-67511.111111111124</v>
      </c>
      <c r="I16" s="172" t="str">
        <f>IFERROR(VLOOKUP(Opex_VE[[#This Row],[Fecha]],Historia!A:D,4,0),"Forecast")</f>
        <v>Histórico</v>
      </c>
      <c r="J16" s="161">
        <f t="shared" ca="1" si="4"/>
        <v>377777.77777777781</v>
      </c>
      <c r="K16" s="157">
        <f ca="1">+Opex_VE[[#This Row],[MG]]-Opex_VE[[#This Row],[Opex]]</f>
        <v>0</v>
      </c>
      <c r="L16" s="156">
        <f>+VLOOKUP($A16,Opex!$C:$Z,N$1,1)</f>
        <v>61111.111111111109</v>
      </c>
      <c r="M16" s="157">
        <f ca="1">+Opex_VE[[#This Row],[Opex]]</f>
        <v>0</v>
      </c>
      <c r="N16" s="156">
        <f t="shared" si="1"/>
        <v>180000</v>
      </c>
      <c r="O16" s="156">
        <f>+VLOOKUP($A16,Opex!$C:$Z,Q$1,1)</f>
        <v>0</v>
      </c>
      <c r="P16" s="156">
        <f t="shared" si="0"/>
        <v>180000</v>
      </c>
      <c r="Q16" s="156">
        <f>+VLOOKUP($A16,Opex!$C:$Z,R$1,1)</f>
        <v>0</v>
      </c>
      <c r="R16" s="157">
        <f>+SUM(Opex_VE[[#This Row],[Cajero]:[Domiciliario]])</f>
        <v>90000</v>
      </c>
      <c r="S16" s="156">
        <v>70000</v>
      </c>
      <c r="T16" s="156">
        <v>20000</v>
      </c>
      <c r="U16" s="156">
        <v>0</v>
      </c>
      <c r="V16"/>
    </row>
    <row r="17" spans="1:22" x14ac:dyDescent="0.2">
      <c r="A17" s="153">
        <v>46080</v>
      </c>
      <c r="B17" s="3">
        <v>1</v>
      </c>
      <c r="C17" s="3" t="str">
        <f>+TEXT(Opex_VE[[#This Row],[Fecha]],"ddd")</f>
        <v>vie</v>
      </c>
      <c r="E17" s="14" t="s">
        <v>217</v>
      </c>
      <c r="F17" s="172">
        <f>IFERROR(VLOOKUP(Opex_VE[[#This Row],[Fecha]],Historia!A:B,2,0),_xlfn.XLOOKUP(Opex_VE[[#This Row],[dia]],Forecast!H:H,Forecast!I:I))</f>
        <v>248000</v>
      </c>
      <c r="G17" s="172">
        <f>IFERROR(VLOOKUP(Opex_VE[[#This Row],[Fecha]],Historia!A:C,3,0),_xlfn.XLOOKUP(Opex_VE[[#This Row],[dia]],Forecast!H:H,Forecast!J:J))</f>
        <v>99200</v>
      </c>
      <c r="H17" s="186">
        <f ca="1">+Opex_VE[[#This Row],[MG]]-Opex_VE[[#This Row],[Opex]]</f>
        <v>-51911.111111111124</v>
      </c>
      <c r="I17" s="172" t="str">
        <f>IFERROR(VLOOKUP(Opex_VE[[#This Row],[Fecha]],Historia!A:D,4,0),"Forecast")</f>
        <v>Histórico</v>
      </c>
      <c r="J17" s="161">
        <f t="shared" ca="1" si="4"/>
        <v>377777.77777777781</v>
      </c>
      <c r="K17" s="157">
        <f ca="1">+Opex_VE[[#This Row],[MG]]-Opex_VE[[#This Row],[Opex]]</f>
        <v>0</v>
      </c>
      <c r="L17" s="156">
        <f>+VLOOKUP($A17,Opex!$C:$Z,N$1,1)</f>
        <v>61111.111111111109</v>
      </c>
      <c r="M17" s="157">
        <f ca="1">+Opex_VE[[#This Row],[Opex]]</f>
        <v>0</v>
      </c>
      <c r="N17" s="156">
        <f t="shared" si="1"/>
        <v>180000</v>
      </c>
      <c r="O17" s="156">
        <f>+VLOOKUP($A17,Opex!$C:$Z,Q$1,1)</f>
        <v>0</v>
      </c>
      <c r="P17" s="156">
        <f t="shared" si="0"/>
        <v>180000</v>
      </c>
      <c r="Q17" s="156">
        <f>+VLOOKUP($A17,Opex!$C:$Z,R$1,1)</f>
        <v>0</v>
      </c>
      <c r="R17" s="157">
        <f>+SUM(Opex_VE[[#This Row],[Cajero]:[Domiciliario]])</f>
        <v>90000</v>
      </c>
      <c r="S17" s="156">
        <v>70000</v>
      </c>
      <c r="T17" s="156">
        <v>20000</v>
      </c>
      <c r="U17" s="156">
        <v>0</v>
      </c>
      <c r="V17"/>
    </row>
    <row r="18" spans="1:22" x14ac:dyDescent="0.2">
      <c r="A18" s="153">
        <v>46081</v>
      </c>
      <c r="B18" s="3">
        <v>1</v>
      </c>
      <c r="C18" s="3" t="str">
        <f>+TEXT(Opex_VE[[#This Row],[Fecha]],"ddd")</f>
        <v>sáb</v>
      </c>
      <c r="E18" s="14" t="s">
        <v>113</v>
      </c>
      <c r="F18" s="172">
        <f>IFERROR(VLOOKUP(Opex_VE[[#This Row],[Fecha]],Historia!A:B,2,0),_xlfn.XLOOKUP(Opex_VE[[#This Row],[dia]],Forecast!H:H,Forecast!I:I))</f>
        <v>503500</v>
      </c>
      <c r="G18" s="172">
        <f>IFERROR(VLOOKUP(Opex_VE[[#This Row],[Fecha]],Historia!A:C,3,0),_xlfn.XLOOKUP(Opex_VE[[#This Row],[dia]],Forecast!H:H,Forecast!J:J))</f>
        <v>201400</v>
      </c>
      <c r="H18" s="186">
        <f ca="1">+Opex_VE[[#This Row],[MG]]-Opex_VE[[#This Row],[Opex]]</f>
        <v>50288.888888888876</v>
      </c>
      <c r="I18" s="173" t="str">
        <f>IFERROR(VLOOKUP(Opex_VE[[#This Row],[Fecha]],Historia!A:D,4,0),"Forecast")</f>
        <v>Histórico</v>
      </c>
      <c r="J18" s="161">
        <f t="shared" ca="1" si="4"/>
        <v>377777.77777777781</v>
      </c>
      <c r="K18" s="157">
        <f ca="1">+Opex_VE[[#This Row],[MG]]-Opex_VE[[#This Row],[Opex]]</f>
        <v>0</v>
      </c>
      <c r="L18" s="156">
        <f>+VLOOKUP($A18,Opex!$C:$Z,N$1,1)</f>
        <v>61111.111111111109</v>
      </c>
      <c r="M18" s="157">
        <f ca="1">+Opex_VE[[#This Row],[Opex]]</f>
        <v>0</v>
      </c>
      <c r="N18" s="156">
        <f t="shared" si="1"/>
        <v>180000</v>
      </c>
      <c r="O18" s="156">
        <f>+VLOOKUP($A18,Opex!$C:$Z,Q$1,1)</f>
        <v>0</v>
      </c>
      <c r="P18" s="156">
        <f t="shared" si="0"/>
        <v>180000</v>
      </c>
      <c r="Q18" s="156">
        <f>+VLOOKUP($A18,Opex!$C:$Z,R$1,1)</f>
        <v>0</v>
      </c>
      <c r="R18" s="157">
        <f>+SUM(Opex_VE[[#This Row],[Cajero]:[Domiciliario]])</f>
        <v>90000</v>
      </c>
      <c r="S18" s="156">
        <v>70000</v>
      </c>
      <c r="T18" s="156">
        <v>20000</v>
      </c>
      <c r="U18" s="156">
        <v>0</v>
      </c>
      <c r="V18"/>
    </row>
    <row r="19" spans="1:22" x14ac:dyDescent="0.2">
      <c r="A19" s="153">
        <v>46082</v>
      </c>
      <c r="B19" s="3">
        <v>1</v>
      </c>
      <c r="C19" s="3" t="str">
        <f>+TEXT(Opex_VE[[#This Row],[Fecha]],"ddd")</f>
        <v>dom</v>
      </c>
      <c r="E19" s="14" t="s">
        <v>145</v>
      </c>
      <c r="F19" s="172">
        <f>IFERROR(VLOOKUP(Opex_VE[[#This Row],[Fecha]],Historia!A:B,2,0),_xlfn.XLOOKUP(Opex_VE[[#This Row],[dia]],Forecast!H:H,Forecast!I:I))</f>
        <v>0</v>
      </c>
      <c r="G19" s="172">
        <f>IFERROR(VLOOKUP(Opex_VE[[#This Row],[Fecha]],Historia!A:C,3,0),_xlfn.XLOOKUP(Opex_VE[[#This Row],[dia]],Forecast!H:H,Forecast!J:J))</f>
        <v>0</v>
      </c>
      <c r="H19" s="186">
        <f ca="1">+Opex_VE[[#This Row],[MG]]-Opex_VE[[#This Row],[Opex]]</f>
        <v>-61111.111111111109</v>
      </c>
      <c r="I19" s="172" t="str">
        <f>IFERROR(VLOOKUP(Opex_VE[[#This Row],[Fecha]],Historia!A:D,4,0),"Forecast")</f>
        <v>Histórico</v>
      </c>
      <c r="J19" s="161">
        <f t="shared" ca="1" si="4"/>
        <v>152777.77777777775</v>
      </c>
      <c r="K19" s="157">
        <f ca="1">+Opex_VE[[#This Row],[MG]]-Opex_VE[[#This Row],[Opex]]</f>
        <v>0</v>
      </c>
      <c r="L19" s="156">
        <f>+VLOOKUP($A19,Opex!$C:$Z,N$1,1)</f>
        <v>61111.111111111109</v>
      </c>
      <c r="M19" s="157">
        <f ca="1">+Opex_VE[[#This Row],[Opex]]</f>
        <v>0</v>
      </c>
      <c r="N19" s="156">
        <f t="shared" si="1"/>
        <v>0</v>
      </c>
      <c r="O19" s="156">
        <f>+VLOOKUP($A19,Opex!$C:$Z,Q$1,1)</f>
        <v>0</v>
      </c>
      <c r="P19" s="156">
        <f t="shared" si="0"/>
        <v>0</v>
      </c>
      <c r="Q19" s="156">
        <f>+VLOOKUP($A19,Opex!$C:$Z,R$1,1)</f>
        <v>0</v>
      </c>
      <c r="R19" s="157">
        <f>+SUM(Opex_VE[[#This Row],[Cajero]:[Domiciliario]])</f>
        <v>0</v>
      </c>
      <c r="S19" s="156">
        <v>0</v>
      </c>
      <c r="T19" s="156">
        <v>0</v>
      </c>
      <c r="U19" s="156">
        <v>0</v>
      </c>
      <c r="V19"/>
    </row>
    <row r="20" spans="1:22" x14ac:dyDescent="0.2">
      <c r="A20" s="153">
        <v>46083</v>
      </c>
      <c r="B20" s="3">
        <f>+B13+1</f>
        <v>2</v>
      </c>
      <c r="C20" s="3" t="str">
        <f>+TEXT(Opex_VE[[#This Row],[Fecha]],"ddd")</f>
        <v>lun</v>
      </c>
      <c r="E20" s="14" t="s">
        <v>112</v>
      </c>
      <c r="F20" s="172">
        <f>IFERROR(VLOOKUP(Opex_VE[[#This Row],[Fecha]],Historia!A:B,2,0),_xlfn.XLOOKUP(Opex_VE[[#This Row],[dia]],Forecast!H:H,Forecast!I:I))</f>
        <v>60000</v>
      </c>
      <c r="G20" s="172">
        <f>IFERROR(VLOOKUP(Opex_VE[[#This Row],[Fecha]],Historia!A:C,3,0),_xlfn.XLOOKUP(Opex_VE[[#This Row],[dia]],Forecast!H:H,Forecast!J:J))</f>
        <v>24000</v>
      </c>
      <c r="H20" s="186">
        <f ca="1">+Opex_VE[[#This Row],[MG]]-Opex_VE[[#This Row],[Opex]]</f>
        <v>-57111.111111111109</v>
      </c>
      <c r="I20" s="172" t="str">
        <f>IFERROR(VLOOKUP(Opex_VE[[#This Row],[Fecha]],Historia!A:D,4,0),"Forecast")</f>
        <v>Histórico</v>
      </c>
      <c r="J20" s="161">
        <f t="shared" ca="1" si="4"/>
        <v>202777.77777777775</v>
      </c>
      <c r="K20" s="157">
        <f ca="1">+Opex_VE[[#This Row],[MG]]-Opex_VE[[#This Row],[Opex]]</f>
        <v>0</v>
      </c>
      <c r="L20" s="156">
        <f>+VLOOKUP($A20,Opex!$C:$Z,N$1,1)</f>
        <v>61111.111111111109</v>
      </c>
      <c r="M20" s="157">
        <f ca="1">+Opex_VE[[#This Row],[Opex]]</f>
        <v>0</v>
      </c>
      <c r="N20" s="156">
        <f t="shared" si="1"/>
        <v>40000</v>
      </c>
      <c r="O20" s="156">
        <f>+VLOOKUP($A20,Opex!$C:$Z,Q$1,1)</f>
        <v>0</v>
      </c>
      <c r="P20" s="156">
        <f t="shared" si="0"/>
        <v>40000</v>
      </c>
      <c r="Q20" s="156">
        <f>+VLOOKUP($A20,Opex!$C:$Z,R$1,1)</f>
        <v>0</v>
      </c>
      <c r="R20" s="157">
        <f>+SUM(Opex_VE[[#This Row],[Cajero]:[Domiciliario]])</f>
        <v>20000</v>
      </c>
      <c r="S20" s="156">
        <v>0</v>
      </c>
      <c r="T20" s="156">
        <v>20000</v>
      </c>
      <c r="U20" s="156">
        <v>0</v>
      </c>
      <c r="V20"/>
    </row>
    <row r="21" spans="1:22" x14ac:dyDescent="0.2">
      <c r="A21" s="153">
        <v>46084</v>
      </c>
      <c r="B21" s="3">
        <f t="shared" ref="B21:B84" si="5">+B14+1</f>
        <v>2</v>
      </c>
      <c r="C21" s="3" t="str">
        <f>+TEXT(Opex_VE[[#This Row],[Fecha]],"ddd")</f>
        <v>mar</v>
      </c>
      <c r="E21" s="14" t="s">
        <v>112</v>
      </c>
      <c r="F21" s="172">
        <f>IFERROR(VLOOKUP(Opex_VE[[#This Row],[Fecha]],Historia!A:B,2,0),_xlfn.XLOOKUP(Opex_VE[[#This Row],[dia]],Forecast!H:H,Forecast!I:I))</f>
        <v>169000</v>
      </c>
      <c r="G21" s="172">
        <f>IFERROR(VLOOKUP(Opex_VE[[#This Row],[Fecha]],Historia!A:C,3,0),_xlfn.XLOOKUP(Opex_VE[[#This Row],[dia]],Forecast!H:H,Forecast!J:J))</f>
        <v>67600</v>
      </c>
      <c r="H21" s="186">
        <f ca="1">+Opex_VE[[#This Row],[MG]]-Opex_VE[[#This Row],[Opex]]</f>
        <v>-13511.111111111109</v>
      </c>
      <c r="I21" s="172" t="str">
        <f>IFERROR(VLOOKUP(Opex_VE[[#This Row],[Fecha]],Historia!A:D,4,0),"Forecast")</f>
        <v>Histórico</v>
      </c>
      <c r="J21" s="161">
        <f t="shared" ca="1" si="4"/>
        <v>202777.77777777775</v>
      </c>
      <c r="K21" s="157">
        <f ca="1">+Opex_VE[[#This Row],[MG]]-Opex_VE[[#This Row],[Opex]]</f>
        <v>0</v>
      </c>
      <c r="L21" s="156">
        <f>+VLOOKUP($A21,Opex!$C:$Z,N$1,1)</f>
        <v>61111.111111111109</v>
      </c>
      <c r="M21" s="157">
        <f ca="1">+Opex_VE[[#This Row],[Opex]]</f>
        <v>0</v>
      </c>
      <c r="N21" s="156">
        <f t="shared" si="1"/>
        <v>40000</v>
      </c>
      <c r="O21" s="156">
        <f>+VLOOKUP($A21,Opex!$C:$Z,Q$1,1)</f>
        <v>0</v>
      </c>
      <c r="P21" s="156">
        <f t="shared" si="0"/>
        <v>40000</v>
      </c>
      <c r="Q21" s="156">
        <f>+VLOOKUP($A21,Opex!$C:$Z,R$1,1)</f>
        <v>0</v>
      </c>
      <c r="R21" s="157">
        <f>+SUM(Opex_VE[[#This Row],[Cajero]:[Domiciliario]])</f>
        <v>20000</v>
      </c>
      <c r="S21" s="156">
        <v>0</v>
      </c>
      <c r="T21" s="156">
        <v>20000</v>
      </c>
      <c r="U21" s="156">
        <v>0</v>
      </c>
      <c r="V21"/>
    </row>
    <row r="22" spans="1:22" x14ac:dyDescent="0.2">
      <c r="A22" s="153">
        <v>46085</v>
      </c>
      <c r="B22" s="3">
        <f t="shared" si="5"/>
        <v>2</v>
      </c>
      <c r="C22" s="3" t="str">
        <f>+TEXT(Opex_VE[[#This Row],[Fecha]],"ddd")</f>
        <v>mié</v>
      </c>
      <c r="E22" s="14" t="s">
        <v>112</v>
      </c>
      <c r="F22" s="172">
        <f>IFERROR(VLOOKUP(Opex_VE[[#This Row],[Fecha]],Historia!A:B,2,0),_xlfn.XLOOKUP(Opex_VE[[#This Row],[dia]],Forecast!H:H,Forecast!I:I))</f>
        <v>343000</v>
      </c>
      <c r="G22" s="172">
        <f>IFERROR(VLOOKUP(Opex_VE[[#This Row],[Fecha]],Historia!A:C,3,0),_xlfn.XLOOKUP(Opex_VE[[#This Row],[dia]],Forecast!H:H,Forecast!J:J))</f>
        <v>137200</v>
      </c>
      <c r="H22" s="186">
        <f ca="1">+Opex_VE[[#This Row],[MG]]-Opex_VE[[#This Row],[Opex]]</f>
        <v>56088.888888888891</v>
      </c>
      <c r="I22" s="172" t="str">
        <f>IFERROR(VLOOKUP(Opex_VE[[#This Row],[Fecha]],Historia!A:D,4,0),"Forecast")</f>
        <v>Histórico</v>
      </c>
      <c r="J22" s="161">
        <f t="shared" ca="1" si="4"/>
        <v>202777.77777777775</v>
      </c>
      <c r="K22" s="157">
        <f ca="1">+Opex_VE[[#This Row],[MG]]-Opex_VE[[#This Row],[Opex]]</f>
        <v>0</v>
      </c>
      <c r="L22" s="156">
        <f>+VLOOKUP($A22,Opex!$C:$Z,N$1,1)</f>
        <v>61111.111111111109</v>
      </c>
      <c r="M22" s="157">
        <f ca="1">+Opex_VE[[#This Row],[Opex]]</f>
        <v>0</v>
      </c>
      <c r="N22" s="156">
        <f t="shared" si="1"/>
        <v>40000</v>
      </c>
      <c r="O22" s="156">
        <f>+VLOOKUP($A22,Opex!$C:$Z,Q$1,1)</f>
        <v>0</v>
      </c>
      <c r="P22" s="156">
        <f t="shared" si="0"/>
        <v>40000</v>
      </c>
      <c r="Q22" s="156">
        <f>+VLOOKUP($A22,Opex!$C:$Z,R$1,1)</f>
        <v>0</v>
      </c>
      <c r="R22" s="157">
        <f>+SUM(Opex_VE[[#This Row],[Cajero]:[Domiciliario]])</f>
        <v>20000</v>
      </c>
      <c r="S22" s="156">
        <v>0</v>
      </c>
      <c r="T22" s="156">
        <v>20000</v>
      </c>
      <c r="U22" s="156">
        <v>0</v>
      </c>
      <c r="V22"/>
    </row>
    <row r="23" spans="1:22" x14ac:dyDescent="0.2">
      <c r="A23" s="153">
        <v>46086</v>
      </c>
      <c r="B23" s="3">
        <f t="shared" si="5"/>
        <v>2</v>
      </c>
      <c r="C23" s="3" t="str">
        <f>+TEXT(Opex_VE[[#This Row],[Fecha]],"ddd")</f>
        <v>jue</v>
      </c>
      <c r="E23" s="14" t="s">
        <v>112</v>
      </c>
      <c r="F23" s="172">
        <f>IFERROR(VLOOKUP(Opex_VE[[#This Row],[Fecha]],Historia!A:B,2,0),_xlfn.XLOOKUP(Opex_VE[[#This Row],[dia]],Forecast!H:H,Forecast!I:I))</f>
        <v>259000</v>
      </c>
      <c r="G23" s="172">
        <f>IFERROR(VLOOKUP(Opex_VE[[#This Row],[Fecha]],Historia!A:C,3,0),_xlfn.XLOOKUP(Opex_VE[[#This Row],[dia]],Forecast!H:H,Forecast!J:J))</f>
        <v>103600</v>
      </c>
      <c r="H23" s="186">
        <f ca="1">+Opex_VE[[#This Row],[MG]]-Opex_VE[[#This Row],[Opex]]</f>
        <v>22488.888888888891</v>
      </c>
      <c r="I23" s="172" t="str">
        <f>IFERROR(VLOOKUP(Opex_VE[[#This Row],[Fecha]],Historia!A:D,4,0),"Forecast")</f>
        <v>Histórico</v>
      </c>
      <c r="J23" s="161">
        <f t="shared" ca="1" si="4"/>
        <v>202777.77777777775</v>
      </c>
      <c r="K23" s="157">
        <f ca="1">+Opex_VE[[#This Row],[MG]]-Opex_VE[[#This Row],[Opex]]</f>
        <v>0</v>
      </c>
      <c r="L23" s="156">
        <f>+VLOOKUP($A23,Opex!$C:$Z,N$1,1)</f>
        <v>61111.111111111109</v>
      </c>
      <c r="M23" s="157">
        <f ca="1">+Opex_VE[[#This Row],[Opex]]</f>
        <v>0</v>
      </c>
      <c r="N23" s="156">
        <f t="shared" si="1"/>
        <v>40000</v>
      </c>
      <c r="O23" s="156">
        <f>+VLOOKUP($A23,Opex!$C:$Z,Q$1,1)</f>
        <v>0</v>
      </c>
      <c r="P23" s="156">
        <f t="shared" si="0"/>
        <v>40000</v>
      </c>
      <c r="Q23" s="156">
        <f>+VLOOKUP($A23,Opex!$C:$Z,R$1,1)</f>
        <v>0</v>
      </c>
      <c r="R23" s="157">
        <f>+SUM(Opex_VE[[#This Row],[Cajero]:[Domiciliario]])</f>
        <v>20000</v>
      </c>
      <c r="S23" s="156">
        <v>0</v>
      </c>
      <c r="T23" s="156">
        <v>20000</v>
      </c>
      <c r="U23" s="156">
        <v>0</v>
      </c>
      <c r="V23"/>
    </row>
    <row r="24" spans="1:22" x14ac:dyDescent="0.2">
      <c r="A24" s="153">
        <v>46087</v>
      </c>
      <c r="B24" s="3">
        <f t="shared" si="5"/>
        <v>2</v>
      </c>
      <c r="C24" s="3" t="str">
        <f>+TEXT(Opex_VE[[#This Row],[Fecha]],"ddd")</f>
        <v>vie</v>
      </c>
      <c r="E24" s="14" t="s">
        <v>218</v>
      </c>
      <c r="F24" s="172">
        <f>IFERROR(VLOOKUP(Opex_VE[[#This Row],[Fecha]],Historia!A:B,2,0),_xlfn.XLOOKUP(Opex_VE[[#This Row],[dia]],Forecast!H:H,Forecast!I:I))</f>
        <v>0</v>
      </c>
      <c r="G24" s="172">
        <f>IFERROR(VLOOKUP(Opex_VE[[#This Row],[Fecha]],Historia!A:C,3,0),_xlfn.XLOOKUP(Opex_VE[[#This Row],[dia]],Forecast!H:H,Forecast!J:J))</f>
        <v>0</v>
      </c>
      <c r="H24" s="186">
        <f ca="1">+Opex_VE[[#This Row],[MG]]-Opex_VE[[#This Row],[Opex]]</f>
        <v>-61111.111111111109</v>
      </c>
      <c r="I24" s="172" t="str">
        <f>IFERROR(VLOOKUP(Opex_VE[[#This Row],[Fecha]],Historia!A:D,4,0),"Forecast")</f>
        <v>Histórico</v>
      </c>
      <c r="J24" s="161">
        <f t="shared" ca="1" si="4"/>
        <v>152777.77777777775</v>
      </c>
      <c r="K24" s="157">
        <f ca="1">+Opex_VE[[#This Row],[MG]]-Opex_VE[[#This Row],[Opex]]</f>
        <v>0</v>
      </c>
      <c r="L24" s="156">
        <f>+VLOOKUP($A24,Opex!$C:$Z,N$1,1)</f>
        <v>61111.111111111109</v>
      </c>
      <c r="M24" s="157">
        <f ca="1">+Opex_VE[[#This Row],[Opex]]</f>
        <v>0</v>
      </c>
      <c r="N24" s="156">
        <f t="shared" si="1"/>
        <v>0</v>
      </c>
      <c r="O24" s="156">
        <f>+VLOOKUP($A24,Opex!$C:$Z,Q$1,1)</f>
        <v>0</v>
      </c>
      <c r="P24" s="156">
        <f t="shared" si="0"/>
        <v>0</v>
      </c>
      <c r="Q24" s="156">
        <f>+VLOOKUP($A24,Opex!$C:$Z,R$1,1)</f>
        <v>0</v>
      </c>
      <c r="R24" s="157">
        <f>+SUM(Opex_VE[[#This Row],[Cajero]:[Domiciliario]])</f>
        <v>0</v>
      </c>
      <c r="S24" s="156">
        <v>0</v>
      </c>
      <c r="T24" s="156">
        <v>0</v>
      </c>
      <c r="U24" s="156">
        <v>0</v>
      </c>
      <c r="V24"/>
    </row>
    <row r="25" spans="1:22" x14ac:dyDescent="0.2">
      <c r="A25" s="153">
        <v>46088</v>
      </c>
      <c r="B25" s="3">
        <f t="shared" si="5"/>
        <v>2</v>
      </c>
      <c r="C25" s="3" t="str">
        <f>+TEXT(Opex_VE[[#This Row],[Fecha]],"ddd")</f>
        <v>sáb</v>
      </c>
      <c r="E25" s="14" t="s">
        <v>113</v>
      </c>
      <c r="F25" s="172">
        <f>IFERROR(VLOOKUP(Opex_VE[[#This Row],[Fecha]],Historia!A:B,2,0),_xlfn.XLOOKUP(Opex_VE[[#This Row],[dia]],Forecast!H:H,Forecast!I:I))</f>
        <v>298500</v>
      </c>
      <c r="G25" s="172">
        <f>IFERROR(VLOOKUP(Opex_VE[[#This Row],[Fecha]],Historia!A:C,3,0),_xlfn.XLOOKUP(Opex_VE[[#This Row],[dia]],Forecast!H:H,Forecast!J:J))</f>
        <v>119400</v>
      </c>
      <c r="H25" s="186">
        <f ca="1">+Opex_VE[[#This Row],[MG]]-Opex_VE[[#This Row],[Opex]]</f>
        <v>-33711.111111111124</v>
      </c>
      <c r="I25" s="173" t="str">
        <f>IFERROR(VLOOKUP(Opex_VE[[#This Row],[Fecha]],Historia!A:D,4,0),"Forecast")</f>
        <v>Histórico</v>
      </c>
      <c r="J25" s="161">
        <f t="shared" ca="1" si="4"/>
        <v>382777.77777777781</v>
      </c>
      <c r="K25" s="157">
        <f ca="1">+Opex_VE[[#This Row],[MG]]-Opex_VE[[#This Row],[Opex]]</f>
        <v>0</v>
      </c>
      <c r="L25" s="156">
        <f>+VLOOKUP($A25,Opex!$C:$Z,N$1,1)</f>
        <v>61111.111111111109</v>
      </c>
      <c r="M25" s="157">
        <f ca="1">+Opex_VE[[#This Row],[Opex]]</f>
        <v>0</v>
      </c>
      <c r="N25" s="156">
        <f t="shared" si="1"/>
        <v>184000</v>
      </c>
      <c r="O25" s="156">
        <f>+VLOOKUP($A25,Opex!$C:$Z,Q$1,1)</f>
        <v>0</v>
      </c>
      <c r="P25" s="156">
        <f t="shared" si="0"/>
        <v>184000</v>
      </c>
      <c r="Q25" s="156">
        <f>+VLOOKUP($A25,Opex!$C:$Z,R$1,1)</f>
        <v>0</v>
      </c>
      <c r="R25" s="157">
        <f>+SUM(Opex_VE[[#This Row],[Cajero]:[Domiciliario]])</f>
        <v>92000</v>
      </c>
      <c r="S25" s="156">
        <v>70000</v>
      </c>
      <c r="T25" s="156">
        <v>22000</v>
      </c>
      <c r="U25" s="156">
        <v>0</v>
      </c>
      <c r="V25"/>
    </row>
    <row r="26" spans="1:22" x14ac:dyDescent="0.2">
      <c r="A26" s="153">
        <v>46089</v>
      </c>
      <c r="B26" s="3">
        <f t="shared" si="5"/>
        <v>2</v>
      </c>
      <c r="C26" s="3" t="str">
        <f>+TEXT(Opex_VE[[#This Row],[Fecha]],"ddd")</f>
        <v>dom</v>
      </c>
      <c r="E26" s="14" t="s">
        <v>145</v>
      </c>
      <c r="F26" s="172">
        <f>IFERROR(VLOOKUP(Opex_VE[[#This Row],[Fecha]],Historia!A:B,2,0),_xlfn.XLOOKUP(Opex_VE[[#This Row],[dia]],Forecast!H:H,Forecast!I:I))</f>
        <v>218500</v>
      </c>
      <c r="G26" s="172">
        <f>IFERROR(VLOOKUP(Opex_VE[[#This Row],[Fecha]],Historia!A:C,3,0),_xlfn.XLOOKUP(Opex_VE[[#This Row],[dia]],Forecast!H:H,Forecast!J:J))</f>
        <v>87400</v>
      </c>
      <c r="H26" s="186">
        <f ca="1">+Opex_VE[[#This Row],[MG]]-Opex_VE[[#This Row],[Opex]]</f>
        <v>-3711.1111111111095</v>
      </c>
      <c r="I26" s="172" t="str">
        <f>IFERROR(VLOOKUP(Opex_VE[[#This Row],[Fecha]],Historia!A:D,4,0),"Forecast")</f>
        <v>Histórico</v>
      </c>
      <c r="J26" s="161">
        <f t="shared" ca="1" si="4"/>
        <v>227777.77777777775</v>
      </c>
      <c r="K26" s="157">
        <f ca="1">+Opex_VE[[#This Row],[MG]]-Opex_VE[[#This Row],[Opex]]</f>
        <v>0</v>
      </c>
      <c r="L26" s="156">
        <f>+VLOOKUP($A26,Opex!$C:$Z,N$1,1)</f>
        <v>61111.111111111109</v>
      </c>
      <c r="M26" s="157">
        <f ca="1">+Opex_VE[[#This Row],[Opex]]</f>
        <v>0</v>
      </c>
      <c r="N26" s="156">
        <f t="shared" si="1"/>
        <v>60000</v>
      </c>
      <c r="O26" s="156">
        <f>+VLOOKUP($A26,Opex!$C:$Z,Q$1,1)</f>
        <v>0</v>
      </c>
      <c r="P26" s="156">
        <f t="shared" si="0"/>
        <v>60000</v>
      </c>
      <c r="Q26" s="156">
        <f>+VLOOKUP($A26,Opex!$C:$Z,R$1,1)</f>
        <v>0</v>
      </c>
      <c r="R26" s="157">
        <f>+SUM(Opex_VE[[#This Row],[Cajero]:[Domiciliario]])</f>
        <v>30000</v>
      </c>
      <c r="S26" s="156">
        <v>20000</v>
      </c>
      <c r="T26" s="156">
        <v>10000</v>
      </c>
      <c r="U26" s="156">
        <v>0</v>
      </c>
      <c r="V26"/>
    </row>
    <row r="27" spans="1:22" x14ac:dyDescent="0.2">
      <c r="A27" s="153">
        <v>46090</v>
      </c>
      <c r="B27" s="3">
        <f t="shared" si="5"/>
        <v>3</v>
      </c>
      <c r="C27" s="3" t="str">
        <f>+TEXT(Opex_VE[[#This Row],[Fecha]],"ddd")</f>
        <v>lun</v>
      </c>
      <c r="E27" s="14" t="s">
        <v>112</v>
      </c>
      <c r="F27" s="172">
        <f>IFERROR(VLOOKUP(Opex_VE[[#This Row],[Fecha]],Historia!A:B,2,0),_xlfn.XLOOKUP(Opex_VE[[#This Row],[dia]],Forecast!H:H,Forecast!I:I))</f>
        <v>179200</v>
      </c>
      <c r="G27" s="172">
        <f>IFERROR(VLOOKUP(Opex_VE[[#This Row],[Fecha]],Historia!A:C,3,0),_xlfn.XLOOKUP(Opex_VE[[#This Row],[dia]],Forecast!H:H,Forecast!J:J))</f>
        <v>71680</v>
      </c>
      <c r="H27" s="186">
        <f ca="1">+Opex_VE[[#This Row],[MG]]-Opex_VE[[#This Row],[Opex]]</f>
        <v>-39431.111111111109</v>
      </c>
      <c r="I27" s="172" t="str">
        <f>IFERROR(VLOOKUP(Opex_VE[[#This Row],[Fecha]],Historia!A:D,4,0),"Forecast")</f>
        <v>Forecast</v>
      </c>
      <c r="J27" s="161">
        <f t="shared" ca="1" si="4"/>
        <v>277777.77777777775</v>
      </c>
      <c r="K27" s="157">
        <f ca="1">+Opex_VE[[#This Row],[MG]]-Opex_VE[[#This Row],[Opex]]</f>
        <v>0</v>
      </c>
      <c r="L27" s="156">
        <f>+VLOOKUP($A27,Opex!$C:$Z,N$1,1)</f>
        <v>61111.111111111109</v>
      </c>
      <c r="M27" s="157">
        <f ca="1">+Opex_VE[[#This Row],[Opex]]</f>
        <v>0</v>
      </c>
      <c r="N27" s="156">
        <f t="shared" si="1"/>
        <v>100000</v>
      </c>
      <c r="O27" s="156">
        <f>+VLOOKUP($A27,Opex!$C:$Z,Q$1,1)</f>
        <v>0</v>
      </c>
      <c r="P27" s="156">
        <f t="shared" si="0"/>
        <v>100000</v>
      </c>
      <c r="Q27" s="156">
        <f>+VLOOKUP($A27,Opex!$C:$Z,R$1,1)</f>
        <v>0</v>
      </c>
      <c r="R27" s="157">
        <f>+SUM(Opex_VE[[#This Row],[Cajero]:[Domiciliario]])</f>
        <v>50000</v>
      </c>
      <c r="S27" s="156">
        <v>30000</v>
      </c>
      <c r="T27" s="156">
        <v>20000</v>
      </c>
      <c r="U27" s="156">
        <v>0</v>
      </c>
      <c r="V27"/>
    </row>
    <row r="28" spans="1:22" x14ac:dyDescent="0.2">
      <c r="A28" s="153">
        <v>46091</v>
      </c>
      <c r="B28" s="3">
        <f t="shared" si="5"/>
        <v>3</v>
      </c>
      <c r="C28" s="3" t="str">
        <f>+TEXT(Opex_VE[[#This Row],[Fecha]],"ddd")</f>
        <v>mar</v>
      </c>
      <c r="E28" s="14" t="s">
        <v>112</v>
      </c>
      <c r="F28" s="172">
        <f>IFERROR(VLOOKUP(Opex_VE[[#This Row],[Fecha]],Historia!A:B,2,0),_xlfn.XLOOKUP(Opex_VE[[#This Row],[dia]],Forecast!H:H,Forecast!I:I))</f>
        <v>195000</v>
      </c>
      <c r="G28" s="172">
        <f>IFERROR(VLOOKUP(Opex_VE[[#This Row],[Fecha]],Historia!A:C,3,0),_xlfn.XLOOKUP(Opex_VE[[#This Row],[dia]],Forecast!H:H,Forecast!J:J))</f>
        <v>78000</v>
      </c>
      <c r="H28" s="186">
        <f ca="1">+Opex_VE[[#This Row],[MG]]-Opex_VE[[#This Row],[Opex]]</f>
        <v>-33111.111111111109</v>
      </c>
      <c r="I28" s="172" t="str">
        <f>IFERROR(VLOOKUP(Opex_VE[[#This Row],[Fecha]],Historia!A:D,4,0),"Forecast")</f>
        <v>Forecast</v>
      </c>
      <c r="J28" s="161">
        <f t="shared" ca="1" si="4"/>
        <v>277777.77777777775</v>
      </c>
      <c r="K28" s="157">
        <f ca="1">+Opex_VE[[#This Row],[MG]]-Opex_VE[[#This Row],[Opex]]</f>
        <v>0</v>
      </c>
      <c r="L28" s="156">
        <f>+VLOOKUP($A28,Opex!$C:$Z,N$1,1)</f>
        <v>61111.111111111109</v>
      </c>
      <c r="M28" s="157">
        <f ca="1">+Opex_VE[[#This Row],[Opex]]</f>
        <v>0</v>
      </c>
      <c r="N28" s="156">
        <f t="shared" si="1"/>
        <v>100000</v>
      </c>
      <c r="O28" s="156">
        <f>+VLOOKUP($A28,Opex!$C:$Z,Q$1,1)</f>
        <v>0</v>
      </c>
      <c r="P28" s="156">
        <f t="shared" si="0"/>
        <v>100000</v>
      </c>
      <c r="Q28" s="156">
        <f>+VLOOKUP($A28,Opex!$C:$Z,R$1,1)</f>
        <v>0</v>
      </c>
      <c r="R28" s="157">
        <f>+SUM(Opex_VE[[#This Row],[Cajero]:[Domiciliario]])</f>
        <v>50000</v>
      </c>
      <c r="S28" s="156">
        <v>30000</v>
      </c>
      <c r="T28" s="156">
        <v>20000</v>
      </c>
      <c r="U28" s="156">
        <v>0</v>
      </c>
      <c r="V28"/>
    </row>
    <row r="29" spans="1:22" x14ac:dyDescent="0.2">
      <c r="A29" s="153">
        <v>46092</v>
      </c>
      <c r="B29" s="3">
        <f t="shared" si="5"/>
        <v>3</v>
      </c>
      <c r="C29" s="3" t="str">
        <f>+TEXT(Opex_VE[[#This Row],[Fecha]],"ddd")</f>
        <v>mié</v>
      </c>
      <c r="E29" s="14" t="s">
        <v>112</v>
      </c>
      <c r="F29" s="172">
        <f>IFERROR(VLOOKUP(Opex_VE[[#This Row],[Fecha]],Historia!A:B,2,0),_xlfn.XLOOKUP(Opex_VE[[#This Row],[dia]],Forecast!H:H,Forecast!I:I))</f>
        <v>366750</v>
      </c>
      <c r="G29" s="172">
        <f>IFERROR(VLOOKUP(Opex_VE[[#This Row],[Fecha]],Historia!A:C,3,0),_xlfn.XLOOKUP(Opex_VE[[#This Row],[dia]],Forecast!H:H,Forecast!J:J))</f>
        <v>146700</v>
      </c>
      <c r="H29" s="186">
        <f ca="1">+Opex_VE[[#This Row],[MG]]-Opex_VE[[#This Row],[Opex]]</f>
        <v>35588.888888888891</v>
      </c>
      <c r="I29" s="172" t="str">
        <f>IFERROR(VLOOKUP(Opex_VE[[#This Row],[Fecha]],Historia!A:D,4,0),"Forecast")</f>
        <v>Forecast</v>
      </c>
      <c r="J29" s="161">
        <f t="shared" ca="1" si="4"/>
        <v>277777.77777777775</v>
      </c>
      <c r="K29" s="157">
        <f ca="1">+Opex_VE[[#This Row],[MG]]-Opex_VE[[#This Row],[Opex]]</f>
        <v>0</v>
      </c>
      <c r="L29" s="156">
        <f>+VLOOKUP($A29,Opex!$C:$Z,N$1,1)</f>
        <v>61111.111111111109</v>
      </c>
      <c r="M29" s="157">
        <f ca="1">+Opex_VE[[#This Row],[Opex]]</f>
        <v>0</v>
      </c>
      <c r="N29" s="156">
        <f t="shared" si="1"/>
        <v>100000</v>
      </c>
      <c r="O29" s="156">
        <f>+VLOOKUP($A29,Opex!$C:$Z,Q$1,1)</f>
        <v>0</v>
      </c>
      <c r="P29" s="156">
        <f t="shared" si="0"/>
        <v>100000</v>
      </c>
      <c r="Q29" s="156">
        <f>+VLOOKUP($A29,Opex!$C:$Z,R$1,1)</f>
        <v>0</v>
      </c>
      <c r="R29" s="157">
        <f>+SUM(Opex_VE[[#This Row],[Cajero]:[Domiciliario]])</f>
        <v>50000</v>
      </c>
      <c r="S29" s="156">
        <v>30000</v>
      </c>
      <c r="T29" s="156">
        <v>20000</v>
      </c>
      <c r="U29" s="156">
        <v>0</v>
      </c>
      <c r="V29"/>
    </row>
    <row r="30" spans="1:22" x14ac:dyDescent="0.2">
      <c r="A30" s="153">
        <v>46093</v>
      </c>
      <c r="B30" s="3">
        <f t="shared" si="5"/>
        <v>3</v>
      </c>
      <c r="C30" s="3" t="str">
        <f>+TEXT(Opex_VE[[#This Row],[Fecha]],"ddd")</f>
        <v>jue</v>
      </c>
      <c r="E30" s="14" t="s">
        <v>112</v>
      </c>
      <c r="F30" s="172">
        <f>IFERROR(VLOOKUP(Opex_VE[[#This Row],[Fecha]],Historia!A:B,2,0),_xlfn.XLOOKUP(Opex_VE[[#This Row],[dia]],Forecast!H:H,Forecast!I:I))</f>
        <v>234000</v>
      </c>
      <c r="G30" s="172">
        <f>IFERROR(VLOOKUP(Opex_VE[[#This Row],[Fecha]],Historia!A:C,3,0),_xlfn.XLOOKUP(Opex_VE[[#This Row],[dia]],Forecast!H:H,Forecast!J:J))</f>
        <v>93600</v>
      </c>
      <c r="H30" s="186">
        <f ca="1">+Opex_VE[[#This Row],[MG]]-Opex_VE[[#This Row],[Opex]]</f>
        <v>-17511.111111111109</v>
      </c>
      <c r="I30" s="172" t="str">
        <f>IFERROR(VLOOKUP(Opex_VE[[#This Row],[Fecha]],Historia!A:D,4,0),"Forecast")</f>
        <v>Forecast</v>
      </c>
      <c r="J30" s="161">
        <f t="shared" ca="1" si="4"/>
        <v>277777.77777777775</v>
      </c>
      <c r="K30" s="157">
        <f ca="1">+Opex_VE[[#This Row],[MG]]-Opex_VE[[#This Row],[Opex]]</f>
        <v>0</v>
      </c>
      <c r="L30" s="156">
        <f>+VLOOKUP($A30,Opex!$C:$Z,N$1,1)</f>
        <v>61111.111111111109</v>
      </c>
      <c r="M30" s="157">
        <f ca="1">+Opex_VE[[#This Row],[Opex]]</f>
        <v>0</v>
      </c>
      <c r="N30" s="156">
        <f t="shared" si="1"/>
        <v>100000</v>
      </c>
      <c r="O30" s="156">
        <f>+VLOOKUP($A30,Opex!$C:$Z,Q$1,1)</f>
        <v>0</v>
      </c>
      <c r="P30" s="156">
        <f t="shared" si="0"/>
        <v>100000</v>
      </c>
      <c r="Q30" s="156">
        <f>+VLOOKUP($A30,Opex!$C:$Z,R$1,1)</f>
        <v>0</v>
      </c>
      <c r="R30" s="157">
        <f>+SUM(Opex_VE[[#This Row],[Cajero]:[Domiciliario]])</f>
        <v>50000</v>
      </c>
      <c r="S30" s="156">
        <v>30000</v>
      </c>
      <c r="T30" s="156">
        <v>20000</v>
      </c>
      <c r="U30" s="156">
        <v>0</v>
      </c>
      <c r="V30"/>
    </row>
    <row r="31" spans="1:22" x14ac:dyDescent="0.2">
      <c r="A31" s="153">
        <v>46094</v>
      </c>
      <c r="B31" s="3">
        <f t="shared" si="5"/>
        <v>3</v>
      </c>
      <c r="C31" s="3" t="str">
        <f>+TEXT(Opex_VE[[#This Row],[Fecha]],"ddd")</f>
        <v>vie</v>
      </c>
      <c r="E31" s="14" t="s">
        <v>217</v>
      </c>
      <c r="F31" s="172">
        <f>IFERROR(VLOOKUP(Opex_VE[[#This Row],[Fecha]],Historia!A:B,2,0),_xlfn.XLOOKUP(Opex_VE[[#This Row],[dia]],Forecast!H:H,Forecast!I:I))</f>
        <v>248000</v>
      </c>
      <c r="G31" s="172">
        <f>IFERROR(VLOOKUP(Opex_VE[[#This Row],[Fecha]],Historia!A:C,3,0),_xlfn.XLOOKUP(Opex_VE[[#This Row],[dia]],Forecast!H:H,Forecast!J:J))</f>
        <v>99200</v>
      </c>
      <c r="H31" s="186">
        <f ca="1">+Opex_VE[[#This Row],[MG]]-Opex_VE[[#This Row],[Opex]]</f>
        <v>-11911.111111111109</v>
      </c>
      <c r="I31" s="172" t="str">
        <f>IFERROR(VLOOKUP(Opex_VE[[#This Row],[Fecha]],Historia!A:D,4,0),"Forecast")</f>
        <v>Forecast</v>
      </c>
      <c r="J31" s="161">
        <f t="shared" ca="1" si="4"/>
        <v>277777.77777777775</v>
      </c>
      <c r="K31" s="157">
        <f ca="1">+Opex_VE[[#This Row],[MG]]-Opex_VE[[#This Row],[Opex]]</f>
        <v>0</v>
      </c>
      <c r="L31" s="156">
        <f>+VLOOKUP($A31,Opex!$C:$Z,N$1,1)</f>
        <v>61111.111111111109</v>
      </c>
      <c r="M31" s="157">
        <f ca="1">+Opex_VE[[#This Row],[Opex]]</f>
        <v>0</v>
      </c>
      <c r="N31" s="156">
        <f t="shared" si="1"/>
        <v>100000</v>
      </c>
      <c r="O31" s="156">
        <f>+VLOOKUP($A31,Opex!$C:$Z,Q$1,1)</f>
        <v>0</v>
      </c>
      <c r="P31" s="156">
        <f t="shared" si="0"/>
        <v>100000</v>
      </c>
      <c r="Q31" s="156">
        <f>+VLOOKUP($A31,Opex!$C:$Z,R$1,1)</f>
        <v>0</v>
      </c>
      <c r="R31" s="157">
        <f>+SUM(Opex_VE[[#This Row],[Cajero]:[Domiciliario]])</f>
        <v>50000</v>
      </c>
      <c r="S31" s="156">
        <v>30000</v>
      </c>
      <c r="T31" s="156">
        <v>20000</v>
      </c>
      <c r="U31" s="156">
        <v>0</v>
      </c>
      <c r="V31"/>
    </row>
    <row r="32" spans="1:22" x14ac:dyDescent="0.2">
      <c r="A32" s="153">
        <v>46095</v>
      </c>
      <c r="B32" s="3">
        <f t="shared" si="5"/>
        <v>3</v>
      </c>
      <c r="C32" s="3" t="str">
        <f>+TEXT(Opex_VE[[#This Row],[Fecha]],"ddd")</f>
        <v>sáb</v>
      </c>
      <c r="E32" s="14" t="s">
        <v>113</v>
      </c>
      <c r="F32" s="172">
        <f>IFERROR(VLOOKUP(Opex_VE[[#This Row],[Fecha]],Historia!A:B,2,0),_xlfn.XLOOKUP(Opex_VE[[#This Row],[dia]],Forecast!H:H,Forecast!I:I))</f>
        <v>320800</v>
      </c>
      <c r="G32" s="172">
        <f>IFERROR(VLOOKUP(Opex_VE[[#This Row],[Fecha]],Historia!A:C,3,0),_xlfn.XLOOKUP(Opex_VE[[#This Row],[dia]],Forecast!H:H,Forecast!J:J))</f>
        <v>128320</v>
      </c>
      <c r="H32" s="186">
        <f ca="1">+Opex_VE[[#This Row],[MG]]-Opex_VE[[#This Row],[Opex]]</f>
        <v>17208.888888888891</v>
      </c>
      <c r="I32" s="173" t="str">
        <f>IFERROR(VLOOKUP(Opex_VE[[#This Row],[Fecha]],Historia!A:D,4,0),"Forecast")</f>
        <v>Forecast</v>
      </c>
      <c r="J32" s="161">
        <f t="shared" ca="1" si="4"/>
        <v>277777.77777777775</v>
      </c>
      <c r="K32" s="157">
        <f ca="1">+Opex_VE[[#This Row],[MG]]-Opex_VE[[#This Row],[Opex]]</f>
        <v>0</v>
      </c>
      <c r="L32" s="156">
        <f>+VLOOKUP($A32,Opex!$C:$Z,N$1,1)</f>
        <v>61111.111111111109</v>
      </c>
      <c r="M32" s="157">
        <f ca="1">+Opex_VE[[#This Row],[Opex]]</f>
        <v>0</v>
      </c>
      <c r="N32" s="156">
        <f t="shared" si="1"/>
        <v>100000</v>
      </c>
      <c r="O32" s="156">
        <f>+VLOOKUP($A32,Opex!$C:$Z,Q$1,1)</f>
        <v>0</v>
      </c>
      <c r="P32" s="156">
        <f t="shared" si="0"/>
        <v>100000</v>
      </c>
      <c r="Q32" s="156">
        <f>+VLOOKUP($A32,Opex!$C:$Z,R$1,1)</f>
        <v>0</v>
      </c>
      <c r="R32" s="157">
        <f>+SUM(Opex_VE[[#This Row],[Cajero]:[Domiciliario]])</f>
        <v>50000</v>
      </c>
      <c r="S32" s="156">
        <v>30000</v>
      </c>
      <c r="T32" s="156">
        <v>20000</v>
      </c>
      <c r="U32" s="156">
        <v>0</v>
      </c>
      <c r="V32"/>
    </row>
    <row r="33" spans="1:22" x14ac:dyDescent="0.2">
      <c r="A33" s="153">
        <v>46096</v>
      </c>
      <c r="B33" s="3">
        <f t="shared" si="5"/>
        <v>3</v>
      </c>
      <c r="C33" s="3" t="str">
        <f>+TEXT(Opex_VE[[#This Row],[Fecha]],"ddd")</f>
        <v>dom</v>
      </c>
      <c r="E33" s="14" t="s">
        <v>145</v>
      </c>
      <c r="F33" s="172">
        <f>IFERROR(VLOOKUP(Opex_VE[[#This Row],[Fecha]],Historia!A:B,2,0),_xlfn.XLOOKUP(Opex_VE[[#This Row],[dia]],Forecast!H:H,Forecast!I:I))</f>
        <v>218500</v>
      </c>
      <c r="G33" s="172">
        <f>IFERROR(VLOOKUP(Opex_VE[[#This Row],[Fecha]],Historia!A:C,3,0),_xlfn.XLOOKUP(Opex_VE[[#This Row],[dia]],Forecast!H:H,Forecast!J:J))</f>
        <v>87400</v>
      </c>
      <c r="H33" s="186">
        <f ca="1">+Opex_VE[[#This Row],[MG]]-Opex_VE[[#This Row],[Opex]]</f>
        <v>-40478.966666666674</v>
      </c>
      <c r="I33" s="172" t="str">
        <f>IFERROR(VLOOKUP(Opex_VE[[#This Row],[Fecha]],Historia!A:D,4,0),"Forecast")</f>
        <v>Forecast</v>
      </c>
      <c r="J33" s="161">
        <f t="shared" ca="1" si="4"/>
        <v>319697.41666666669</v>
      </c>
      <c r="K33" s="157">
        <f ca="1">+Opex_VE[[#This Row],[MG]]-Opex_VE[[#This Row],[Opex]]</f>
        <v>0</v>
      </c>
      <c r="L33" s="156">
        <f>+VLOOKUP($A33,Opex!$C:$Z,N$1,1)</f>
        <v>55000</v>
      </c>
      <c r="M33" s="157">
        <f ca="1">+Opex_VE[[#This Row],[Opex]]</f>
        <v>0</v>
      </c>
      <c r="N33" s="156">
        <f t="shared" si="1"/>
        <v>114635</v>
      </c>
      <c r="O33" s="156">
        <f>+VLOOKUP($A33,Opex!$C:$Z,Q$1,1)</f>
        <v>4000</v>
      </c>
      <c r="P33" s="156">
        <f t="shared" si="0"/>
        <v>110635</v>
      </c>
      <c r="Q33" s="156">
        <f>+VLOOKUP($A33,Opex!$C:$Z,R$1,1)</f>
        <v>10635</v>
      </c>
      <c r="R33" s="157">
        <f>+SUM(Opex_VE[[#This Row],[Cajero]:[Domiciliario]])</f>
        <v>50000</v>
      </c>
      <c r="S33" s="156">
        <v>30000</v>
      </c>
      <c r="T33" s="156">
        <v>20000</v>
      </c>
      <c r="U33" s="156">
        <v>0</v>
      </c>
      <c r="V33"/>
    </row>
    <row r="34" spans="1:22" x14ac:dyDescent="0.2">
      <c r="A34" s="153">
        <v>46097</v>
      </c>
      <c r="B34" s="3">
        <f t="shared" si="5"/>
        <v>4</v>
      </c>
      <c r="C34" s="3" t="str">
        <f>+TEXT(Opex_VE[[#This Row],[Fecha]],"ddd")</f>
        <v>lun</v>
      </c>
      <c r="E34" s="14" t="s">
        <v>112</v>
      </c>
      <c r="F34" s="172">
        <f>IFERROR(VLOOKUP(Opex_VE[[#This Row],[Fecha]],Historia!A:B,2,0),_xlfn.XLOOKUP(Opex_VE[[#This Row],[dia]],Forecast!H:H,Forecast!I:I))</f>
        <v>179200</v>
      </c>
      <c r="G34" s="172">
        <f>IFERROR(VLOOKUP(Opex_VE[[#This Row],[Fecha]],Historia!A:C,3,0),_xlfn.XLOOKUP(Opex_VE[[#This Row],[dia]],Forecast!H:H,Forecast!J:J))</f>
        <v>71680</v>
      </c>
      <c r="H34" s="186">
        <f ca="1">+Opex_VE[[#This Row],[MG]]-Opex_VE[[#This Row],[Opex]]</f>
        <v>-56198.966666666674</v>
      </c>
      <c r="I34" s="172" t="str">
        <f>IFERROR(VLOOKUP(Opex_VE[[#This Row],[Fecha]],Historia!A:D,4,0),"Forecast")</f>
        <v>Forecast</v>
      </c>
      <c r="J34" s="161">
        <f t="shared" ca="1" si="4"/>
        <v>319697.41666666669</v>
      </c>
      <c r="K34" s="157">
        <f ca="1">+Opex_VE[[#This Row],[MG]]-Opex_VE[[#This Row],[Opex]]</f>
        <v>0</v>
      </c>
      <c r="L34" s="156">
        <f>+VLOOKUP($A34,Opex!$C:$Z,N$1,1)</f>
        <v>55000</v>
      </c>
      <c r="M34" s="157">
        <f ca="1">+Opex_VE[[#This Row],[Opex]]</f>
        <v>0</v>
      </c>
      <c r="N34" s="156">
        <f t="shared" si="1"/>
        <v>114635</v>
      </c>
      <c r="O34" s="156">
        <f>+VLOOKUP($A34,Opex!$C:$Z,Q$1,1)</f>
        <v>4000</v>
      </c>
      <c r="P34" s="156">
        <f t="shared" si="0"/>
        <v>110635</v>
      </c>
      <c r="Q34" s="156">
        <f>+VLOOKUP($A34,Opex!$C:$Z,R$1,1)</f>
        <v>10635</v>
      </c>
      <c r="R34" s="157">
        <f>+SUM(Opex_VE[[#This Row],[Cajero]:[Domiciliario]])</f>
        <v>50000</v>
      </c>
      <c r="S34" s="156">
        <v>30000</v>
      </c>
      <c r="T34" s="156">
        <v>20000</v>
      </c>
      <c r="U34" s="156">
        <v>0</v>
      </c>
      <c r="V34"/>
    </row>
    <row r="35" spans="1:22" x14ac:dyDescent="0.2">
      <c r="A35" s="153">
        <v>46098</v>
      </c>
      <c r="B35" s="3">
        <f t="shared" si="5"/>
        <v>4</v>
      </c>
      <c r="C35" s="3" t="str">
        <f>+TEXT(Opex_VE[[#This Row],[Fecha]],"ddd")</f>
        <v>mar</v>
      </c>
      <c r="E35" s="14" t="s">
        <v>112</v>
      </c>
      <c r="F35" s="172">
        <f>IFERROR(VLOOKUP(Opex_VE[[#This Row],[Fecha]],Historia!A:B,2,0),_xlfn.XLOOKUP(Opex_VE[[#This Row],[dia]],Forecast!H:H,Forecast!I:I))</f>
        <v>195000</v>
      </c>
      <c r="G35" s="172">
        <f>IFERROR(VLOOKUP(Opex_VE[[#This Row],[Fecha]],Historia!A:C,3,0),_xlfn.XLOOKUP(Opex_VE[[#This Row],[dia]],Forecast!H:H,Forecast!J:J))</f>
        <v>78000</v>
      </c>
      <c r="H35" s="186">
        <f ca="1">+Opex_VE[[#This Row],[MG]]-Opex_VE[[#This Row],[Opex]]</f>
        <v>-49878.966666666674</v>
      </c>
      <c r="I35" s="172" t="str">
        <f>IFERROR(VLOOKUP(Opex_VE[[#This Row],[Fecha]],Historia!A:D,4,0),"Forecast")</f>
        <v>Forecast</v>
      </c>
      <c r="J35" s="161">
        <f t="shared" ca="1" si="4"/>
        <v>319697.41666666669</v>
      </c>
      <c r="K35" s="157">
        <f ca="1">+Opex_VE[[#This Row],[MG]]-Opex_VE[[#This Row],[Opex]]</f>
        <v>0</v>
      </c>
      <c r="L35" s="156">
        <f>+VLOOKUP($A35,Opex!$C:$Z,N$1,1)</f>
        <v>55000</v>
      </c>
      <c r="M35" s="157">
        <f ca="1">+Opex_VE[[#This Row],[Opex]]</f>
        <v>0</v>
      </c>
      <c r="N35" s="156">
        <f t="shared" si="1"/>
        <v>114635</v>
      </c>
      <c r="O35" s="156">
        <f>+VLOOKUP($A35,Opex!$C:$Z,Q$1,1)</f>
        <v>4000</v>
      </c>
      <c r="P35" s="156">
        <f t="shared" si="0"/>
        <v>110635</v>
      </c>
      <c r="Q35" s="156">
        <f>+VLOOKUP($A35,Opex!$C:$Z,R$1,1)</f>
        <v>10635</v>
      </c>
      <c r="R35" s="157">
        <f>+SUM(Opex_VE[[#This Row],[Cajero]:[Domiciliario]])</f>
        <v>50000</v>
      </c>
      <c r="S35" s="156">
        <v>30000</v>
      </c>
      <c r="T35" s="156">
        <v>20000</v>
      </c>
      <c r="U35" s="156">
        <v>0</v>
      </c>
      <c r="V35"/>
    </row>
    <row r="36" spans="1:22" x14ac:dyDescent="0.2">
      <c r="A36" s="153">
        <v>46099</v>
      </c>
      <c r="B36" s="3">
        <f t="shared" si="5"/>
        <v>4</v>
      </c>
      <c r="C36" s="3" t="str">
        <f>+TEXT(Opex_VE[[#This Row],[Fecha]],"ddd")</f>
        <v>mié</v>
      </c>
      <c r="E36" s="14" t="s">
        <v>112</v>
      </c>
      <c r="F36" s="172">
        <f>IFERROR(VLOOKUP(Opex_VE[[#This Row],[Fecha]],Historia!A:B,2,0),_xlfn.XLOOKUP(Opex_VE[[#This Row],[dia]],Forecast!H:H,Forecast!I:I))</f>
        <v>366750</v>
      </c>
      <c r="G36" s="172">
        <f>IFERROR(VLOOKUP(Opex_VE[[#This Row],[Fecha]],Historia!A:C,3,0),_xlfn.XLOOKUP(Opex_VE[[#This Row],[dia]],Forecast!H:H,Forecast!J:J))</f>
        <v>146700</v>
      </c>
      <c r="H36" s="186">
        <f ca="1">+Opex_VE[[#This Row],[MG]]-Opex_VE[[#This Row],[Opex]]</f>
        <v>18821.033333333326</v>
      </c>
      <c r="I36" s="172" t="str">
        <f>IFERROR(VLOOKUP(Opex_VE[[#This Row],[Fecha]],Historia!A:D,4,0),"Forecast")</f>
        <v>Forecast</v>
      </c>
      <c r="J36" s="161">
        <f t="shared" ca="1" si="4"/>
        <v>319697.41666666669</v>
      </c>
      <c r="K36" s="157">
        <f ca="1">+Opex_VE[[#This Row],[MG]]-Opex_VE[[#This Row],[Opex]]</f>
        <v>0</v>
      </c>
      <c r="L36" s="156">
        <f>+VLOOKUP($A36,Opex!$C:$Z,N$1,1)</f>
        <v>55000</v>
      </c>
      <c r="M36" s="157">
        <f ca="1">+Opex_VE[[#This Row],[Opex]]</f>
        <v>0</v>
      </c>
      <c r="N36" s="156">
        <f t="shared" si="1"/>
        <v>114635</v>
      </c>
      <c r="O36" s="156">
        <f>+VLOOKUP($A36,Opex!$C:$Z,Q$1,1)</f>
        <v>4000</v>
      </c>
      <c r="P36" s="156">
        <f t="shared" si="0"/>
        <v>110635</v>
      </c>
      <c r="Q36" s="156">
        <f>+VLOOKUP($A36,Opex!$C:$Z,R$1,1)</f>
        <v>10635</v>
      </c>
      <c r="R36" s="157">
        <f>+SUM(Opex_VE[[#This Row],[Cajero]:[Domiciliario]])</f>
        <v>50000</v>
      </c>
      <c r="S36" s="156">
        <v>30000</v>
      </c>
      <c r="T36" s="156">
        <v>20000</v>
      </c>
      <c r="U36" s="156">
        <v>0</v>
      </c>
      <c r="V36"/>
    </row>
    <row r="37" spans="1:22" x14ac:dyDescent="0.2">
      <c r="A37" s="153">
        <v>46100</v>
      </c>
      <c r="B37" s="3">
        <f t="shared" si="5"/>
        <v>4</v>
      </c>
      <c r="C37" s="3" t="str">
        <f>+TEXT(Opex_VE[[#This Row],[Fecha]],"ddd")</f>
        <v>jue</v>
      </c>
      <c r="E37" s="14" t="s">
        <v>112</v>
      </c>
      <c r="F37" s="172">
        <f>IFERROR(VLOOKUP(Opex_VE[[#This Row],[Fecha]],Historia!A:B,2,0),_xlfn.XLOOKUP(Opex_VE[[#This Row],[dia]],Forecast!H:H,Forecast!I:I))</f>
        <v>234000</v>
      </c>
      <c r="G37" s="172">
        <f>IFERROR(VLOOKUP(Opex_VE[[#This Row],[Fecha]],Historia!A:C,3,0),_xlfn.XLOOKUP(Opex_VE[[#This Row],[dia]],Forecast!H:H,Forecast!J:J))</f>
        <v>93600</v>
      </c>
      <c r="H37" s="186">
        <f ca="1">+Opex_VE[[#This Row],[MG]]-Opex_VE[[#This Row],[Opex]]</f>
        <v>-34278.966666666674</v>
      </c>
      <c r="I37" s="172" t="str">
        <f>IFERROR(VLOOKUP(Opex_VE[[#This Row],[Fecha]],Historia!A:D,4,0),"Forecast")</f>
        <v>Forecast</v>
      </c>
      <c r="J37" s="161">
        <f t="shared" ca="1" si="4"/>
        <v>319697.41666666669</v>
      </c>
      <c r="K37" s="157">
        <f ca="1">+Opex_VE[[#This Row],[MG]]-Opex_VE[[#This Row],[Opex]]</f>
        <v>0</v>
      </c>
      <c r="L37" s="156">
        <f>+VLOOKUP($A37,Opex!$C:$Z,N$1,1)</f>
        <v>55000</v>
      </c>
      <c r="M37" s="157">
        <f ca="1">+Opex_VE[[#This Row],[Opex]]</f>
        <v>0</v>
      </c>
      <c r="N37" s="156">
        <f t="shared" si="1"/>
        <v>114635</v>
      </c>
      <c r="O37" s="156">
        <f>+VLOOKUP($A37,Opex!$C:$Z,Q$1,1)</f>
        <v>4000</v>
      </c>
      <c r="P37" s="156">
        <f t="shared" si="0"/>
        <v>110635</v>
      </c>
      <c r="Q37" s="156">
        <f>+VLOOKUP($A37,Opex!$C:$Z,R$1,1)</f>
        <v>10635</v>
      </c>
      <c r="R37" s="157">
        <f>+SUM(Opex_VE[[#This Row],[Cajero]:[Domiciliario]])</f>
        <v>50000</v>
      </c>
      <c r="S37" s="156">
        <v>30000</v>
      </c>
      <c r="T37" s="156">
        <v>20000</v>
      </c>
      <c r="U37" s="156">
        <v>0</v>
      </c>
      <c r="V37"/>
    </row>
    <row r="38" spans="1:22" x14ac:dyDescent="0.2">
      <c r="A38" s="153">
        <v>46101</v>
      </c>
      <c r="B38" s="3">
        <f t="shared" si="5"/>
        <v>4</v>
      </c>
      <c r="C38" s="3" t="str">
        <f>+TEXT(Opex_VE[[#This Row],[Fecha]],"ddd")</f>
        <v>vie</v>
      </c>
      <c r="E38" s="14" t="s">
        <v>217</v>
      </c>
      <c r="F38" s="172">
        <f>IFERROR(VLOOKUP(Opex_VE[[#This Row],[Fecha]],Historia!A:B,2,0),_xlfn.XLOOKUP(Opex_VE[[#This Row],[dia]],Forecast!H:H,Forecast!I:I))</f>
        <v>248000</v>
      </c>
      <c r="G38" s="172">
        <f>IFERROR(VLOOKUP(Opex_VE[[#This Row],[Fecha]],Historia!A:C,3,0),_xlfn.XLOOKUP(Opex_VE[[#This Row],[dia]],Forecast!H:H,Forecast!J:J))</f>
        <v>99200</v>
      </c>
      <c r="H38" s="186">
        <f ca="1">+Opex_VE[[#This Row],[MG]]-Opex_VE[[#This Row],[Opex]]</f>
        <v>-28678.966666666674</v>
      </c>
      <c r="I38" s="172" t="str">
        <f>IFERROR(VLOOKUP(Opex_VE[[#This Row],[Fecha]],Historia!A:D,4,0),"Forecast")</f>
        <v>Forecast</v>
      </c>
      <c r="J38" s="161">
        <f t="shared" ca="1" si="4"/>
        <v>319697.41666666669</v>
      </c>
      <c r="K38" s="157">
        <f ca="1">+Opex_VE[[#This Row],[MG]]-Opex_VE[[#This Row],[Opex]]</f>
        <v>0</v>
      </c>
      <c r="L38" s="156">
        <f>+VLOOKUP($A38,Opex!$C:$Z,N$1,1)</f>
        <v>55000</v>
      </c>
      <c r="M38" s="157">
        <f ca="1">+Opex_VE[[#This Row],[Opex]]</f>
        <v>0</v>
      </c>
      <c r="N38" s="156">
        <f t="shared" si="1"/>
        <v>114635</v>
      </c>
      <c r="O38" s="156">
        <f>+VLOOKUP($A38,Opex!$C:$Z,Q$1,1)</f>
        <v>4000</v>
      </c>
      <c r="P38" s="156">
        <f t="shared" si="0"/>
        <v>110635</v>
      </c>
      <c r="Q38" s="156">
        <f>+VLOOKUP($A38,Opex!$C:$Z,R$1,1)</f>
        <v>10635</v>
      </c>
      <c r="R38" s="157">
        <f>+SUM(Opex_VE[[#This Row],[Cajero]:[Domiciliario]])</f>
        <v>50000</v>
      </c>
      <c r="S38" s="156">
        <v>30000</v>
      </c>
      <c r="T38" s="156">
        <v>20000</v>
      </c>
      <c r="U38" s="156">
        <v>0</v>
      </c>
      <c r="V38"/>
    </row>
    <row r="39" spans="1:22" x14ac:dyDescent="0.2">
      <c r="A39" s="153">
        <v>46102</v>
      </c>
      <c r="B39" s="3">
        <f t="shared" si="5"/>
        <v>4</v>
      </c>
      <c r="C39" s="3" t="str">
        <f>+TEXT(Opex_VE[[#This Row],[Fecha]],"ddd")</f>
        <v>sáb</v>
      </c>
      <c r="E39" s="14" t="s">
        <v>113</v>
      </c>
      <c r="F39" s="172">
        <f>IFERROR(VLOOKUP(Opex_VE[[#This Row],[Fecha]],Historia!A:B,2,0),_xlfn.XLOOKUP(Opex_VE[[#This Row],[dia]],Forecast!H:H,Forecast!I:I))</f>
        <v>320800</v>
      </c>
      <c r="G39" s="172">
        <f>IFERROR(VLOOKUP(Opex_VE[[#This Row],[Fecha]],Historia!A:C,3,0),_xlfn.XLOOKUP(Opex_VE[[#This Row],[dia]],Forecast!H:H,Forecast!J:J))</f>
        <v>128320</v>
      </c>
      <c r="H39" s="186">
        <f ca="1">+Opex_VE[[#This Row],[MG]]-Opex_VE[[#This Row],[Opex]]</f>
        <v>441.03333333332557</v>
      </c>
      <c r="I39" s="173" t="str">
        <f>IFERROR(VLOOKUP(Opex_VE[[#This Row],[Fecha]],Historia!A:D,4,0),"Forecast")</f>
        <v>Forecast</v>
      </c>
      <c r="J39" s="161">
        <f t="shared" ca="1" si="4"/>
        <v>319697.41666666669</v>
      </c>
      <c r="K39" s="157">
        <f ca="1">+Opex_VE[[#This Row],[MG]]-Opex_VE[[#This Row],[Opex]]</f>
        <v>0</v>
      </c>
      <c r="L39" s="156">
        <f>+VLOOKUP($A39,Opex!$C:$Z,N$1,1)</f>
        <v>55000</v>
      </c>
      <c r="M39" s="157">
        <f ca="1">+Opex_VE[[#This Row],[Opex]]</f>
        <v>0</v>
      </c>
      <c r="N39" s="156">
        <f t="shared" si="1"/>
        <v>114635</v>
      </c>
      <c r="O39" s="156">
        <f>+VLOOKUP($A39,Opex!$C:$Z,Q$1,1)</f>
        <v>4000</v>
      </c>
      <c r="P39" s="156">
        <f t="shared" si="0"/>
        <v>110635</v>
      </c>
      <c r="Q39" s="156">
        <f>+VLOOKUP($A39,Opex!$C:$Z,R$1,1)</f>
        <v>10635</v>
      </c>
      <c r="R39" s="157">
        <f>+SUM(Opex_VE[[#This Row],[Cajero]:[Domiciliario]])</f>
        <v>50000</v>
      </c>
      <c r="S39" s="156">
        <v>30000</v>
      </c>
      <c r="T39" s="156">
        <v>20000</v>
      </c>
      <c r="U39" s="156">
        <v>0</v>
      </c>
      <c r="V39"/>
    </row>
    <row r="40" spans="1:22" x14ac:dyDescent="0.2">
      <c r="A40" s="153">
        <v>46103</v>
      </c>
      <c r="B40" s="3">
        <f t="shared" si="5"/>
        <v>4</v>
      </c>
      <c r="C40" s="3" t="str">
        <f>+TEXT(Opex_VE[[#This Row],[Fecha]],"ddd")</f>
        <v>dom</v>
      </c>
      <c r="E40" s="14" t="s">
        <v>145</v>
      </c>
      <c r="F40" s="172">
        <f>IFERROR(VLOOKUP(Opex_VE[[#This Row],[Fecha]],Historia!A:B,2,0),_xlfn.XLOOKUP(Opex_VE[[#This Row],[dia]],Forecast!H:H,Forecast!I:I))</f>
        <v>218500</v>
      </c>
      <c r="G40" s="172">
        <f>IFERROR(VLOOKUP(Opex_VE[[#This Row],[Fecha]],Historia!A:C,3,0),_xlfn.XLOOKUP(Opex_VE[[#This Row],[dia]],Forecast!H:H,Forecast!J:J))</f>
        <v>87400</v>
      </c>
      <c r="H40" s="186">
        <f ca="1">+Opex_VE[[#This Row],[MG]]-Opex_VE[[#This Row],[Opex]]</f>
        <v>-40478.966666666674</v>
      </c>
      <c r="I40" s="172" t="str">
        <f>IFERROR(VLOOKUP(Opex_VE[[#This Row],[Fecha]],Historia!A:D,4,0),"Forecast")</f>
        <v>Forecast</v>
      </c>
      <c r="J40" s="161">
        <f t="shared" ca="1" si="4"/>
        <v>319697.41666666669</v>
      </c>
      <c r="K40" s="157">
        <f ca="1">+Opex_VE[[#This Row],[MG]]-Opex_VE[[#This Row],[Opex]]</f>
        <v>0</v>
      </c>
      <c r="L40" s="156">
        <f>+VLOOKUP($A40,Opex!$C:$Z,N$1,1)</f>
        <v>55000</v>
      </c>
      <c r="M40" s="157">
        <f ca="1">+Opex_VE[[#This Row],[Opex]]</f>
        <v>0</v>
      </c>
      <c r="N40" s="156">
        <f t="shared" si="1"/>
        <v>114635</v>
      </c>
      <c r="O40" s="156">
        <f>+VLOOKUP($A40,Opex!$C:$Z,Q$1,1)</f>
        <v>4000</v>
      </c>
      <c r="P40" s="156">
        <f t="shared" si="0"/>
        <v>110635</v>
      </c>
      <c r="Q40" s="156">
        <f>+VLOOKUP($A40,Opex!$C:$Z,R$1,1)</f>
        <v>10635</v>
      </c>
      <c r="R40" s="157">
        <f>+SUM(Opex_VE[[#This Row],[Cajero]:[Domiciliario]])</f>
        <v>50000</v>
      </c>
      <c r="S40" s="156">
        <v>30000</v>
      </c>
      <c r="T40" s="156">
        <v>20000</v>
      </c>
      <c r="U40" s="156">
        <v>0</v>
      </c>
      <c r="V40"/>
    </row>
    <row r="41" spans="1:22" x14ac:dyDescent="0.2">
      <c r="A41" s="153">
        <v>46104</v>
      </c>
      <c r="B41" s="3">
        <f t="shared" si="5"/>
        <v>5</v>
      </c>
      <c r="C41" s="3" t="str">
        <f>+TEXT(Opex_VE[[#This Row],[Fecha]],"ddd")</f>
        <v>lun</v>
      </c>
      <c r="E41" s="14" t="s">
        <v>112</v>
      </c>
      <c r="F41" s="172">
        <f>IFERROR(VLOOKUP(Opex_VE[[#This Row],[Fecha]],Historia!A:B,2,0),_xlfn.XLOOKUP(Opex_VE[[#This Row],[dia]],Forecast!H:H,Forecast!I:I))</f>
        <v>179200</v>
      </c>
      <c r="G41" s="172">
        <f>IFERROR(VLOOKUP(Opex_VE[[#This Row],[Fecha]],Historia!A:C,3,0),_xlfn.XLOOKUP(Opex_VE[[#This Row],[dia]],Forecast!H:H,Forecast!J:J))</f>
        <v>71680</v>
      </c>
      <c r="H41" s="186">
        <f ca="1">+Opex_VE[[#This Row],[MG]]-Opex_VE[[#This Row],[Opex]]</f>
        <v>-56198.966666666674</v>
      </c>
      <c r="I41" s="172" t="str">
        <f>IFERROR(VLOOKUP(Opex_VE[[#This Row],[Fecha]],Historia!A:D,4,0),"Forecast")</f>
        <v>Forecast</v>
      </c>
      <c r="J41" s="161">
        <f t="shared" ca="1" si="4"/>
        <v>319697.41666666669</v>
      </c>
      <c r="K41" s="157">
        <f ca="1">+Opex_VE[[#This Row],[MG]]-Opex_VE[[#This Row],[Opex]]</f>
        <v>0</v>
      </c>
      <c r="L41" s="156">
        <f>+VLOOKUP($A41,Opex!$C:$Z,N$1,1)</f>
        <v>55000</v>
      </c>
      <c r="M41" s="157">
        <f ca="1">+Opex_VE[[#This Row],[Opex]]</f>
        <v>0</v>
      </c>
      <c r="N41" s="156">
        <f t="shared" si="1"/>
        <v>114635</v>
      </c>
      <c r="O41" s="156">
        <f>+VLOOKUP($A41,Opex!$C:$Z,Q$1,1)</f>
        <v>4000</v>
      </c>
      <c r="P41" s="156">
        <f t="shared" si="0"/>
        <v>110635</v>
      </c>
      <c r="Q41" s="156">
        <f>+VLOOKUP($A41,Opex!$C:$Z,R$1,1)</f>
        <v>10635</v>
      </c>
      <c r="R41" s="157">
        <f>+SUM(Opex_VE[[#This Row],[Cajero]:[Domiciliario]])</f>
        <v>50000</v>
      </c>
      <c r="S41" s="156">
        <v>30000</v>
      </c>
      <c r="T41" s="156">
        <v>20000</v>
      </c>
      <c r="U41" s="156">
        <v>0</v>
      </c>
      <c r="V41"/>
    </row>
    <row r="42" spans="1:22" x14ac:dyDescent="0.2">
      <c r="A42" s="153">
        <v>46105</v>
      </c>
      <c r="B42" s="3">
        <f t="shared" si="5"/>
        <v>5</v>
      </c>
      <c r="C42" s="3" t="str">
        <f>+TEXT(Opex_VE[[#This Row],[Fecha]],"ddd")</f>
        <v>mar</v>
      </c>
      <c r="E42" s="14" t="s">
        <v>112</v>
      </c>
      <c r="F42" s="172">
        <f>IFERROR(VLOOKUP(Opex_VE[[#This Row],[Fecha]],Historia!A:B,2,0),_xlfn.XLOOKUP(Opex_VE[[#This Row],[dia]],Forecast!H:H,Forecast!I:I))</f>
        <v>195000</v>
      </c>
      <c r="G42" s="172">
        <f>IFERROR(VLOOKUP(Opex_VE[[#This Row],[Fecha]],Historia!A:C,3,0),_xlfn.XLOOKUP(Opex_VE[[#This Row],[dia]],Forecast!H:H,Forecast!J:J))</f>
        <v>78000</v>
      </c>
      <c r="H42" s="186">
        <f ca="1">+Opex_VE[[#This Row],[MG]]-Opex_VE[[#This Row],[Opex]]</f>
        <v>-49878.966666666674</v>
      </c>
      <c r="I42" s="172" t="str">
        <f>IFERROR(VLOOKUP(Opex_VE[[#This Row],[Fecha]],Historia!A:D,4,0),"Forecast")</f>
        <v>Forecast</v>
      </c>
      <c r="J42" s="161">
        <f t="shared" ca="1" si="4"/>
        <v>319697.41666666669</v>
      </c>
      <c r="K42" s="157">
        <f ca="1">+Opex_VE[[#This Row],[MG]]-Opex_VE[[#This Row],[Opex]]</f>
        <v>0</v>
      </c>
      <c r="L42" s="156">
        <f>+VLOOKUP($A42,Opex!$C:$Z,N$1,1)</f>
        <v>55000</v>
      </c>
      <c r="M42" s="157">
        <f ca="1">+Opex_VE[[#This Row],[Opex]]</f>
        <v>0</v>
      </c>
      <c r="N42" s="156">
        <f t="shared" si="1"/>
        <v>114635</v>
      </c>
      <c r="O42" s="156">
        <f>+VLOOKUP($A42,Opex!$C:$Z,Q$1,1)</f>
        <v>4000</v>
      </c>
      <c r="P42" s="156">
        <f t="shared" si="0"/>
        <v>110635</v>
      </c>
      <c r="Q42" s="156">
        <f>+VLOOKUP($A42,Opex!$C:$Z,R$1,1)</f>
        <v>10635</v>
      </c>
      <c r="R42" s="157">
        <f>+SUM(Opex_VE[[#This Row],[Cajero]:[Domiciliario]])</f>
        <v>50000</v>
      </c>
      <c r="S42" s="156">
        <v>30000</v>
      </c>
      <c r="T42" s="156">
        <v>20000</v>
      </c>
      <c r="U42" s="156">
        <v>0</v>
      </c>
      <c r="V42"/>
    </row>
    <row r="43" spans="1:22" x14ac:dyDescent="0.2">
      <c r="A43" s="153">
        <v>46106</v>
      </c>
      <c r="B43" s="3">
        <f t="shared" si="5"/>
        <v>5</v>
      </c>
      <c r="C43" s="3" t="str">
        <f>+TEXT(Opex_VE[[#This Row],[Fecha]],"ddd")</f>
        <v>mié</v>
      </c>
      <c r="E43" s="14" t="s">
        <v>112</v>
      </c>
      <c r="F43" s="172">
        <f>IFERROR(VLOOKUP(Opex_VE[[#This Row],[Fecha]],Historia!A:B,2,0),_xlfn.XLOOKUP(Opex_VE[[#This Row],[dia]],Forecast!H:H,Forecast!I:I))</f>
        <v>366750</v>
      </c>
      <c r="G43" s="172">
        <f>IFERROR(VLOOKUP(Opex_VE[[#This Row],[Fecha]],Historia!A:C,3,0),_xlfn.XLOOKUP(Opex_VE[[#This Row],[dia]],Forecast!H:H,Forecast!J:J))</f>
        <v>146700</v>
      </c>
      <c r="H43" s="186">
        <f ca="1">+Opex_VE[[#This Row],[MG]]-Opex_VE[[#This Row],[Opex]]</f>
        <v>18821.033333333326</v>
      </c>
      <c r="I43" s="172" t="str">
        <f>IFERROR(VLOOKUP(Opex_VE[[#This Row],[Fecha]],Historia!A:D,4,0),"Forecast")</f>
        <v>Forecast</v>
      </c>
      <c r="J43" s="161">
        <f t="shared" ca="1" si="4"/>
        <v>319697.41666666669</v>
      </c>
      <c r="K43" s="157">
        <f ca="1">+Opex_VE[[#This Row],[MG]]-Opex_VE[[#This Row],[Opex]]</f>
        <v>0</v>
      </c>
      <c r="L43" s="156">
        <f>+VLOOKUP($A43,Opex!$C:$Z,N$1,1)</f>
        <v>55000</v>
      </c>
      <c r="M43" s="157">
        <f ca="1">+Opex_VE[[#This Row],[Opex]]</f>
        <v>0</v>
      </c>
      <c r="N43" s="156">
        <f t="shared" si="1"/>
        <v>114635</v>
      </c>
      <c r="O43" s="156">
        <f>+VLOOKUP($A43,Opex!$C:$Z,Q$1,1)</f>
        <v>4000</v>
      </c>
      <c r="P43" s="156">
        <f t="shared" si="0"/>
        <v>110635</v>
      </c>
      <c r="Q43" s="156">
        <f>+VLOOKUP($A43,Opex!$C:$Z,R$1,1)</f>
        <v>10635</v>
      </c>
      <c r="R43" s="157">
        <f>+SUM(Opex_VE[[#This Row],[Cajero]:[Domiciliario]])</f>
        <v>50000</v>
      </c>
      <c r="S43" s="156">
        <v>30000</v>
      </c>
      <c r="T43" s="156">
        <v>20000</v>
      </c>
      <c r="U43" s="156">
        <v>0</v>
      </c>
      <c r="V43"/>
    </row>
    <row r="44" spans="1:22" x14ac:dyDescent="0.2">
      <c r="A44" s="153">
        <v>46107</v>
      </c>
      <c r="B44" s="3">
        <f t="shared" si="5"/>
        <v>5</v>
      </c>
      <c r="C44" s="3" t="str">
        <f>+TEXT(Opex_VE[[#This Row],[Fecha]],"ddd")</f>
        <v>jue</v>
      </c>
      <c r="E44" s="14" t="s">
        <v>112</v>
      </c>
      <c r="F44" s="172">
        <f>IFERROR(VLOOKUP(Opex_VE[[#This Row],[Fecha]],Historia!A:B,2,0),_xlfn.XLOOKUP(Opex_VE[[#This Row],[dia]],Forecast!H:H,Forecast!I:I))</f>
        <v>234000</v>
      </c>
      <c r="G44" s="172">
        <f>IFERROR(VLOOKUP(Opex_VE[[#This Row],[Fecha]],Historia!A:C,3,0),_xlfn.XLOOKUP(Opex_VE[[#This Row],[dia]],Forecast!H:H,Forecast!J:J))</f>
        <v>93600</v>
      </c>
      <c r="H44" s="186">
        <f ca="1">+Opex_VE[[#This Row],[MG]]-Opex_VE[[#This Row],[Opex]]</f>
        <v>-34278.966666666674</v>
      </c>
      <c r="I44" s="172" t="str">
        <f>IFERROR(VLOOKUP(Opex_VE[[#This Row],[Fecha]],Historia!A:D,4,0),"Forecast")</f>
        <v>Forecast</v>
      </c>
      <c r="J44" s="161">
        <f t="shared" ca="1" si="4"/>
        <v>319697.41666666669</v>
      </c>
      <c r="K44" s="157">
        <f ca="1">+Opex_VE[[#This Row],[MG]]-Opex_VE[[#This Row],[Opex]]</f>
        <v>0</v>
      </c>
      <c r="L44" s="156">
        <f>+VLOOKUP($A44,Opex!$C:$Z,N$1,1)</f>
        <v>55000</v>
      </c>
      <c r="M44" s="157">
        <f ca="1">+Opex_VE[[#This Row],[Opex]]</f>
        <v>0</v>
      </c>
      <c r="N44" s="156">
        <f t="shared" si="1"/>
        <v>114635</v>
      </c>
      <c r="O44" s="156">
        <f>+VLOOKUP($A44,Opex!$C:$Z,Q$1,1)</f>
        <v>4000</v>
      </c>
      <c r="P44" s="156">
        <f t="shared" si="0"/>
        <v>110635</v>
      </c>
      <c r="Q44" s="156">
        <f>+VLOOKUP($A44,Opex!$C:$Z,R$1,1)</f>
        <v>10635</v>
      </c>
      <c r="R44" s="157">
        <f>+SUM(Opex_VE[[#This Row],[Cajero]:[Domiciliario]])</f>
        <v>50000</v>
      </c>
      <c r="S44" s="156">
        <v>30000</v>
      </c>
      <c r="T44" s="156">
        <v>20000</v>
      </c>
      <c r="U44" s="156">
        <v>0</v>
      </c>
      <c r="V44"/>
    </row>
    <row r="45" spans="1:22" x14ac:dyDescent="0.2">
      <c r="A45" s="153">
        <v>46108</v>
      </c>
      <c r="B45" s="3">
        <f t="shared" si="5"/>
        <v>5</v>
      </c>
      <c r="C45" s="3" t="str">
        <f>+TEXT(Opex_VE[[#This Row],[Fecha]],"ddd")</f>
        <v>vie</v>
      </c>
      <c r="E45" s="14" t="s">
        <v>217</v>
      </c>
      <c r="F45" s="172">
        <f>IFERROR(VLOOKUP(Opex_VE[[#This Row],[Fecha]],Historia!A:B,2,0),_xlfn.XLOOKUP(Opex_VE[[#This Row],[dia]],Forecast!H:H,Forecast!I:I))</f>
        <v>248000</v>
      </c>
      <c r="G45" s="172">
        <f>IFERROR(VLOOKUP(Opex_VE[[#This Row],[Fecha]],Historia!A:C,3,0),_xlfn.XLOOKUP(Opex_VE[[#This Row],[dia]],Forecast!H:H,Forecast!J:J))</f>
        <v>99200</v>
      </c>
      <c r="H45" s="186">
        <f ca="1">+Opex_VE[[#This Row],[MG]]-Opex_VE[[#This Row],[Opex]]</f>
        <v>-28678.966666666674</v>
      </c>
      <c r="I45" s="172" t="str">
        <f>IFERROR(VLOOKUP(Opex_VE[[#This Row],[Fecha]],Historia!A:D,4,0),"Forecast")</f>
        <v>Forecast</v>
      </c>
      <c r="J45" s="161">
        <f t="shared" ca="1" si="4"/>
        <v>319697.41666666669</v>
      </c>
      <c r="K45" s="157">
        <f ca="1">+Opex_VE[[#This Row],[MG]]-Opex_VE[[#This Row],[Opex]]</f>
        <v>0</v>
      </c>
      <c r="L45" s="156">
        <f>+VLOOKUP($A45,Opex!$C:$Z,N$1,1)</f>
        <v>55000</v>
      </c>
      <c r="M45" s="157">
        <f ca="1">+Opex_VE[[#This Row],[Opex]]</f>
        <v>0</v>
      </c>
      <c r="N45" s="156">
        <f t="shared" si="1"/>
        <v>114635</v>
      </c>
      <c r="O45" s="156">
        <f>+VLOOKUP($A45,Opex!$C:$Z,Q$1,1)</f>
        <v>4000</v>
      </c>
      <c r="P45" s="156">
        <f t="shared" si="0"/>
        <v>110635</v>
      </c>
      <c r="Q45" s="156">
        <f>+VLOOKUP($A45,Opex!$C:$Z,R$1,1)</f>
        <v>10635</v>
      </c>
      <c r="R45" s="157">
        <f>+SUM(Opex_VE[[#This Row],[Cajero]:[Domiciliario]])</f>
        <v>50000</v>
      </c>
      <c r="S45" s="156">
        <v>30000</v>
      </c>
      <c r="T45" s="156">
        <v>20000</v>
      </c>
      <c r="U45" s="156">
        <v>0</v>
      </c>
      <c r="V45"/>
    </row>
    <row r="46" spans="1:22" x14ac:dyDescent="0.2">
      <c r="A46" s="153">
        <v>46109</v>
      </c>
      <c r="B46" s="3">
        <f t="shared" si="5"/>
        <v>5</v>
      </c>
      <c r="C46" s="3" t="str">
        <f>+TEXT(Opex_VE[[#This Row],[Fecha]],"ddd")</f>
        <v>sáb</v>
      </c>
      <c r="E46" s="14" t="s">
        <v>113</v>
      </c>
      <c r="F46" s="172">
        <f>IFERROR(VLOOKUP(Opex_VE[[#This Row],[Fecha]],Historia!A:B,2,0),_xlfn.XLOOKUP(Opex_VE[[#This Row],[dia]],Forecast!H:H,Forecast!I:I))</f>
        <v>320800</v>
      </c>
      <c r="G46" s="172">
        <f>IFERROR(VLOOKUP(Opex_VE[[#This Row],[Fecha]],Historia!A:C,3,0),_xlfn.XLOOKUP(Opex_VE[[#This Row],[dia]],Forecast!H:H,Forecast!J:J))</f>
        <v>128320</v>
      </c>
      <c r="H46" s="186">
        <f ca="1">+Opex_VE[[#This Row],[MG]]-Opex_VE[[#This Row],[Opex]]</f>
        <v>441.03333333332557</v>
      </c>
      <c r="I46" s="173" t="str">
        <f>IFERROR(VLOOKUP(Opex_VE[[#This Row],[Fecha]],Historia!A:D,4,0),"Forecast")</f>
        <v>Forecast</v>
      </c>
      <c r="J46" s="161">
        <f t="shared" ca="1" si="4"/>
        <v>319697.41666666669</v>
      </c>
      <c r="K46" s="157">
        <f ca="1">+Opex_VE[[#This Row],[MG]]-Opex_VE[[#This Row],[Opex]]</f>
        <v>0</v>
      </c>
      <c r="L46" s="156">
        <f>+VLOOKUP($A46,Opex!$C:$Z,N$1,1)</f>
        <v>55000</v>
      </c>
      <c r="M46" s="157">
        <f ca="1">+Opex_VE[[#This Row],[Opex]]</f>
        <v>0</v>
      </c>
      <c r="N46" s="156">
        <f t="shared" si="1"/>
        <v>114635</v>
      </c>
      <c r="O46" s="156">
        <f>+VLOOKUP($A46,Opex!$C:$Z,Q$1,1)</f>
        <v>4000</v>
      </c>
      <c r="P46" s="156">
        <f t="shared" si="0"/>
        <v>110635</v>
      </c>
      <c r="Q46" s="156">
        <f>+VLOOKUP($A46,Opex!$C:$Z,R$1,1)</f>
        <v>10635</v>
      </c>
      <c r="R46" s="157">
        <f>+SUM(Opex_VE[[#This Row],[Cajero]:[Domiciliario]])</f>
        <v>50000</v>
      </c>
      <c r="S46" s="156">
        <v>30000</v>
      </c>
      <c r="T46" s="156">
        <v>20000</v>
      </c>
      <c r="U46" s="156">
        <v>0</v>
      </c>
      <c r="V46"/>
    </row>
    <row r="47" spans="1:22" x14ac:dyDescent="0.2">
      <c r="A47" s="153">
        <v>46110</v>
      </c>
      <c r="B47" s="3">
        <f t="shared" si="5"/>
        <v>5</v>
      </c>
      <c r="C47" s="3" t="str">
        <f>+TEXT(Opex_VE[[#This Row],[Fecha]],"ddd")</f>
        <v>dom</v>
      </c>
      <c r="E47" s="14" t="s">
        <v>145</v>
      </c>
      <c r="F47" s="172">
        <f>IFERROR(VLOOKUP(Opex_VE[[#This Row],[Fecha]],Historia!A:B,2,0),_xlfn.XLOOKUP(Opex_VE[[#This Row],[dia]],Forecast!H:H,Forecast!I:I))</f>
        <v>218500</v>
      </c>
      <c r="G47" s="172">
        <f>IFERROR(VLOOKUP(Opex_VE[[#This Row],[Fecha]],Historia!A:C,3,0),_xlfn.XLOOKUP(Opex_VE[[#This Row],[dia]],Forecast!H:H,Forecast!J:J))</f>
        <v>87400</v>
      </c>
      <c r="H47" s="186">
        <f ca="1">+Opex_VE[[#This Row],[MG]]-Opex_VE[[#This Row],[Opex]]</f>
        <v>-40478.966666666674</v>
      </c>
      <c r="I47" s="172" t="str">
        <f>IFERROR(VLOOKUP(Opex_VE[[#This Row],[Fecha]],Historia!A:D,4,0),"Forecast")</f>
        <v>Forecast</v>
      </c>
      <c r="J47" s="161">
        <f t="shared" ca="1" si="4"/>
        <v>319697.41666666669</v>
      </c>
      <c r="K47" s="157">
        <f ca="1">+Opex_VE[[#This Row],[MG]]-Opex_VE[[#This Row],[Opex]]</f>
        <v>0</v>
      </c>
      <c r="L47" s="156">
        <f>+VLOOKUP($A47,Opex!$C:$Z,N$1,1)</f>
        <v>55000</v>
      </c>
      <c r="M47" s="157">
        <f ca="1">+Opex_VE[[#This Row],[Opex]]</f>
        <v>0</v>
      </c>
      <c r="N47" s="156">
        <f t="shared" si="1"/>
        <v>114635</v>
      </c>
      <c r="O47" s="156">
        <f>+VLOOKUP($A47,Opex!$C:$Z,Q$1,1)</f>
        <v>4000</v>
      </c>
      <c r="P47" s="156">
        <f t="shared" si="0"/>
        <v>110635</v>
      </c>
      <c r="Q47" s="156">
        <f>+VLOOKUP($A47,Opex!$C:$Z,R$1,1)</f>
        <v>10635</v>
      </c>
      <c r="R47" s="157">
        <f>+SUM(Opex_VE[[#This Row],[Cajero]:[Domiciliario]])</f>
        <v>50000</v>
      </c>
      <c r="S47" s="156">
        <v>30000</v>
      </c>
      <c r="T47" s="156">
        <v>20000</v>
      </c>
      <c r="U47" s="156">
        <v>0</v>
      </c>
      <c r="V47"/>
    </row>
    <row r="48" spans="1:22" x14ac:dyDescent="0.2">
      <c r="A48" s="153">
        <v>46111</v>
      </c>
      <c r="B48" s="3">
        <f t="shared" si="5"/>
        <v>6</v>
      </c>
      <c r="C48" s="3" t="str">
        <f>+TEXT(Opex_VE[[#This Row],[Fecha]],"ddd")</f>
        <v>lun</v>
      </c>
      <c r="E48" s="14" t="s">
        <v>112</v>
      </c>
      <c r="F48" s="172">
        <f>IFERROR(VLOOKUP(Opex_VE[[#This Row],[Fecha]],Historia!A:B,2,0),_xlfn.XLOOKUP(Opex_VE[[#This Row],[dia]],Forecast!H:H,Forecast!I:I))</f>
        <v>179200</v>
      </c>
      <c r="G48" s="172">
        <f>IFERROR(VLOOKUP(Opex_VE[[#This Row],[Fecha]],Historia!A:C,3,0),_xlfn.XLOOKUP(Opex_VE[[#This Row],[dia]],Forecast!H:H,Forecast!J:J))</f>
        <v>71680</v>
      </c>
      <c r="H48" s="186">
        <f ca="1">+Opex_VE[[#This Row],[MG]]-Opex_VE[[#This Row],[Opex]]</f>
        <v>-56198.966666666674</v>
      </c>
      <c r="I48" s="172" t="str">
        <f>IFERROR(VLOOKUP(Opex_VE[[#This Row],[Fecha]],Historia!A:D,4,0),"Forecast")</f>
        <v>Forecast</v>
      </c>
      <c r="J48" s="161">
        <f t="shared" ca="1" si="4"/>
        <v>319697.41666666669</v>
      </c>
      <c r="K48" s="157">
        <f ca="1">+Opex_VE[[#This Row],[MG]]-Opex_VE[[#This Row],[Opex]]</f>
        <v>0</v>
      </c>
      <c r="L48" s="156">
        <f>+VLOOKUP($A48,Opex!$C:$Z,N$1,1)</f>
        <v>55000</v>
      </c>
      <c r="M48" s="157">
        <f ca="1">+Opex_VE[[#This Row],[Opex]]</f>
        <v>0</v>
      </c>
      <c r="N48" s="156">
        <f t="shared" si="1"/>
        <v>114635</v>
      </c>
      <c r="O48" s="156">
        <f>+VLOOKUP($A48,Opex!$C:$Z,Q$1,1)</f>
        <v>4000</v>
      </c>
      <c r="P48" s="156">
        <f t="shared" si="0"/>
        <v>110635</v>
      </c>
      <c r="Q48" s="156">
        <f>+VLOOKUP($A48,Opex!$C:$Z,R$1,1)</f>
        <v>10635</v>
      </c>
      <c r="R48" s="157">
        <f>+SUM(Opex_VE[[#This Row],[Cajero]:[Domiciliario]])</f>
        <v>50000</v>
      </c>
      <c r="S48" s="156">
        <v>30000</v>
      </c>
      <c r="T48" s="156">
        <v>20000</v>
      </c>
      <c r="U48" s="156">
        <v>0</v>
      </c>
      <c r="V48"/>
    </row>
    <row r="49" spans="1:22" x14ac:dyDescent="0.2">
      <c r="A49" s="153">
        <v>46112</v>
      </c>
      <c r="B49" s="3">
        <f t="shared" si="5"/>
        <v>6</v>
      </c>
      <c r="C49" s="3" t="str">
        <f>+TEXT(Opex_VE[[#This Row],[Fecha]],"ddd")</f>
        <v>mar</v>
      </c>
      <c r="E49" s="14" t="s">
        <v>112</v>
      </c>
      <c r="F49" s="172">
        <f>IFERROR(VLOOKUP(Opex_VE[[#This Row],[Fecha]],Historia!A:B,2,0),_xlfn.XLOOKUP(Opex_VE[[#This Row],[dia]],Forecast!H:H,Forecast!I:I))</f>
        <v>195000</v>
      </c>
      <c r="G49" s="172">
        <f>IFERROR(VLOOKUP(Opex_VE[[#This Row],[Fecha]],Historia!A:C,3,0),_xlfn.XLOOKUP(Opex_VE[[#This Row],[dia]],Forecast!H:H,Forecast!J:J))</f>
        <v>78000</v>
      </c>
      <c r="H49" s="186">
        <f ca="1">+Opex_VE[[#This Row],[MG]]-Opex_VE[[#This Row],[Opex]]</f>
        <v>-49878.966666666674</v>
      </c>
      <c r="I49" s="172" t="str">
        <f>IFERROR(VLOOKUP(Opex_VE[[#This Row],[Fecha]],Historia!A:D,4,0),"Forecast")</f>
        <v>Forecast</v>
      </c>
      <c r="J49" s="161">
        <f t="shared" ca="1" si="4"/>
        <v>319697.41666666669</v>
      </c>
      <c r="K49" s="157">
        <f ca="1">+Opex_VE[[#This Row],[MG]]-Opex_VE[[#This Row],[Opex]]</f>
        <v>0</v>
      </c>
      <c r="L49" s="156">
        <f>+VLOOKUP($A49,Opex!$C:$Z,N$1,1)</f>
        <v>55000</v>
      </c>
      <c r="M49" s="157">
        <f ca="1">+Opex_VE[[#This Row],[Opex]]</f>
        <v>0</v>
      </c>
      <c r="N49" s="156">
        <f t="shared" si="1"/>
        <v>114635</v>
      </c>
      <c r="O49" s="156">
        <f>+VLOOKUP($A49,Opex!$C:$Z,Q$1,1)</f>
        <v>4000</v>
      </c>
      <c r="P49" s="156">
        <f t="shared" si="0"/>
        <v>110635</v>
      </c>
      <c r="Q49" s="156">
        <f>+VLOOKUP($A49,Opex!$C:$Z,R$1,1)</f>
        <v>10635</v>
      </c>
      <c r="R49" s="157">
        <f>+SUM(Opex_VE[[#This Row],[Cajero]:[Domiciliario]])</f>
        <v>50000</v>
      </c>
      <c r="S49" s="156">
        <v>30000</v>
      </c>
      <c r="T49" s="156">
        <v>20000</v>
      </c>
      <c r="U49" s="156">
        <v>0</v>
      </c>
      <c r="V49"/>
    </row>
    <row r="50" spans="1:22" x14ac:dyDescent="0.2">
      <c r="A50" s="153">
        <v>46113</v>
      </c>
      <c r="B50" s="3">
        <f t="shared" si="5"/>
        <v>6</v>
      </c>
      <c r="C50" s="3" t="str">
        <f>+TEXT(Opex_VE[[#This Row],[Fecha]],"ddd")</f>
        <v>mié</v>
      </c>
      <c r="E50" s="14" t="s">
        <v>112</v>
      </c>
      <c r="F50" s="172">
        <f>IFERROR(VLOOKUP(Opex_VE[[#This Row],[Fecha]],Historia!A:B,2,0),_xlfn.XLOOKUP(Opex_VE[[#This Row],[dia]],Forecast!H:H,Forecast!I:I))</f>
        <v>366750</v>
      </c>
      <c r="G50" s="172">
        <f>IFERROR(VLOOKUP(Opex_VE[[#This Row],[Fecha]],Historia!A:C,3,0),_xlfn.XLOOKUP(Opex_VE[[#This Row],[dia]],Forecast!H:H,Forecast!J:J))</f>
        <v>146700</v>
      </c>
      <c r="H50" s="186">
        <f ca="1">+Opex_VE[[#This Row],[MG]]-Opex_VE[[#This Row],[Opex]]</f>
        <v>18821.033333333326</v>
      </c>
      <c r="I50" s="172" t="str">
        <f>IFERROR(VLOOKUP(Opex_VE[[#This Row],[Fecha]],Historia!A:D,4,0),"Forecast")</f>
        <v>Forecast</v>
      </c>
      <c r="J50" s="161">
        <f t="shared" ca="1" si="4"/>
        <v>319697.41666666669</v>
      </c>
      <c r="K50" s="157">
        <f ca="1">+Opex_VE[[#This Row],[MG]]-Opex_VE[[#This Row],[Opex]]</f>
        <v>0</v>
      </c>
      <c r="L50" s="156">
        <f>+VLOOKUP($A50,Opex!$C:$Z,N$1,1)</f>
        <v>55000</v>
      </c>
      <c r="M50" s="157">
        <f ca="1">+Opex_VE[[#This Row],[Opex]]</f>
        <v>0</v>
      </c>
      <c r="N50" s="156">
        <f t="shared" si="1"/>
        <v>114635</v>
      </c>
      <c r="O50" s="156">
        <f>+VLOOKUP($A50,Opex!$C:$Z,Q$1,1)</f>
        <v>4000</v>
      </c>
      <c r="P50" s="156">
        <f t="shared" si="0"/>
        <v>110635</v>
      </c>
      <c r="Q50" s="156">
        <f>+VLOOKUP($A50,Opex!$C:$Z,R$1,1)</f>
        <v>10635</v>
      </c>
      <c r="R50" s="157">
        <f>+SUM(Opex_VE[[#This Row],[Cajero]:[Domiciliario]])</f>
        <v>50000</v>
      </c>
      <c r="S50" s="156">
        <v>30000</v>
      </c>
      <c r="T50" s="156">
        <v>20000</v>
      </c>
      <c r="U50" s="156">
        <v>0</v>
      </c>
      <c r="V50"/>
    </row>
    <row r="51" spans="1:22" x14ac:dyDescent="0.2">
      <c r="A51" s="153">
        <v>46114</v>
      </c>
      <c r="B51" s="3">
        <f t="shared" si="5"/>
        <v>6</v>
      </c>
      <c r="C51" s="3" t="str">
        <f>+TEXT(Opex_VE[[#This Row],[Fecha]],"ddd")</f>
        <v>jue</v>
      </c>
      <c r="E51" s="14" t="s">
        <v>218</v>
      </c>
      <c r="F51" s="172">
        <f>IFERROR(VLOOKUP(Opex_VE[[#This Row],[Fecha]],Historia!A:B,2,0),_xlfn.XLOOKUP(Opex_VE[[#This Row],[dia]],Forecast!H:H,Forecast!I:I))</f>
        <v>234000</v>
      </c>
      <c r="G51" s="172">
        <f>IFERROR(VLOOKUP(Opex_VE[[#This Row],[Fecha]],Historia!A:C,3,0),_xlfn.XLOOKUP(Opex_VE[[#This Row],[dia]],Forecast!H:H,Forecast!J:J))</f>
        <v>93600</v>
      </c>
      <c r="H51" s="186">
        <f ca="1">+Opex_VE[[#This Row],[MG]]-Opex_VE[[#This Row],[Opex]]</f>
        <v>-34278.966666666674</v>
      </c>
      <c r="I51" s="172" t="str">
        <f>IFERROR(VLOOKUP(Opex_VE[[#This Row],[Fecha]],Historia!A:D,4,0),"Forecast")</f>
        <v>Forecast</v>
      </c>
      <c r="J51" s="161">
        <f t="shared" ca="1" si="4"/>
        <v>319697.41666666669</v>
      </c>
      <c r="K51" s="157">
        <f ca="1">+Opex_VE[[#This Row],[MG]]-Opex_VE[[#This Row],[Opex]]</f>
        <v>0</v>
      </c>
      <c r="L51" s="156">
        <f>+VLOOKUP($A51,Opex!$C:$Z,N$1,1)</f>
        <v>55000</v>
      </c>
      <c r="M51" s="157">
        <f ca="1">+Opex_VE[[#This Row],[Opex]]</f>
        <v>0</v>
      </c>
      <c r="N51" s="156">
        <f t="shared" si="1"/>
        <v>114635</v>
      </c>
      <c r="O51" s="156">
        <f>+VLOOKUP($A51,Opex!$C:$Z,Q$1,1)</f>
        <v>4000</v>
      </c>
      <c r="P51" s="156">
        <f t="shared" si="0"/>
        <v>110635</v>
      </c>
      <c r="Q51" s="156">
        <f>+VLOOKUP($A51,Opex!$C:$Z,R$1,1)</f>
        <v>10635</v>
      </c>
      <c r="R51" s="157">
        <f>+SUM(Opex_VE[[#This Row],[Cajero]:[Domiciliario]])</f>
        <v>50000</v>
      </c>
      <c r="S51" s="156">
        <v>30000</v>
      </c>
      <c r="T51" s="156">
        <v>20000</v>
      </c>
      <c r="U51" s="156">
        <v>0</v>
      </c>
      <c r="V51"/>
    </row>
    <row r="52" spans="1:22" x14ac:dyDescent="0.2">
      <c r="A52" s="153">
        <v>46115</v>
      </c>
      <c r="B52" s="3">
        <f t="shared" si="5"/>
        <v>6</v>
      </c>
      <c r="C52" s="3" t="str">
        <f>+TEXT(Opex_VE[[#This Row],[Fecha]],"ddd")</f>
        <v>vie</v>
      </c>
      <c r="E52" s="14" t="s">
        <v>218</v>
      </c>
      <c r="F52" s="172">
        <f>IFERROR(VLOOKUP(Opex_VE[[#This Row],[Fecha]],Historia!A:B,2,0),_xlfn.XLOOKUP(Opex_VE[[#This Row],[dia]],Forecast!H:H,Forecast!I:I))</f>
        <v>248000</v>
      </c>
      <c r="G52" s="172">
        <f>IFERROR(VLOOKUP(Opex_VE[[#This Row],[Fecha]],Historia!A:C,3,0),_xlfn.XLOOKUP(Opex_VE[[#This Row],[dia]],Forecast!H:H,Forecast!J:J))</f>
        <v>99200</v>
      </c>
      <c r="H52" s="186">
        <f ca="1">+Opex_VE[[#This Row],[MG]]-Opex_VE[[#This Row],[Opex]]</f>
        <v>-28678.966666666674</v>
      </c>
      <c r="I52" s="172" t="str">
        <f>IFERROR(VLOOKUP(Opex_VE[[#This Row],[Fecha]],Historia!A:D,4,0),"Forecast")</f>
        <v>Forecast</v>
      </c>
      <c r="J52" s="161">
        <f t="shared" ca="1" si="4"/>
        <v>319697.41666666669</v>
      </c>
      <c r="K52" s="157">
        <f ca="1">+Opex_VE[[#This Row],[MG]]-Opex_VE[[#This Row],[Opex]]</f>
        <v>0</v>
      </c>
      <c r="L52" s="156">
        <f>+VLOOKUP($A52,Opex!$C:$Z,N$1,1)</f>
        <v>55000</v>
      </c>
      <c r="M52" s="157">
        <f ca="1">+Opex_VE[[#This Row],[Opex]]</f>
        <v>0</v>
      </c>
      <c r="N52" s="156">
        <f t="shared" si="1"/>
        <v>114635</v>
      </c>
      <c r="O52" s="156">
        <f>+VLOOKUP($A52,Opex!$C:$Z,Q$1,1)</f>
        <v>4000</v>
      </c>
      <c r="P52" s="156">
        <f t="shared" si="0"/>
        <v>110635</v>
      </c>
      <c r="Q52" s="156">
        <f>+VLOOKUP($A52,Opex!$C:$Z,R$1,1)</f>
        <v>10635</v>
      </c>
      <c r="R52" s="157">
        <f>+SUM(Opex_VE[[#This Row],[Cajero]:[Domiciliario]])</f>
        <v>50000</v>
      </c>
      <c r="S52" s="156">
        <v>30000</v>
      </c>
      <c r="T52" s="156">
        <v>20000</v>
      </c>
      <c r="U52" s="156">
        <v>0</v>
      </c>
      <c r="V52"/>
    </row>
    <row r="53" spans="1:22" x14ac:dyDescent="0.2">
      <c r="A53" s="153">
        <v>46116</v>
      </c>
      <c r="B53" s="3">
        <f t="shared" si="5"/>
        <v>6</v>
      </c>
      <c r="C53" s="3" t="str">
        <f>+TEXT(Opex_VE[[#This Row],[Fecha]],"ddd")</f>
        <v>sáb</v>
      </c>
      <c r="E53" s="14" t="s">
        <v>113</v>
      </c>
      <c r="F53" s="172">
        <f>IFERROR(VLOOKUP(Opex_VE[[#This Row],[Fecha]],Historia!A:B,2,0),_xlfn.XLOOKUP(Opex_VE[[#This Row],[dia]],Forecast!H:H,Forecast!I:I))</f>
        <v>320800</v>
      </c>
      <c r="G53" s="172">
        <f>IFERROR(VLOOKUP(Opex_VE[[#This Row],[Fecha]],Historia!A:C,3,0),_xlfn.XLOOKUP(Opex_VE[[#This Row],[dia]],Forecast!H:H,Forecast!J:J))</f>
        <v>128320</v>
      </c>
      <c r="H53" s="186">
        <f ca="1">+Opex_VE[[#This Row],[MG]]-Opex_VE[[#This Row],[Opex]]</f>
        <v>441.03333333332557</v>
      </c>
      <c r="I53" s="173" t="str">
        <f>IFERROR(VLOOKUP(Opex_VE[[#This Row],[Fecha]],Historia!A:D,4,0),"Forecast")</f>
        <v>Forecast</v>
      </c>
      <c r="J53" s="161">
        <f t="shared" ca="1" si="4"/>
        <v>319697.41666666669</v>
      </c>
      <c r="K53" s="157">
        <f ca="1">+Opex_VE[[#This Row],[MG]]-Opex_VE[[#This Row],[Opex]]</f>
        <v>0</v>
      </c>
      <c r="L53" s="156">
        <f>+VLOOKUP($A53,Opex!$C:$Z,N$1,1)</f>
        <v>55000</v>
      </c>
      <c r="M53" s="157">
        <f ca="1">+Opex_VE[[#This Row],[Opex]]</f>
        <v>0</v>
      </c>
      <c r="N53" s="156">
        <f t="shared" si="1"/>
        <v>114635</v>
      </c>
      <c r="O53" s="156">
        <f>+VLOOKUP($A53,Opex!$C:$Z,Q$1,1)</f>
        <v>4000</v>
      </c>
      <c r="P53" s="156">
        <f t="shared" si="0"/>
        <v>110635</v>
      </c>
      <c r="Q53" s="156">
        <f>+VLOOKUP($A53,Opex!$C:$Z,R$1,1)</f>
        <v>10635</v>
      </c>
      <c r="R53" s="157">
        <f>+SUM(Opex_VE[[#This Row],[Cajero]:[Domiciliario]])</f>
        <v>50000</v>
      </c>
      <c r="S53" s="156">
        <v>30000</v>
      </c>
      <c r="T53" s="156">
        <v>20000</v>
      </c>
      <c r="U53" s="156">
        <v>0</v>
      </c>
      <c r="V53"/>
    </row>
    <row r="54" spans="1:22" x14ac:dyDescent="0.2">
      <c r="A54" s="153">
        <v>46117</v>
      </c>
      <c r="B54" s="3">
        <f t="shared" si="5"/>
        <v>6</v>
      </c>
      <c r="C54" s="3" t="str">
        <f>+TEXT(Opex_VE[[#This Row],[Fecha]],"ddd")</f>
        <v>dom</v>
      </c>
      <c r="E54" s="14" t="s">
        <v>145</v>
      </c>
      <c r="F54" s="172">
        <f>IFERROR(VLOOKUP(Opex_VE[[#This Row],[Fecha]],Historia!A:B,2,0),_xlfn.XLOOKUP(Opex_VE[[#This Row],[dia]],Forecast!H:H,Forecast!I:I))</f>
        <v>218500</v>
      </c>
      <c r="G54" s="172">
        <f>IFERROR(VLOOKUP(Opex_VE[[#This Row],[Fecha]],Historia!A:C,3,0),_xlfn.XLOOKUP(Opex_VE[[#This Row],[dia]],Forecast!H:H,Forecast!J:J))</f>
        <v>87400</v>
      </c>
      <c r="H54" s="186">
        <f ca="1">+Opex_VE[[#This Row],[MG]]-Opex_VE[[#This Row],[Opex]]</f>
        <v>-40478.966666666674</v>
      </c>
      <c r="I54" s="172" t="str">
        <f>IFERROR(VLOOKUP(Opex_VE[[#This Row],[Fecha]],Historia!A:D,4,0),"Forecast")</f>
        <v>Forecast</v>
      </c>
      <c r="J54" s="161">
        <f t="shared" ca="1" si="4"/>
        <v>319697.41666666669</v>
      </c>
      <c r="K54" s="157">
        <f ca="1">+Opex_VE[[#This Row],[MG]]-Opex_VE[[#This Row],[Opex]]</f>
        <v>0</v>
      </c>
      <c r="L54" s="156">
        <f>+VLOOKUP($A54,Opex!$C:$Z,N$1,1)</f>
        <v>55000</v>
      </c>
      <c r="M54" s="157">
        <f ca="1">+Opex_VE[[#This Row],[Opex]]</f>
        <v>0</v>
      </c>
      <c r="N54" s="156">
        <f t="shared" si="1"/>
        <v>114635</v>
      </c>
      <c r="O54" s="156">
        <f>+VLOOKUP($A54,Opex!$C:$Z,Q$1,1)</f>
        <v>4000</v>
      </c>
      <c r="P54" s="156">
        <f t="shared" si="0"/>
        <v>110635</v>
      </c>
      <c r="Q54" s="156">
        <f>+VLOOKUP($A54,Opex!$C:$Z,R$1,1)</f>
        <v>10635</v>
      </c>
      <c r="R54" s="157">
        <f>+SUM(Opex_VE[[#This Row],[Cajero]:[Domiciliario]])</f>
        <v>50000</v>
      </c>
      <c r="S54" s="156">
        <v>30000</v>
      </c>
      <c r="T54" s="156">
        <v>20000</v>
      </c>
      <c r="U54" s="156">
        <v>0</v>
      </c>
      <c r="V54"/>
    </row>
    <row r="55" spans="1:22" x14ac:dyDescent="0.2">
      <c r="A55" s="153">
        <v>46118</v>
      </c>
      <c r="B55" s="3">
        <f t="shared" si="5"/>
        <v>7</v>
      </c>
      <c r="C55" s="3" t="str">
        <f>+TEXT(Opex_VE[[#This Row],[Fecha]],"ddd")</f>
        <v>lun</v>
      </c>
      <c r="E55" s="14" t="s">
        <v>112</v>
      </c>
      <c r="F55" s="172">
        <f>IFERROR(VLOOKUP(Opex_VE[[#This Row],[Fecha]],Historia!A:B,2,0),_xlfn.XLOOKUP(Opex_VE[[#This Row],[dia]],Forecast!H:H,Forecast!I:I))</f>
        <v>179200</v>
      </c>
      <c r="G55" s="172">
        <f>IFERROR(VLOOKUP(Opex_VE[[#This Row],[Fecha]],Historia!A:C,3,0),_xlfn.XLOOKUP(Opex_VE[[#This Row],[dia]],Forecast!H:H,Forecast!J:J))</f>
        <v>71680</v>
      </c>
      <c r="H55" s="186">
        <f ca="1">+Opex_VE[[#This Row],[MG]]-Opex_VE[[#This Row],[Opex]]</f>
        <v>-56198.966666666674</v>
      </c>
      <c r="I55" s="172" t="str">
        <f>IFERROR(VLOOKUP(Opex_VE[[#This Row],[Fecha]],Historia!A:D,4,0),"Forecast")</f>
        <v>Forecast</v>
      </c>
      <c r="J55" s="161">
        <f t="shared" ca="1" si="4"/>
        <v>319697.41666666669</v>
      </c>
      <c r="K55" s="157">
        <f ca="1">+Opex_VE[[#This Row],[MG]]-Opex_VE[[#This Row],[Opex]]</f>
        <v>0</v>
      </c>
      <c r="L55" s="156">
        <f>+VLOOKUP($A55,Opex!$C:$Z,N$1,1)</f>
        <v>55000</v>
      </c>
      <c r="M55" s="157">
        <f ca="1">+Opex_VE[[#This Row],[Opex]]</f>
        <v>0</v>
      </c>
      <c r="N55" s="156">
        <f t="shared" si="1"/>
        <v>114635</v>
      </c>
      <c r="O55" s="156">
        <f>+VLOOKUP($A55,Opex!$C:$Z,Q$1,1)</f>
        <v>4000</v>
      </c>
      <c r="P55" s="156">
        <f t="shared" si="0"/>
        <v>110635</v>
      </c>
      <c r="Q55" s="156">
        <f>+VLOOKUP($A55,Opex!$C:$Z,R$1,1)</f>
        <v>10635</v>
      </c>
      <c r="R55" s="157">
        <f>+SUM(Opex_VE[[#This Row],[Cajero]:[Domiciliario]])</f>
        <v>50000</v>
      </c>
      <c r="S55" s="156">
        <v>30000</v>
      </c>
      <c r="T55" s="156">
        <v>20000</v>
      </c>
      <c r="U55" s="156">
        <v>0</v>
      </c>
      <c r="V55"/>
    </row>
    <row r="56" spans="1:22" x14ac:dyDescent="0.2">
      <c r="A56" s="153">
        <v>46119</v>
      </c>
      <c r="B56" s="3">
        <f t="shared" si="5"/>
        <v>7</v>
      </c>
      <c r="C56" s="3" t="str">
        <f>+TEXT(Opex_VE[[#This Row],[Fecha]],"ddd")</f>
        <v>mar</v>
      </c>
      <c r="E56" s="14" t="s">
        <v>112</v>
      </c>
      <c r="F56" s="172">
        <f>IFERROR(VLOOKUP(Opex_VE[[#This Row],[Fecha]],Historia!A:B,2,0),_xlfn.XLOOKUP(Opex_VE[[#This Row],[dia]],Forecast!H:H,Forecast!I:I))</f>
        <v>195000</v>
      </c>
      <c r="G56" s="172">
        <f>IFERROR(VLOOKUP(Opex_VE[[#This Row],[Fecha]],Historia!A:C,3,0),_xlfn.XLOOKUP(Opex_VE[[#This Row],[dia]],Forecast!H:H,Forecast!J:J))</f>
        <v>78000</v>
      </c>
      <c r="H56" s="186">
        <f ca="1">+Opex_VE[[#This Row],[MG]]-Opex_VE[[#This Row],[Opex]]</f>
        <v>-49878.966666666674</v>
      </c>
      <c r="I56" s="172" t="str">
        <f>IFERROR(VLOOKUP(Opex_VE[[#This Row],[Fecha]],Historia!A:D,4,0),"Forecast")</f>
        <v>Forecast</v>
      </c>
      <c r="J56" s="161">
        <f t="shared" ca="1" si="4"/>
        <v>319697.41666666669</v>
      </c>
      <c r="K56" s="157">
        <f ca="1">+Opex_VE[[#This Row],[MG]]-Opex_VE[[#This Row],[Opex]]</f>
        <v>0</v>
      </c>
      <c r="L56" s="156">
        <f>+VLOOKUP($A56,Opex!$C:$Z,N$1,1)</f>
        <v>55000</v>
      </c>
      <c r="M56" s="157">
        <f ca="1">+Opex_VE[[#This Row],[Opex]]</f>
        <v>0</v>
      </c>
      <c r="N56" s="156">
        <f t="shared" si="1"/>
        <v>114635</v>
      </c>
      <c r="O56" s="156">
        <f>+VLOOKUP($A56,Opex!$C:$Z,Q$1,1)</f>
        <v>4000</v>
      </c>
      <c r="P56" s="156">
        <f t="shared" si="0"/>
        <v>110635</v>
      </c>
      <c r="Q56" s="156">
        <f>+VLOOKUP($A56,Opex!$C:$Z,R$1,1)</f>
        <v>10635</v>
      </c>
      <c r="R56" s="157">
        <f>+SUM(Opex_VE[[#This Row],[Cajero]:[Domiciliario]])</f>
        <v>50000</v>
      </c>
      <c r="S56" s="156">
        <v>30000</v>
      </c>
      <c r="T56" s="156">
        <v>20000</v>
      </c>
      <c r="U56" s="156">
        <v>0</v>
      </c>
      <c r="V56"/>
    </row>
    <row r="57" spans="1:22" x14ac:dyDescent="0.2">
      <c r="A57" s="153">
        <v>46120</v>
      </c>
      <c r="B57" s="3">
        <f t="shared" si="5"/>
        <v>7</v>
      </c>
      <c r="C57" s="3" t="str">
        <f>+TEXT(Opex_VE[[#This Row],[Fecha]],"ddd")</f>
        <v>mié</v>
      </c>
      <c r="E57" s="14" t="s">
        <v>112</v>
      </c>
      <c r="F57" s="172">
        <f>IFERROR(VLOOKUP(Opex_VE[[#This Row],[Fecha]],Historia!A:B,2,0),_xlfn.XLOOKUP(Opex_VE[[#This Row],[dia]],Forecast!H:H,Forecast!I:I))</f>
        <v>366750</v>
      </c>
      <c r="G57" s="172">
        <f>IFERROR(VLOOKUP(Opex_VE[[#This Row],[Fecha]],Historia!A:C,3,0),_xlfn.XLOOKUP(Opex_VE[[#This Row],[dia]],Forecast!H:H,Forecast!J:J))</f>
        <v>146700</v>
      </c>
      <c r="H57" s="186">
        <f ca="1">+Opex_VE[[#This Row],[MG]]-Opex_VE[[#This Row],[Opex]]</f>
        <v>18821.033333333326</v>
      </c>
      <c r="I57" s="172" t="str">
        <f>IFERROR(VLOOKUP(Opex_VE[[#This Row],[Fecha]],Historia!A:D,4,0),"Forecast")</f>
        <v>Forecast</v>
      </c>
      <c r="J57" s="161">
        <f t="shared" ca="1" si="4"/>
        <v>319697.41666666669</v>
      </c>
      <c r="K57" s="157">
        <f ca="1">+Opex_VE[[#This Row],[MG]]-Opex_VE[[#This Row],[Opex]]</f>
        <v>0</v>
      </c>
      <c r="L57" s="156">
        <f>+VLOOKUP($A57,Opex!$C:$Z,N$1,1)</f>
        <v>55000</v>
      </c>
      <c r="M57" s="157">
        <f ca="1">+Opex_VE[[#This Row],[Opex]]</f>
        <v>0</v>
      </c>
      <c r="N57" s="156">
        <f t="shared" si="1"/>
        <v>114635</v>
      </c>
      <c r="O57" s="156">
        <f>+VLOOKUP($A57,Opex!$C:$Z,Q$1,1)</f>
        <v>4000</v>
      </c>
      <c r="P57" s="156">
        <f t="shared" si="0"/>
        <v>110635</v>
      </c>
      <c r="Q57" s="156">
        <f>+VLOOKUP($A57,Opex!$C:$Z,R$1,1)</f>
        <v>10635</v>
      </c>
      <c r="R57" s="157">
        <f>+SUM(Opex_VE[[#This Row],[Cajero]:[Domiciliario]])</f>
        <v>50000</v>
      </c>
      <c r="S57" s="156">
        <v>30000</v>
      </c>
      <c r="T57" s="156">
        <v>20000</v>
      </c>
      <c r="U57" s="156">
        <v>0</v>
      </c>
      <c r="V57"/>
    </row>
    <row r="58" spans="1:22" x14ac:dyDescent="0.2">
      <c r="A58" s="153">
        <v>46121</v>
      </c>
      <c r="B58" s="3">
        <f t="shared" si="5"/>
        <v>7</v>
      </c>
      <c r="C58" s="3" t="str">
        <f>+TEXT(Opex_VE[[#This Row],[Fecha]],"ddd")</f>
        <v>jue</v>
      </c>
      <c r="E58" s="14" t="s">
        <v>112</v>
      </c>
      <c r="F58" s="172">
        <f>IFERROR(VLOOKUP(Opex_VE[[#This Row],[Fecha]],Historia!A:B,2,0),_xlfn.XLOOKUP(Opex_VE[[#This Row],[dia]],Forecast!H:H,Forecast!I:I))</f>
        <v>234000</v>
      </c>
      <c r="G58" s="172">
        <f>IFERROR(VLOOKUP(Opex_VE[[#This Row],[Fecha]],Historia!A:C,3,0),_xlfn.XLOOKUP(Opex_VE[[#This Row],[dia]],Forecast!H:H,Forecast!J:J))</f>
        <v>93600</v>
      </c>
      <c r="H58" s="186">
        <f ca="1">+Opex_VE[[#This Row],[MG]]-Opex_VE[[#This Row],[Opex]]</f>
        <v>-34278.966666666674</v>
      </c>
      <c r="I58" s="172" t="str">
        <f>IFERROR(VLOOKUP(Opex_VE[[#This Row],[Fecha]],Historia!A:D,4,0),"Forecast")</f>
        <v>Forecast</v>
      </c>
      <c r="J58" s="161">
        <f t="shared" ca="1" si="4"/>
        <v>319697.41666666669</v>
      </c>
      <c r="K58" s="157">
        <f ca="1">+Opex_VE[[#This Row],[MG]]-Opex_VE[[#This Row],[Opex]]</f>
        <v>0</v>
      </c>
      <c r="L58" s="156">
        <f>+VLOOKUP($A58,Opex!$C:$Z,N$1,1)</f>
        <v>55000</v>
      </c>
      <c r="M58" s="157">
        <f ca="1">+Opex_VE[[#This Row],[Opex]]</f>
        <v>0</v>
      </c>
      <c r="N58" s="156">
        <f t="shared" si="1"/>
        <v>114635</v>
      </c>
      <c r="O58" s="156">
        <f>+VLOOKUP($A58,Opex!$C:$Z,Q$1,1)</f>
        <v>4000</v>
      </c>
      <c r="P58" s="156">
        <f t="shared" si="0"/>
        <v>110635</v>
      </c>
      <c r="Q58" s="156">
        <f>+VLOOKUP($A58,Opex!$C:$Z,R$1,1)</f>
        <v>10635</v>
      </c>
      <c r="R58" s="157">
        <f>+SUM(Opex_VE[[#This Row],[Cajero]:[Domiciliario]])</f>
        <v>50000</v>
      </c>
      <c r="S58" s="156">
        <v>30000</v>
      </c>
      <c r="T58" s="156">
        <v>20000</v>
      </c>
      <c r="U58" s="156">
        <v>0</v>
      </c>
      <c r="V58"/>
    </row>
    <row r="59" spans="1:22" x14ac:dyDescent="0.2">
      <c r="A59" s="153">
        <v>46122</v>
      </c>
      <c r="B59" s="3">
        <f t="shared" si="5"/>
        <v>7</v>
      </c>
      <c r="C59" s="3" t="str">
        <f>+TEXT(Opex_VE[[#This Row],[Fecha]],"ddd")</f>
        <v>vie</v>
      </c>
      <c r="E59" s="14" t="s">
        <v>217</v>
      </c>
      <c r="F59" s="172">
        <f>IFERROR(VLOOKUP(Opex_VE[[#This Row],[Fecha]],Historia!A:B,2,0),_xlfn.XLOOKUP(Opex_VE[[#This Row],[dia]],Forecast!H:H,Forecast!I:I))</f>
        <v>248000</v>
      </c>
      <c r="G59" s="172">
        <f>IFERROR(VLOOKUP(Opex_VE[[#This Row],[Fecha]],Historia!A:C,3,0),_xlfn.XLOOKUP(Opex_VE[[#This Row],[dia]],Forecast!H:H,Forecast!J:J))</f>
        <v>99200</v>
      </c>
      <c r="H59" s="186">
        <f ca="1">+Opex_VE[[#This Row],[MG]]-Opex_VE[[#This Row],[Opex]]</f>
        <v>-28678.966666666674</v>
      </c>
      <c r="I59" s="172" t="str">
        <f>IFERROR(VLOOKUP(Opex_VE[[#This Row],[Fecha]],Historia!A:D,4,0),"Forecast")</f>
        <v>Forecast</v>
      </c>
      <c r="J59" s="161">
        <f t="shared" ca="1" si="4"/>
        <v>319697.41666666669</v>
      </c>
      <c r="K59" s="157">
        <f ca="1">+Opex_VE[[#This Row],[MG]]-Opex_VE[[#This Row],[Opex]]</f>
        <v>0</v>
      </c>
      <c r="L59" s="156">
        <f>+VLOOKUP($A59,Opex!$C:$Z,N$1,1)</f>
        <v>55000</v>
      </c>
      <c r="M59" s="157">
        <f ca="1">+Opex_VE[[#This Row],[Opex]]</f>
        <v>0</v>
      </c>
      <c r="N59" s="156">
        <f t="shared" si="1"/>
        <v>114635</v>
      </c>
      <c r="O59" s="156">
        <f>+VLOOKUP($A59,Opex!$C:$Z,Q$1,1)</f>
        <v>4000</v>
      </c>
      <c r="P59" s="156">
        <f t="shared" si="0"/>
        <v>110635</v>
      </c>
      <c r="Q59" s="156">
        <f>+VLOOKUP($A59,Opex!$C:$Z,R$1,1)</f>
        <v>10635</v>
      </c>
      <c r="R59" s="157">
        <f>+SUM(Opex_VE[[#This Row],[Cajero]:[Domiciliario]])</f>
        <v>50000</v>
      </c>
      <c r="S59" s="156">
        <v>30000</v>
      </c>
      <c r="T59" s="156">
        <v>20000</v>
      </c>
      <c r="U59" s="156">
        <v>0</v>
      </c>
      <c r="V59"/>
    </row>
    <row r="60" spans="1:22" x14ac:dyDescent="0.2">
      <c r="A60" s="153">
        <v>46123</v>
      </c>
      <c r="B60" s="3">
        <f t="shared" si="5"/>
        <v>7</v>
      </c>
      <c r="C60" s="3" t="str">
        <f>+TEXT(Opex_VE[[#This Row],[Fecha]],"ddd")</f>
        <v>sáb</v>
      </c>
      <c r="E60" s="14" t="s">
        <v>113</v>
      </c>
      <c r="F60" s="172">
        <f>IFERROR(VLOOKUP(Opex_VE[[#This Row],[Fecha]],Historia!A:B,2,0),_xlfn.XLOOKUP(Opex_VE[[#This Row],[dia]],Forecast!H:H,Forecast!I:I))</f>
        <v>320800</v>
      </c>
      <c r="G60" s="172">
        <f>IFERROR(VLOOKUP(Opex_VE[[#This Row],[Fecha]],Historia!A:C,3,0),_xlfn.XLOOKUP(Opex_VE[[#This Row],[dia]],Forecast!H:H,Forecast!J:J))</f>
        <v>128320</v>
      </c>
      <c r="H60" s="186">
        <f ca="1">+Opex_VE[[#This Row],[MG]]-Opex_VE[[#This Row],[Opex]]</f>
        <v>441.03333333332557</v>
      </c>
      <c r="I60" s="173" t="str">
        <f>IFERROR(VLOOKUP(Opex_VE[[#This Row],[Fecha]],Historia!A:D,4,0),"Forecast")</f>
        <v>Forecast</v>
      </c>
      <c r="J60" s="161">
        <f t="shared" ca="1" si="4"/>
        <v>319697.41666666669</v>
      </c>
      <c r="K60" s="157">
        <f ca="1">+Opex_VE[[#This Row],[MG]]-Opex_VE[[#This Row],[Opex]]</f>
        <v>0</v>
      </c>
      <c r="L60" s="156">
        <f>+VLOOKUP($A60,Opex!$C:$Z,N$1,1)</f>
        <v>55000</v>
      </c>
      <c r="M60" s="157">
        <f ca="1">+Opex_VE[[#This Row],[Opex]]</f>
        <v>0</v>
      </c>
      <c r="N60" s="156">
        <f t="shared" si="1"/>
        <v>114635</v>
      </c>
      <c r="O60" s="156">
        <f>+VLOOKUP($A60,Opex!$C:$Z,Q$1,1)</f>
        <v>4000</v>
      </c>
      <c r="P60" s="156">
        <f t="shared" si="0"/>
        <v>110635</v>
      </c>
      <c r="Q60" s="156">
        <f>+VLOOKUP($A60,Opex!$C:$Z,R$1,1)</f>
        <v>10635</v>
      </c>
      <c r="R60" s="157">
        <f>+SUM(Opex_VE[[#This Row],[Cajero]:[Domiciliario]])</f>
        <v>50000</v>
      </c>
      <c r="S60" s="156">
        <v>30000</v>
      </c>
      <c r="T60" s="156">
        <v>20000</v>
      </c>
      <c r="U60" s="156">
        <v>0</v>
      </c>
      <c r="V60"/>
    </row>
    <row r="61" spans="1:22" x14ac:dyDescent="0.2">
      <c r="A61" s="153">
        <v>46124</v>
      </c>
      <c r="B61" s="3">
        <f t="shared" si="5"/>
        <v>7</v>
      </c>
      <c r="C61" s="3" t="str">
        <f>+TEXT(Opex_VE[[#This Row],[Fecha]],"ddd")</f>
        <v>dom</v>
      </c>
      <c r="E61" s="14" t="s">
        <v>145</v>
      </c>
      <c r="F61" s="172">
        <f>IFERROR(VLOOKUP(Opex_VE[[#This Row],[Fecha]],Historia!A:B,2,0),_xlfn.XLOOKUP(Opex_VE[[#This Row],[dia]],Forecast!H:H,Forecast!I:I))</f>
        <v>218500</v>
      </c>
      <c r="G61" s="172">
        <f>IFERROR(VLOOKUP(Opex_VE[[#This Row],[Fecha]],Historia!A:C,3,0),_xlfn.XLOOKUP(Opex_VE[[#This Row],[dia]],Forecast!H:H,Forecast!J:J))</f>
        <v>87400</v>
      </c>
      <c r="H61" s="186">
        <f ca="1">+Opex_VE[[#This Row],[MG]]-Opex_VE[[#This Row],[Opex]]</f>
        <v>-40478.966666666674</v>
      </c>
      <c r="I61" s="172" t="str">
        <f>IFERROR(VLOOKUP(Opex_VE[[#This Row],[Fecha]],Historia!A:D,4,0),"Forecast")</f>
        <v>Forecast</v>
      </c>
      <c r="J61" s="161">
        <f t="shared" ca="1" si="4"/>
        <v>319697.41666666669</v>
      </c>
      <c r="K61" s="157">
        <f ca="1">+Opex_VE[[#This Row],[MG]]-Opex_VE[[#This Row],[Opex]]</f>
        <v>0</v>
      </c>
      <c r="L61" s="156">
        <f>+VLOOKUP($A61,Opex!$C:$Z,N$1,1)</f>
        <v>55000</v>
      </c>
      <c r="M61" s="157">
        <f ca="1">+Opex_VE[[#This Row],[Opex]]</f>
        <v>0</v>
      </c>
      <c r="N61" s="156">
        <f t="shared" si="1"/>
        <v>114635</v>
      </c>
      <c r="O61" s="156">
        <f>+VLOOKUP($A61,Opex!$C:$Z,Q$1,1)</f>
        <v>4000</v>
      </c>
      <c r="P61" s="156">
        <f t="shared" si="0"/>
        <v>110635</v>
      </c>
      <c r="Q61" s="156">
        <f>+VLOOKUP($A61,Opex!$C:$Z,R$1,1)</f>
        <v>10635</v>
      </c>
      <c r="R61" s="157">
        <f>+SUM(Opex_VE[[#This Row],[Cajero]:[Domiciliario]])</f>
        <v>50000</v>
      </c>
      <c r="S61" s="156">
        <v>30000</v>
      </c>
      <c r="T61" s="156">
        <v>20000</v>
      </c>
      <c r="U61" s="156">
        <v>0</v>
      </c>
      <c r="V61"/>
    </row>
    <row r="62" spans="1:22" x14ac:dyDescent="0.2">
      <c r="A62" s="153">
        <v>46125</v>
      </c>
      <c r="B62" s="3">
        <f t="shared" si="5"/>
        <v>8</v>
      </c>
      <c r="C62" s="3" t="str">
        <f>+TEXT(Opex_VE[[#This Row],[Fecha]],"ddd")</f>
        <v>lun</v>
      </c>
      <c r="E62" s="14" t="s">
        <v>112</v>
      </c>
      <c r="F62" s="172">
        <f>IFERROR(VLOOKUP(Opex_VE[[#This Row],[Fecha]],Historia!A:B,2,0),_xlfn.XLOOKUP(Opex_VE[[#This Row],[dia]],Forecast!H:H,Forecast!I:I))</f>
        <v>179200</v>
      </c>
      <c r="G62" s="172">
        <f>IFERROR(VLOOKUP(Opex_VE[[#This Row],[Fecha]],Historia!A:C,3,0),_xlfn.XLOOKUP(Opex_VE[[#This Row],[dia]],Forecast!H:H,Forecast!J:J))</f>
        <v>71680</v>
      </c>
      <c r="H62" s="186">
        <f ca="1">+Opex_VE[[#This Row],[MG]]-Opex_VE[[#This Row],[Opex]]</f>
        <v>-56198.966666666674</v>
      </c>
      <c r="I62" s="172" t="str">
        <f>IFERROR(VLOOKUP(Opex_VE[[#This Row],[Fecha]],Historia!A:D,4,0),"Forecast")</f>
        <v>Forecast</v>
      </c>
      <c r="J62" s="161">
        <f t="shared" ca="1" si="4"/>
        <v>319697.41666666669</v>
      </c>
      <c r="K62" s="157">
        <f ca="1">+Opex_VE[[#This Row],[MG]]-Opex_VE[[#This Row],[Opex]]</f>
        <v>0</v>
      </c>
      <c r="L62" s="156">
        <f>+VLOOKUP($A62,Opex!$C:$Z,N$1,1)</f>
        <v>55000</v>
      </c>
      <c r="M62" s="157">
        <f ca="1">+Opex_VE[[#This Row],[Opex]]</f>
        <v>0</v>
      </c>
      <c r="N62" s="156">
        <f t="shared" si="1"/>
        <v>114635</v>
      </c>
      <c r="O62" s="156">
        <f>+VLOOKUP($A62,Opex!$C:$Z,Q$1,1)</f>
        <v>4000</v>
      </c>
      <c r="P62" s="156">
        <f t="shared" si="0"/>
        <v>110635</v>
      </c>
      <c r="Q62" s="156">
        <f>+VLOOKUP($A62,Opex!$C:$Z,R$1,1)</f>
        <v>10635</v>
      </c>
      <c r="R62" s="157">
        <f>+SUM(Opex_VE[[#This Row],[Cajero]:[Domiciliario]])</f>
        <v>50000</v>
      </c>
      <c r="S62" s="156">
        <v>30000</v>
      </c>
      <c r="T62" s="156">
        <v>20000</v>
      </c>
      <c r="U62" s="156">
        <v>0</v>
      </c>
      <c r="V62"/>
    </row>
    <row r="63" spans="1:22" x14ac:dyDescent="0.2">
      <c r="A63" s="153">
        <v>46126</v>
      </c>
      <c r="B63" s="3">
        <f t="shared" si="5"/>
        <v>8</v>
      </c>
      <c r="C63" s="3" t="str">
        <f>+TEXT(Opex_VE[[#This Row],[Fecha]],"ddd")</f>
        <v>mar</v>
      </c>
      <c r="E63" s="14" t="s">
        <v>112</v>
      </c>
      <c r="F63" s="172">
        <f>IFERROR(VLOOKUP(Opex_VE[[#This Row],[Fecha]],Historia!A:B,2,0),_xlfn.XLOOKUP(Opex_VE[[#This Row],[dia]],Forecast!H:H,Forecast!I:I))</f>
        <v>195000</v>
      </c>
      <c r="G63" s="172">
        <f>IFERROR(VLOOKUP(Opex_VE[[#This Row],[Fecha]],Historia!A:C,3,0),_xlfn.XLOOKUP(Opex_VE[[#This Row],[dia]],Forecast!H:H,Forecast!J:J))</f>
        <v>78000</v>
      </c>
      <c r="H63" s="186">
        <f ca="1">+Opex_VE[[#This Row],[MG]]-Opex_VE[[#This Row],[Opex]]</f>
        <v>-49878.966666666674</v>
      </c>
      <c r="I63" s="172" t="str">
        <f>IFERROR(VLOOKUP(Opex_VE[[#This Row],[Fecha]],Historia!A:D,4,0),"Forecast")</f>
        <v>Forecast</v>
      </c>
      <c r="J63" s="161">
        <f t="shared" ca="1" si="4"/>
        <v>319697.41666666669</v>
      </c>
      <c r="K63" s="157">
        <f ca="1">+Opex_VE[[#This Row],[MG]]-Opex_VE[[#This Row],[Opex]]</f>
        <v>0</v>
      </c>
      <c r="L63" s="156">
        <f>+VLOOKUP($A63,Opex!$C:$Z,N$1,1)</f>
        <v>55000</v>
      </c>
      <c r="M63" s="157">
        <f ca="1">+Opex_VE[[#This Row],[Opex]]</f>
        <v>0</v>
      </c>
      <c r="N63" s="156">
        <f t="shared" si="1"/>
        <v>114635</v>
      </c>
      <c r="O63" s="156">
        <f>+VLOOKUP($A63,Opex!$C:$Z,Q$1,1)</f>
        <v>4000</v>
      </c>
      <c r="P63" s="156">
        <f t="shared" si="0"/>
        <v>110635</v>
      </c>
      <c r="Q63" s="156">
        <f>+VLOOKUP($A63,Opex!$C:$Z,R$1,1)</f>
        <v>10635</v>
      </c>
      <c r="R63" s="157">
        <f>+SUM(Opex_VE[[#This Row],[Cajero]:[Domiciliario]])</f>
        <v>50000</v>
      </c>
      <c r="S63" s="156">
        <v>30000</v>
      </c>
      <c r="T63" s="156">
        <v>20000</v>
      </c>
      <c r="U63" s="156">
        <v>0</v>
      </c>
      <c r="V63"/>
    </row>
    <row r="64" spans="1:22" x14ac:dyDescent="0.2">
      <c r="A64" s="153">
        <v>46127</v>
      </c>
      <c r="B64" s="3">
        <f t="shared" si="5"/>
        <v>8</v>
      </c>
      <c r="C64" s="3" t="str">
        <f>+TEXT(Opex_VE[[#This Row],[Fecha]],"ddd")</f>
        <v>mié</v>
      </c>
      <c r="E64" s="14" t="s">
        <v>112</v>
      </c>
      <c r="F64" s="172">
        <f>IFERROR(VLOOKUP(Opex_VE[[#This Row],[Fecha]],Historia!A:B,2,0),_xlfn.XLOOKUP(Opex_VE[[#This Row],[dia]],Forecast!H:H,Forecast!I:I))</f>
        <v>366750</v>
      </c>
      <c r="G64" s="172">
        <f>IFERROR(VLOOKUP(Opex_VE[[#This Row],[Fecha]],Historia!A:C,3,0),_xlfn.XLOOKUP(Opex_VE[[#This Row],[dia]],Forecast!H:H,Forecast!J:J))</f>
        <v>146700</v>
      </c>
      <c r="H64" s="186">
        <f ca="1">+Opex_VE[[#This Row],[MG]]-Opex_VE[[#This Row],[Opex]]</f>
        <v>-77485.137931034493</v>
      </c>
      <c r="I64" s="172" t="str">
        <f>IFERROR(VLOOKUP(Opex_VE[[#This Row],[Fecha]],Historia!A:D,4,0),"Forecast")</f>
        <v>Forecast</v>
      </c>
      <c r="J64" s="161">
        <f t="shared" ca="1" si="4"/>
        <v>560462.8448275862</v>
      </c>
      <c r="K64" s="157">
        <f ca="1">+Opex_VE[[#This Row],[MG]]-Opex_VE[[#This Row],[Opex]]</f>
        <v>0</v>
      </c>
      <c r="L64" s="156">
        <f>+VLOOKUP($A64,Opex!$C:$Z,N$1,1)</f>
        <v>56896.551724137928</v>
      </c>
      <c r="M64" s="157">
        <f ca="1">+Opex_VE[[#This Row],[Opex]]</f>
        <v>0</v>
      </c>
      <c r="N64" s="156">
        <f t="shared" si="1"/>
        <v>295139.6551724138</v>
      </c>
      <c r="O64" s="156">
        <f>+VLOOKUP($A64,Opex!$C:$Z,Q$1,1)</f>
        <v>4137.9310344827591</v>
      </c>
      <c r="P64" s="156">
        <f t="shared" si="0"/>
        <v>291001.72413793101</v>
      </c>
      <c r="Q64" s="156">
        <f>+VLOOKUP($A64,Opex!$C:$Z,R$1,1)</f>
        <v>11001.724137931034</v>
      </c>
      <c r="R64" s="157">
        <f>+SUM(Opex_VE[[#This Row],[Cajero]:[Domiciliario]])</f>
        <v>140000</v>
      </c>
      <c r="S64" s="156">
        <v>70000</v>
      </c>
      <c r="T64" s="156">
        <v>70000</v>
      </c>
      <c r="U64" s="156">
        <v>0</v>
      </c>
      <c r="V64"/>
    </row>
    <row r="65" spans="1:22" x14ac:dyDescent="0.2">
      <c r="A65" s="153">
        <v>46128</v>
      </c>
      <c r="B65" s="3">
        <f t="shared" si="5"/>
        <v>8</v>
      </c>
      <c r="C65" s="3" t="str">
        <f>+TEXT(Opex_VE[[#This Row],[Fecha]],"ddd")</f>
        <v>jue</v>
      </c>
      <c r="E65" s="14" t="s">
        <v>112</v>
      </c>
      <c r="F65" s="172">
        <f>IFERROR(VLOOKUP(Opex_VE[[#This Row],[Fecha]],Historia!A:B,2,0),_xlfn.XLOOKUP(Opex_VE[[#This Row],[dia]],Forecast!H:H,Forecast!I:I))</f>
        <v>234000</v>
      </c>
      <c r="G65" s="172">
        <f>IFERROR(VLOOKUP(Opex_VE[[#This Row],[Fecha]],Historia!A:C,3,0),_xlfn.XLOOKUP(Opex_VE[[#This Row],[dia]],Forecast!H:H,Forecast!J:J))</f>
        <v>93600</v>
      </c>
      <c r="H65" s="186">
        <f ca="1">+Opex_VE[[#This Row],[MG]]-Opex_VE[[#This Row],[Opex]]</f>
        <v>-130585.13793103449</v>
      </c>
      <c r="I65" s="172" t="str">
        <f>IFERROR(VLOOKUP(Opex_VE[[#This Row],[Fecha]],Historia!A:D,4,0),"Forecast")</f>
        <v>Forecast</v>
      </c>
      <c r="J65" s="161">
        <f t="shared" ca="1" si="4"/>
        <v>560462.8448275862</v>
      </c>
      <c r="K65" s="157">
        <f ca="1">+Opex_VE[[#This Row],[MG]]-Opex_VE[[#This Row],[Opex]]</f>
        <v>0</v>
      </c>
      <c r="L65" s="156">
        <f>+VLOOKUP($A65,Opex!$C:$Z,N$1,1)</f>
        <v>56896.551724137928</v>
      </c>
      <c r="M65" s="157">
        <f ca="1">+Opex_VE[[#This Row],[Opex]]</f>
        <v>0</v>
      </c>
      <c r="N65" s="156">
        <f t="shared" si="1"/>
        <v>295139.6551724138</v>
      </c>
      <c r="O65" s="156">
        <f>+VLOOKUP($A65,Opex!$C:$Z,Q$1,1)</f>
        <v>4137.9310344827591</v>
      </c>
      <c r="P65" s="156">
        <f t="shared" si="0"/>
        <v>291001.72413793101</v>
      </c>
      <c r="Q65" s="156">
        <f>+VLOOKUP($A65,Opex!$C:$Z,R$1,1)</f>
        <v>11001.724137931034</v>
      </c>
      <c r="R65" s="157">
        <f>+SUM(Opex_VE[[#This Row],[Cajero]:[Domiciliario]])</f>
        <v>140000</v>
      </c>
      <c r="S65" s="156">
        <v>70000</v>
      </c>
      <c r="T65" s="156">
        <v>70000</v>
      </c>
      <c r="U65" s="156">
        <v>0</v>
      </c>
      <c r="V65"/>
    </row>
    <row r="66" spans="1:22" x14ac:dyDescent="0.2">
      <c r="A66" s="153">
        <v>46129</v>
      </c>
      <c r="B66" s="3">
        <f t="shared" si="5"/>
        <v>8</v>
      </c>
      <c r="C66" s="3" t="str">
        <f>+TEXT(Opex_VE[[#This Row],[Fecha]],"ddd")</f>
        <v>vie</v>
      </c>
      <c r="E66" s="14" t="s">
        <v>217</v>
      </c>
      <c r="F66" s="172">
        <f>IFERROR(VLOOKUP(Opex_VE[[#This Row],[Fecha]],Historia!A:B,2,0),_xlfn.XLOOKUP(Opex_VE[[#This Row],[dia]],Forecast!H:H,Forecast!I:I))</f>
        <v>248000</v>
      </c>
      <c r="G66" s="172">
        <f>IFERROR(VLOOKUP(Opex_VE[[#This Row],[Fecha]],Historia!A:C,3,0),_xlfn.XLOOKUP(Opex_VE[[#This Row],[dia]],Forecast!H:H,Forecast!J:J))</f>
        <v>99200</v>
      </c>
      <c r="H66" s="186">
        <f ca="1">+Opex_VE[[#This Row],[MG]]-Opex_VE[[#This Row],[Opex]]</f>
        <v>-124985.13793103449</v>
      </c>
      <c r="I66" s="172" t="str">
        <f>IFERROR(VLOOKUP(Opex_VE[[#This Row],[Fecha]],Historia!A:D,4,0),"Forecast")</f>
        <v>Forecast</v>
      </c>
      <c r="J66" s="161">
        <f t="shared" ca="1" si="4"/>
        <v>560462.8448275862</v>
      </c>
      <c r="K66" s="157">
        <f ca="1">+Opex_VE[[#This Row],[MG]]-Opex_VE[[#This Row],[Opex]]</f>
        <v>0</v>
      </c>
      <c r="L66" s="156">
        <f>+VLOOKUP($A66,Opex!$C:$Z,N$1,1)</f>
        <v>56896.551724137928</v>
      </c>
      <c r="M66" s="157">
        <f ca="1">+Opex_VE[[#This Row],[Opex]]</f>
        <v>0</v>
      </c>
      <c r="N66" s="156">
        <f t="shared" si="1"/>
        <v>295139.6551724138</v>
      </c>
      <c r="O66" s="156">
        <f>+VLOOKUP($A66,Opex!$C:$Z,Q$1,1)</f>
        <v>4137.9310344827591</v>
      </c>
      <c r="P66" s="156">
        <f t="shared" si="0"/>
        <v>291001.72413793101</v>
      </c>
      <c r="Q66" s="156">
        <f>+VLOOKUP($A66,Opex!$C:$Z,R$1,1)</f>
        <v>11001.724137931034</v>
      </c>
      <c r="R66" s="157">
        <f>+SUM(Opex_VE[[#This Row],[Cajero]:[Domiciliario]])</f>
        <v>140000</v>
      </c>
      <c r="S66" s="156">
        <v>70000</v>
      </c>
      <c r="T66" s="156">
        <v>70000</v>
      </c>
      <c r="U66" s="156">
        <v>0</v>
      </c>
      <c r="V66"/>
    </row>
    <row r="67" spans="1:22" x14ac:dyDescent="0.2">
      <c r="A67" s="153">
        <v>46130</v>
      </c>
      <c r="B67" s="3">
        <f t="shared" si="5"/>
        <v>8</v>
      </c>
      <c r="C67" s="3" t="str">
        <f>+TEXT(Opex_VE[[#This Row],[Fecha]],"ddd")</f>
        <v>sáb</v>
      </c>
      <c r="E67" s="14" t="s">
        <v>113</v>
      </c>
      <c r="F67" s="172">
        <f>IFERROR(VLOOKUP(Opex_VE[[#This Row],[Fecha]],Historia!A:B,2,0),_xlfn.XLOOKUP(Opex_VE[[#This Row],[dia]],Forecast!H:H,Forecast!I:I))</f>
        <v>320800</v>
      </c>
      <c r="G67" s="172">
        <f>IFERROR(VLOOKUP(Opex_VE[[#This Row],[Fecha]],Historia!A:C,3,0),_xlfn.XLOOKUP(Opex_VE[[#This Row],[dia]],Forecast!H:H,Forecast!J:J))</f>
        <v>128320</v>
      </c>
      <c r="H67" s="186">
        <f ca="1">+Opex_VE[[#This Row],[MG]]-Opex_VE[[#This Row],[Opex]]</f>
        <v>-95865.137931034493</v>
      </c>
      <c r="I67" s="173" t="str">
        <f>IFERROR(VLOOKUP(Opex_VE[[#This Row],[Fecha]],Historia!A:D,4,0),"Forecast")</f>
        <v>Forecast</v>
      </c>
      <c r="J67" s="161">
        <f t="shared" ca="1" si="4"/>
        <v>560462.8448275862</v>
      </c>
      <c r="K67" s="157">
        <f ca="1">+Opex_VE[[#This Row],[MG]]-Opex_VE[[#This Row],[Opex]]</f>
        <v>0</v>
      </c>
      <c r="L67" s="156">
        <f>+VLOOKUP($A67,Opex!$C:$Z,N$1,1)</f>
        <v>56896.551724137928</v>
      </c>
      <c r="M67" s="157">
        <f ca="1">+Opex_VE[[#This Row],[Opex]]</f>
        <v>0</v>
      </c>
      <c r="N67" s="156">
        <f t="shared" ref="N67:N130" si="6">+SUM(O67,P67,U67)</f>
        <v>295139.6551724138</v>
      </c>
      <c r="O67" s="156">
        <f>+VLOOKUP($A67,Opex!$C:$Z,Q$1,1)</f>
        <v>4137.9310344827591</v>
      </c>
      <c r="P67" s="156">
        <f t="shared" ref="P67:P130" si="7">+SUM(Q67:T67)</f>
        <v>291001.72413793101</v>
      </c>
      <c r="Q67" s="156">
        <f>+VLOOKUP($A67,Opex!$C:$Z,R$1,1)</f>
        <v>11001.724137931034</v>
      </c>
      <c r="R67" s="157">
        <f>+SUM(Opex_VE[[#This Row],[Cajero]:[Domiciliario]])</f>
        <v>140000</v>
      </c>
      <c r="S67" s="156">
        <v>70000</v>
      </c>
      <c r="T67" s="156">
        <v>70000</v>
      </c>
      <c r="U67" s="156">
        <v>0</v>
      </c>
      <c r="V67"/>
    </row>
    <row r="68" spans="1:22" x14ac:dyDescent="0.2">
      <c r="A68" s="153">
        <v>46131</v>
      </c>
      <c r="B68" s="3">
        <f t="shared" si="5"/>
        <v>8</v>
      </c>
      <c r="C68" s="3" t="str">
        <f>+TEXT(Opex_VE[[#This Row],[Fecha]],"ddd")</f>
        <v>dom</v>
      </c>
      <c r="E68" s="14" t="s">
        <v>145</v>
      </c>
      <c r="F68" s="172">
        <f>IFERROR(VLOOKUP(Opex_VE[[#This Row],[Fecha]],Historia!A:B,2,0),_xlfn.XLOOKUP(Opex_VE[[#This Row],[dia]],Forecast!H:H,Forecast!I:I))</f>
        <v>218500</v>
      </c>
      <c r="G68" s="172">
        <f>IFERROR(VLOOKUP(Opex_VE[[#This Row],[Fecha]],Historia!A:C,3,0),_xlfn.XLOOKUP(Opex_VE[[#This Row],[dia]],Forecast!H:H,Forecast!J:J))</f>
        <v>87400</v>
      </c>
      <c r="H68" s="186">
        <f ca="1">+Opex_VE[[#This Row],[MG]]-Opex_VE[[#This Row],[Opex]]</f>
        <v>-136785.13793103449</v>
      </c>
      <c r="I68" s="172" t="str">
        <f>IFERROR(VLOOKUP(Opex_VE[[#This Row],[Fecha]],Historia!A:D,4,0),"Forecast")</f>
        <v>Forecast</v>
      </c>
      <c r="J68" s="161">
        <f t="shared" ca="1" si="4"/>
        <v>560462.8448275862</v>
      </c>
      <c r="K68" s="157">
        <f ca="1">+Opex_VE[[#This Row],[MG]]-Opex_VE[[#This Row],[Opex]]</f>
        <v>0</v>
      </c>
      <c r="L68" s="156">
        <f>+VLOOKUP($A68,Opex!$C:$Z,N$1,1)</f>
        <v>56896.551724137928</v>
      </c>
      <c r="M68" s="157">
        <f ca="1">+Opex_VE[[#This Row],[Opex]]</f>
        <v>0</v>
      </c>
      <c r="N68" s="156">
        <f t="shared" si="6"/>
        <v>295139.6551724138</v>
      </c>
      <c r="O68" s="156">
        <f>+VLOOKUP($A68,Opex!$C:$Z,Q$1,1)</f>
        <v>4137.9310344827591</v>
      </c>
      <c r="P68" s="156">
        <f t="shared" si="7"/>
        <v>291001.72413793101</v>
      </c>
      <c r="Q68" s="156">
        <f>+VLOOKUP($A68,Opex!$C:$Z,R$1,1)</f>
        <v>11001.724137931034</v>
      </c>
      <c r="R68" s="157">
        <f>+SUM(Opex_VE[[#This Row],[Cajero]:[Domiciliario]])</f>
        <v>140000</v>
      </c>
      <c r="S68" s="156">
        <v>70000</v>
      </c>
      <c r="T68" s="156">
        <v>70000</v>
      </c>
      <c r="U68" s="156">
        <v>0</v>
      </c>
      <c r="V68"/>
    </row>
    <row r="69" spans="1:22" x14ac:dyDescent="0.2">
      <c r="A69" s="153">
        <v>46132</v>
      </c>
      <c r="B69" s="3">
        <f t="shared" si="5"/>
        <v>9</v>
      </c>
      <c r="C69" s="3" t="str">
        <f>+TEXT(Opex_VE[[#This Row],[Fecha]],"ddd")</f>
        <v>lun</v>
      </c>
      <c r="E69" s="14" t="s">
        <v>112</v>
      </c>
      <c r="F69" s="172">
        <f>IFERROR(VLOOKUP(Opex_VE[[#This Row],[Fecha]],Historia!A:B,2,0),_xlfn.XLOOKUP(Opex_VE[[#This Row],[dia]],Forecast!H:H,Forecast!I:I))</f>
        <v>179200</v>
      </c>
      <c r="G69" s="172">
        <f>IFERROR(VLOOKUP(Opex_VE[[#This Row],[Fecha]],Historia!A:C,3,0),_xlfn.XLOOKUP(Opex_VE[[#This Row],[dia]],Forecast!H:H,Forecast!J:J))</f>
        <v>71680</v>
      </c>
      <c r="H69" s="186">
        <f ca="1">+Opex_VE[[#This Row],[MG]]-Opex_VE[[#This Row],[Opex]]</f>
        <v>-152505.13793103449</v>
      </c>
      <c r="I69" s="172" t="str">
        <f>IFERROR(VLOOKUP(Opex_VE[[#This Row],[Fecha]],Historia!A:D,4,0),"Forecast")</f>
        <v>Forecast</v>
      </c>
      <c r="J69" s="161">
        <f t="shared" ca="1" si="4"/>
        <v>560462.8448275862</v>
      </c>
      <c r="K69" s="157">
        <f ca="1">+Opex_VE[[#This Row],[MG]]-Opex_VE[[#This Row],[Opex]]</f>
        <v>0</v>
      </c>
      <c r="L69" s="156">
        <f>+VLOOKUP($A69,Opex!$C:$Z,N$1,1)</f>
        <v>56896.551724137928</v>
      </c>
      <c r="M69" s="157">
        <f ca="1">+Opex_VE[[#This Row],[Opex]]</f>
        <v>0</v>
      </c>
      <c r="N69" s="156">
        <f t="shared" si="6"/>
        <v>295139.6551724138</v>
      </c>
      <c r="O69" s="156">
        <f>+VLOOKUP($A69,Opex!$C:$Z,Q$1,1)</f>
        <v>4137.9310344827591</v>
      </c>
      <c r="P69" s="156">
        <f t="shared" si="7"/>
        <v>291001.72413793101</v>
      </c>
      <c r="Q69" s="156">
        <f>+VLOOKUP($A69,Opex!$C:$Z,R$1,1)</f>
        <v>11001.724137931034</v>
      </c>
      <c r="R69" s="157">
        <f>+SUM(Opex_VE[[#This Row],[Cajero]:[Domiciliario]])</f>
        <v>140000</v>
      </c>
      <c r="S69" s="156">
        <v>70000</v>
      </c>
      <c r="T69" s="156">
        <v>70000</v>
      </c>
      <c r="U69" s="156">
        <v>0</v>
      </c>
      <c r="V69"/>
    </row>
    <row r="70" spans="1:22" x14ac:dyDescent="0.2">
      <c r="A70" s="153">
        <v>46133</v>
      </c>
      <c r="B70" s="3">
        <f t="shared" si="5"/>
        <v>9</v>
      </c>
      <c r="C70" s="3" t="str">
        <f>+TEXT(Opex_VE[[#This Row],[Fecha]],"ddd")</f>
        <v>mar</v>
      </c>
      <c r="E70" s="14" t="s">
        <v>112</v>
      </c>
      <c r="F70" s="172">
        <f>IFERROR(VLOOKUP(Opex_VE[[#This Row],[Fecha]],Historia!A:B,2,0),_xlfn.XLOOKUP(Opex_VE[[#This Row],[dia]],Forecast!H:H,Forecast!I:I))</f>
        <v>195000</v>
      </c>
      <c r="G70" s="172">
        <f>IFERROR(VLOOKUP(Opex_VE[[#This Row],[Fecha]],Historia!A:C,3,0),_xlfn.XLOOKUP(Opex_VE[[#This Row],[dia]],Forecast!H:H,Forecast!J:J))</f>
        <v>78000</v>
      </c>
      <c r="H70" s="186">
        <f ca="1">+Opex_VE[[#This Row],[MG]]-Opex_VE[[#This Row],[Opex]]</f>
        <v>-146185.13793103449</v>
      </c>
      <c r="I70" s="172" t="str">
        <f>IFERROR(VLOOKUP(Opex_VE[[#This Row],[Fecha]],Historia!A:D,4,0),"Forecast")</f>
        <v>Forecast</v>
      </c>
      <c r="J70" s="161">
        <f t="shared" ca="1" si="4"/>
        <v>560462.8448275862</v>
      </c>
      <c r="K70" s="157">
        <f ca="1">+Opex_VE[[#This Row],[MG]]-Opex_VE[[#This Row],[Opex]]</f>
        <v>0</v>
      </c>
      <c r="L70" s="156">
        <f>+VLOOKUP($A70,Opex!$C:$Z,N$1,1)</f>
        <v>56896.551724137928</v>
      </c>
      <c r="M70" s="157">
        <f ca="1">+Opex_VE[[#This Row],[Opex]]</f>
        <v>0</v>
      </c>
      <c r="N70" s="156">
        <f t="shared" si="6"/>
        <v>295139.6551724138</v>
      </c>
      <c r="O70" s="156">
        <f>+VLOOKUP($A70,Opex!$C:$Z,Q$1,1)</f>
        <v>4137.9310344827591</v>
      </c>
      <c r="P70" s="156">
        <f t="shared" si="7"/>
        <v>291001.72413793101</v>
      </c>
      <c r="Q70" s="156">
        <f>+VLOOKUP($A70,Opex!$C:$Z,R$1,1)</f>
        <v>11001.724137931034</v>
      </c>
      <c r="R70" s="157">
        <f>+SUM(Opex_VE[[#This Row],[Cajero]:[Domiciliario]])</f>
        <v>140000</v>
      </c>
      <c r="S70" s="156">
        <v>70000</v>
      </c>
      <c r="T70" s="156">
        <v>70000</v>
      </c>
      <c r="U70" s="156">
        <v>0</v>
      </c>
      <c r="V70"/>
    </row>
    <row r="71" spans="1:22" x14ac:dyDescent="0.2">
      <c r="A71" s="153">
        <v>46134</v>
      </c>
      <c r="B71" s="3">
        <f t="shared" si="5"/>
        <v>9</v>
      </c>
      <c r="C71" s="3" t="str">
        <f>+TEXT(Opex_VE[[#This Row],[Fecha]],"ddd")</f>
        <v>mié</v>
      </c>
      <c r="E71" s="14" t="s">
        <v>112</v>
      </c>
      <c r="F71" s="172">
        <f>IFERROR(VLOOKUP(Opex_VE[[#This Row],[Fecha]],Historia!A:B,2,0),_xlfn.XLOOKUP(Opex_VE[[#This Row],[dia]],Forecast!H:H,Forecast!I:I))</f>
        <v>366750</v>
      </c>
      <c r="G71" s="172">
        <f>IFERROR(VLOOKUP(Opex_VE[[#This Row],[Fecha]],Historia!A:C,3,0),_xlfn.XLOOKUP(Opex_VE[[#This Row],[dia]],Forecast!H:H,Forecast!J:J))</f>
        <v>146700</v>
      </c>
      <c r="H71" s="186">
        <f ca="1">+Opex_VE[[#This Row],[MG]]-Opex_VE[[#This Row],[Opex]]</f>
        <v>-77485.137931034493</v>
      </c>
      <c r="I71" s="172" t="str">
        <f>IFERROR(VLOOKUP(Opex_VE[[#This Row],[Fecha]],Historia!A:D,4,0),"Forecast")</f>
        <v>Forecast</v>
      </c>
      <c r="J71" s="161">
        <f t="shared" ca="1" si="4"/>
        <v>560462.8448275862</v>
      </c>
      <c r="K71" s="157">
        <f ca="1">+Opex_VE[[#This Row],[MG]]-Opex_VE[[#This Row],[Opex]]</f>
        <v>0</v>
      </c>
      <c r="L71" s="156">
        <f>+VLOOKUP($A71,Opex!$C:$Z,N$1,1)</f>
        <v>56896.551724137928</v>
      </c>
      <c r="M71" s="157">
        <f ca="1">+Opex_VE[[#This Row],[Opex]]</f>
        <v>0</v>
      </c>
      <c r="N71" s="156">
        <f t="shared" si="6"/>
        <v>295139.6551724138</v>
      </c>
      <c r="O71" s="156">
        <f>+VLOOKUP($A71,Opex!$C:$Z,Q$1,1)</f>
        <v>4137.9310344827591</v>
      </c>
      <c r="P71" s="156">
        <f t="shared" si="7"/>
        <v>291001.72413793101</v>
      </c>
      <c r="Q71" s="156">
        <f>+VLOOKUP($A71,Opex!$C:$Z,R$1,1)</f>
        <v>11001.724137931034</v>
      </c>
      <c r="R71" s="157">
        <f>+SUM(Opex_VE[[#This Row],[Cajero]:[Domiciliario]])</f>
        <v>140000</v>
      </c>
      <c r="S71" s="156">
        <v>70000</v>
      </c>
      <c r="T71" s="156">
        <v>70000</v>
      </c>
      <c r="U71" s="156">
        <v>0</v>
      </c>
      <c r="V71"/>
    </row>
    <row r="72" spans="1:22" x14ac:dyDescent="0.2">
      <c r="A72" s="153">
        <v>46135</v>
      </c>
      <c r="B72" s="3">
        <f t="shared" si="5"/>
        <v>9</v>
      </c>
      <c r="C72" s="3" t="str">
        <f>+TEXT(Opex_VE[[#This Row],[Fecha]],"ddd")</f>
        <v>jue</v>
      </c>
      <c r="E72" s="14" t="s">
        <v>112</v>
      </c>
      <c r="F72" s="172">
        <f>IFERROR(VLOOKUP(Opex_VE[[#This Row],[Fecha]],Historia!A:B,2,0),_xlfn.XLOOKUP(Opex_VE[[#This Row],[dia]],Forecast!H:H,Forecast!I:I))</f>
        <v>234000</v>
      </c>
      <c r="G72" s="172">
        <f>IFERROR(VLOOKUP(Opex_VE[[#This Row],[Fecha]],Historia!A:C,3,0),_xlfn.XLOOKUP(Opex_VE[[#This Row],[dia]],Forecast!H:H,Forecast!J:J))</f>
        <v>93600</v>
      </c>
      <c r="H72" s="186">
        <f ca="1">+Opex_VE[[#This Row],[MG]]-Opex_VE[[#This Row],[Opex]]</f>
        <v>-130585.13793103449</v>
      </c>
      <c r="I72" s="172" t="str">
        <f>IFERROR(VLOOKUP(Opex_VE[[#This Row],[Fecha]],Historia!A:D,4,0),"Forecast")</f>
        <v>Forecast</v>
      </c>
      <c r="J72" s="161">
        <f t="shared" ca="1" si="4"/>
        <v>560462.8448275862</v>
      </c>
      <c r="K72" s="157">
        <f ca="1">+Opex_VE[[#This Row],[MG]]-Opex_VE[[#This Row],[Opex]]</f>
        <v>0</v>
      </c>
      <c r="L72" s="156">
        <f>+VLOOKUP($A72,Opex!$C:$Z,N$1,1)</f>
        <v>56896.551724137928</v>
      </c>
      <c r="M72" s="157">
        <f ca="1">+Opex_VE[[#This Row],[Opex]]</f>
        <v>0</v>
      </c>
      <c r="N72" s="156">
        <f t="shared" si="6"/>
        <v>295139.6551724138</v>
      </c>
      <c r="O72" s="156">
        <f>+VLOOKUP($A72,Opex!$C:$Z,Q$1,1)</f>
        <v>4137.9310344827591</v>
      </c>
      <c r="P72" s="156">
        <f t="shared" si="7"/>
        <v>291001.72413793101</v>
      </c>
      <c r="Q72" s="156">
        <f>+VLOOKUP($A72,Opex!$C:$Z,R$1,1)</f>
        <v>11001.724137931034</v>
      </c>
      <c r="R72" s="157">
        <f>+SUM(Opex_VE[[#This Row],[Cajero]:[Domiciliario]])</f>
        <v>140000</v>
      </c>
      <c r="S72" s="156">
        <v>70000</v>
      </c>
      <c r="T72" s="156">
        <v>70000</v>
      </c>
      <c r="U72" s="156">
        <v>0</v>
      </c>
      <c r="V72"/>
    </row>
    <row r="73" spans="1:22" x14ac:dyDescent="0.2">
      <c r="A73" s="153">
        <v>46136</v>
      </c>
      <c r="B73" s="3">
        <f t="shared" si="5"/>
        <v>9</v>
      </c>
      <c r="C73" s="3" t="str">
        <f>+TEXT(Opex_VE[[#This Row],[Fecha]],"ddd")</f>
        <v>vie</v>
      </c>
      <c r="E73" s="14" t="s">
        <v>217</v>
      </c>
      <c r="F73" s="172">
        <f>IFERROR(VLOOKUP(Opex_VE[[#This Row],[Fecha]],Historia!A:B,2,0),_xlfn.XLOOKUP(Opex_VE[[#This Row],[dia]],Forecast!H:H,Forecast!I:I))</f>
        <v>248000</v>
      </c>
      <c r="G73" s="172">
        <f>IFERROR(VLOOKUP(Opex_VE[[#This Row],[Fecha]],Historia!A:C,3,0),_xlfn.XLOOKUP(Opex_VE[[#This Row],[dia]],Forecast!H:H,Forecast!J:J))</f>
        <v>99200</v>
      </c>
      <c r="H73" s="186">
        <f ca="1">+Opex_VE[[#This Row],[MG]]-Opex_VE[[#This Row],[Opex]]</f>
        <v>-124985.13793103449</v>
      </c>
      <c r="I73" s="172" t="str">
        <f>IFERROR(VLOOKUP(Opex_VE[[#This Row],[Fecha]],Historia!A:D,4,0),"Forecast")</f>
        <v>Forecast</v>
      </c>
      <c r="J73" s="161">
        <f t="shared" ca="1" si="4"/>
        <v>560462.8448275862</v>
      </c>
      <c r="K73" s="157">
        <f ca="1">+Opex_VE[[#This Row],[MG]]-Opex_VE[[#This Row],[Opex]]</f>
        <v>0</v>
      </c>
      <c r="L73" s="156">
        <f>+VLOOKUP($A73,Opex!$C:$Z,N$1,1)</f>
        <v>56896.551724137928</v>
      </c>
      <c r="M73" s="157">
        <f ca="1">+Opex_VE[[#This Row],[Opex]]</f>
        <v>0</v>
      </c>
      <c r="N73" s="156">
        <f t="shared" si="6"/>
        <v>295139.6551724138</v>
      </c>
      <c r="O73" s="156">
        <f>+VLOOKUP($A73,Opex!$C:$Z,Q$1,1)</f>
        <v>4137.9310344827591</v>
      </c>
      <c r="P73" s="156">
        <f t="shared" si="7"/>
        <v>291001.72413793101</v>
      </c>
      <c r="Q73" s="156">
        <f>+VLOOKUP($A73,Opex!$C:$Z,R$1,1)</f>
        <v>11001.724137931034</v>
      </c>
      <c r="R73" s="157">
        <f>+SUM(Opex_VE[[#This Row],[Cajero]:[Domiciliario]])</f>
        <v>140000</v>
      </c>
      <c r="S73" s="156">
        <v>70000</v>
      </c>
      <c r="T73" s="156">
        <v>70000</v>
      </c>
      <c r="U73" s="156">
        <v>0</v>
      </c>
      <c r="V73"/>
    </row>
    <row r="74" spans="1:22" x14ac:dyDescent="0.2">
      <c r="A74" s="153">
        <v>46137</v>
      </c>
      <c r="B74" s="3">
        <f t="shared" si="5"/>
        <v>9</v>
      </c>
      <c r="C74" s="3" t="str">
        <f>+TEXT(Opex_VE[[#This Row],[Fecha]],"ddd")</f>
        <v>sáb</v>
      </c>
      <c r="E74" s="14" t="s">
        <v>113</v>
      </c>
      <c r="F74" s="172">
        <f>IFERROR(VLOOKUP(Opex_VE[[#This Row],[Fecha]],Historia!A:B,2,0),_xlfn.XLOOKUP(Opex_VE[[#This Row],[dia]],Forecast!H:H,Forecast!I:I))</f>
        <v>320800</v>
      </c>
      <c r="G74" s="172">
        <f>IFERROR(VLOOKUP(Opex_VE[[#This Row],[Fecha]],Historia!A:C,3,0),_xlfn.XLOOKUP(Opex_VE[[#This Row],[dia]],Forecast!H:H,Forecast!J:J))</f>
        <v>128320</v>
      </c>
      <c r="H74" s="186">
        <f ca="1">+Opex_VE[[#This Row],[MG]]-Opex_VE[[#This Row],[Opex]]</f>
        <v>-95865.137931034493</v>
      </c>
      <c r="I74" s="173" t="str">
        <f>IFERROR(VLOOKUP(Opex_VE[[#This Row],[Fecha]],Historia!A:D,4,0),"Forecast")</f>
        <v>Forecast</v>
      </c>
      <c r="J74" s="161">
        <f t="shared" ca="1" si="4"/>
        <v>560462.8448275862</v>
      </c>
      <c r="K74" s="157">
        <f ca="1">+Opex_VE[[#This Row],[MG]]-Opex_VE[[#This Row],[Opex]]</f>
        <v>0</v>
      </c>
      <c r="L74" s="156">
        <f>+VLOOKUP($A74,Opex!$C:$Z,N$1,1)</f>
        <v>56896.551724137928</v>
      </c>
      <c r="M74" s="157">
        <f ca="1">+Opex_VE[[#This Row],[Opex]]</f>
        <v>0</v>
      </c>
      <c r="N74" s="156">
        <f t="shared" si="6"/>
        <v>295139.6551724138</v>
      </c>
      <c r="O74" s="156">
        <f>+VLOOKUP($A74,Opex!$C:$Z,Q$1,1)</f>
        <v>4137.9310344827591</v>
      </c>
      <c r="P74" s="156">
        <f t="shared" si="7"/>
        <v>291001.72413793101</v>
      </c>
      <c r="Q74" s="156">
        <f>+VLOOKUP($A74,Opex!$C:$Z,R$1,1)</f>
        <v>11001.724137931034</v>
      </c>
      <c r="R74" s="157">
        <f>+SUM(Opex_VE[[#This Row],[Cajero]:[Domiciliario]])</f>
        <v>140000</v>
      </c>
      <c r="S74" s="156">
        <v>70000</v>
      </c>
      <c r="T74" s="156">
        <v>70000</v>
      </c>
      <c r="U74" s="156">
        <v>0</v>
      </c>
      <c r="V74"/>
    </row>
    <row r="75" spans="1:22" x14ac:dyDescent="0.2">
      <c r="A75" s="153">
        <v>46138</v>
      </c>
      <c r="B75" s="3">
        <f t="shared" si="5"/>
        <v>9</v>
      </c>
      <c r="C75" s="3" t="str">
        <f>+TEXT(Opex_VE[[#This Row],[Fecha]],"ddd")</f>
        <v>dom</v>
      </c>
      <c r="E75" s="14" t="s">
        <v>145</v>
      </c>
      <c r="F75" s="172">
        <f>IFERROR(VLOOKUP(Opex_VE[[#This Row],[Fecha]],Historia!A:B,2,0),_xlfn.XLOOKUP(Opex_VE[[#This Row],[dia]],Forecast!H:H,Forecast!I:I))</f>
        <v>218500</v>
      </c>
      <c r="G75" s="172">
        <f>IFERROR(VLOOKUP(Opex_VE[[#This Row],[Fecha]],Historia!A:C,3,0),_xlfn.XLOOKUP(Opex_VE[[#This Row],[dia]],Forecast!H:H,Forecast!J:J))</f>
        <v>87400</v>
      </c>
      <c r="H75" s="186">
        <f ca="1">+Opex_VE[[#This Row],[MG]]-Opex_VE[[#This Row],[Opex]]</f>
        <v>-136785.13793103449</v>
      </c>
      <c r="I75" s="172" t="str">
        <f>IFERROR(VLOOKUP(Opex_VE[[#This Row],[Fecha]],Historia!A:D,4,0),"Forecast")</f>
        <v>Forecast</v>
      </c>
      <c r="J75" s="161">
        <f t="shared" ca="1" si="4"/>
        <v>560462.8448275862</v>
      </c>
      <c r="K75" s="157">
        <f ca="1">+Opex_VE[[#This Row],[MG]]-Opex_VE[[#This Row],[Opex]]</f>
        <v>0</v>
      </c>
      <c r="L75" s="156">
        <f>+VLOOKUP($A75,Opex!$C:$Z,N$1,1)</f>
        <v>56896.551724137928</v>
      </c>
      <c r="M75" s="157">
        <f ca="1">+Opex_VE[[#This Row],[Opex]]</f>
        <v>0</v>
      </c>
      <c r="N75" s="156">
        <f t="shared" si="6"/>
        <v>295139.6551724138</v>
      </c>
      <c r="O75" s="156">
        <f>+VLOOKUP($A75,Opex!$C:$Z,Q$1,1)</f>
        <v>4137.9310344827591</v>
      </c>
      <c r="P75" s="156">
        <f t="shared" si="7"/>
        <v>291001.72413793101</v>
      </c>
      <c r="Q75" s="156">
        <f>+VLOOKUP($A75,Opex!$C:$Z,R$1,1)</f>
        <v>11001.724137931034</v>
      </c>
      <c r="R75" s="157">
        <f>+SUM(Opex_VE[[#This Row],[Cajero]:[Domiciliario]])</f>
        <v>140000</v>
      </c>
      <c r="S75" s="156">
        <v>70000</v>
      </c>
      <c r="T75" s="156">
        <v>70000</v>
      </c>
      <c r="U75" s="156">
        <v>0</v>
      </c>
      <c r="V75"/>
    </row>
    <row r="76" spans="1:22" x14ac:dyDescent="0.2">
      <c r="A76" s="153">
        <v>46139</v>
      </c>
      <c r="B76" s="3">
        <f t="shared" si="5"/>
        <v>10</v>
      </c>
      <c r="C76" s="3" t="str">
        <f>+TEXT(Opex_VE[[#This Row],[Fecha]],"ddd")</f>
        <v>lun</v>
      </c>
      <c r="E76" s="14" t="s">
        <v>112</v>
      </c>
      <c r="F76" s="172">
        <f>IFERROR(VLOOKUP(Opex_VE[[#This Row],[Fecha]],Historia!A:B,2,0),_xlfn.XLOOKUP(Opex_VE[[#This Row],[dia]],Forecast!H:H,Forecast!I:I))</f>
        <v>179200</v>
      </c>
      <c r="G76" s="172">
        <f>IFERROR(VLOOKUP(Opex_VE[[#This Row],[Fecha]],Historia!A:C,3,0),_xlfn.XLOOKUP(Opex_VE[[#This Row],[dia]],Forecast!H:H,Forecast!J:J))</f>
        <v>71680</v>
      </c>
      <c r="H76" s="186">
        <f ca="1">+Opex_VE[[#This Row],[MG]]-Opex_VE[[#This Row],[Opex]]</f>
        <v>-152505.13793103449</v>
      </c>
      <c r="I76" s="172" t="str">
        <f>IFERROR(VLOOKUP(Opex_VE[[#This Row],[Fecha]],Historia!A:D,4,0),"Forecast")</f>
        <v>Forecast</v>
      </c>
      <c r="J76" s="161">
        <f t="shared" ca="1" si="4"/>
        <v>560462.8448275862</v>
      </c>
      <c r="K76" s="157">
        <f ca="1">+Opex_VE[[#This Row],[MG]]-Opex_VE[[#This Row],[Opex]]</f>
        <v>0</v>
      </c>
      <c r="L76" s="156">
        <f>+VLOOKUP($A76,Opex!$C:$Z,N$1,1)</f>
        <v>56896.551724137928</v>
      </c>
      <c r="M76" s="157">
        <f ca="1">+Opex_VE[[#This Row],[Opex]]</f>
        <v>0</v>
      </c>
      <c r="N76" s="156">
        <f t="shared" si="6"/>
        <v>295139.6551724138</v>
      </c>
      <c r="O76" s="156">
        <f>+VLOOKUP($A76,Opex!$C:$Z,Q$1,1)</f>
        <v>4137.9310344827591</v>
      </c>
      <c r="P76" s="156">
        <f t="shared" si="7"/>
        <v>291001.72413793101</v>
      </c>
      <c r="Q76" s="156">
        <f>+VLOOKUP($A76,Opex!$C:$Z,R$1,1)</f>
        <v>11001.724137931034</v>
      </c>
      <c r="R76" s="157">
        <f>+SUM(Opex_VE[[#This Row],[Cajero]:[Domiciliario]])</f>
        <v>140000</v>
      </c>
      <c r="S76" s="156">
        <v>70000</v>
      </c>
      <c r="T76" s="156">
        <v>70000</v>
      </c>
      <c r="U76" s="156">
        <v>0</v>
      </c>
      <c r="V76"/>
    </row>
    <row r="77" spans="1:22" x14ac:dyDescent="0.2">
      <c r="A77" s="153">
        <v>46140</v>
      </c>
      <c r="B77" s="3">
        <f t="shared" si="5"/>
        <v>10</v>
      </c>
      <c r="C77" s="3" t="str">
        <f>+TEXT(Opex_VE[[#This Row],[Fecha]],"ddd")</f>
        <v>mar</v>
      </c>
      <c r="E77" s="14" t="s">
        <v>112</v>
      </c>
      <c r="F77" s="172">
        <f>IFERROR(VLOOKUP(Opex_VE[[#This Row],[Fecha]],Historia!A:B,2,0),_xlfn.XLOOKUP(Opex_VE[[#This Row],[dia]],Forecast!H:H,Forecast!I:I))</f>
        <v>195000</v>
      </c>
      <c r="G77" s="172">
        <f>IFERROR(VLOOKUP(Opex_VE[[#This Row],[Fecha]],Historia!A:C,3,0),_xlfn.XLOOKUP(Opex_VE[[#This Row],[dia]],Forecast!H:H,Forecast!J:J))</f>
        <v>78000</v>
      </c>
      <c r="H77" s="186">
        <f ca="1">+Opex_VE[[#This Row],[MG]]-Opex_VE[[#This Row],[Opex]]</f>
        <v>-146185.13793103449</v>
      </c>
      <c r="I77" s="172" t="str">
        <f>IFERROR(VLOOKUP(Opex_VE[[#This Row],[Fecha]],Historia!A:D,4,0),"Forecast")</f>
        <v>Forecast</v>
      </c>
      <c r="J77" s="161">
        <f t="shared" ref="J77:J140" ca="1" si="8">+K77/0.4</f>
        <v>560462.8448275862</v>
      </c>
      <c r="K77" s="157">
        <f ca="1">+Opex_VE[[#This Row],[MG]]-Opex_VE[[#This Row],[Opex]]</f>
        <v>0</v>
      </c>
      <c r="L77" s="156">
        <f>+VLOOKUP($A77,Opex!$C:$Z,N$1,1)</f>
        <v>56896.551724137928</v>
      </c>
      <c r="M77" s="157">
        <f ca="1">+Opex_VE[[#This Row],[Opex]]</f>
        <v>0</v>
      </c>
      <c r="N77" s="156">
        <f t="shared" si="6"/>
        <v>295139.6551724138</v>
      </c>
      <c r="O77" s="156">
        <f>+VLOOKUP($A77,Opex!$C:$Z,Q$1,1)</f>
        <v>4137.9310344827591</v>
      </c>
      <c r="P77" s="156">
        <f t="shared" si="7"/>
        <v>291001.72413793101</v>
      </c>
      <c r="Q77" s="156">
        <f>+VLOOKUP($A77,Opex!$C:$Z,R$1,1)</f>
        <v>11001.724137931034</v>
      </c>
      <c r="R77" s="157">
        <f>+SUM(Opex_VE[[#This Row],[Cajero]:[Domiciliario]])</f>
        <v>140000</v>
      </c>
      <c r="S77" s="156">
        <v>70000</v>
      </c>
      <c r="T77" s="156">
        <v>70000</v>
      </c>
      <c r="U77" s="156">
        <v>0</v>
      </c>
      <c r="V77"/>
    </row>
    <row r="78" spans="1:22" x14ac:dyDescent="0.2">
      <c r="A78" s="153">
        <v>46141</v>
      </c>
      <c r="B78" s="3">
        <f t="shared" si="5"/>
        <v>10</v>
      </c>
      <c r="C78" s="3" t="str">
        <f>+TEXT(Opex_VE[[#This Row],[Fecha]],"ddd")</f>
        <v>mié</v>
      </c>
      <c r="E78" s="14" t="s">
        <v>112</v>
      </c>
      <c r="F78" s="172">
        <f>IFERROR(VLOOKUP(Opex_VE[[#This Row],[Fecha]],Historia!A:B,2,0),_xlfn.XLOOKUP(Opex_VE[[#This Row],[dia]],Forecast!H:H,Forecast!I:I))</f>
        <v>366750</v>
      </c>
      <c r="G78" s="172">
        <f>IFERROR(VLOOKUP(Opex_VE[[#This Row],[Fecha]],Historia!A:C,3,0),_xlfn.XLOOKUP(Opex_VE[[#This Row],[dia]],Forecast!H:H,Forecast!J:J))</f>
        <v>146700</v>
      </c>
      <c r="H78" s="186">
        <f ca="1">+Opex_VE[[#This Row],[MG]]-Opex_VE[[#This Row],[Opex]]</f>
        <v>-77485.137931034493</v>
      </c>
      <c r="I78" s="172" t="str">
        <f>IFERROR(VLOOKUP(Opex_VE[[#This Row],[Fecha]],Historia!A:D,4,0),"Forecast")</f>
        <v>Forecast</v>
      </c>
      <c r="J78" s="161">
        <f t="shared" ca="1" si="8"/>
        <v>560462.8448275862</v>
      </c>
      <c r="K78" s="157">
        <f ca="1">+Opex_VE[[#This Row],[MG]]-Opex_VE[[#This Row],[Opex]]</f>
        <v>0</v>
      </c>
      <c r="L78" s="156">
        <f>+VLOOKUP($A78,Opex!$C:$Z,N$1,1)</f>
        <v>56896.551724137928</v>
      </c>
      <c r="M78" s="157">
        <f ca="1">+Opex_VE[[#This Row],[Opex]]</f>
        <v>0</v>
      </c>
      <c r="N78" s="156">
        <f t="shared" si="6"/>
        <v>295139.6551724138</v>
      </c>
      <c r="O78" s="156">
        <f>+VLOOKUP($A78,Opex!$C:$Z,Q$1,1)</f>
        <v>4137.9310344827591</v>
      </c>
      <c r="P78" s="156">
        <f t="shared" si="7"/>
        <v>291001.72413793101</v>
      </c>
      <c r="Q78" s="156">
        <f>+VLOOKUP($A78,Opex!$C:$Z,R$1,1)</f>
        <v>11001.724137931034</v>
      </c>
      <c r="R78" s="157">
        <f>+SUM(Opex_VE[[#This Row],[Cajero]:[Domiciliario]])</f>
        <v>140000</v>
      </c>
      <c r="S78" s="156">
        <v>70000</v>
      </c>
      <c r="T78" s="156">
        <v>70000</v>
      </c>
      <c r="U78" s="156">
        <v>0</v>
      </c>
      <c r="V78"/>
    </row>
    <row r="79" spans="1:22" x14ac:dyDescent="0.2">
      <c r="A79" s="153">
        <v>46142</v>
      </c>
      <c r="B79" s="3">
        <f t="shared" si="5"/>
        <v>10</v>
      </c>
      <c r="C79" s="3" t="str">
        <f>+TEXT(Opex_VE[[#This Row],[Fecha]],"ddd")</f>
        <v>jue</v>
      </c>
      <c r="E79" s="14" t="s">
        <v>112</v>
      </c>
      <c r="F79" s="172">
        <f>IFERROR(VLOOKUP(Opex_VE[[#This Row],[Fecha]],Historia!A:B,2,0),_xlfn.XLOOKUP(Opex_VE[[#This Row],[dia]],Forecast!H:H,Forecast!I:I))</f>
        <v>234000</v>
      </c>
      <c r="G79" s="172">
        <f>IFERROR(VLOOKUP(Opex_VE[[#This Row],[Fecha]],Historia!A:C,3,0),_xlfn.XLOOKUP(Opex_VE[[#This Row],[dia]],Forecast!H:H,Forecast!J:J))</f>
        <v>93600</v>
      </c>
      <c r="H79" s="186">
        <f ca="1">+Opex_VE[[#This Row],[MG]]-Opex_VE[[#This Row],[Opex]]</f>
        <v>-130585.13793103449</v>
      </c>
      <c r="I79" s="172" t="str">
        <f>IFERROR(VLOOKUP(Opex_VE[[#This Row],[Fecha]],Historia!A:D,4,0),"Forecast")</f>
        <v>Forecast</v>
      </c>
      <c r="J79" s="161">
        <f t="shared" ca="1" si="8"/>
        <v>560462.8448275862</v>
      </c>
      <c r="K79" s="157">
        <f ca="1">+Opex_VE[[#This Row],[MG]]-Opex_VE[[#This Row],[Opex]]</f>
        <v>0</v>
      </c>
      <c r="L79" s="156">
        <f>+VLOOKUP($A79,Opex!$C:$Z,N$1,1)</f>
        <v>56896.551724137928</v>
      </c>
      <c r="M79" s="157">
        <f ca="1">+Opex_VE[[#This Row],[Opex]]</f>
        <v>0</v>
      </c>
      <c r="N79" s="156">
        <f t="shared" si="6"/>
        <v>295139.6551724138</v>
      </c>
      <c r="O79" s="156">
        <f>+VLOOKUP($A79,Opex!$C:$Z,Q$1,1)</f>
        <v>4137.9310344827591</v>
      </c>
      <c r="P79" s="156">
        <f t="shared" si="7"/>
        <v>291001.72413793101</v>
      </c>
      <c r="Q79" s="156">
        <f>+VLOOKUP($A79,Opex!$C:$Z,R$1,1)</f>
        <v>11001.724137931034</v>
      </c>
      <c r="R79" s="157">
        <f>+SUM(Opex_VE[[#This Row],[Cajero]:[Domiciliario]])</f>
        <v>140000</v>
      </c>
      <c r="S79" s="156">
        <v>70000</v>
      </c>
      <c r="T79" s="156">
        <v>70000</v>
      </c>
      <c r="U79" s="156">
        <v>0</v>
      </c>
      <c r="V79"/>
    </row>
    <row r="80" spans="1:22" x14ac:dyDescent="0.2">
      <c r="A80" s="153">
        <v>46143</v>
      </c>
      <c r="B80" s="3">
        <f t="shared" si="5"/>
        <v>10</v>
      </c>
      <c r="C80" s="3" t="str">
        <f>+TEXT(Opex_VE[[#This Row],[Fecha]],"ddd")</f>
        <v>vie</v>
      </c>
      <c r="E80" s="14" t="s">
        <v>218</v>
      </c>
      <c r="F80" s="172">
        <f>IFERROR(VLOOKUP(Opex_VE[[#This Row],[Fecha]],Historia!A:B,2,0),_xlfn.XLOOKUP(Opex_VE[[#This Row],[dia]],Forecast!H:H,Forecast!I:I))</f>
        <v>248000</v>
      </c>
      <c r="G80" s="172">
        <f>IFERROR(VLOOKUP(Opex_VE[[#This Row],[Fecha]],Historia!A:C,3,0),_xlfn.XLOOKUP(Opex_VE[[#This Row],[dia]],Forecast!H:H,Forecast!J:J))</f>
        <v>99200</v>
      </c>
      <c r="H80" s="186">
        <f ca="1">+Opex_VE[[#This Row],[MG]]-Opex_VE[[#This Row],[Opex]]</f>
        <v>-124985.13793103449</v>
      </c>
      <c r="I80" s="172" t="str">
        <f>IFERROR(VLOOKUP(Opex_VE[[#This Row],[Fecha]],Historia!A:D,4,0),"Forecast")</f>
        <v>Forecast</v>
      </c>
      <c r="J80" s="161">
        <f t="shared" ca="1" si="8"/>
        <v>560462.8448275862</v>
      </c>
      <c r="K80" s="157">
        <f ca="1">+Opex_VE[[#This Row],[MG]]-Opex_VE[[#This Row],[Opex]]</f>
        <v>0</v>
      </c>
      <c r="L80" s="156">
        <f>+VLOOKUP($A80,Opex!$C:$Z,N$1,1)</f>
        <v>56896.551724137928</v>
      </c>
      <c r="M80" s="157">
        <f ca="1">+Opex_VE[[#This Row],[Opex]]</f>
        <v>0</v>
      </c>
      <c r="N80" s="156">
        <f t="shared" si="6"/>
        <v>295139.6551724138</v>
      </c>
      <c r="O80" s="156">
        <f>+VLOOKUP($A80,Opex!$C:$Z,Q$1,1)</f>
        <v>4137.9310344827591</v>
      </c>
      <c r="P80" s="156">
        <f t="shared" si="7"/>
        <v>291001.72413793101</v>
      </c>
      <c r="Q80" s="156">
        <f>+VLOOKUP($A80,Opex!$C:$Z,R$1,1)</f>
        <v>11001.724137931034</v>
      </c>
      <c r="R80" s="157">
        <f>+SUM(Opex_VE[[#This Row],[Cajero]:[Domiciliario]])</f>
        <v>140000</v>
      </c>
      <c r="S80" s="156">
        <v>70000</v>
      </c>
      <c r="T80" s="156">
        <v>70000</v>
      </c>
      <c r="U80" s="156">
        <v>0</v>
      </c>
      <c r="V80"/>
    </row>
    <row r="81" spans="1:22" x14ac:dyDescent="0.2">
      <c r="A81" s="153">
        <v>46144</v>
      </c>
      <c r="B81" s="3">
        <f t="shared" si="5"/>
        <v>10</v>
      </c>
      <c r="C81" s="3" t="str">
        <f>+TEXT(Opex_VE[[#This Row],[Fecha]],"ddd")</f>
        <v>sáb</v>
      </c>
      <c r="E81" s="14" t="s">
        <v>113</v>
      </c>
      <c r="F81" s="172">
        <f>IFERROR(VLOOKUP(Opex_VE[[#This Row],[Fecha]],Historia!A:B,2,0),_xlfn.XLOOKUP(Opex_VE[[#This Row],[dia]],Forecast!H:H,Forecast!I:I))</f>
        <v>320800</v>
      </c>
      <c r="G81" s="172">
        <f>IFERROR(VLOOKUP(Opex_VE[[#This Row],[Fecha]],Historia!A:C,3,0),_xlfn.XLOOKUP(Opex_VE[[#This Row],[dia]],Forecast!H:H,Forecast!J:J))</f>
        <v>128320</v>
      </c>
      <c r="H81" s="186">
        <f ca="1">+Opex_VE[[#This Row],[MG]]-Opex_VE[[#This Row],[Opex]]</f>
        <v>-95865.137931034493</v>
      </c>
      <c r="I81" s="173" t="str">
        <f>IFERROR(VLOOKUP(Opex_VE[[#This Row],[Fecha]],Historia!A:D,4,0),"Forecast")</f>
        <v>Forecast</v>
      </c>
      <c r="J81" s="161">
        <f t="shared" ca="1" si="8"/>
        <v>560462.8448275862</v>
      </c>
      <c r="K81" s="157">
        <f ca="1">+Opex_VE[[#This Row],[MG]]-Opex_VE[[#This Row],[Opex]]</f>
        <v>0</v>
      </c>
      <c r="L81" s="156">
        <f>+VLOOKUP($A81,Opex!$C:$Z,N$1,1)</f>
        <v>56896.551724137928</v>
      </c>
      <c r="M81" s="157">
        <f ca="1">+Opex_VE[[#This Row],[Opex]]</f>
        <v>0</v>
      </c>
      <c r="N81" s="156">
        <f t="shared" si="6"/>
        <v>295139.6551724138</v>
      </c>
      <c r="O81" s="156">
        <f>+VLOOKUP($A81,Opex!$C:$Z,Q$1,1)</f>
        <v>4137.9310344827591</v>
      </c>
      <c r="P81" s="156">
        <f t="shared" si="7"/>
        <v>291001.72413793101</v>
      </c>
      <c r="Q81" s="156">
        <f>+VLOOKUP($A81,Opex!$C:$Z,R$1,1)</f>
        <v>11001.724137931034</v>
      </c>
      <c r="R81" s="157">
        <f>+SUM(Opex_VE[[#This Row],[Cajero]:[Domiciliario]])</f>
        <v>140000</v>
      </c>
      <c r="S81" s="156">
        <v>70000</v>
      </c>
      <c r="T81" s="156">
        <v>70000</v>
      </c>
      <c r="U81" s="156">
        <v>0</v>
      </c>
      <c r="V81"/>
    </row>
    <row r="82" spans="1:22" x14ac:dyDescent="0.2">
      <c r="A82" s="153">
        <v>46145</v>
      </c>
      <c r="B82" s="3">
        <f t="shared" si="5"/>
        <v>10</v>
      </c>
      <c r="C82" s="3" t="str">
        <f>+TEXT(Opex_VE[[#This Row],[Fecha]],"ddd")</f>
        <v>dom</v>
      </c>
      <c r="E82" s="14" t="s">
        <v>145</v>
      </c>
      <c r="F82" s="172">
        <f>IFERROR(VLOOKUP(Opex_VE[[#This Row],[Fecha]],Historia!A:B,2,0),_xlfn.XLOOKUP(Opex_VE[[#This Row],[dia]],Forecast!H:H,Forecast!I:I))</f>
        <v>218500</v>
      </c>
      <c r="G82" s="172">
        <f>IFERROR(VLOOKUP(Opex_VE[[#This Row],[Fecha]],Historia!A:C,3,0),_xlfn.XLOOKUP(Opex_VE[[#This Row],[dia]],Forecast!H:H,Forecast!J:J))</f>
        <v>87400</v>
      </c>
      <c r="H82" s="186">
        <f ca="1">+Opex_VE[[#This Row],[MG]]-Opex_VE[[#This Row],[Opex]]</f>
        <v>-136785.13793103449</v>
      </c>
      <c r="I82" s="172" t="str">
        <f>IFERROR(VLOOKUP(Opex_VE[[#This Row],[Fecha]],Historia!A:D,4,0),"Forecast")</f>
        <v>Forecast</v>
      </c>
      <c r="J82" s="161">
        <f t="shared" ca="1" si="8"/>
        <v>560462.8448275862</v>
      </c>
      <c r="K82" s="157">
        <f ca="1">+Opex_VE[[#This Row],[MG]]-Opex_VE[[#This Row],[Opex]]</f>
        <v>0</v>
      </c>
      <c r="L82" s="156">
        <f>+VLOOKUP($A82,Opex!$C:$Z,N$1,1)</f>
        <v>56896.551724137928</v>
      </c>
      <c r="M82" s="157">
        <f ca="1">+Opex_VE[[#This Row],[Opex]]</f>
        <v>0</v>
      </c>
      <c r="N82" s="156">
        <f t="shared" si="6"/>
        <v>295139.6551724138</v>
      </c>
      <c r="O82" s="156">
        <f>+VLOOKUP($A82,Opex!$C:$Z,Q$1,1)</f>
        <v>4137.9310344827591</v>
      </c>
      <c r="P82" s="156">
        <f t="shared" si="7"/>
        <v>291001.72413793101</v>
      </c>
      <c r="Q82" s="156">
        <f>+VLOOKUP($A82,Opex!$C:$Z,R$1,1)</f>
        <v>11001.724137931034</v>
      </c>
      <c r="R82" s="157">
        <f>+SUM(Opex_VE[[#This Row],[Cajero]:[Domiciliario]])</f>
        <v>140000</v>
      </c>
      <c r="S82" s="156">
        <v>70000</v>
      </c>
      <c r="T82" s="156">
        <v>70000</v>
      </c>
      <c r="U82" s="156">
        <v>0</v>
      </c>
      <c r="V82"/>
    </row>
    <row r="83" spans="1:22" x14ac:dyDescent="0.2">
      <c r="A83" s="153">
        <v>46146</v>
      </c>
      <c r="B83" s="3">
        <f t="shared" si="5"/>
        <v>11</v>
      </c>
      <c r="C83" s="3" t="str">
        <f>+TEXT(Opex_VE[[#This Row],[Fecha]],"ddd")</f>
        <v>lun</v>
      </c>
      <c r="E83" s="14" t="s">
        <v>112</v>
      </c>
      <c r="F83" s="172">
        <f>IFERROR(VLOOKUP(Opex_VE[[#This Row],[Fecha]],Historia!A:B,2,0),_xlfn.XLOOKUP(Opex_VE[[#This Row],[dia]],Forecast!H:H,Forecast!I:I))</f>
        <v>179200</v>
      </c>
      <c r="G83" s="172">
        <f>IFERROR(VLOOKUP(Opex_VE[[#This Row],[Fecha]],Historia!A:C,3,0),_xlfn.XLOOKUP(Opex_VE[[#This Row],[dia]],Forecast!H:H,Forecast!J:J))</f>
        <v>71680</v>
      </c>
      <c r="H83" s="186">
        <f ca="1">+Opex_VE[[#This Row],[MG]]-Opex_VE[[#This Row],[Opex]]</f>
        <v>-152505.13793103449</v>
      </c>
      <c r="I83" s="172" t="str">
        <f>IFERROR(VLOOKUP(Opex_VE[[#This Row],[Fecha]],Historia!A:D,4,0),"Forecast")</f>
        <v>Forecast</v>
      </c>
      <c r="J83" s="161">
        <f t="shared" ca="1" si="8"/>
        <v>560462.8448275862</v>
      </c>
      <c r="K83" s="157">
        <f ca="1">+Opex_VE[[#This Row],[MG]]-Opex_VE[[#This Row],[Opex]]</f>
        <v>0</v>
      </c>
      <c r="L83" s="156">
        <f>+VLOOKUP($A83,Opex!$C:$Z,N$1,1)</f>
        <v>56896.551724137928</v>
      </c>
      <c r="M83" s="157">
        <f ca="1">+Opex_VE[[#This Row],[Opex]]</f>
        <v>0</v>
      </c>
      <c r="N83" s="156">
        <f t="shared" si="6"/>
        <v>295139.6551724138</v>
      </c>
      <c r="O83" s="156">
        <f>+VLOOKUP($A83,Opex!$C:$Z,Q$1,1)</f>
        <v>4137.9310344827591</v>
      </c>
      <c r="P83" s="156">
        <f t="shared" si="7"/>
        <v>291001.72413793101</v>
      </c>
      <c r="Q83" s="156">
        <f>+VLOOKUP($A83,Opex!$C:$Z,R$1,1)</f>
        <v>11001.724137931034</v>
      </c>
      <c r="R83" s="157">
        <f>+SUM(Opex_VE[[#This Row],[Cajero]:[Domiciliario]])</f>
        <v>140000</v>
      </c>
      <c r="S83" s="156">
        <v>70000</v>
      </c>
      <c r="T83" s="156">
        <v>70000</v>
      </c>
      <c r="U83" s="156">
        <v>0</v>
      </c>
      <c r="V83"/>
    </row>
    <row r="84" spans="1:22" x14ac:dyDescent="0.2">
      <c r="A84" s="153">
        <v>46147</v>
      </c>
      <c r="B84" s="3">
        <f t="shared" si="5"/>
        <v>11</v>
      </c>
      <c r="C84" s="3" t="str">
        <f>+TEXT(Opex_VE[[#This Row],[Fecha]],"ddd")</f>
        <v>mar</v>
      </c>
      <c r="E84" s="14" t="s">
        <v>112</v>
      </c>
      <c r="F84" s="172">
        <f>IFERROR(VLOOKUP(Opex_VE[[#This Row],[Fecha]],Historia!A:B,2,0),_xlfn.XLOOKUP(Opex_VE[[#This Row],[dia]],Forecast!H:H,Forecast!I:I))</f>
        <v>195000</v>
      </c>
      <c r="G84" s="172">
        <f>IFERROR(VLOOKUP(Opex_VE[[#This Row],[Fecha]],Historia!A:C,3,0),_xlfn.XLOOKUP(Opex_VE[[#This Row],[dia]],Forecast!H:H,Forecast!J:J))</f>
        <v>78000</v>
      </c>
      <c r="H84" s="186">
        <f ca="1">+Opex_VE[[#This Row],[MG]]-Opex_VE[[#This Row],[Opex]]</f>
        <v>-146185.13793103449</v>
      </c>
      <c r="I84" s="172" t="str">
        <f>IFERROR(VLOOKUP(Opex_VE[[#This Row],[Fecha]],Historia!A:D,4,0),"Forecast")</f>
        <v>Forecast</v>
      </c>
      <c r="J84" s="161">
        <f t="shared" ca="1" si="8"/>
        <v>560462.8448275862</v>
      </c>
      <c r="K84" s="157">
        <f ca="1">+Opex_VE[[#This Row],[MG]]-Opex_VE[[#This Row],[Opex]]</f>
        <v>0</v>
      </c>
      <c r="L84" s="156">
        <f>+VLOOKUP($A84,Opex!$C:$Z,N$1,1)</f>
        <v>56896.551724137928</v>
      </c>
      <c r="M84" s="157">
        <f ca="1">+Opex_VE[[#This Row],[Opex]]</f>
        <v>0</v>
      </c>
      <c r="N84" s="156">
        <f t="shared" si="6"/>
        <v>295139.6551724138</v>
      </c>
      <c r="O84" s="156">
        <f>+VLOOKUP($A84,Opex!$C:$Z,Q$1,1)</f>
        <v>4137.9310344827591</v>
      </c>
      <c r="P84" s="156">
        <f t="shared" si="7"/>
        <v>291001.72413793101</v>
      </c>
      <c r="Q84" s="156">
        <f>+VLOOKUP($A84,Opex!$C:$Z,R$1,1)</f>
        <v>11001.724137931034</v>
      </c>
      <c r="R84" s="157">
        <f>+SUM(Opex_VE[[#This Row],[Cajero]:[Domiciliario]])</f>
        <v>140000</v>
      </c>
      <c r="S84" s="156">
        <v>70000</v>
      </c>
      <c r="T84" s="156">
        <v>70000</v>
      </c>
      <c r="U84" s="156">
        <v>0</v>
      </c>
      <c r="V84"/>
    </row>
    <row r="85" spans="1:22" x14ac:dyDescent="0.2">
      <c r="A85" s="153">
        <v>46148</v>
      </c>
      <c r="B85" s="3">
        <f t="shared" ref="B85:B148" si="9">+B78+1</f>
        <v>11</v>
      </c>
      <c r="C85" s="3" t="str">
        <f>+TEXT(Opex_VE[[#This Row],[Fecha]],"ddd")</f>
        <v>mié</v>
      </c>
      <c r="E85" s="14" t="s">
        <v>112</v>
      </c>
      <c r="F85" s="172">
        <f>IFERROR(VLOOKUP(Opex_VE[[#This Row],[Fecha]],Historia!A:B,2,0),_xlfn.XLOOKUP(Opex_VE[[#This Row],[dia]],Forecast!H:H,Forecast!I:I))</f>
        <v>366750</v>
      </c>
      <c r="G85" s="172">
        <f>IFERROR(VLOOKUP(Opex_VE[[#This Row],[Fecha]],Historia!A:C,3,0),_xlfn.XLOOKUP(Opex_VE[[#This Row],[dia]],Forecast!H:H,Forecast!J:J))</f>
        <v>146700</v>
      </c>
      <c r="H85" s="186">
        <f ca="1">+Opex_VE[[#This Row],[MG]]-Opex_VE[[#This Row],[Opex]]</f>
        <v>-77485.137931034493</v>
      </c>
      <c r="I85" s="172" t="str">
        <f>IFERROR(VLOOKUP(Opex_VE[[#This Row],[Fecha]],Historia!A:D,4,0),"Forecast")</f>
        <v>Forecast</v>
      </c>
      <c r="J85" s="161">
        <f t="shared" ca="1" si="8"/>
        <v>560462.8448275862</v>
      </c>
      <c r="K85" s="157">
        <f ca="1">+Opex_VE[[#This Row],[MG]]-Opex_VE[[#This Row],[Opex]]</f>
        <v>0</v>
      </c>
      <c r="L85" s="156">
        <f>+VLOOKUP($A85,Opex!$C:$Z,N$1,1)</f>
        <v>56896.551724137928</v>
      </c>
      <c r="M85" s="157">
        <f ca="1">+Opex_VE[[#This Row],[Opex]]</f>
        <v>0</v>
      </c>
      <c r="N85" s="156">
        <f t="shared" si="6"/>
        <v>295139.6551724138</v>
      </c>
      <c r="O85" s="156">
        <f>+VLOOKUP($A85,Opex!$C:$Z,Q$1,1)</f>
        <v>4137.9310344827591</v>
      </c>
      <c r="P85" s="156">
        <f t="shared" si="7"/>
        <v>291001.72413793101</v>
      </c>
      <c r="Q85" s="156">
        <f>+VLOOKUP($A85,Opex!$C:$Z,R$1,1)</f>
        <v>11001.724137931034</v>
      </c>
      <c r="R85" s="157">
        <f>+SUM(Opex_VE[[#This Row],[Cajero]:[Domiciliario]])</f>
        <v>140000</v>
      </c>
      <c r="S85" s="156">
        <v>70000</v>
      </c>
      <c r="T85" s="156">
        <v>70000</v>
      </c>
      <c r="U85" s="156">
        <v>0</v>
      </c>
      <c r="V85"/>
    </row>
    <row r="86" spans="1:22" x14ac:dyDescent="0.2">
      <c r="A86" s="153">
        <v>46149</v>
      </c>
      <c r="B86" s="3">
        <f t="shared" si="9"/>
        <v>11</v>
      </c>
      <c r="C86" s="3" t="str">
        <f>+TEXT(Opex_VE[[#This Row],[Fecha]],"ddd")</f>
        <v>jue</v>
      </c>
      <c r="E86" s="14" t="s">
        <v>112</v>
      </c>
      <c r="F86" s="172">
        <f>IFERROR(VLOOKUP(Opex_VE[[#This Row],[Fecha]],Historia!A:B,2,0),_xlfn.XLOOKUP(Opex_VE[[#This Row],[dia]],Forecast!H:H,Forecast!I:I))</f>
        <v>234000</v>
      </c>
      <c r="G86" s="172">
        <f>IFERROR(VLOOKUP(Opex_VE[[#This Row],[Fecha]],Historia!A:C,3,0),_xlfn.XLOOKUP(Opex_VE[[#This Row],[dia]],Forecast!H:H,Forecast!J:J))</f>
        <v>93600</v>
      </c>
      <c r="H86" s="186">
        <f ca="1">+Opex_VE[[#This Row],[MG]]-Opex_VE[[#This Row],[Opex]]</f>
        <v>-130585.13793103449</v>
      </c>
      <c r="I86" s="172" t="str">
        <f>IFERROR(VLOOKUP(Opex_VE[[#This Row],[Fecha]],Historia!A:D,4,0),"Forecast")</f>
        <v>Forecast</v>
      </c>
      <c r="J86" s="161">
        <f t="shared" ca="1" si="8"/>
        <v>560462.8448275862</v>
      </c>
      <c r="K86" s="157">
        <f ca="1">+Opex_VE[[#This Row],[MG]]-Opex_VE[[#This Row],[Opex]]</f>
        <v>0</v>
      </c>
      <c r="L86" s="156">
        <f>+VLOOKUP($A86,Opex!$C:$Z,N$1,1)</f>
        <v>56896.551724137928</v>
      </c>
      <c r="M86" s="157">
        <f ca="1">+Opex_VE[[#This Row],[Opex]]</f>
        <v>0</v>
      </c>
      <c r="N86" s="156">
        <f t="shared" si="6"/>
        <v>295139.6551724138</v>
      </c>
      <c r="O86" s="156">
        <f>+VLOOKUP($A86,Opex!$C:$Z,Q$1,1)</f>
        <v>4137.9310344827591</v>
      </c>
      <c r="P86" s="156">
        <f t="shared" si="7"/>
        <v>291001.72413793101</v>
      </c>
      <c r="Q86" s="156">
        <f>+VLOOKUP($A86,Opex!$C:$Z,R$1,1)</f>
        <v>11001.724137931034</v>
      </c>
      <c r="R86" s="157">
        <f>+SUM(Opex_VE[[#This Row],[Cajero]:[Domiciliario]])</f>
        <v>140000</v>
      </c>
      <c r="S86" s="156">
        <v>70000</v>
      </c>
      <c r="T86" s="156">
        <v>70000</v>
      </c>
      <c r="U86" s="156">
        <v>0</v>
      </c>
      <c r="V86"/>
    </row>
    <row r="87" spans="1:22" x14ac:dyDescent="0.2">
      <c r="A87" s="153">
        <v>46150</v>
      </c>
      <c r="B87" s="3">
        <f t="shared" si="9"/>
        <v>11</v>
      </c>
      <c r="C87" s="3" t="str">
        <f>+TEXT(Opex_VE[[#This Row],[Fecha]],"ddd")</f>
        <v>vie</v>
      </c>
      <c r="E87" s="14" t="s">
        <v>217</v>
      </c>
      <c r="F87" s="172">
        <f>IFERROR(VLOOKUP(Opex_VE[[#This Row],[Fecha]],Historia!A:B,2,0),_xlfn.XLOOKUP(Opex_VE[[#This Row],[dia]],Forecast!H:H,Forecast!I:I))</f>
        <v>248000</v>
      </c>
      <c r="G87" s="172">
        <f>IFERROR(VLOOKUP(Opex_VE[[#This Row],[Fecha]],Historia!A:C,3,0),_xlfn.XLOOKUP(Opex_VE[[#This Row],[dia]],Forecast!H:H,Forecast!J:J))</f>
        <v>99200</v>
      </c>
      <c r="H87" s="186">
        <f ca="1">+Opex_VE[[#This Row],[MG]]-Opex_VE[[#This Row],[Opex]]</f>
        <v>-124985.13793103449</v>
      </c>
      <c r="I87" s="172" t="str">
        <f>IFERROR(VLOOKUP(Opex_VE[[#This Row],[Fecha]],Historia!A:D,4,0),"Forecast")</f>
        <v>Forecast</v>
      </c>
      <c r="J87" s="161">
        <f t="shared" ca="1" si="8"/>
        <v>560462.8448275862</v>
      </c>
      <c r="K87" s="157">
        <f ca="1">+Opex_VE[[#This Row],[MG]]-Opex_VE[[#This Row],[Opex]]</f>
        <v>0</v>
      </c>
      <c r="L87" s="156">
        <f>+VLOOKUP($A87,Opex!$C:$Z,N$1,1)</f>
        <v>56896.551724137928</v>
      </c>
      <c r="M87" s="157">
        <f ca="1">+Opex_VE[[#This Row],[Opex]]</f>
        <v>0</v>
      </c>
      <c r="N87" s="156">
        <f t="shared" si="6"/>
        <v>295139.6551724138</v>
      </c>
      <c r="O87" s="156">
        <f>+VLOOKUP($A87,Opex!$C:$Z,Q$1,1)</f>
        <v>4137.9310344827591</v>
      </c>
      <c r="P87" s="156">
        <f t="shared" si="7"/>
        <v>291001.72413793101</v>
      </c>
      <c r="Q87" s="156">
        <f>+VLOOKUP($A87,Opex!$C:$Z,R$1,1)</f>
        <v>11001.724137931034</v>
      </c>
      <c r="R87" s="157">
        <f>+SUM(Opex_VE[[#This Row],[Cajero]:[Domiciliario]])</f>
        <v>140000</v>
      </c>
      <c r="S87" s="156">
        <v>70000</v>
      </c>
      <c r="T87" s="156">
        <v>70000</v>
      </c>
      <c r="U87" s="156">
        <v>0</v>
      </c>
      <c r="V87"/>
    </row>
    <row r="88" spans="1:22" x14ac:dyDescent="0.2">
      <c r="A88" s="153">
        <v>46151</v>
      </c>
      <c r="B88" s="3">
        <f t="shared" si="9"/>
        <v>11</v>
      </c>
      <c r="C88" s="3" t="str">
        <f>+TEXT(Opex_VE[[#This Row],[Fecha]],"ddd")</f>
        <v>sáb</v>
      </c>
      <c r="E88" s="14" t="s">
        <v>113</v>
      </c>
      <c r="F88" s="172">
        <f>IFERROR(VLOOKUP(Opex_VE[[#This Row],[Fecha]],Historia!A:B,2,0),_xlfn.XLOOKUP(Opex_VE[[#This Row],[dia]],Forecast!H:H,Forecast!I:I))</f>
        <v>320800</v>
      </c>
      <c r="G88" s="172">
        <f>IFERROR(VLOOKUP(Opex_VE[[#This Row],[Fecha]],Historia!A:C,3,0),_xlfn.XLOOKUP(Opex_VE[[#This Row],[dia]],Forecast!H:H,Forecast!J:J))</f>
        <v>128320</v>
      </c>
      <c r="H88" s="186">
        <f ca="1">+Opex_VE[[#This Row],[MG]]-Opex_VE[[#This Row],[Opex]]</f>
        <v>-95865.137931034493</v>
      </c>
      <c r="I88" s="173" t="str">
        <f>IFERROR(VLOOKUP(Opex_VE[[#This Row],[Fecha]],Historia!A:D,4,0),"Forecast")</f>
        <v>Forecast</v>
      </c>
      <c r="J88" s="161">
        <f t="shared" ca="1" si="8"/>
        <v>560462.8448275862</v>
      </c>
      <c r="K88" s="157">
        <f ca="1">+Opex_VE[[#This Row],[MG]]-Opex_VE[[#This Row],[Opex]]</f>
        <v>0</v>
      </c>
      <c r="L88" s="156">
        <f>+VLOOKUP($A88,Opex!$C:$Z,N$1,1)</f>
        <v>56896.551724137928</v>
      </c>
      <c r="M88" s="157">
        <f ca="1">+Opex_VE[[#This Row],[Opex]]</f>
        <v>0</v>
      </c>
      <c r="N88" s="156">
        <f t="shared" si="6"/>
        <v>295139.6551724138</v>
      </c>
      <c r="O88" s="156">
        <f>+VLOOKUP($A88,Opex!$C:$Z,Q$1,1)</f>
        <v>4137.9310344827591</v>
      </c>
      <c r="P88" s="156">
        <f t="shared" si="7"/>
        <v>291001.72413793101</v>
      </c>
      <c r="Q88" s="156">
        <f>+VLOOKUP($A88,Opex!$C:$Z,R$1,1)</f>
        <v>11001.724137931034</v>
      </c>
      <c r="R88" s="157">
        <f>+SUM(Opex_VE[[#This Row],[Cajero]:[Domiciliario]])</f>
        <v>140000</v>
      </c>
      <c r="S88" s="156">
        <v>70000</v>
      </c>
      <c r="T88" s="156">
        <v>70000</v>
      </c>
      <c r="U88" s="156">
        <v>0</v>
      </c>
      <c r="V88"/>
    </row>
    <row r="89" spans="1:22" x14ac:dyDescent="0.2">
      <c r="A89" s="153">
        <v>46152</v>
      </c>
      <c r="B89" s="3">
        <f t="shared" si="9"/>
        <v>11</v>
      </c>
      <c r="C89" s="3" t="str">
        <f>+TEXT(Opex_VE[[#This Row],[Fecha]],"ddd")</f>
        <v>dom</v>
      </c>
      <c r="E89" s="14" t="s">
        <v>145</v>
      </c>
      <c r="F89" s="172">
        <f>IFERROR(VLOOKUP(Opex_VE[[#This Row],[Fecha]],Historia!A:B,2,0),_xlfn.XLOOKUP(Opex_VE[[#This Row],[dia]],Forecast!H:H,Forecast!I:I))</f>
        <v>218500</v>
      </c>
      <c r="G89" s="172">
        <f>IFERROR(VLOOKUP(Opex_VE[[#This Row],[Fecha]],Historia!A:C,3,0),_xlfn.XLOOKUP(Opex_VE[[#This Row],[dia]],Forecast!H:H,Forecast!J:J))</f>
        <v>87400</v>
      </c>
      <c r="H89" s="186">
        <f ca="1">+Opex_VE[[#This Row],[MG]]-Opex_VE[[#This Row],[Opex]]</f>
        <v>-136785.13793103449</v>
      </c>
      <c r="I89" s="172" t="str">
        <f>IFERROR(VLOOKUP(Opex_VE[[#This Row],[Fecha]],Historia!A:D,4,0),"Forecast")</f>
        <v>Forecast</v>
      </c>
      <c r="J89" s="161">
        <f t="shared" ca="1" si="8"/>
        <v>560462.8448275862</v>
      </c>
      <c r="K89" s="157">
        <f ca="1">+Opex_VE[[#This Row],[MG]]-Opex_VE[[#This Row],[Opex]]</f>
        <v>0</v>
      </c>
      <c r="L89" s="156">
        <f>+VLOOKUP($A89,Opex!$C:$Z,N$1,1)</f>
        <v>56896.551724137928</v>
      </c>
      <c r="M89" s="157">
        <f ca="1">+Opex_VE[[#This Row],[Opex]]</f>
        <v>0</v>
      </c>
      <c r="N89" s="156">
        <f t="shared" si="6"/>
        <v>295139.6551724138</v>
      </c>
      <c r="O89" s="156">
        <f>+VLOOKUP($A89,Opex!$C:$Z,Q$1,1)</f>
        <v>4137.9310344827591</v>
      </c>
      <c r="P89" s="156">
        <f t="shared" si="7"/>
        <v>291001.72413793101</v>
      </c>
      <c r="Q89" s="156">
        <f>+VLOOKUP($A89,Opex!$C:$Z,R$1,1)</f>
        <v>11001.724137931034</v>
      </c>
      <c r="R89" s="157">
        <f>+SUM(Opex_VE[[#This Row],[Cajero]:[Domiciliario]])</f>
        <v>140000</v>
      </c>
      <c r="S89" s="156">
        <v>70000</v>
      </c>
      <c r="T89" s="156">
        <v>70000</v>
      </c>
      <c r="U89" s="156">
        <v>0</v>
      </c>
      <c r="V89"/>
    </row>
    <row r="90" spans="1:22" x14ac:dyDescent="0.2">
      <c r="A90" s="153">
        <v>46153</v>
      </c>
      <c r="B90" s="3">
        <f t="shared" si="9"/>
        <v>12</v>
      </c>
      <c r="C90" s="3" t="str">
        <f>+TEXT(Opex_VE[[#This Row],[Fecha]],"ddd")</f>
        <v>lun</v>
      </c>
      <c r="E90" s="14" t="s">
        <v>112</v>
      </c>
      <c r="F90" s="172">
        <f>IFERROR(VLOOKUP(Opex_VE[[#This Row],[Fecha]],Historia!A:B,2,0),_xlfn.XLOOKUP(Opex_VE[[#This Row],[dia]],Forecast!H:H,Forecast!I:I))</f>
        <v>179200</v>
      </c>
      <c r="G90" s="172">
        <f>IFERROR(VLOOKUP(Opex_VE[[#This Row],[Fecha]],Historia!A:C,3,0),_xlfn.XLOOKUP(Opex_VE[[#This Row],[dia]],Forecast!H:H,Forecast!J:J))</f>
        <v>71680</v>
      </c>
      <c r="H90" s="186">
        <f ca="1">+Opex_VE[[#This Row],[MG]]-Opex_VE[[#This Row],[Opex]]</f>
        <v>-152505.13793103449</v>
      </c>
      <c r="I90" s="172" t="str">
        <f>IFERROR(VLOOKUP(Opex_VE[[#This Row],[Fecha]],Historia!A:D,4,0),"Forecast")</f>
        <v>Forecast</v>
      </c>
      <c r="J90" s="161">
        <f t="shared" ca="1" si="8"/>
        <v>560462.8448275862</v>
      </c>
      <c r="K90" s="157">
        <f ca="1">+Opex_VE[[#This Row],[MG]]-Opex_VE[[#This Row],[Opex]]</f>
        <v>0</v>
      </c>
      <c r="L90" s="156">
        <f>+VLOOKUP($A90,Opex!$C:$Z,N$1,1)</f>
        <v>56896.551724137928</v>
      </c>
      <c r="M90" s="157">
        <f ca="1">+Opex_VE[[#This Row],[Opex]]</f>
        <v>0</v>
      </c>
      <c r="N90" s="156">
        <f t="shared" si="6"/>
        <v>295139.6551724138</v>
      </c>
      <c r="O90" s="156">
        <f>+VLOOKUP($A90,Opex!$C:$Z,Q$1,1)</f>
        <v>4137.9310344827591</v>
      </c>
      <c r="P90" s="156">
        <f t="shared" si="7"/>
        <v>291001.72413793101</v>
      </c>
      <c r="Q90" s="156">
        <f>+VLOOKUP($A90,Opex!$C:$Z,R$1,1)</f>
        <v>11001.724137931034</v>
      </c>
      <c r="R90" s="157">
        <f>+SUM(Opex_VE[[#This Row],[Cajero]:[Domiciliario]])</f>
        <v>140000</v>
      </c>
      <c r="S90" s="156">
        <v>70000</v>
      </c>
      <c r="T90" s="156">
        <v>70000</v>
      </c>
      <c r="U90" s="156">
        <v>0</v>
      </c>
      <c r="V90"/>
    </row>
    <row r="91" spans="1:22" x14ac:dyDescent="0.2">
      <c r="A91" s="153">
        <v>46154</v>
      </c>
      <c r="B91" s="3">
        <f t="shared" si="9"/>
        <v>12</v>
      </c>
      <c r="C91" s="3" t="str">
        <f>+TEXT(Opex_VE[[#This Row],[Fecha]],"ddd")</f>
        <v>mar</v>
      </c>
      <c r="E91" s="14" t="s">
        <v>112</v>
      </c>
      <c r="F91" s="172">
        <f>IFERROR(VLOOKUP(Opex_VE[[#This Row],[Fecha]],Historia!A:B,2,0),_xlfn.XLOOKUP(Opex_VE[[#This Row],[dia]],Forecast!H:H,Forecast!I:I))</f>
        <v>195000</v>
      </c>
      <c r="G91" s="172">
        <f>IFERROR(VLOOKUP(Opex_VE[[#This Row],[Fecha]],Historia!A:C,3,0),_xlfn.XLOOKUP(Opex_VE[[#This Row],[dia]],Forecast!H:H,Forecast!J:J))</f>
        <v>78000</v>
      </c>
      <c r="H91" s="186">
        <f ca="1">+Opex_VE[[#This Row],[MG]]-Opex_VE[[#This Row],[Opex]]</f>
        <v>-146185.13793103449</v>
      </c>
      <c r="I91" s="172" t="str">
        <f>IFERROR(VLOOKUP(Opex_VE[[#This Row],[Fecha]],Historia!A:D,4,0),"Forecast")</f>
        <v>Forecast</v>
      </c>
      <c r="J91" s="161">
        <f t="shared" ca="1" si="8"/>
        <v>560462.8448275862</v>
      </c>
      <c r="K91" s="157">
        <f ca="1">+Opex_VE[[#This Row],[MG]]-Opex_VE[[#This Row],[Opex]]</f>
        <v>0</v>
      </c>
      <c r="L91" s="156">
        <f>+VLOOKUP($A91,Opex!$C:$Z,N$1,1)</f>
        <v>56896.551724137928</v>
      </c>
      <c r="M91" s="157">
        <f ca="1">+Opex_VE[[#This Row],[Opex]]</f>
        <v>0</v>
      </c>
      <c r="N91" s="156">
        <f t="shared" si="6"/>
        <v>295139.6551724138</v>
      </c>
      <c r="O91" s="156">
        <f>+VLOOKUP($A91,Opex!$C:$Z,Q$1,1)</f>
        <v>4137.9310344827591</v>
      </c>
      <c r="P91" s="156">
        <f t="shared" si="7"/>
        <v>291001.72413793101</v>
      </c>
      <c r="Q91" s="156">
        <f>+VLOOKUP($A91,Opex!$C:$Z,R$1,1)</f>
        <v>11001.724137931034</v>
      </c>
      <c r="R91" s="157">
        <f>+SUM(Opex_VE[[#This Row],[Cajero]:[Domiciliario]])</f>
        <v>140000</v>
      </c>
      <c r="S91" s="156">
        <v>70000</v>
      </c>
      <c r="T91" s="156">
        <v>70000</v>
      </c>
      <c r="U91" s="156">
        <v>0</v>
      </c>
      <c r="V91"/>
    </row>
    <row r="92" spans="1:22" x14ac:dyDescent="0.2">
      <c r="A92" s="153">
        <v>46155</v>
      </c>
      <c r="B92" s="3">
        <f t="shared" si="9"/>
        <v>12</v>
      </c>
      <c r="C92" s="3" t="str">
        <f>+TEXT(Opex_VE[[#This Row],[Fecha]],"ddd")</f>
        <v>mié</v>
      </c>
      <c r="E92" s="14" t="s">
        <v>112</v>
      </c>
      <c r="F92" s="172">
        <f>IFERROR(VLOOKUP(Opex_VE[[#This Row],[Fecha]],Historia!A:B,2,0),_xlfn.XLOOKUP(Opex_VE[[#This Row],[dia]],Forecast!H:H,Forecast!I:I))</f>
        <v>366750</v>
      </c>
      <c r="G92" s="172">
        <f>IFERROR(VLOOKUP(Opex_VE[[#This Row],[Fecha]],Historia!A:C,3,0),_xlfn.XLOOKUP(Opex_VE[[#This Row],[dia]],Forecast!H:H,Forecast!J:J))</f>
        <v>146700</v>
      </c>
      <c r="H92" s="186">
        <f ca="1">+Opex_VE[[#This Row],[MG]]-Opex_VE[[#This Row],[Opex]]</f>
        <v>-77485.137931034493</v>
      </c>
      <c r="I92" s="172" t="str">
        <f>IFERROR(VLOOKUP(Opex_VE[[#This Row],[Fecha]],Historia!A:D,4,0),"Forecast")</f>
        <v>Forecast</v>
      </c>
      <c r="J92" s="161">
        <f t="shared" ca="1" si="8"/>
        <v>560462.8448275862</v>
      </c>
      <c r="K92" s="157">
        <f ca="1">+Opex_VE[[#This Row],[MG]]-Opex_VE[[#This Row],[Opex]]</f>
        <v>0</v>
      </c>
      <c r="L92" s="156">
        <f>+VLOOKUP($A92,Opex!$C:$Z,N$1,1)</f>
        <v>56896.551724137928</v>
      </c>
      <c r="M92" s="157">
        <f ca="1">+Opex_VE[[#This Row],[Opex]]</f>
        <v>0</v>
      </c>
      <c r="N92" s="156">
        <f t="shared" si="6"/>
        <v>295139.6551724138</v>
      </c>
      <c r="O92" s="156">
        <f>+VLOOKUP($A92,Opex!$C:$Z,Q$1,1)</f>
        <v>4137.9310344827591</v>
      </c>
      <c r="P92" s="156">
        <f t="shared" si="7"/>
        <v>291001.72413793101</v>
      </c>
      <c r="Q92" s="156">
        <f>+VLOOKUP($A92,Opex!$C:$Z,R$1,1)</f>
        <v>11001.724137931034</v>
      </c>
      <c r="R92" s="157">
        <f>+SUM(Opex_VE[[#This Row],[Cajero]:[Domiciliario]])</f>
        <v>140000</v>
      </c>
      <c r="S92" s="156">
        <v>70000</v>
      </c>
      <c r="T92" s="156">
        <v>70000</v>
      </c>
      <c r="U92" s="156">
        <v>0</v>
      </c>
      <c r="V92"/>
    </row>
    <row r="93" spans="1:22" x14ac:dyDescent="0.2">
      <c r="A93" s="153">
        <v>46156</v>
      </c>
      <c r="B93" s="3">
        <f t="shared" si="9"/>
        <v>12</v>
      </c>
      <c r="C93" s="3" t="str">
        <f>+TEXT(Opex_VE[[#This Row],[Fecha]],"ddd")</f>
        <v>jue</v>
      </c>
      <c r="E93" s="14" t="s">
        <v>112</v>
      </c>
      <c r="F93" s="172">
        <f>IFERROR(VLOOKUP(Opex_VE[[#This Row],[Fecha]],Historia!A:B,2,0),_xlfn.XLOOKUP(Opex_VE[[#This Row],[dia]],Forecast!H:H,Forecast!I:I))</f>
        <v>234000</v>
      </c>
      <c r="G93" s="172">
        <f>IFERROR(VLOOKUP(Opex_VE[[#This Row],[Fecha]],Historia!A:C,3,0),_xlfn.XLOOKUP(Opex_VE[[#This Row],[dia]],Forecast!H:H,Forecast!J:J))</f>
        <v>93600</v>
      </c>
      <c r="H93" s="186">
        <f ca="1">+Opex_VE[[#This Row],[MG]]-Opex_VE[[#This Row],[Opex]]</f>
        <v>-130585.13793103449</v>
      </c>
      <c r="I93" s="172" t="str">
        <f>IFERROR(VLOOKUP(Opex_VE[[#This Row],[Fecha]],Historia!A:D,4,0),"Forecast")</f>
        <v>Forecast</v>
      </c>
      <c r="J93" s="161">
        <f t="shared" ca="1" si="8"/>
        <v>560462.8448275862</v>
      </c>
      <c r="K93" s="157">
        <f ca="1">+Opex_VE[[#This Row],[MG]]-Opex_VE[[#This Row],[Opex]]</f>
        <v>0</v>
      </c>
      <c r="L93" s="156">
        <f>+VLOOKUP($A93,Opex!$C:$Z,N$1,1)</f>
        <v>56896.551724137928</v>
      </c>
      <c r="M93" s="157">
        <f ca="1">+Opex_VE[[#This Row],[Opex]]</f>
        <v>0</v>
      </c>
      <c r="N93" s="156">
        <f t="shared" si="6"/>
        <v>295139.6551724138</v>
      </c>
      <c r="O93" s="156">
        <f>+VLOOKUP($A93,Opex!$C:$Z,Q$1,1)</f>
        <v>4137.9310344827591</v>
      </c>
      <c r="P93" s="156">
        <f t="shared" si="7"/>
        <v>291001.72413793101</v>
      </c>
      <c r="Q93" s="156">
        <f>+VLOOKUP($A93,Opex!$C:$Z,R$1,1)</f>
        <v>11001.724137931034</v>
      </c>
      <c r="R93" s="157">
        <f>+SUM(Opex_VE[[#This Row],[Cajero]:[Domiciliario]])</f>
        <v>140000</v>
      </c>
      <c r="S93" s="156">
        <v>70000</v>
      </c>
      <c r="T93" s="156">
        <v>70000</v>
      </c>
      <c r="U93" s="156">
        <v>0</v>
      </c>
      <c r="V93"/>
    </row>
    <row r="94" spans="1:22" x14ac:dyDescent="0.2">
      <c r="A94" s="153">
        <v>46157</v>
      </c>
      <c r="B94" s="3">
        <f t="shared" si="9"/>
        <v>12</v>
      </c>
      <c r="C94" s="3" t="str">
        <f>+TEXT(Opex_VE[[#This Row],[Fecha]],"ddd")</f>
        <v>vie</v>
      </c>
      <c r="E94" s="14" t="s">
        <v>217</v>
      </c>
      <c r="F94" s="172">
        <f>IFERROR(VLOOKUP(Opex_VE[[#This Row],[Fecha]],Historia!A:B,2,0),_xlfn.XLOOKUP(Opex_VE[[#This Row],[dia]],Forecast!H:H,Forecast!I:I))</f>
        <v>248000</v>
      </c>
      <c r="G94" s="172">
        <f>IFERROR(VLOOKUP(Opex_VE[[#This Row],[Fecha]],Historia!A:C,3,0),_xlfn.XLOOKUP(Opex_VE[[#This Row],[dia]],Forecast!H:H,Forecast!J:J))</f>
        <v>99200</v>
      </c>
      <c r="H94" s="186">
        <f ca="1">+Opex_VE[[#This Row],[MG]]-Opex_VE[[#This Row],[Opex]]</f>
        <v>-122178.96666666667</v>
      </c>
      <c r="I94" s="172" t="str">
        <f>IFERROR(VLOOKUP(Opex_VE[[#This Row],[Fecha]],Historia!A:D,4,0),"Forecast")</f>
        <v>Forecast</v>
      </c>
      <c r="J94" s="161">
        <f t="shared" ca="1" si="8"/>
        <v>553447.41666666663</v>
      </c>
      <c r="K94" s="157">
        <f ca="1">+Opex_VE[[#This Row],[MG]]-Opex_VE[[#This Row],[Opex]]</f>
        <v>0</v>
      </c>
      <c r="L94" s="156">
        <f>+VLOOKUP($A94,Opex!$C:$Z,N$1,1)</f>
        <v>55000</v>
      </c>
      <c r="M94" s="157">
        <f ca="1">+Opex_VE[[#This Row],[Opex]]</f>
        <v>0</v>
      </c>
      <c r="N94" s="156">
        <f t="shared" si="6"/>
        <v>294635</v>
      </c>
      <c r="O94" s="156">
        <f>+VLOOKUP($A94,Opex!$C:$Z,Q$1,1)</f>
        <v>4000</v>
      </c>
      <c r="P94" s="156">
        <f t="shared" si="7"/>
        <v>290635</v>
      </c>
      <c r="Q94" s="156">
        <f>+VLOOKUP($A94,Opex!$C:$Z,R$1,1)</f>
        <v>10635</v>
      </c>
      <c r="R94" s="157">
        <f>+SUM(Opex_VE[[#This Row],[Cajero]:[Domiciliario]])</f>
        <v>140000</v>
      </c>
      <c r="S94" s="156">
        <v>70000</v>
      </c>
      <c r="T94" s="156">
        <v>70000</v>
      </c>
      <c r="U94" s="156">
        <v>0</v>
      </c>
      <c r="V94"/>
    </row>
    <row r="95" spans="1:22" x14ac:dyDescent="0.2">
      <c r="A95" s="153">
        <v>46158</v>
      </c>
      <c r="B95" s="3">
        <f t="shared" si="9"/>
        <v>12</v>
      </c>
      <c r="C95" s="3" t="str">
        <f>+TEXT(Opex_VE[[#This Row],[Fecha]],"ddd")</f>
        <v>sáb</v>
      </c>
      <c r="E95" s="14" t="s">
        <v>113</v>
      </c>
      <c r="F95" s="172">
        <f>IFERROR(VLOOKUP(Opex_VE[[#This Row],[Fecha]],Historia!A:B,2,0),_xlfn.XLOOKUP(Opex_VE[[#This Row],[dia]],Forecast!H:H,Forecast!I:I))</f>
        <v>320800</v>
      </c>
      <c r="G95" s="172">
        <f>IFERROR(VLOOKUP(Opex_VE[[#This Row],[Fecha]],Historia!A:C,3,0),_xlfn.XLOOKUP(Opex_VE[[#This Row],[dia]],Forecast!H:H,Forecast!J:J))</f>
        <v>128320</v>
      </c>
      <c r="H95" s="186">
        <f ca="1">+Opex_VE[[#This Row],[MG]]-Opex_VE[[#This Row],[Opex]]</f>
        <v>-93058.966666666674</v>
      </c>
      <c r="I95" s="173" t="str">
        <f>IFERROR(VLOOKUP(Opex_VE[[#This Row],[Fecha]],Historia!A:D,4,0),"Forecast")</f>
        <v>Forecast</v>
      </c>
      <c r="J95" s="161">
        <f t="shared" ca="1" si="8"/>
        <v>553447.41666666663</v>
      </c>
      <c r="K95" s="157">
        <f ca="1">+Opex_VE[[#This Row],[MG]]-Opex_VE[[#This Row],[Opex]]</f>
        <v>0</v>
      </c>
      <c r="L95" s="156">
        <f>+VLOOKUP($A95,Opex!$C:$Z,N$1,1)</f>
        <v>55000</v>
      </c>
      <c r="M95" s="157">
        <f ca="1">+Opex_VE[[#This Row],[Opex]]</f>
        <v>0</v>
      </c>
      <c r="N95" s="156">
        <f t="shared" si="6"/>
        <v>294635</v>
      </c>
      <c r="O95" s="156">
        <f>+VLOOKUP($A95,Opex!$C:$Z,Q$1,1)</f>
        <v>4000</v>
      </c>
      <c r="P95" s="156">
        <f t="shared" si="7"/>
        <v>290635</v>
      </c>
      <c r="Q95" s="156">
        <f>+VLOOKUP($A95,Opex!$C:$Z,R$1,1)</f>
        <v>10635</v>
      </c>
      <c r="R95" s="157">
        <f>+SUM(Opex_VE[[#This Row],[Cajero]:[Domiciliario]])</f>
        <v>140000</v>
      </c>
      <c r="S95" s="156">
        <v>70000</v>
      </c>
      <c r="T95" s="156">
        <v>70000</v>
      </c>
      <c r="U95" s="156">
        <v>0</v>
      </c>
      <c r="V95"/>
    </row>
    <row r="96" spans="1:22" x14ac:dyDescent="0.2">
      <c r="A96" s="153">
        <v>46159</v>
      </c>
      <c r="B96" s="3">
        <f t="shared" si="9"/>
        <v>12</v>
      </c>
      <c r="C96" s="3" t="str">
        <f>+TEXT(Opex_VE[[#This Row],[Fecha]],"ddd")</f>
        <v>dom</v>
      </c>
      <c r="E96" s="14" t="s">
        <v>145</v>
      </c>
      <c r="F96" s="172">
        <f>IFERROR(VLOOKUP(Opex_VE[[#This Row],[Fecha]],Historia!A:B,2,0),_xlfn.XLOOKUP(Opex_VE[[#This Row],[dia]],Forecast!H:H,Forecast!I:I))</f>
        <v>218500</v>
      </c>
      <c r="G96" s="172">
        <f>IFERROR(VLOOKUP(Opex_VE[[#This Row],[Fecha]],Historia!A:C,3,0),_xlfn.XLOOKUP(Opex_VE[[#This Row],[dia]],Forecast!H:H,Forecast!J:J))</f>
        <v>87400</v>
      </c>
      <c r="H96" s="186">
        <f ca="1">+Opex_VE[[#This Row],[MG]]-Opex_VE[[#This Row],[Opex]]</f>
        <v>-133978.96666666667</v>
      </c>
      <c r="I96" s="172" t="str">
        <f>IFERROR(VLOOKUP(Opex_VE[[#This Row],[Fecha]],Historia!A:D,4,0),"Forecast")</f>
        <v>Forecast</v>
      </c>
      <c r="J96" s="161">
        <f t="shared" ca="1" si="8"/>
        <v>553447.41666666663</v>
      </c>
      <c r="K96" s="157">
        <f ca="1">+Opex_VE[[#This Row],[MG]]-Opex_VE[[#This Row],[Opex]]</f>
        <v>0</v>
      </c>
      <c r="L96" s="156">
        <f>+VLOOKUP($A96,Opex!$C:$Z,N$1,1)</f>
        <v>55000</v>
      </c>
      <c r="M96" s="157">
        <f ca="1">+Opex_VE[[#This Row],[Opex]]</f>
        <v>0</v>
      </c>
      <c r="N96" s="156">
        <f t="shared" si="6"/>
        <v>294635</v>
      </c>
      <c r="O96" s="156">
        <f>+VLOOKUP($A96,Opex!$C:$Z,Q$1,1)</f>
        <v>4000</v>
      </c>
      <c r="P96" s="156">
        <f t="shared" si="7"/>
        <v>290635</v>
      </c>
      <c r="Q96" s="156">
        <f>+VLOOKUP($A96,Opex!$C:$Z,R$1,1)</f>
        <v>10635</v>
      </c>
      <c r="R96" s="157">
        <f>+SUM(Opex_VE[[#This Row],[Cajero]:[Domiciliario]])</f>
        <v>140000</v>
      </c>
      <c r="S96" s="156">
        <v>70000</v>
      </c>
      <c r="T96" s="156">
        <v>70000</v>
      </c>
      <c r="U96" s="156">
        <v>0</v>
      </c>
      <c r="V96"/>
    </row>
    <row r="97" spans="1:22" x14ac:dyDescent="0.2">
      <c r="A97" s="153">
        <v>46160</v>
      </c>
      <c r="B97" s="3">
        <f t="shared" si="9"/>
        <v>13</v>
      </c>
      <c r="C97" s="3" t="str">
        <f>+TEXT(Opex_VE[[#This Row],[Fecha]],"ddd")</f>
        <v>lun</v>
      </c>
      <c r="E97" s="14" t="s">
        <v>218</v>
      </c>
      <c r="F97" s="172">
        <f>IFERROR(VLOOKUP(Opex_VE[[#This Row],[Fecha]],Historia!A:B,2,0),_xlfn.XLOOKUP(Opex_VE[[#This Row],[dia]],Forecast!H:H,Forecast!I:I))</f>
        <v>179200</v>
      </c>
      <c r="G97" s="172">
        <f>IFERROR(VLOOKUP(Opex_VE[[#This Row],[Fecha]],Historia!A:C,3,0),_xlfn.XLOOKUP(Opex_VE[[#This Row],[dia]],Forecast!H:H,Forecast!J:J))</f>
        <v>71680</v>
      </c>
      <c r="H97" s="186">
        <f ca="1">+Opex_VE[[#This Row],[MG]]-Opex_VE[[#This Row],[Opex]]</f>
        <v>-149698.96666666667</v>
      </c>
      <c r="I97" s="172" t="str">
        <f>IFERROR(VLOOKUP(Opex_VE[[#This Row],[Fecha]],Historia!A:D,4,0),"Forecast")</f>
        <v>Forecast</v>
      </c>
      <c r="J97" s="161">
        <f t="shared" ca="1" si="8"/>
        <v>553447.41666666663</v>
      </c>
      <c r="K97" s="157">
        <f ca="1">+Opex_VE[[#This Row],[MG]]-Opex_VE[[#This Row],[Opex]]</f>
        <v>0</v>
      </c>
      <c r="L97" s="156">
        <f>+VLOOKUP($A97,Opex!$C:$Z,N$1,1)</f>
        <v>55000</v>
      </c>
      <c r="M97" s="157">
        <f ca="1">+Opex_VE[[#This Row],[Opex]]</f>
        <v>0</v>
      </c>
      <c r="N97" s="156">
        <f t="shared" si="6"/>
        <v>294635</v>
      </c>
      <c r="O97" s="156">
        <f>+VLOOKUP($A97,Opex!$C:$Z,Q$1,1)</f>
        <v>4000</v>
      </c>
      <c r="P97" s="156">
        <f t="shared" si="7"/>
        <v>290635</v>
      </c>
      <c r="Q97" s="156">
        <f>+VLOOKUP($A97,Opex!$C:$Z,R$1,1)</f>
        <v>10635</v>
      </c>
      <c r="R97" s="157">
        <f>+SUM(Opex_VE[[#This Row],[Cajero]:[Domiciliario]])</f>
        <v>140000</v>
      </c>
      <c r="S97" s="156">
        <v>70000</v>
      </c>
      <c r="T97" s="156">
        <v>70000</v>
      </c>
      <c r="U97" s="156">
        <v>0</v>
      </c>
      <c r="V97"/>
    </row>
    <row r="98" spans="1:22" x14ac:dyDescent="0.2">
      <c r="A98" s="153">
        <v>46161</v>
      </c>
      <c r="B98" s="3">
        <f t="shared" si="9"/>
        <v>13</v>
      </c>
      <c r="C98" s="3" t="str">
        <f>+TEXT(Opex_VE[[#This Row],[Fecha]],"ddd")</f>
        <v>mar</v>
      </c>
      <c r="E98" s="14" t="s">
        <v>112</v>
      </c>
      <c r="F98" s="172">
        <f>IFERROR(VLOOKUP(Opex_VE[[#This Row],[Fecha]],Historia!A:B,2,0),_xlfn.XLOOKUP(Opex_VE[[#This Row],[dia]],Forecast!H:H,Forecast!I:I))</f>
        <v>195000</v>
      </c>
      <c r="G98" s="172">
        <f>IFERROR(VLOOKUP(Opex_VE[[#This Row],[Fecha]],Historia!A:C,3,0),_xlfn.XLOOKUP(Opex_VE[[#This Row],[dia]],Forecast!H:H,Forecast!J:J))</f>
        <v>78000</v>
      </c>
      <c r="H98" s="186">
        <f ca="1">+Opex_VE[[#This Row],[MG]]-Opex_VE[[#This Row],[Opex]]</f>
        <v>-143378.96666666667</v>
      </c>
      <c r="I98" s="172" t="str">
        <f>IFERROR(VLOOKUP(Opex_VE[[#This Row],[Fecha]],Historia!A:D,4,0),"Forecast")</f>
        <v>Forecast</v>
      </c>
      <c r="J98" s="161">
        <f t="shared" ca="1" si="8"/>
        <v>553447.41666666663</v>
      </c>
      <c r="K98" s="157">
        <f ca="1">+Opex_VE[[#This Row],[MG]]-Opex_VE[[#This Row],[Opex]]</f>
        <v>0</v>
      </c>
      <c r="L98" s="156">
        <f>+VLOOKUP($A98,Opex!$C:$Z,N$1,1)</f>
        <v>55000</v>
      </c>
      <c r="M98" s="157">
        <f ca="1">+Opex_VE[[#This Row],[Opex]]</f>
        <v>0</v>
      </c>
      <c r="N98" s="156">
        <f t="shared" si="6"/>
        <v>294635</v>
      </c>
      <c r="O98" s="156">
        <f>+VLOOKUP($A98,Opex!$C:$Z,Q$1,1)</f>
        <v>4000</v>
      </c>
      <c r="P98" s="156">
        <f t="shared" si="7"/>
        <v>290635</v>
      </c>
      <c r="Q98" s="156">
        <f>+VLOOKUP($A98,Opex!$C:$Z,R$1,1)</f>
        <v>10635</v>
      </c>
      <c r="R98" s="157">
        <f>+SUM(Opex_VE[[#This Row],[Cajero]:[Domiciliario]])</f>
        <v>140000</v>
      </c>
      <c r="S98" s="156">
        <v>70000</v>
      </c>
      <c r="T98" s="156">
        <v>70000</v>
      </c>
      <c r="U98" s="156">
        <v>0</v>
      </c>
      <c r="V98"/>
    </row>
    <row r="99" spans="1:22" x14ac:dyDescent="0.2">
      <c r="A99" s="153">
        <v>46162</v>
      </c>
      <c r="B99" s="3">
        <f t="shared" si="9"/>
        <v>13</v>
      </c>
      <c r="C99" s="3" t="str">
        <f>+TEXT(Opex_VE[[#This Row],[Fecha]],"ddd")</f>
        <v>mié</v>
      </c>
      <c r="E99" s="14" t="s">
        <v>112</v>
      </c>
      <c r="F99" s="172">
        <f>IFERROR(VLOOKUP(Opex_VE[[#This Row],[Fecha]],Historia!A:B,2,0),_xlfn.XLOOKUP(Opex_VE[[#This Row],[dia]],Forecast!H:H,Forecast!I:I))</f>
        <v>366750</v>
      </c>
      <c r="G99" s="172">
        <f>IFERROR(VLOOKUP(Opex_VE[[#This Row],[Fecha]],Historia!A:C,3,0),_xlfn.XLOOKUP(Opex_VE[[#This Row],[dia]],Forecast!H:H,Forecast!J:J))</f>
        <v>146700</v>
      </c>
      <c r="H99" s="186">
        <f ca="1">+Opex_VE[[#This Row],[MG]]-Opex_VE[[#This Row],[Opex]]</f>
        <v>-74678.966666666674</v>
      </c>
      <c r="I99" s="172" t="str">
        <f>IFERROR(VLOOKUP(Opex_VE[[#This Row],[Fecha]],Historia!A:D,4,0),"Forecast")</f>
        <v>Forecast</v>
      </c>
      <c r="J99" s="161">
        <f t="shared" ca="1" si="8"/>
        <v>553447.41666666663</v>
      </c>
      <c r="K99" s="157">
        <f ca="1">+Opex_VE[[#This Row],[MG]]-Opex_VE[[#This Row],[Opex]]</f>
        <v>0</v>
      </c>
      <c r="L99" s="156">
        <f>+VLOOKUP($A99,Opex!$C:$Z,N$1,1)</f>
        <v>55000</v>
      </c>
      <c r="M99" s="157">
        <f ca="1">+Opex_VE[[#This Row],[Opex]]</f>
        <v>0</v>
      </c>
      <c r="N99" s="156">
        <f t="shared" si="6"/>
        <v>294635</v>
      </c>
      <c r="O99" s="156">
        <f>+VLOOKUP($A99,Opex!$C:$Z,Q$1,1)</f>
        <v>4000</v>
      </c>
      <c r="P99" s="156">
        <f t="shared" si="7"/>
        <v>290635</v>
      </c>
      <c r="Q99" s="156">
        <f>+VLOOKUP($A99,Opex!$C:$Z,R$1,1)</f>
        <v>10635</v>
      </c>
      <c r="R99" s="157">
        <f>+SUM(Opex_VE[[#This Row],[Cajero]:[Domiciliario]])</f>
        <v>140000</v>
      </c>
      <c r="S99" s="156">
        <v>70000</v>
      </c>
      <c r="T99" s="156">
        <v>70000</v>
      </c>
      <c r="U99" s="156">
        <v>0</v>
      </c>
      <c r="V99"/>
    </row>
    <row r="100" spans="1:22" x14ac:dyDescent="0.2">
      <c r="A100" s="153">
        <v>46163</v>
      </c>
      <c r="B100" s="3">
        <f t="shared" si="9"/>
        <v>13</v>
      </c>
      <c r="C100" s="3" t="str">
        <f>+TEXT(Opex_VE[[#This Row],[Fecha]],"ddd")</f>
        <v>jue</v>
      </c>
      <c r="E100" s="14" t="s">
        <v>112</v>
      </c>
      <c r="F100" s="172">
        <f>IFERROR(VLOOKUP(Opex_VE[[#This Row],[Fecha]],Historia!A:B,2,0),_xlfn.XLOOKUP(Opex_VE[[#This Row],[dia]],Forecast!H:H,Forecast!I:I))</f>
        <v>234000</v>
      </c>
      <c r="G100" s="172">
        <f>IFERROR(VLOOKUP(Opex_VE[[#This Row],[Fecha]],Historia!A:C,3,0),_xlfn.XLOOKUP(Opex_VE[[#This Row],[dia]],Forecast!H:H,Forecast!J:J))</f>
        <v>93600</v>
      </c>
      <c r="H100" s="186">
        <f ca="1">+Opex_VE[[#This Row],[MG]]-Opex_VE[[#This Row],[Opex]]</f>
        <v>-127778.96666666667</v>
      </c>
      <c r="I100" s="172" t="str">
        <f>IFERROR(VLOOKUP(Opex_VE[[#This Row],[Fecha]],Historia!A:D,4,0),"Forecast")</f>
        <v>Forecast</v>
      </c>
      <c r="J100" s="161">
        <f t="shared" ca="1" si="8"/>
        <v>553447.41666666663</v>
      </c>
      <c r="K100" s="157">
        <f ca="1">+Opex_VE[[#This Row],[MG]]-Opex_VE[[#This Row],[Opex]]</f>
        <v>0</v>
      </c>
      <c r="L100" s="156">
        <f>+VLOOKUP($A100,Opex!$C:$Z,N$1,1)</f>
        <v>55000</v>
      </c>
      <c r="M100" s="157">
        <f ca="1">+Opex_VE[[#This Row],[Opex]]</f>
        <v>0</v>
      </c>
      <c r="N100" s="156">
        <f t="shared" si="6"/>
        <v>294635</v>
      </c>
      <c r="O100" s="156">
        <f>+VLOOKUP($A100,Opex!$C:$Z,Q$1,1)</f>
        <v>4000</v>
      </c>
      <c r="P100" s="156">
        <f t="shared" si="7"/>
        <v>290635</v>
      </c>
      <c r="Q100" s="156">
        <f>+VLOOKUP($A100,Opex!$C:$Z,R$1,1)</f>
        <v>10635</v>
      </c>
      <c r="R100" s="157">
        <f>+SUM(Opex_VE[[#This Row],[Cajero]:[Domiciliario]])</f>
        <v>140000</v>
      </c>
      <c r="S100" s="156">
        <v>70000</v>
      </c>
      <c r="T100" s="156">
        <v>70000</v>
      </c>
      <c r="U100" s="156">
        <v>0</v>
      </c>
      <c r="V100"/>
    </row>
    <row r="101" spans="1:22" x14ac:dyDescent="0.2">
      <c r="A101" s="153">
        <v>46164</v>
      </c>
      <c r="B101" s="3">
        <f t="shared" si="9"/>
        <v>13</v>
      </c>
      <c r="C101" s="3" t="str">
        <f>+TEXT(Opex_VE[[#This Row],[Fecha]],"ddd")</f>
        <v>vie</v>
      </c>
      <c r="E101" s="14" t="s">
        <v>217</v>
      </c>
      <c r="F101" s="172">
        <f>IFERROR(VLOOKUP(Opex_VE[[#This Row],[Fecha]],Historia!A:B,2,0),_xlfn.XLOOKUP(Opex_VE[[#This Row],[dia]],Forecast!H:H,Forecast!I:I))</f>
        <v>248000</v>
      </c>
      <c r="G101" s="172">
        <f>IFERROR(VLOOKUP(Opex_VE[[#This Row],[Fecha]],Historia!A:C,3,0),_xlfn.XLOOKUP(Opex_VE[[#This Row],[dia]],Forecast!H:H,Forecast!J:J))</f>
        <v>99200</v>
      </c>
      <c r="H101" s="186">
        <f ca="1">+Opex_VE[[#This Row],[MG]]-Opex_VE[[#This Row],[Opex]]</f>
        <v>-122178.96666666667</v>
      </c>
      <c r="I101" s="172" t="str">
        <f>IFERROR(VLOOKUP(Opex_VE[[#This Row],[Fecha]],Historia!A:D,4,0),"Forecast")</f>
        <v>Forecast</v>
      </c>
      <c r="J101" s="161">
        <f t="shared" ca="1" si="8"/>
        <v>553447.41666666663</v>
      </c>
      <c r="K101" s="157">
        <f ca="1">+Opex_VE[[#This Row],[MG]]-Opex_VE[[#This Row],[Opex]]</f>
        <v>0</v>
      </c>
      <c r="L101" s="156">
        <f>+VLOOKUP($A101,Opex!$C:$Z,N$1,1)</f>
        <v>55000</v>
      </c>
      <c r="M101" s="157">
        <f ca="1">+Opex_VE[[#This Row],[Opex]]</f>
        <v>0</v>
      </c>
      <c r="N101" s="156">
        <f t="shared" si="6"/>
        <v>294635</v>
      </c>
      <c r="O101" s="156">
        <f>+VLOOKUP($A101,Opex!$C:$Z,Q$1,1)</f>
        <v>4000</v>
      </c>
      <c r="P101" s="156">
        <f t="shared" si="7"/>
        <v>290635</v>
      </c>
      <c r="Q101" s="156">
        <f>+VLOOKUP($A101,Opex!$C:$Z,R$1,1)</f>
        <v>10635</v>
      </c>
      <c r="R101" s="157">
        <f>+SUM(Opex_VE[[#This Row],[Cajero]:[Domiciliario]])</f>
        <v>140000</v>
      </c>
      <c r="S101" s="156">
        <v>70000</v>
      </c>
      <c r="T101" s="156">
        <v>70000</v>
      </c>
      <c r="U101" s="156">
        <v>0</v>
      </c>
      <c r="V101"/>
    </row>
    <row r="102" spans="1:22" x14ac:dyDescent="0.2">
      <c r="A102" s="153">
        <v>46165</v>
      </c>
      <c r="B102" s="3">
        <f t="shared" si="9"/>
        <v>13</v>
      </c>
      <c r="C102" s="3" t="str">
        <f>+TEXT(Opex_VE[[#This Row],[Fecha]],"ddd")</f>
        <v>sáb</v>
      </c>
      <c r="E102" s="14" t="s">
        <v>113</v>
      </c>
      <c r="F102" s="172">
        <f>IFERROR(VLOOKUP(Opex_VE[[#This Row],[Fecha]],Historia!A:B,2,0),_xlfn.XLOOKUP(Opex_VE[[#This Row],[dia]],Forecast!H:H,Forecast!I:I))</f>
        <v>320800</v>
      </c>
      <c r="G102" s="172">
        <f>IFERROR(VLOOKUP(Opex_VE[[#This Row],[Fecha]],Historia!A:C,3,0),_xlfn.XLOOKUP(Opex_VE[[#This Row],[dia]],Forecast!H:H,Forecast!J:J))</f>
        <v>128320</v>
      </c>
      <c r="H102" s="186">
        <f ca="1">+Opex_VE[[#This Row],[MG]]-Opex_VE[[#This Row],[Opex]]</f>
        <v>-93058.966666666674</v>
      </c>
      <c r="I102" s="173" t="str">
        <f>IFERROR(VLOOKUP(Opex_VE[[#This Row],[Fecha]],Historia!A:D,4,0),"Forecast")</f>
        <v>Forecast</v>
      </c>
      <c r="J102" s="161">
        <f t="shared" ca="1" si="8"/>
        <v>553447.41666666663</v>
      </c>
      <c r="K102" s="157">
        <f ca="1">+Opex_VE[[#This Row],[MG]]-Opex_VE[[#This Row],[Opex]]</f>
        <v>0</v>
      </c>
      <c r="L102" s="156">
        <f>+VLOOKUP($A102,Opex!$C:$Z,N$1,1)</f>
        <v>55000</v>
      </c>
      <c r="M102" s="157">
        <f ca="1">+Opex_VE[[#This Row],[Opex]]</f>
        <v>0</v>
      </c>
      <c r="N102" s="156">
        <f t="shared" si="6"/>
        <v>294635</v>
      </c>
      <c r="O102" s="156">
        <f>+VLOOKUP($A102,Opex!$C:$Z,Q$1,1)</f>
        <v>4000</v>
      </c>
      <c r="P102" s="156">
        <f t="shared" si="7"/>
        <v>290635</v>
      </c>
      <c r="Q102" s="156">
        <f>+VLOOKUP($A102,Opex!$C:$Z,R$1,1)</f>
        <v>10635</v>
      </c>
      <c r="R102" s="157">
        <f>+SUM(Opex_VE[[#This Row],[Cajero]:[Domiciliario]])</f>
        <v>140000</v>
      </c>
      <c r="S102" s="156">
        <v>70000</v>
      </c>
      <c r="T102" s="156">
        <v>70000</v>
      </c>
      <c r="U102" s="156">
        <v>0</v>
      </c>
      <c r="V102"/>
    </row>
    <row r="103" spans="1:22" x14ac:dyDescent="0.2">
      <c r="A103" s="153">
        <v>46166</v>
      </c>
      <c r="B103" s="3">
        <f t="shared" si="9"/>
        <v>13</v>
      </c>
      <c r="C103" s="3" t="str">
        <f>+TEXT(Opex_VE[[#This Row],[Fecha]],"ddd")</f>
        <v>dom</v>
      </c>
      <c r="E103" s="14" t="s">
        <v>145</v>
      </c>
      <c r="F103" s="172">
        <f>IFERROR(VLOOKUP(Opex_VE[[#This Row],[Fecha]],Historia!A:B,2,0),_xlfn.XLOOKUP(Opex_VE[[#This Row],[dia]],Forecast!H:H,Forecast!I:I))</f>
        <v>218500</v>
      </c>
      <c r="G103" s="172">
        <f>IFERROR(VLOOKUP(Opex_VE[[#This Row],[Fecha]],Historia!A:C,3,0),_xlfn.XLOOKUP(Opex_VE[[#This Row],[dia]],Forecast!H:H,Forecast!J:J))</f>
        <v>87400</v>
      </c>
      <c r="H103" s="186">
        <f ca="1">+Opex_VE[[#This Row],[MG]]-Opex_VE[[#This Row],[Opex]]</f>
        <v>-133978.96666666667</v>
      </c>
      <c r="I103" s="172" t="str">
        <f>IFERROR(VLOOKUP(Opex_VE[[#This Row],[Fecha]],Historia!A:D,4,0),"Forecast")</f>
        <v>Forecast</v>
      </c>
      <c r="J103" s="161">
        <f t="shared" ca="1" si="8"/>
        <v>553447.41666666663</v>
      </c>
      <c r="K103" s="157">
        <f ca="1">+Opex_VE[[#This Row],[MG]]-Opex_VE[[#This Row],[Opex]]</f>
        <v>0</v>
      </c>
      <c r="L103" s="156">
        <f>+VLOOKUP($A103,Opex!$C:$Z,N$1,1)</f>
        <v>55000</v>
      </c>
      <c r="M103" s="157">
        <f ca="1">+Opex_VE[[#This Row],[Opex]]</f>
        <v>0</v>
      </c>
      <c r="N103" s="156">
        <f t="shared" si="6"/>
        <v>294635</v>
      </c>
      <c r="O103" s="156">
        <f>+VLOOKUP($A103,Opex!$C:$Z,Q$1,1)</f>
        <v>4000</v>
      </c>
      <c r="P103" s="156">
        <f t="shared" si="7"/>
        <v>290635</v>
      </c>
      <c r="Q103" s="156">
        <f>+VLOOKUP($A103,Opex!$C:$Z,R$1,1)</f>
        <v>10635</v>
      </c>
      <c r="R103" s="157">
        <f>+SUM(Opex_VE[[#This Row],[Cajero]:[Domiciliario]])</f>
        <v>140000</v>
      </c>
      <c r="S103" s="156">
        <v>70000</v>
      </c>
      <c r="T103" s="156">
        <v>70000</v>
      </c>
      <c r="U103" s="156">
        <v>0</v>
      </c>
      <c r="V103"/>
    </row>
    <row r="104" spans="1:22" x14ac:dyDescent="0.2">
      <c r="A104" s="153">
        <v>46167</v>
      </c>
      <c r="B104" s="3">
        <f t="shared" si="9"/>
        <v>14</v>
      </c>
      <c r="C104" s="3" t="str">
        <f>+TEXT(Opex_VE[[#This Row],[Fecha]],"ddd")</f>
        <v>lun</v>
      </c>
      <c r="E104" s="14" t="s">
        <v>112</v>
      </c>
      <c r="F104" s="172">
        <f>IFERROR(VLOOKUP(Opex_VE[[#This Row],[Fecha]],Historia!A:B,2,0),_xlfn.XLOOKUP(Opex_VE[[#This Row],[dia]],Forecast!H:H,Forecast!I:I))</f>
        <v>179200</v>
      </c>
      <c r="G104" s="172">
        <f>IFERROR(VLOOKUP(Opex_VE[[#This Row],[Fecha]],Historia!A:C,3,0),_xlfn.XLOOKUP(Opex_VE[[#This Row],[dia]],Forecast!H:H,Forecast!J:J))</f>
        <v>71680</v>
      </c>
      <c r="H104" s="186">
        <f ca="1">+Opex_VE[[#This Row],[MG]]-Opex_VE[[#This Row],[Opex]]</f>
        <v>-149698.96666666667</v>
      </c>
      <c r="I104" s="172" t="str">
        <f>IFERROR(VLOOKUP(Opex_VE[[#This Row],[Fecha]],Historia!A:D,4,0),"Forecast")</f>
        <v>Forecast</v>
      </c>
      <c r="J104" s="161">
        <f t="shared" ca="1" si="8"/>
        <v>553447.41666666663</v>
      </c>
      <c r="K104" s="157">
        <f ca="1">+Opex_VE[[#This Row],[MG]]-Opex_VE[[#This Row],[Opex]]</f>
        <v>0</v>
      </c>
      <c r="L104" s="156">
        <f>+VLOOKUP($A104,Opex!$C:$Z,N$1,1)</f>
        <v>55000</v>
      </c>
      <c r="M104" s="157">
        <f ca="1">+Opex_VE[[#This Row],[Opex]]</f>
        <v>0</v>
      </c>
      <c r="N104" s="156">
        <f t="shared" si="6"/>
        <v>294635</v>
      </c>
      <c r="O104" s="156">
        <f>+VLOOKUP($A104,Opex!$C:$Z,Q$1,1)</f>
        <v>4000</v>
      </c>
      <c r="P104" s="156">
        <f t="shared" si="7"/>
        <v>290635</v>
      </c>
      <c r="Q104" s="156">
        <f>+VLOOKUP($A104,Opex!$C:$Z,R$1,1)</f>
        <v>10635</v>
      </c>
      <c r="R104" s="157">
        <f>+SUM(Opex_VE[[#This Row],[Cajero]:[Domiciliario]])</f>
        <v>140000</v>
      </c>
      <c r="S104" s="156">
        <v>70000</v>
      </c>
      <c r="T104" s="156">
        <v>70000</v>
      </c>
      <c r="U104" s="156">
        <v>0</v>
      </c>
      <c r="V104"/>
    </row>
    <row r="105" spans="1:22" x14ac:dyDescent="0.2">
      <c r="A105" s="153">
        <v>46168</v>
      </c>
      <c r="B105" s="3">
        <f t="shared" si="9"/>
        <v>14</v>
      </c>
      <c r="C105" s="3" t="str">
        <f>+TEXT(Opex_VE[[#This Row],[Fecha]],"ddd")</f>
        <v>mar</v>
      </c>
      <c r="E105" s="14" t="s">
        <v>112</v>
      </c>
      <c r="F105" s="172">
        <f>IFERROR(VLOOKUP(Opex_VE[[#This Row],[Fecha]],Historia!A:B,2,0),_xlfn.XLOOKUP(Opex_VE[[#This Row],[dia]],Forecast!H:H,Forecast!I:I))</f>
        <v>195000</v>
      </c>
      <c r="G105" s="172">
        <f>IFERROR(VLOOKUP(Opex_VE[[#This Row],[Fecha]],Historia!A:C,3,0),_xlfn.XLOOKUP(Opex_VE[[#This Row],[dia]],Forecast!H:H,Forecast!J:J))</f>
        <v>78000</v>
      </c>
      <c r="H105" s="186">
        <f ca="1">+Opex_VE[[#This Row],[MG]]-Opex_VE[[#This Row],[Opex]]</f>
        <v>-143378.96666666667</v>
      </c>
      <c r="I105" s="172" t="str">
        <f>IFERROR(VLOOKUP(Opex_VE[[#This Row],[Fecha]],Historia!A:D,4,0),"Forecast")</f>
        <v>Forecast</v>
      </c>
      <c r="J105" s="161">
        <f t="shared" ca="1" si="8"/>
        <v>553447.41666666663</v>
      </c>
      <c r="K105" s="157">
        <f ca="1">+Opex_VE[[#This Row],[MG]]-Opex_VE[[#This Row],[Opex]]</f>
        <v>0</v>
      </c>
      <c r="L105" s="156">
        <f>+VLOOKUP($A105,Opex!$C:$Z,N$1,1)</f>
        <v>55000</v>
      </c>
      <c r="M105" s="157">
        <f ca="1">+Opex_VE[[#This Row],[Opex]]</f>
        <v>0</v>
      </c>
      <c r="N105" s="156">
        <f t="shared" si="6"/>
        <v>294635</v>
      </c>
      <c r="O105" s="156">
        <f>+VLOOKUP($A105,Opex!$C:$Z,Q$1,1)</f>
        <v>4000</v>
      </c>
      <c r="P105" s="156">
        <f t="shared" si="7"/>
        <v>290635</v>
      </c>
      <c r="Q105" s="156">
        <f>+VLOOKUP($A105,Opex!$C:$Z,R$1,1)</f>
        <v>10635</v>
      </c>
      <c r="R105" s="157">
        <f>+SUM(Opex_VE[[#This Row],[Cajero]:[Domiciliario]])</f>
        <v>140000</v>
      </c>
      <c r="S105" s="156">
        <v>70000</v>
      </c>
      <c r="T105" s="156">
        <v>70000</v>
      </c>
      <c r="U105" s="156">
        <v>0</v>
      </c>
      <c r="V105"/>
    </row>
    <row r="106" spans="1:22" x14ac:dyDescent="0.2">
      <c r="A106" s="153">
        <v>46169</v>
      </c>
      <c r="B106" s="3">
        <f t="shared" si="9"/>
        <v>14</v>
      </c>
      <c r="C106" s="3" t="str">
        <f>+TEXT(Opex_VE[[#This Row],[Fecha]],"ddd")</f>
        <v>mié</v>
      </c>
      <c r="E106" s="14" t="s">
        <v>112</v>
      </c>
      <c r="F106" s="172">
        <f>IFERROR(VLOOKUP(Opex_VE[[#This Row],[Fecha]],Historia!A:B,2,0),_xlfn.XLOOKUP(Opex_VE[[#This Row],[dia]],Forecast!H:H,Forecast!I:I))</f>
        <v>366750</v>
      </c>
      <c r="G106" s="172">
        <f>IFERROR(VLOOKUP(Opex_VE[[#This Row],[Fecha]],Historia!A:C,3,0),_xlfn.XLOOKUP(Opex_VE[[#This Row],[dia]],Forecast!H:H,Forecast!J:J))</f>
        <v>146700</v>
      </c>
      <c r="H106" s="186">
        <f ca="1">+Opex_VE[[#This Row],[MG]]-Opex_VE[[#This Row],[Opex]]</f>
        <v>-74678.966666666674</v>
      </c>
      <c r="I106" s="172" t="str">
        <f>IFERROR(VLOOKUP(Opex_VE[[#This Row],[Fecha]],Historia!A:D,4,0),"Forecast")</f>
        <v>Forecast</v>
      </c>
      <c r="J106" s="161">
        <f t="shared" ca="1" si="8"/>
        <v>553447.41666666663</v>
      </c>
      <c r="K106" s="157">
        <f ca="1">+Opex_VE[[#This Row],[MG]]-Opex_VE[[#This Row],[Opex]]</f>
        <v>0</v>
      </c>
      <c r="L106" s="156">
        <f>+VLOOKUP($A106,Opex!$C:$Z,N$1,1)</f>
        <v>55000</v>
      </c>
      <c r="M106" s="157">
        <f ca="1">+Opex_VE[[#This Row],[Opex]]</f>
        <v>0</v>
      </c>
      <c r="N106" s="156">
        <f t="shared" si="6"/>
        <v>294635</v>
      </c>
      <c r="O106" s="156">
        <f>+VLOOKUP($A106,Opex!$C:$Z,Q$1,1)</f>
        <v>4000</v>
      </c>
      <c r="P106" s="156">
        <f t="shared" si="7"/>
        <v>290635</v>
      </c>
      <c r="Q106" s="156">
        <f>+VLOOKUP($A106,Opex!$C:$Z,R$1,1)</f>
        <v>10635</v>
      </c>
      <c r="R106" s="157">
        <f>+SUM(Opex_VE[[#This Row],[Cajero]:[Domiciliario]])</f>
        <v>140000</v>
      </c>
      <c r="S106" s="156">
        <v>70000</v>
      </c>
      <c r="T106" s="156">
        <v>70000</v>
      </c>
      <c r="U106" s="156">
        <v>0</v>
      </c>
      <c r="V106"/>
    </row>
    <row r="107" spans="1:22" x14ac:dyDescent="0.2">
      <c r="A107" s="153">
        <v>46170</v>
      </c>
      <c r="B107" s="3">
        <f t="shared" si="9"/>
        <v>14</v>
      </c>
      <c r="C107" s="3" t="str">
        <f>+TEXT(Opex_VE[[#This Row],[Fecha]],"ddd")</f>
        <v>jue</v>
      </c>
      <c r="E107" s="14" t="s">
        <v>112</v>
      </c>
      <c r="F107" s="172">
        <f>IFERROR(VLOOKUP(Opex_VE[[#This Row],[Fecha]],Historia!A:B,2,0),_xlfn.XLOOKUP(Opex_VE[[#This Row],[dia]],Forecast!H:H,Forecast!I:I))</f>
        <v>234000</v>
      </c>
      <c r="G107" s="172">
        <f>IFERROR(VLOOKUP(Opex_VE[[#This Row],[Fecha]],Historia!A:C,3,0),_xlfn.XLOOKUP(Opex_VE[[#This Row],[dia]],Forecast!H:H,Forecast!J:J))</f>
        <v>93600</v>
      </c>
      <c r="H107" s="186">
        <f ca="1">+Opex_VE[[#This Row],[MG]]-Opex_VE[[#This Row],[Opex]]</f>
        <v>-127778.96666666667</v>
      </c>
      <c r="I107" s="172" t="str">
        <f>IFERROR(VLOOKUP(Opex_VE[[#This Row],[Fecha]],Historia!A:D,4,0),"Forecast")</f>
        <v>Forecast</v>
      </c>
      <c r="J107" s="161">
        <f t="shared" ca="1" si="8"/>
        <v>553447.41666666663</v>
      </c>
      <c r="K107" s="157">
        <f ca="1">+Opex_VE[[#This Row],[MG]]-Opex_VE[[#This Row],[Opex]]</f>
        <v>0</v>
      </c>
      <c r="L107" s="156">
        <f>+VLOOKUP($A107,Opex!$C:$Z,N$1,1)</f>
        <v>55000</v>
      </c>
      <c r="M107" s="157">
        <f ca="1">+Opex_VE[[#This Row],[Opex]]</f>
        <v>0</v>
      </c>
      <c r="N107" s="156">
        <f t="shared" si="6"/>
        <v>294635</v>
      </c>
      <c r="O107" s="156">
        <f>+VLOOKUP($A107,Opex!$C:$Z,Q$1,1)</f>
        <v>4000</v>
      </c>
      <c r="P107" s="156">
        <f t="shared" si="7"/>
        <v>290635</v>
      </c>
      <c r="Q107" s="156">
        <f>+VLOOKUP($A107,Opex!$C:$Z,R$1,1)</f>
        <v>10635</v>
      </c>
      <c r="R107" s="157">
        <f>+SUM(Opex_VE[[#This Row],[Cajero]:[Domiciliario]])</f>
        <v>140000</v>
      </c>
      <c r="S107" s="156">
        <v>70000</v>
      </c>
      <c r="T107" s="156">
        <v>70000</v>
      </c>
      <c r="U107" s="156">
        <v>0</v>
      </c>
      <c r="V107"/>
    </row>
    <row r="108" spans="1:22" x14ac:dyDescent="0.2">
      <c r="A108" s="153">
        <v>46171</v>
      </c>
      <c r="B108" s="3">
        <f t="shared" si="9"/>
        <v>14</v>
      </c>
      <c r="C108" s="3" t="str">
        <f>+TEXT(Opex_VE[[#This Row],[Fecha]],"ddd")</f>
        <v>vie</v>
      </c>
      <c r="E108" s="14" t="s">
        <v>217</v>
      </c>
      <c r="F108" s="172">
        <f>IFERROR(VLOOKUP(Opex_VE[[#This Row],[Fecha]],Historia!A:B,2,0),_xlfn.XLOOKUP(Opex_VE[[#This Row],[dia]],Forecast!H:H,Forecast!I:I))</f>
        <v>248000</v>
      </c>
      <c r="G108" s="172">
        <f>IFERROR(VLOOKUP(Opex_VE[[#This Row],[Fecha]],Historia!A:C,3,0),_xlfn.XLOOKUP(Opex_VE[[#This Row],[dia]],Forecast!H:H,Forecast!J:J))</f>
        <v>99200</v>
      </c>
      <c r="H108" s="186">
        <f ca="1">+Opex_VE[[#This Row],[MG]]-Opex_VE[[#This Row],[Opex]]</f>
        <v>-122178.96666666667</v>
      </c>
      <c r="I108" s="172" t="str">
        <f>IFERROR(VLOOKUP(Opex_VE[[#This Row],[Fecha]],Historia!A:D,4,0),"Forecast")</f>
        <v>Forecast</v>
      </c>
      <c r="J108" s="161">
        <f t="shared" ca="1" si="8"/>
        <v>553447.41666666663</v>
      </c>
      <c r="K108" s="157">
        <f ca="1">+Opex_VE[[#This Row],[MG]]-Opex_VE[[#This Row],[Opex]]</f>
        <v>0</v>
      </c>
      <c r="L108" s="156">
        <f>+VLOOKUP($A108,Opex!$C:$Z,N$1,1)</f>
        <v>55000</v>
      </c>
      <c r="M108" s="157">
        <f ca="1">+Opex_VE[[#This Row],[Opex]]</f>
        <v>0</v>
      </c>
      <c r="N108" s="156">
        <f t="shared" si="6"/>
        <v>294635</v>
      </c>
      <c r="O108" s="156">
        <f>+VLOOKUP($A108,Opex!$C:$Z,Q$1,1)</f>
        <v>4000</v>
      </c>
      <c r="P108" s="156">
        <f t="shared" si="7"/>
        <v>290635</v>
      </c>
      <c r="Q108" s="156">
        <f>+VLOOKUP($A108,Opex!$C:$Z,R$1,1)</f>
        <v>10635</v>
      </c>
      <c r="R108" s="157">
        <f>+SUM(Opex_VE[[#This Row],[Cajero]:[Domiciliario]])</f>
        <v>140000</v>
      </c>
      <c r="S108" s="156">
        <v>70000</v>
      </c>
      <c r="T108" s="156">
        <v>70000</v>
      </c>
      <c r="U108" s="156">
        <v>0</v>
      </c>
      <c r="V108"/>
    </row>
    <row r="109" spans="1:22" x14ac:dyDescent="0.2">
      <c r="A109" s="153">
        <v>46172</v>
      </c>
      <c r="B109" s="3">
        <f t="shared" si="9"/>
        <v>14</v>
      </c>
      <c r="C109" s="3" t="str">
        <f>+TEXT(Opex_VE[[#This Row],[Fecha]],"ddd")</f>
        <v>sáb</v>
      </c>
      <c r="E109" s="14" t="s">
        <v>113</v>
      </c>
      <c r="F109" s="172">
        <f>IFERROR(VLOOKUP(Opex_VE[[#This Row],[Fecha]],Historia!A:B,2,0),_xlfn.XLOOKUP(Opex_VE[[#This Row],[dia]],Forecast!H:H,Forecast!I:I))</f>
        <v>320800</v>
      </c>
      <c r="G109" s="172">
        <f>IFERROR(VLOOKUP(Opex_VE[[#This Row],[Fecha]],Historia!A:C,3,0),_xlfn.XLOOKUP(Opex_VE[[#This Row],[dia]],Forecast!H:H,Forecast!J:J))</f>
        <v>128320</v>
      </c>
      <c r="H109" s="186">
        <f ca="1">+Opex_VE[[#This Row],[MG]]-Opex_VE[[#This Row],[Opex]]</f>
        <v>-93058.966666666674</v>
      </c>
      <c r="I109" s="173" t="str">
        <f>IFERROR(VLOOKUP(Opex_VE[[#This Row],[Fecha]],Historia!A:D,4,0),"Forecast")</f>
        <v>Forecast</v>
      </c>
      <c r="J109" s="161">
        <f t="shared" ca="1" si="8"/>
        <v>553447.41666666663</v>
      </c>
      <c r="K109" s="157">
        <f ca="1">+Opex_VE[[#This Row],[MG]]-Opex_VE[[#This Row],[Opex]]</f>
        <v>0</v>
      </c>
      <c r="L109" s="156">
        <f>+VLOOKUP($A109,Opex!$C:$Z,N$1,1)</f>
        <v>55000</v>
      </c>
      <c r="M109" s="157">
        <f ca="1">+Opex_VE[[#This Row],[Opex]]</f>
        <v>0</v>
      </c>
      <c r="N109" s="156">
        <f t="shared" si="6"/>
        <v>294635</v>
      </c>
      <c r="O109" s="156">
        <f>+VLOOKUP($A109,Opex!$C:$Z,Q$1,1)</f>
        <v>4000</v>
      </c>
      <c r="P109" s="156">
        <f t="shared" si="7"/>
        <v>290635</v>
      </c>
      <c r="Q109" s="156">
        <f>+VLOOKUP($A109,Opex!$C:$Z,R$1,1)</f>
        <v>10635</v>
      </c>
      <c r="R109" s="157">
        <f>+SUM(Opex_VE[[#This Row],[Cajero]:[Domiciliario]])</f>
        <v>140000</v>
      </c>
      <c r="S109" s="156">
        <v>70000</v>
      </c>
      <c r="T109" s="156">
        <v>70000</v>
      </c>
      <c r="U109" s="156">
        <v>0</v>
      </c>
      <c r="V109"/>
    </row>
    <row r="110" spans="1:22" x14ac:dyDescent="0.2">
      <c r="A110" s="153">
        <v>46173</v>
      </c>
      <c r="B110" s="3">
        <f t="shared" si="9"/>
        <v>14</v>
      </c>
      <c r="C110" s="3" t="str">
        <f>+TEXT(Opex_VE[[#This Row],[Fecha]],"ddd")</f>
        <v>dom</v>
      </c>
      <c r="E110" s="14" t="s">
        <v>145</v>
      </c>
      <c r="F110" s="172">
        <f>IFERROR(VLOOKUP(Opex_VE[[#This Row],[Fecha]],Historia!A:B,2,0),_xlfn.XLOOKUP(Opex_VE[[#This Row],[dia]],Forecast!H:H,Forecast!I:I))</f>
        <v>218500</v>
      </c>
      <c r="G110" s="172">
        <f>IFERROR(VLOOKUP(Opex_VE[[#This Row],[Fecha]],Historia!A:C,3,0),_xlfn.XLOOKUP(Opex_VE[[#This Row],[dia]],Forecast!H:H,Forecast!J:J))</f>
        <v>87400</v>
      </c>
      <c r="H110" s="186">
        <f ca="1">+Opex_VE[[#This Row],[MG]]-Opex_VE[[#This Row],[Opex]]</f>
        <v>-133978.96666666667</v>
      </c>
      <c r="I110" s="172" t="str">
        <f>IFERROR(VLOOKUP(Opex_VE[[#This Row],[Fecha]],Historia!A:D,4,0),"Forecast")</f>
        <v>Forecast</v>
      </c>
      <c r="J110" s="161">
        <f t="shared" ca="1" si="8"/>
        <v>553447.41666666663</v>
      </c>
      <c r="K110" s="157">
        <f ca="1">+Opex_VE[[#This Row],[MG]]-Opex_VE[[#This Row],[Opex]]</f>
        <v>0</v>
      </c>
      <c r="L110" s="156">
        <f>+VLOOKUP($A110,Opex!$C:$Z,N$1,1)</f>
        <v>55000</v>
      </c>
      <c r="M110" s="157">
        <f ca="1">+Opex_VE[[#This Row],[Opex]]</f>
        <v>0</v>
      </c>
      <c r="N110" s="156">
        <f t="shared" si="6"/>
        <v>294635</v>
      </c>
      <c r="O110" s="156">
        <f>+VLOOKUP($A110,Opex!$C:$Z,Q$1,1)</f>
        <v>4000</v>
      </c>
      <c r="P110" s="156">
        <f t="shared" si="7"/>
        <v>290635</v>
      </c>
      <c r="Q110" s="156">
        <f>+VLOOKUP($A110,Opex!$C:$Z,R$1,1)</f>
        <v>10635</v>
      </c>
      <c r="R110" s="157">
        <f>+SUM(Opex_VE[[#This Row],[Cajero]:[Domiciliario]])</f>
        <v>140000</v>
      </c>
      <c r="S110" s="156">
        <v>70000</v>
      </c>
      <c r="T110" s="156">
        <v>70000</v>
      </c>
      <c r="U110" s="156">
        <v>0</v>
      </c>
      <c r="V110"/>
    </row>
    <row r="111" spans="1:22" x14ac:dyDescent="0.2">
      <c r="A111" s="153">
        <v>46174</v>
      </c>
      <c r="B111" s="3">
        <f t="shared" si="9"/>
        <v>15</v>
      </c>
      <c r="C111" s="3" t="str">
        <f>+TEXT(Opex_VE[[#This Row],[Fecha]],"ddd")</f>
        <v>lun</v>
      </c>
      <c r="E111" s="14" t="s">
        <v>112</v>
      </c>
      <c r="F111" s="172">
        <f>IFERROR(VLOOKUP(Opex_VE[[#This Row],[Fecha]],Historia!A:B,2,0),_xlfn.XLOOKUP(Opex_VE[[#This Row],[dia]],Forecast!H:H,Forecast!I:I))</f>
        <v>179200</v>
      </c>
      <c r="G111" s="172">
        <f>IFERROR(VLOOKUP(Opex_VE[[#This Row],[Fecha]],Historia!A:C,3,0),_xlfn.XLOOKUP(Opex_VE[[#This Row],[dia]],Forecast!H:H,Forecast!J:J))</f>
        <v>71680</v>
      </c>
      <c r="H111" s="186">
        <f ca="1">+Opex_VE[[#This Row],[MG]]-Opex_VE[[#This Row],[Opex]]</f>
        <v>-149698.96666666667</v>
      </c>
      <c r="I111" s="172" t="str">
        <f>IFERROR(VLOOKUP(Opex_VE[[#This Row],[Fecha]],Historia!A:D,4,0),"Forecast")</f>
        <v>Forecast</v>
      </c>
      <c r="J111" s="161">
        <f t="shared" ca="1" si="8"/>
        <v>553447.41666666663</v>
      </c>
      <c r="K111" s="157">
        <f ca="1">+Opex_VE[[#This Row],[MG]]-Opex_VE[[#This Row],[Opex]]</f>
        <v>0</v>
      </c>
      <c r="L111" s="156">
        <f>+VLOOKUP($A111,Opex!$C:$Z,N$1,1)</f>
        <v>55000</v>
      </c>
      <c r="M111" s="157">
        <f ca="1">+Opex_VE[[#This Row],[Opex]]</f>
        <v>0</v>
      </c>
      <c r="N111" s="156">
        <f t="shared" si="6"/>
        <v>294635</v>
      </c>
      <c r="O111" s="156">
        <f>+VLOOKUP($A111,Opex!$C:$Z,Q$1,1)</f>
        <v>4000</v>
      </c>
      <c r="P111" s="156">
        <f t="shared" si="7"/>
        <v>290635</v>
      </c>
      <c r="Q111" s="156">
        <f>+VLOOKUP($A111,Opex!$C:$Z,R$1,1)</f>
        <v>10635</v>
      </c>
      <c r="R111" s="157">
        <f>+SUM(Opex_VE[[#This Row],[Cajero]:[Domiciliario]])</f>
        <v>140000</v>
      </c>
      <c r="S111" s="156">
        <v>70000</v>
      </c>
      <c r="T111" s="156">
        <v>70000</v>
      </c>
      <c r="U111" s="156">
        <v>0</v>
      </c>
      <c r="V111"/>
    </row>
    <row r="112" spans="1:22" x14ac:dyDescent="0.2">
      <c r="A112" s="153">
        <v>46175</v>
      </c>
      <c r="B112" s="3">
        <f t="shared" si="9"/>
        <v>15</v>
      </c>
      <c r="C112" s="3" t="str">
        <f>+TEXT(Opex_VE[[#This Row],[Fecha]],"ddd")</f>
        <v>mar</v>
      </c>
      <c r="E112" s="14" t="s">
        <v>112</v>
      </c>
      <c r="F112" s="172">
        <f>IFERROR(VLOOKUP(Opex_VE[[#This Row],[Fecha]],Historia!A:B,2,0),_xlfn.XLOOKUP(Opex_VE[[#This Row],[dia]],Forecast!H:H,Forecast!I:I))</f>
        <v>195000</v>
      </c>
      <c r="G112" s="172">
        <f>IFERROR(VLOOKUP(Opex_VE[[#This Row],[Fecha]],Historia!A:C,3,0),_xlfn.XLOOKUP(Opex_VE[[#This Row],[dia]],Forecast!H:H,Forecast!J:J))</f>
        <v>78000</v>
      </c>
      <c r="H112" s="186">
        <f ca="1">+Opex_VE[[#This Row],[MG]]-Opex_VE[[#This Row],[Opex]]</f>
        <v>-143378.96666666667</v>
      </c>
      <c r="I112" s="172" t="str">
        <f>IFERROR(VLOOKUP(Opex_VE[[#This Row],[Fecha]],Historia!A:D,4,0),"Forecast")</f>
        <v>Forecast</v>
      </c>
      <c r="J112" s="161">
        <f t="shared" ca="1" si="8"/>
        <v>553447.41666666663</v>
      </c>
      <c r="K112" s="157">
        <f ca="1">+Opex_VE[[#This Row],[MG]]-Opex_VE[[#This Row],[Opex]]</f>
        <v>0</v>
      </c>
      <c r="L112" s="156">
        <f>+VLOOKUP($A112,Opex!$C:$Z,N$1,1)</f>
        <v>55000</v>
      </c>
      <c r="M112" s="157">
        <f ca="1">+Opex_VE[[#This Row],[Opex]]</f>
        <v>0</v>
      </c>
      <c r="N112" s="156">
        <f t="shared" si="6"/>
        <v>294635</v>
      </c>
      <c r="O112" s="156">
        <f>+VLOOKUP($A112,Opex!$C:$Z,Q$1,1)</f>
        <v>4000</v>
      </c>
      <c r="P112" s="156">
        <f t="shared" si="7"/>
        <v>290635</v>
      </c>
      <c r="Q112" s="156">
        <f>+VLOOKUP($A112,Opex!$C:$Z,R$1,1)</f>
        <v>10635</v>
      </c>
      <c r="R112" s="157">
        <f>+SUM(Opex_VE[[#This Row],[Cajero]:[Domiciliario]])</f>
        <v>140000</v>
      </c>
      <c r="S112" s="156">
        <v>70000</v>
      </c>
      <c r="T112" s="156">
        <v>70000</v>
      </c>
      <c r="U112" s="156">
        <v>0</v>
      </c>
      <c r="V112"/>
    </row>
    <row r="113" spans="1:22" x14ac:dyDescent="0.2">
      <c r="A113" s="153">
        <v>46176</v>
      </c>
      <c r="B113" s="3">
        <f t="shared" si="9"/>
        <v>15</v>
      </c>
      <c r="C113" s="3" t="str">
        <f>+TEXT(Opex_VE[[#This Row],[Fecha]],"ddd")</f>
        <v>mié</v>
      </c>
      <c r="E113" s="14" t="s">
        <v>112</v>
      </c>
      <c r="F113" s="172">
        <f>IFERROR(VLOOKUP(Opex_VE[[#This Row],[Fecha]],Historia!A:B,2,0),_xlfn.XLOOKUP(Opex_VE[[#This Row],[dia]],Forecast!H:H,Forecast!I:I))</f>
        <v>366750</v>
      </c>
      <c r="G113" s="172">
        <f>IFERROR(VLOOKUP(Opex_VE[[#This Row],[Fecha]],Historia!A:C,3,0),_xlfn.XLOOKUP(Opex_VE[[#This Row],[dia]],Forecast!H:H,Forecast!J:J))</f>
        <v>146700</v>
      </c>
      <c r="H113" s="186">
        <f ca="1">+Opex_VE[[#This Row],[MG]]-Opex_VE[[#This Row],[Opex]]</f>
        <v>-74678.966666666674</v>
      </c>
      <c r="I113" s="172" t="str">
        <f>IFERROR(VLOOKUP(Opex_VE[[#This Row],[Fecha]],Historia!A:D,4,0),"Forecast")</f>
        <v>Forecast</v>
      </c>
      <c r="J113" s="161">
        <f t="shared" ca="1" si="8"/>
        <v>553447.41666666663</v>
      </c>
      <c r="K113" s="157">
        <f ca="1">+Opex_VE[[#This Row],[MG]]-Opex_VE[[#This Row],[Opex]]</f>
        <v>0</v>
      </c>
      <c r="L113" s="156">
        <f>+VLOOKUP($A113,Opex!$C:$Z,N$1,1)</f>
        <v>55000</v>
      </c>
      <c r="M113" s="157">
        <f ca="1">+Opex_VE[[#This Row],[Opex]]</f>
        <v>0</v>
      </c>
      <c r="N113" s="156">
        <f t="shared" si="6"/>
        <v>294635</v>
      </c>
      <c r="O113" s="156">
        <f>+VLOOKUP($A113,Opex!$C:$Z,Q$1,1)</f>
        <v>4000</v>
      </c>
      <c r="P113" s="156">
        <f t="shared" si="7"/>
        <v>290635</v>
      </c>
      <c r="Q113" s="156">
        <f>+VLOOKUP($A113,Opex!$C:$Z,R$1,1)</f>
        <v>10635</v>
      </c>
      <c r="R113" s="157">
        <f>+SUM(Opex_VE[[#This Row],[Cajero]:[Domiciliario]])</f>
        <v>140000</v>
      </c>
      <c r="S113" s="156">
        <v>70000</v>
      </c>
      <c r="T113" s="156">
        <v>70000</v>
      </c>
      <c r="U113" s="156">
        <v>0</v>
      </c>
      <c r="V113"/>
    </row>
    <row r="114" spans="1:22" x14ac:dyDescent="0.2">
      <c r="A114" s="153">
        <v>46177</v>
      </c>
      <c r="B114" s="3">
        <f t="shared" si="9"/>
        <v>15</v>
      </c>
      <c r="C114" s="3" t="str">
        <f>+TEXT(Opex_VE[[#This Row],[Fecha]],"ddd")</f>
        <v>jue</v>
      </c>
      <c r="E114" s="14" t="s">
        <v>112</v>
      </c>
      <c r="F114" s="172">
        <f>IFERROR(VLOOKUP(Opex_VE[[#This Row],[Fecha]],Historia!A:B,2,0),_xlfn.XLOOKUP(Opex_VE[[#This Row],[dia]],Forecast!H:H,Forecast!I:I))</f>
        <v>234000</v>
      </c>
      <c r="G114" s="172">
        <f>IFERROR(VLOOKUP(Opex_VE[[#This Row],[Fecha]],Historia!A:C,3,0),_xlfn.XLOOKUP(Opex_VE[[#This Row],[dia]],Forecast!H:H,Forecast!J:J))</f>
        <v>93600</v>
      </c>
      <c r="H114" s="186">
        <f ca="1">+Opex_VE[[#This Row],[MG]]-Opex_VE[[#This Row],[Opex]]</f>
        <v>-127778.96666666667</v>
      </c>
      <c r="I114" s="172" t="str">
        <f>IFERROR(VLOOKUP(Opex_VE[[#This Row],[Fecha]],Historia!A:D,4,0),"Forecast")</f>
        <v>Forecast</v>
      </c>
      <c r="J114" s="161">
        <f t="shared" ca="1" si="8"/>
        <v>553447.41666666663</v>
      </c>
      <c r="K114" s="157">
        <f ca="1">+Opex_VE[[#This Row],[MG]]-Opex_VE[[#This Row],[Opex]]</f>
        <v>0</v>
      </c>
      <c r="L114" s="156">
        <f>+VLOOKUP($A114,Opex!$C:$Z,N$1,1)</f>
        <v>55000</v>
      </c>
      <c r="M114" s="157">
        <f ca="1">+Opex_VE[[#This Row],[Opex]]</f>
        <v>0</v>
      </c>
      <c r="N114" s="156">
        <f t="shared" si="6"/>
        <v>294635</v>
      </c>
      <c r="O114" s="156">
        <f>+VLOOKUP($A114,Opex!$C:$Z,Q$1,1)</f>
        <v>4000</v>
      </c>
      <c r="P114" s="156">
        <f t="shared" si="7"/>
        <v>290635</v>
      </c>
      <c r="Q114" s="156">
        <f>+VLOOKUP($A114,Opex!$C:$Z,R$1,1)</f>
        <v>10635</v>
      </c>
      <c r="R114" s="157">
        <f>+SUM(Opex_VE[[#This Row],[Cajero]:[Domiciliario]])</f>
        <v>140000</v>
      </c>
      <c r="S114" s="156">
        <v>70000</v>
      </c>
      <c r="T114" s="156">
        <v>70000</v>
      </c>
      <c r="U114" s="156">
        <v>0</v>
      </c>
      <c r="V114"/>
    </row>
    <row r="115" spans="1:22" x14ac:dyDescent="0.2">
      <c r="A115" s="153">
        <v>46178</v>
      </c>
      <c r="B115" s="3">
        <f t="shared" si="9"/>
        <v>15</v>
      </c>
      <c r="C115" s="3" t="str">
        <f>+TEXT(Opex_VE[[#This Row],[Fecha]],"ddd")</f>
        <v>vie</v>
      </c>
      <c r="E115" s="14" t="s">
        <v>217</v>
      </c>
      <c r="F115" s="172">
        <f>IFERROR(VLOOKUP(Opex_VE[[#This Row],[Fecha]],Historia!A:B,2,0),_xlfn.XLOOKUP(Opex_VE[[#This Row],[dia]],Forecast!H:H,Forecast!I:I))</f>
        <v>248000</v>
      </c>
      <c r="G115" s="172">
        <f>IFERROR(VLOOKUP(Opex_VE[[#This Row],[Fecha]],Historia!A:C,3,0),_xlfn.XLOOKUP(Opex_VE[[#This Row],[dia]],Forecast!H:H,Forecast!J:J))</f>
        <v>99200</v>
      </c>
      <c r="H115" s="186">
        <f ca="1">+Opex_VE[[#This Row],[MG]]-Opex_VE[[#This Row],[Opex]]</f>
        <v>-122178.96666666667</v>
      </c>
      <c r="I115" s="172" t="str">
        <f>IFERROR(VLOOKUP(Opex_VE[[#This Row],[Fecha]],Historia!A:D,4,0),"Forecast")</f>
        <v>Forecast</v>
      </c>
      <c r="J115" s="161">
        <f t="shared" ca="1" si="8"/>
        <v>553447.41666666663</v>
      </c>
      <c r="K115" s="157">
        <f ca="1">+Opex_VE[[#This Row],[MG]]-Opex_VE[[#This Row],[Opex]]</f>
        <v>0</v>
      </c>
      <c r="L115" s="156">
        <f>+VLOOKUP($A115,Opex!$C:$Z,N$1,1)</f>
        <v>55000</v>
      </c>
      <c r="M115" s="157">
        <f ca="1">+Opex_VE[[#This Row],[Opex]]</f>
        <v>0</v>
      </c>
      <c r="N115" s="156">
        <f t="shared" si="6"/>
        <v>294635</v>
      </c>
      <c r="O115" s="156">
        <f>+VLOOKUP($A115,Opex!$C:$Z,Q$1,1)</f>
        <v>4000</v>
      </c>
      <c r="P115" s="156">
        <f t="shared" si="7"/>
        <v>290635</v>
      </c>
      <c r="Q115" s="156">
        <f>+VLOOKUP($A115,Opex!$C:$Z,R$1,1)</f>
        <v>10635</v>
      </c>
      <c r="R115" s="157">
        <f>+SUM(Opex_VE[[#This Row],[Cajero]:[Domiciliario]])</f>
        <v>140000</v>
      </c>
      <c r="S115" s="156">
        <v>70000</v>
      </c>
      <c r="T115" s="156">
        <v>70000</v>
      </c>
      <c r="U115" s="156">
        <v>0</v>
      </c>
      <c r="V115"/>
    </row>
    <row r="116" spans="1:22" x14ac:dyDescent="0.2">
      <c r="A116" s="153">
        <v>46179</v>
      </c>
      <c r="B116" s="3">
        <f t="shared" si="9"/>
        <v>15</v>
      </c>
      <c r="C116" s="3" t="str">
        <f>+TEXT(Opex_VE[[#This Row],[Fecha]],"ddd")</f>
        <v>sáb</v>
      </c>
      <c r="E116" s="14" t="s">
        <v>113</v>
      </c>
      <c r="F116" s="172">
        <f>IFERROR(VLOOKUP(Opex_VE[[#This Row],[Fecha]],Historia!A:B,2,0),_xlfn.XLOOKUP(Opex_VE[[#This Row],[dia]],Forecast!H:H,Forecast!I:I))</f>
        <v>320800</v>
      </c>
      <c r="G116" s="172">
        <f>IFERROR(VLOOKUP(Opex_VE[[#This Row],[Fecha]],Historia!A:C,3,0),_xlfn.XLOOKUP(Opex_VE[[#This Row],[dia]],Forecast!H:H,Forecast!J:J))</f>
        <v>128320</v>
      </c>
      <c r="H116" s="186">
        <f ca="1">+Opex_VE[[#This Row],[MG]]-Opex_VE[[#This Row],[Opex]]</f>
        <v>-93058.966666666674</v>
      </c>
      <c r="I116" s="173" t="str">
        <f>IFERROR(VLOOKUP(Opex_VE[[#This Row],[Fecha]],Historia!A:D,4,0),"Forecast")</f>
        <v>Forecast</v>
      </c>
      <c r="J116" s="161">
        <f t="shared" ca="1" si="8"/>
        <v>553447.41666666663</v>
      </c>
      <c r="K116" s="157">
        <f ca="1">+Opex_VE[[#This Row],[MG]]-Opex_VE[[#This Row],[Opex]]</f>
        <v>0</v>
      </c>
      <c r="L116" s="156">
        <f>+VLOOKUP($A116,Opex!$C:$Z,N$1,1)</f>
        <v>55000</v>
      </c>
      <c r="M116" s="157">
        <f ca="1">+Opex_VE[[#This Row],[Opex]]</f>
        <v>0</v>
      </c>
      <c r="N116" s="156">
        <f t="shared" si="6"/>
        <v>294635</v>
      </c>
      <c r="O116" s="156">
        <f>+VLOOKUP($A116,Opex!$C:$Z,Q$1,1)</f>
        <v>4000</v>
      </c>
      <c r="P116" s="156">
        <f t="shared" si="7"/>
        <v>290635</v>
      </c>
      <c r="Q116" s="156">
        <f>+VLOOKUP($A116,Opex!$C:$Z,R$1,1)</f>
        <v>10635</v>
      </c>
      <c r="R116" s="157">
        <f>+SUM(Opex_VE[[#This Row],[Cajero]:[Domiciliario]])</f>
        <v>140000</v>
      </c>
      <c r="S116" s="156">
        <v>70000</v>
      </c>
      <c r="T116" s="156">
        <v>70000</v>
      </c>
      <c r="U116" s="156">
        <v>0</v>
      </c>
      <c r="V116"/>
    </row>
    <row r="117" spans="1:22" x14ac:dyDescent="0.2">
      <c r="A117" s="153">
        <v>46180</v>
      </c>
      <c r="B117" s="3">
        <f t="shared" si="9"/>
        <v>15</v>
      </c>
      <c r="C117" s="3" t="str">
        <f>+TEXT(Opex_VE[[#This Row],[Fecha]],"ddd")</f>
        <v>dom</v>
      </c>
      <c r="E117" s="14" t="s">
        <v>145</v>
      </c>
      <c r="F117" s="172">
        <f>IFERROR(VLOOKUP(Opex_VE[[#This Row],[Fecha]],Historia!A:B,2,0),_xlfn.XLOOKUP(Opex_VE[[#This Row],[dia]],Forecast!H:H,Forecast!I:I))</f>
        <v>218500</v>
      </c>
      <c r="G117" s="172">
        <f>IFERROR(VLOOKUP(Opex_VE[[#This Row],[Fecha]],Historia!A:C,3,0),_xlfn.XLOOKUP(Opex_VE[[#This Row],[dia]],Forecast!H:H,Forecast!J:J))</f>
        <v>87400</v>
      </c>
      <c r="H117" s="186">
        <f ca="1">+Opex_VE[[#This Row],[MG]]-Opex_VE[[#This Row],[Opex]]</f>
        <v>-133978.96666666667</v>
      </c>
      <c r="I117" s="172" t="str">
        <f>IFERROR(VLOOKUP(Opex_VE[[#This Row],[Fecha]],Historia!A:D,4,0),"Forecast")</f>
        <v>Forecast</v>
      </c>
      <c r="J117" s="161">
        <f t="shared" ca="1" si="8"/>
        <v>553447.41666666663</v>
      </c>
      <c r="K117" s="157">
        <f ca="1">+Opex_VE[[#This Row],[MG]]-Opex_VE[[#This Row],[Opex]]</f>
        <v>0</v>
      </c>
      <c r="L117" s="156">
        <f>+VLOOKUP($A117,Opex!$C:$Z,N$1,1)</f>
        <v>55000</v>
      </c>
      <c r="M117" s="157">
        <f ca="1">+Opex_VE[[#This Row],[Opex]]</f>
        <v>0</v>
      </c>
      <c r="N117" s="156">
        <f t="shared" si="6"/>
        <v>294635</v>
      </c>
      <c r="O117" s="156">
        <f>+VLOOKUP($A117,Opex!$C:$Z,Q$1,1)</f>
        <v>4000</v>
      </c>
      <c r="P117" s="156">
        <f t="shared" si="7"/>
        <v>290635</v>
      </c>
      <c r="Q117" s="156">
        <f>+VLOOKUP($A117,Opex!$C:$Z,R$1,1)</f>
        <v>10635</v>
      </c>
      <c r="R117" s="157">
        <f>+SUM(Opex_VE[[#This Row],[Cajero]:[Domiciliario]])</f>
        <v>140000</v>
      </c>
      <c r="S117" s="156">
        <v>70000</v>
      </c>
      <c r="T117" s="156">
        <v>70000</v>
      </c>
      <c r="U117" s="156">
        <v>0</v>
      </c>
      <c r="V117"/>
    </row>
    <row r="118" spans="1:22" x14ac:dyDescent="0.2">
      <c r="A118" s="153">
        <v>46181</v>
      </c>
      <c r="B118" s="3">
        <f t="shared" si="9"/>
        <v>16</v>
      </c>
      <c r="C118" s="3" t="str">
        <f>+TEXT(Opex_VE[[#This Row],[Fecha]],"ddd")</f>
        <v>lun</v>
      </c>
      <c r="E118" s="14" t="s">
        <v>112</v>
      </c>
      <c r="F118" s="172">
        <f>IFERROR(VLOOKUP(Opex_VE[[#This Row],[Fecha]],Historia!A:B,2,0),_xlfn.XLOOKUP(Opex_VE[[#This Row],[dia]],Forecast!H:H,Forecast!I:I))</f>
        <v>179200</v>
      </c>
      <c r="G118" s="172">
        <f>IFERROR(VLOOKUP(Opex_VE[[#This Row],[Fecha]],Historia!A:C,3,0),_xlfn.XLOOKUP(Opex_VE[[#This Row],[dia]],Forecast!H:H,Forecast!J:J))</f>
        <v>71680</v>
      </c>
      <c r="H118" s="186">
        <f ca="1">+Opex_VE[[#This Row],[MG]]-Opex_VE[[#This Row],[Opex]]</f>
        <v>-149698.96666666667</v>
      </c>
      <c r="I118" s="172" t="str">
        <f>IFERROR(VLOOKUP(Opex_VE[[#This Row],[Fecha]],Historia!A:D,4,0),"Forecast")</f>
        <v>Forecast</v>
      </c>
      <c r="J118" s="161">
        <f t="shared" ca="1" si="8"/>
        <v>553447.41666666663</v>
      </c>
      <c r="K118" s="157">
        <f ca="1">+Opex_VE[[#This Row],[MG]]-Opex_VE[[#This Row],[Opex]]</f>
        <v>0</v>
      </c>
      <c r="L118" s="156">
        <f>+VLOOKUP($A118,Opex!$C:$Z,N$1,1)</f>
        <v>55000</v>
      </c>
      <c r="M118" s="157">
        <f ca="1">+Opex_VE[[#This Row],[Opex]]</f>
        <v>0</v>
      </c>
      <c r="N118" s="156">
        <f t="shared" si="6"/>
        <v>294635</v>
      </c>
      <c r="O118" s="156">
        <f>+VLOOKUP($A118,Opex!$C:$Z,Q$1,1)</f>
        <v>4000</v>
      </c>
      <c r="P118" s="156">
        <f t="shared" si="7"/>
        <v>290635</v>
      </c>
      <c r="Q118" s="156">
        <f>+VLOOKUP($A118,Opex!$C:$Z,R$1,1)</f>
        <v>10635</v>
      </c>
      <c r="R118" s="157">
        <f>+SUM(Opex_VE[[#This Row],[Cajero]:[Domiciliario]])</f>
        <v>140000</v>
      </c>
      <c r="S118" s="156">
        <v>70000</v>
      </c>
      <c r="T118" s="156">
        <v>70000</v>
      </c>
      <c r="U118" s="156">
        <v>0</v>
      </c>
      <c r="V118"/>
    </row>
    <row r="119" spans="1:22" x14ac:dyDescent="0.2">
      <c r="A119" s="153">
        <v>46182</v>
      </c>
      <c r="B119" s="3">
        <f t="shared" si="9"/>
        <v>16</v>
      </c>
      <c r="C119" s="3" t="str">
        <f>+TEXT(Opex_VE[[#This Row],[Fecha]],"ddd")</f>
        <v>mar</v>
      </c>
      <c r="E119" s="14" t="s">
        <v>112</v>
      </c>
      <c r="F119" s="172">
        <f>IFERROR(VLOOKUP(Opex_VE[[#This Row],[Fecha]],Historia!A:B,2,0),_xlfn.XLOOKUP(Opex_VE[[#This Row],[dia]],Forecast!H:H,Forecast!I:I))</f>
        <v>195000</v>
      </c>
      <c r="G119" s="172">
        <f>IFERROR(VLOOKUP(Opex_VE[[#This Row],[Fecha]],Historia!A:C,3,0),_xlfn.XLOOKUP(Opex_VE[[#This Row],[dia]],Forecast!H:H,Forecast!J:J))</f>
        <v>78000</v>
      </c>
      <c r="H119" s="186">
        <f ca="1">+Opex_VE[[#This Row],[MG]]-Opex_VE[[#This Row],[Opex]]</f>
        <v>-143378.96666666667</v>
      </c>
      <c r="I119" s="172" t="str">
        <f>IFERROR(VLOOKUP(Opex_VE[[#This Row],[Fecha]],Historia!A:D,4,0),"Forecast")</f>
        <v>Forecast</v>
      </c>
      <c r="J119" s="161">
        <f t="shared" ca="1" si="8"/>
        <v>553447.41666666663</v>
      </c>
      <c r="K119" s="157">
        <f ca="1">+Opex_VE[[#This Row],[MG]]-Opex_VE[[#This Row],[Opex]]</f>
        <v>0</v>
      </c>
      <c r="L119" s="156">
        <f>+VLOOKUP($A119,Opex!$C:$Z,N$1,1)</f>
        <v>55000</v>
      </c>
      <c r="M119" s="157">
        <f ca="1">+Opex_VE[[#This Row],[Opex]]</f>
        <v>0</v>
      </c>
      <c r="N119" s="156">
        <f t="shared" si="6"/>
        <v>294635</v>
      </c>
      <c r="O119" s="156">
        <f>+VLOOKUP($A119,Opex!$C:$Z,Q$1,1)</f>
        <v>4000</v>
      </c>
      <c r="P119" s="156">
        <f t="shared" si="7"/>
        <v>290635</v>
      </c>
      <c r="Q119" s="156">
        <f>+VLOOKUP($A119,Opex!$C:$Z,R$1,1)</f>
        <v>10635</v>
      </c>
      <c r="R119" s="157">
        <f>+SUM(Opex_VE[[#This Row],[Cajero]:[Domiciliario]])</f>
        <v>140000</v>
      </c>
      <c r="S119" s="156">
        <v>70000</v>
      </c>
      <c r="T119" s="156">
        <v>70000</v>
      </c>
      <c r="U119" s="156">
        <v>0</v>
      </c>
      <c r="V119"/>
    </row>
    <row r="120" spans="1:22" x14ac:dyDescent="0.2">
      <c r="A120" s="153">
        <v>46183</v>
      </c>
      <c r="B120" s="3">
        <f t="shared" si="9"/>
        <v>16</v>
      </c>
      <c r="C120" s="3" t="str">
        <f>+TEXT(Opex_VE[[#This Row],[Fecha]],"ddd")</f>
        <v>mié</v>
      </c>
      <c r="E120" s="14" t="s">
        <v>112</v>
      </c>
      <c r="F120" s="172">
        <f>IFERROR(VLOOKUP(Opex_VE[[#This Row],[Fecha]],Historia!A:B,2,0),_xlfn.XLOOKUP(Opex_VE[[#This Row],[dia]],Forecast!H:H,Forecast!I:I))</f>
        <v>366750</v>
      </c>
      <c r="G120" s="172">
        <f>IFERROR(VLOOKUP(Opex_VE[[#This Row],[Fecha]],Historia!A:C,3,0),_xlfn.XLOOKUP(Opex_VE[[#This Row],[dia]],Forecast!H:H,Forecast!J:J))</f>
        <v>146700</v>
      </c>
      <c r="H120" s="186">
        <f ca="1">+Opex_VE[[#This Row],[MG]]-Opex_VE[[#This Row],[Opex]]</f>
        <v>-74678.966666666674</v>
      </c>
      <c r="I120" s="172" t="str">
        <f>IFERROR(VLOOKUP(Opex_VE[[#This Row],[Fecha]],Historia!A:D,4,0),"Forecast")</f>
        <v>Forecast</v>
      </c>
      <c r="J120" s="161">
        <f t="shared" ca="1" si="8"/>
        <v>553447.41666666663</v>
      </c>
      <c r="K120" s="157">
        <f ca="1">+Opex_VE[[#This Row],[MG]]-Opex_VE[[#This Row],[Opex]]</f>
        <v>0</v>
      </c>
      <c r="L120" s="156">
        <f>+VLOOKUP($A120,Opex!$C:$Z,N$1,1)</f>
        <v>55000</v>
      </c>
      <c r="M120" s="157">
        <f ca="1">+Opex_VE[[#This Row],[Opex]]</f>
        <v>0</v>
      </c>
      <c r="N120" s="156">
        <f t="shared" si="6"/>
        <v>294635</v>
      </c>
      <c r="O120" s="156">
        <f>+VLOOKUP($A120,Opex!$C:$Z,Q$1,1)</f>
        <v>4000</v>
      </c>
      <c r="P120" s="156">
        <f t="shared" si="7"/>
        <v>290635</v>
      </c>
      <c r="Q120" s="156">
        <f>+VLOOKUP($A120,Opex!$C:$Z,R$1,1)</f>
        <v>10635</v>
      </c>
      <c r="R120" s="157">
        <f>+SUM(Opex_VE[[#This Row],[Cajero]:[Domiciliario]])</f>
        <v>140000</v>
      </c>
      <c r="S120" s="156">
        <v>70000</v>
      </c>
      <c r="T120" s="156">
        <v>70000</v>
      </c>
      <c r="U120" s="156">
        <v>0</v>
      </c>
      <c r="V120"/>
    </row>
    <row r="121" spans="1:22" x14ac:dyDescent="0.2">
      <c r="A121" s="153">
        <v>46184</v>
      </c>
      <c r="B121" s="3">
        <f t="shared" si="9"/>
        <v>16</v>
      </c>
      <c r="C121" s="3" t="str">
        <f>+TEXT(Opex_VE[[#This Row],[Fecha]],"ddd")</f>
        <v>jue</v>
      </c>
      <c r="E121" s="14" t="s">
        <v>112</v>
      </c>
      <c r="F121" s="172">
        <f>IFERROR(VLOOKUP(Opex_VE[[#This Row],[Fecha]],Historia!A:B,2,0),_xlfn.XLOOKUP(Opex_VE[[#This Row],[dia]],Forecast!H:H,Forecast!I:I))</f>
        <v>234000</v>
      </c>
      <c r="G121" s="172">
        <f>IFERROR(VLOOKUP(Opex_VE[[#This Row],[Fecha]],Historia!A:C,3,0),_xlfn.XLOOKUP(Opex_VE[[#This Row],[dia]],Forecast!H:H,Forecast!J:J))</f>
        <v>93600</v>
      </c>
      <c r="H121" s="186">
        <f ca="1">+Opex_VE[[#This Row],[MG]]-Opex_VE[[#This Row],[Opex]]</f>
        <v>-127778.96666666667</v>
      </c>
      <c r="I121" s="172" t="str">
        <f>IFERROR(VLOOKUP(Opex_VE[[#This Row],[Fecha]],Historia!A:D,4,0),"Forecast")</f>
        <v>Forecast</v>
      </c>
      <c r="J121" s="161">
        <f t="shared" ca="1" si="8"/>
        <v>553447.41666666663</v>
      </c>
      <c r="K121" s="157">
        <f ca="1">+Opex_VE[[#This Row],[MG]]-Opex_VE[[#This Row],[Opex]]</f>
        <v>0</v>
      </c>
      <c r="L121" s="156">
        <f>+VLOOKUP($A121,Opex!$C:$Z,N$1,1)</f>
        <v>55000</v>
      </c>
      <c r="M121" s="157">
        <f ca="1">+Opex_VE[[#This Row],[Opex]]</f>
        <v>0</v>
      </c>
      <c r="N121" s="156">
        <f t="shared" si="6"/>
        <v>294635</v>
      </c>
      <c r="O121" s="156">
        <f>+VLOOKUP($A121,Opex!$C:$Z,Q$1,1)</f>
        <v>4000</v>
      </c>
      <c r="P121" s="156">
        <f t="shared" si="7"/>
        <v>290635</v>
      </c>
      <c r="Q121" s="156">
        <f>+VLOOKUP($A121,Opex!$C:$Z,R$1,1)</f>
        <v>10635</v>
      </c>
      <c r="R121" s="157">
        <f>+SUM(Opex_VE[[#This Row],[Cajero]:[Domiciliario]])</f>
        <v>140000</v>
      </c>
      <c r="S121" s="156">
        <v>70000</v>
      </c>
      <c r="T121" s="156">
        <v>70000</v>
      </c>
      <c r="U121" s="156">
        <v>0</v>
      </c>
      <c r="V121"/>
    </row>
    <row r="122" spans="1:22" x14ac:dyDescent="0.2">
      <c r="A122" s="153">
        <v>46185</v>
      </c>
      <c r="B122" s="3">
        <f t="shared" si="9"/>
        <v>16</v>
      </c>
      <c r="C122" s="3" t="str">
        <f>+TEXT(Opex_VE[[#This Row],[Fecha]],"ddd")</f>
        <v>vie</v>
      </c>
      <c r="E122" s="14" t="s">
        <v>217</v>
      </c>
      <c r="F122" s="172">
        <f>IFERROR(VLOOKUP(Opex_VE[[#This Row],[Fecha]],Historia!A:B,2,0),_xlfn.XLOOKUP(Opex_VE[[#This Row],[dia]],Forecast!H:H,Forecast!I:I))</f>
        <v>248000</v>
      </c>
      <c r="G122" s="172">
        <f>IFERROR(VLOOKUP(Opex_VE[[#This Row],[Fecha]],Historia!A:C,3,0),_xlfn.XLOOKUP(Opex_VE[[#This Row],[dia]],Forecast!H:H,Forecast!J:J))</f>
        <v>99200</v>
      </c>
      <c r="H122" s="186">
        <f ca="1">+Opex_VE[[#This Row],[MG]]-Opex_VE[[#This Row],[Opex]]</f>
        <v>-122178.96666666667</v>
      </c>
      <c r="I122" s="172" t="str">
        <f>IFERROR(VLOOKUP(Opex_VE[[#This Row],[Fecha]],Historia!A:D,4,0),"Forecast")</f>
        <v>Forecast</v>
      </c>
      <c r="J122" s="161">
        <f t="shared" ca="1" si="8"/>
        <v>553447.41666666663</v>
      </c>
      <c r="K122" s="157">
        <f ca="1">+Opex_VE[[#This Row],[MG]]-Opex_VE[[#This Row],[Opex]]</f>
        <v>0</v>
      </c>
      <c r="L122" s="156">
        <f>+VLOOKUP($A122,Opex!$C:$Z,N$1,1)</f>
        <v>55000</v>
      </c>
      <c r="M122" s="157">
        <f ca="1">+Opex_VE[[#This Row],[Opex]]</f>
        <v>0</v>
      </c>
      <c r="N122" s="156">
        <f t="shared" si="6"/>
        <v>294635</v>
      </c>
      <c r="O122" s="156">
        <f>+VLOOKUP($A122,Opex!$C:$Z,Q$1,1)</f>
        <v>4000</v>
      </c>
      <c r="P122" s="156">
        <f t="shared" si="7"/>
        <v>290635</v>
      </c>
      <c r="Q122" s="156">
        <f>+VLOOKUP($A122,Opex!$C:$Z,R$1,1)</f>
        <v>10635</v>
      </c>
      <c r="R122" s="157">
        <f>+SUM(Opex_VE[[#This Row],[Cajero]:[Domiciliario]])</f>
        <v>140000</v>
      </c>
      <c r="S122" s="156">
        <v>70000</v>
      </c>
      <c r="T122" s="156">
        <v>70000</v>
      </c>
      <c r="U122" s="156">
        <v>0</v>
      </c>
      <c r="V122"/>
    </row>
    <row r="123" spans="1:22" x14ac:dyDescent="0.2">
      <c r="A123" s="153">
        <v>46186</v>
      </c>
      <c r="B123" s="3">
        <f t="shared" si="9"/>
        <v>16</v>
      </c>
      <c r="C123" s="3" t="str">
        <f>+TEXT(Opex_VE[[#This Row],[Fecha]],"ddd")</f>
        <v>sáb</v>
      </c>
      <c r="E123" s="14" t="s">
        <v>113</v>
      </c>
      <c r="F123" s="172">
        <f>IFERROR(VLOOKUP(Opex_VE[[#This Row],[Fecha]],Historia!A:B,2,0),_xlfn.XLOOKUP(Opex_VE[[#This Row],[dia]],Forecast!H:H,Forecast!I:I))</f>
        <v>320800</v>
      </c>
      <c r="G123" s="172">
        <f>IFERROR(VLOOKUP(Opex_VE[[#This Row],[Fecha]],Historia!A:C,3,0),_xlfn.XLOOKUP(Opex_VE[[#This Row],[dia]],Forecast!H:H,Forecast!J:J))</f>
        <v>128320</v>
      </c>
      <c r="H123" s="186">
        <f ca="1">+Opex_VE[[#This Row],[MG]]-Opex_VE[[#This Row],[Opex]]</f>
        <v>-93058.966666666674</v>
      </c>
      <c r="I123" s="173" t="str">
        <f>IFERROR(VLOOKUP(Opex_VE[[#This Row],[Fecha]],Historia!A:D,4,0),"Forecast")</f>
        <v>Forecast</v>
      </c>
      <c r="J123" s="161">
        <f t="shared" ca="1" si="8"/>
        <v>553447.41666666663</v>
      </c>
      <c r="K123" s="157">
        <f ca="1">+Opex_VE[[#This Row],[MG]]-Opex_VE[[#This Row],[Opex]]</f>
        <v>0</v>
      </c>
      <c r="L123" s="156">
        <f>+VLOOKUP($A123,Opex!$C:$Z,N$1,1)</f>
        <v>55000</v>
      </c>
      <c r="M123" s="157">
        <f ca="1">+Opex_VE[[#This Row],[Opex]]</f>
        <v>0</v>
      </c>
      <c r="N123" s="156">
        <f t="shared" si="6"/>
        <v>294635</v>
      </c>
      <c r="O123" s="156">
        <f>+VLOOKUP($A123,Opex!$C:$Z,Q$1,1)</f>
        <v>4000</v>
      </c>
      <c r="P123" s="156">
        <f t="shared" si="7"/>
        <v>290635</v>
      </c>
      <c r="Q123" s="156">
        <f>+VLOOKUP($A123,Opex!$C:$Z,R$1,1)</f>
        <v>10635</v>
      </c>
      <c r="R123" s="157">
        <f>+SUM(Opex_VE[[#This Row],[Cajero]:[Domiciliario]])</f>
        <v>140000</v>
      </c>
      <c r="S123" s="156">
        <v>70000</v>
      </c>
      <c r="T123" s="156">
        <v>70000</v>
      </c>
      <c r="U123" s="156">
        <v>0</v>
      </c>
      <c r="V123"/>
    </row>
    <row r="124" spans="1:22" x14ac:dyDescent="0.2">
      <c r="A124" s="153">
        <v>46187</v>
      </c>
      <c r="B124" s="3">
        <f t="shared" si="9"/>
        <v>16</v>
      </c>
      <c r="C124" s="3" t="str">
        <f>+TEXT(Opex_VE[[#This Row],[Fecha]],"ddd")</f>
        <v>dom</v>
      </c>
      <c r="E124" s="14" t="s">
        <v>145</v>
      </c>
      <c r="F124" s="172">
        <f>IFERROR(VLOOKUP(Opex_VE[[#This Row],[Fecha]],Historia!A:B,2,0),_xlfn.XLOOKUP(Opex_VE[[#This Row],[dia]],Forecast!H:H,Forecast!I:I))</f>
        <v>218500</v>
      </c>
      <c r="G124" s="172">
        <f>IFERROR(VLOOKUP(Opex_VE[[#This Row],[Fecha]],Historia!A:C,3,0),_xlfn.XLOOKUP(Opex_VE[[#This Row],[dia]],Forecast!H:H,Forecast!J:J))</f>
        <v>87400</v>
      </c>
      <c r="H124" s="186">
        <f ca="1">+Opex_VE[[#This Row],[MG]]-Opex_VE[[#This Row],[Opex]]</f>
        <v>-133978.96666666667</v>
      </c>
      <c r="I124" s="172" t="str">
        <f>IFERROR(VLOOKUP(Opex_VE[[#This Row],[Fecha]],Historia!A:D,4,0),"Forecast")</f>
        <v>Forecast</v>
      </c>
      <c r="J124" s="161">
        <f t="shared" ca="1" si="8"/>
        <v>553447.41666666663</v>
      </c>
      <c r="K124" s="157">
        <f ca="1">+Opex_VE[[#This Row],[MG]]-Opex_VE[[#This Row],[Opex]]</f>
        <v>0</v>
      </c>
      <c r="L124" s="156">
        <f>+VLOOKUP($A124,Opex!$C:$Z,N$1,1)</f>
        <v>55000</v>
      </c>
      <c r="M124" s="157">
        <f ca="1">+Opex_VE[[#This Row],[Opex]]</f>
        <v>0</v>
      </c>
      <c r="N124" s="156">
        <f t="shared" si="6"/>
        <v>294635</v>
      </c>
      <c r="O124" s="156">
        <f>+VLOOKUP($A124,Opex!$C:$Z,Q$1,1)</f>
        <v>4000</v>
      </c>
      <c r="P124" s="156">
        <f t="shared" si="7"/>
        <v>290635</v>
      </c>
      <c r="Q124" s="156">
        <f>+VLOOKUP($A124,Opex!$C:$Z,R$1,1)</f>
        <v>10635</v>
      </c>
      <c r="R124" s="157">
        <f>+SUM(Opex_VE[[#This Row],[Cajero]:[Domiciliario]])</f>
        <v>140000</v>
      </c>
      <c r="S124" s="156">
        <v>70000</v>
      </c>
      <c r="T124" s="156">
        <v>70000</v>
      </c>
      <c r="U124" s="156">
        <v>0</v>
      </c>
      <c r="V124"/>
    </row>
    <row r="125" spans="1:22" x14ac:dyDescent="0.2">
      <c r="A125" s="153">
        <v>46188</v>
      </c>
      <c r="B125" s="3">
        <f t="shared" si="9"/>
        <v>17</v>
      </c>
      <c r="C125" s="3" t="str">
        <f>+TEXT(Opex_VE[[#This Row],[Fecha]],"ddd")</f>
        <v>lun</v>
      </c>
      <c r="E125" s="14" t="s">
        <v>112</v>
      </c>
      <c r="F125" s="172">
        <f>IFERROR(VLOOKUP(Opex_VE[[#This Row],[Fecha]],Historia!A:B,2,0),_xlfn.XLOOKUP(Opex_VE[[#This Row],[dia]],Forecast!H:H,Forecast!I:I))</f>
        <v>179200</v>
      </c>
      <c r="G125" s="172">
        <f>IFERROR(VLOOKUP(Opex_VE[[#This Row],[Fecha]],Historia!A:C,3,0),_xlfn.XLOOKUP(Opex_VE[[#This Row],[dia]],Forecast!H:H,Forecast!J:J))</f>
        <v>71680</v>
      </c>
      <c r="H125" s="186">
        <f ca="1">+Opex_VE[[#This Row],[MG]]-Opex_VE[[#This Row],[Opex]]</f>
        <v>-152505.13793103449</v>
      </c>
      <c r="I125" s="172" t="str">
        <f>IFERROR(VLOOKUP(Opex_VE[[#This Row],[Fecha]],Historia!A:D,4,0),"Forecast")</f>
        <v>Forecast</v>
      </c>
      <c r="J125" s="161">
        <f t="shared" ca="1" si="8"/>
        <v>560462.8448275862</v>
      </c>
      <c r="K125" s="157">
        <f ca="1">+Opex_VE[[#This Row],[MG]]-Opex_VE[[#This Row],[Opex]]</f>
        <v>0</v>
      </c>
      <c r="L125" s="156">
        <f>+VLOOKUP($A125,Opex!$C:$Z,N$1,1)</f>
        <v>56896.551724137928</v>
      </c>
      <c r="M125" s="157">
        <f ca="1">+Opex_VE[[#This Row],[Opex]]</f>
        <v>0</v>
      </c>
      <c r="N125" s="156">
        <f t="shared" si="6"/>
        <v>295139.6551724138</v>
      </c>
      <c r="O125" s="156">
        <f>+VLOOKUP($A125,Opex!$C:$Z,Q$1,1)</f>
        <v>4137.9310344827591</v>
      </c>
      <c r="P125" s="156">
        <f t="shared" si="7"/>
        <v>291001.72413793101</v>
      </c>
      <c r="Q125" s="156">
        <f>+VLOOKUP($A125,Opex!$C:$Z,R$1,1)</f>
        <v>11001.724137931034</v>
      </c>
      <c r="R125" s="157">
        <f>+SUM(Opex_VE[[#This Row],[Cajero]:[Domiciliario]])</f>
        <v>140000</v>
      </c>
      <c r="S125" s="156">
        <v>70000</v>
      </c>
      <c r="T125" s="156">
        <v>70000</v>
      </c>
      <c r="U125" s="156">
        <v>0</v>
      </c>
      <c r="V125"/>
    </row>
    <row r="126" spans="1:22" x14ac:dyDescent="0.2">
      <c r="A126" s="153">
        <v>46189</v>
      </c>
      <c r="B126" s="3">
        <f t="shared" si="9"/>
        <v>17</v>
      </c>
      <c r="C126" s="3" t="str">
        <f>+TEXT(Opex_VE[[#This Row],[Fecha]],"ddd")</f>
        <v>mar</v>
      </c>
      <c r="E126" s="14" t="s">
        <v>112</v>
      </c>
      <c r="F126" s="172">
        <f>IFERROR(VLOOKUP(Opex_VE[[#This Row],[Fecha]],Historia!A:B,2,0),_xlfn.XLOOKUP(Opex_VE[[#This Row],[dia]],Forecast!H:H,Forecast!I:I))</f>
        <v>195000</v>
      </c>
      <c r="G126" s="172">
        <f>IFERROR(VLOOKUP(Opex_VE[[#This Row],[Fecha]],Historia!A:C,3,0),_xlfn.XLOOKUP(Opex_VE[[#This Row],[dia]],Forecast!H:H,Forecast!J:J))</f>
        <v>78000</v>
      </c>
      <c r="H126" s="186">
        <f ca="1">+Opex_VE[[#This Row],[MG]]-Opex_VE[[#This Row],[Opex]]</f>
        <v>-146185.13793103449</v>
      </c>
      <c r="I126" s="172" t="str">
        <f>IFERROR(VLOOKUP(Opex_VE[[#This Row],[Fecha]],Historia!A:D,4,0),"Forecast")</f>
        <v>Forecast</v>
      </c>
      <c r="J126" s="161">
        <f t="shared" ca="1" si="8"/>
        <v>560462.8448275862</v>
      </c>
      <c r="K126" s="157">
        <f ca="1">+Opex_VE[[#This Row],[MG]]-Opex_VE[[#This Row],[Opex]]</f>
        <v>0</v>
      </c>
      <c r="L126" s="156">
        <f>+VLOOKUP($A126,Opex!$C:$Z,N$1,1)</f>
        <v>56896.551724137928</v>
      </c>
      <c r="M126" s="157">
        <f ca="1">+Opex_VE[[#This Row],[Opex]]</f>
        <v>0</v>
      </c>
      <c r="N126" s="156">
        <f t="shared" si="6"/>
        <v>295139.6551724138</v>
      </c>
      <c r="O126" s="156">
        <f>+VLOOKUP($A126,Opex!$C:$Z,Q$1,1)</f>
        <v>4137.9310344827591</v>
      </c>
      <c r="P126" s="156">
        <f t="shared" si="7"/>
        <v>291001.72413793101</v>
      </c>
      <c r="Q126" s="156">
        <f>+VLOOKUP($A126,Opex!$C:$Z,R$1,1)</f>
        <v>11001.724137931034</v>
      </c>
      <c r="R126" s="157">
        <f>+SUM(Opex_VE[[#This Row],[Cajero]:[Domiciliario]])</f>
        <v>140000</v>
      </c>
      <c r="S126" s="156">
        <v>70000</v>
      </c>
      <c r="T126" s="156">
        <v>70000</v>
      </c>
      <c r="U126" s="156">
        <v>0</v>
      </c>
      <c r="V126"/>
    </row>
    <row r="127" spans="1:22" x14ac:dyDescent="0.2">
      <c r="A127" s="153">
        <v>46190</v>
      </c>
      <c r="B127" s="3">
        <f t="shared" si="9"/>
        <v>17</v>
      </c>
      <c r="C127" s="3" t="str">
        <f>+TEXT(Opex_VE[[#This Row],[Fecha]],"ddd")</f>
        <v>mié</v>
      </c>
      <c r="E127" s="14" t="s">
        <v>112</v>
      </c>
      <c r="F127" s="172">
        <f>IFERROR(VLOOKUP(Opex_VE[[#This Row],[Fecha]],Historia!A:B,2,0),_xlfn.XLOOKUP(Opex_VE[[#This Row],[dia]],Forecast!H:H,Forecast!I:I))</f>
        <v>366750</v>
      </c>
      <c r="G127" s="172">
        <f>IFERROR(VLOOKUP(Opex_VE[[#This Row],[Fecha]],Historia!A:C,3,0),_xlfn.XLOOKUP(Opex_VE[[#This Row],[dia]],Forecast!H:H,Forecast!J:J))</f>
        <v>146700</v>
      </c>
      <c r="H127" s="186">
        <f ca="1">+Opex_VE[[#This Row],[MG]]-Opex_VE[[#This Row],[Opex]]</f>
        <v>-77485.137931034493</v>
      </c>
      <c r="I127" s="172" t="str">
        <f>IFERROR(VLOOKUP(Opex_VE[[#This Row],[Fecha]],Historia!A:D,4,0),"Forecast")</f>
        <v>Forecast</v>
      </c>
      <c r="J127" s="161">
        <f t="shared" ca="1" si="8"/>
        <v>560462.8448275862</v>
      </c>
      <c r="K127" s="157">
        <f ca="1">+Opex_VE[[#This Row],[MG]]-Opex_VE[[#This Row],[Opex]]</f>
        <v>0</v>
      </c>
      <c r="L127" s="156">
        <f>+VLOOKUP($A127,Opex!$C:$Z,N$1,1)</f>
        <v>56896.551724137928</v>
      </c>
      <c r="M127" s="157">
        <f ca="1">+Opex_VE[[#This Row],[Opex]]</f>
        <v>0</v>
      </c>
      <c r="N127" s="156">
        <f t="shared" si="6"/>
        <v>295139.6551724138</v>
      </c>
      <c r="O127" s="156">
        <f>+VLOOKUP($A127,Opex!$C:$Z,Q$1,1)</f>
        <v>4137.9310344827591</v>
      </c>
      <c r="P127" s="156">
        <f t="shared" si="7"/>
        <v>291001.72413793101</v>
      </c>
      <c r="Q127" s="156">
        <f>+VLOOKUP($A127,Opex!$C:$Z,R$1,1)</f>
        <v>11001.724137931034</v>
      </c>
      <c r="R127" s="157">
        <f>+SUM(Opex_VE[[#This Row],[Cajero]:[Domiciliario]])</f>
        <v>140000</v>
      </c>
      <c r="S127" s="156">
        <v>70000</v>
      </c>
      <c r="T127" s="156">
        <v>70000</v>
      </c>
      <c r="U127" s="156">
        <v>0</v>
      </c>
      <c r="V127"/>
    </row>
    <row r="128" spans="1:22" x14ac:dyDescent="0.2">
      <c r="A128" s="153">
        <v>46191</v>
      </c>
      <c r="B128" s="3">
        <f t="shared" si="9"/>
        <v>17</v>
      </c>
      <c r="C128" s="3" t="str">
        <f>+TEXT(Opex_VE[[#This Row],[Fecha]],"ddd")</f>
        <v>jue</v>
      </c>
      <c r="E128" s="14" t="s">
        <v>112</v>
      </c>
      <c r="F128" s="172">
        <f>IFERROR(VLOOKUP(Opex_VE[[#This Row],[Fecha]],Historia!A:B,2,0),_xlfn.XLOOKUP(Opex_VE[[#This Row],[dia]],Forecast!H:H,Forecast!I:I))</f>
        <v>234000</v>
      </c>
      <c r="G128" s="172">
        <f>IFERROR(VLOOKUP(Opex_VE[[#This Row],[Fecha]],Historia!A:C,3,0),_xlfn.XLOOKUP(Opex_VE[[#This Row],[dia]],Forecast!H:H,Forecast!J:J))</f>
        <v>93600</v>
      </c>
      <c r="H128" s="186">
        <f ca="1">+Opex_VE[[#This Row],[MG]]-Opex_VE[[#This Row],[Opex]]</f>
        <v>-130585.13793103449</v>
      </c>
      <c r="I128" s="172" t="str">
        <f>IFERROR(VLOOKUP(Opex_VE[[#This Row],[Fecha]],Historia!A:D,4,0),"Forecast")</f>
        <v>Forecast</v>
      </c>
      <c r="J128" s="161">
        <f t="shared" ca="1" si="8"/>
        <v>560462.8448275862</v>
      </c>
      <c r="K128" s="157">
        <f ca="1">+Opex_VE[[#This Row],[MG]]-Opex_VE[[#This Row],[Opex]]</f>
        <v>0</v>
      </c>
      <c r="L128" s="156">
        <f>+VLOOKUP($A128,Opex!$C:$Z,N$1,1)</f>
        <v>56896.551724137928</v>
      </c>
      <c r="M128" s="157">
        <f ca="1">+Opex_VE[[#This Row],[Opex]]</f>
        <v>0</v>
      </c>
      <c r="N128" s="156">
        <f t="shared" si="6"/>
        <v>295139.6551724138</v>
      </c>
      <c r="O128" s="156">
        <f>+VLOOKUP($A128,Opex!$C:$Z,Q$1,1)</f>
        <v>4137.9310344827591</v>
      </c>
      <c r="P128" s="156">
        <f t="shared" si="7"/>
        <v>291001.72413793101</v>
      </c>
      <c r="Q128" s="156">
        <f>+VLOOKUP($A128,Opex!$C:$Z,R$1,1)</f>
        <v>11001.724137931034</v>
      </c>
      <c r="R128" s="157">
        <f>+SUM(Opex_VE[[#This Row],[Cajero]:[Domiciliario]])</f>
        <v>140000</v>
      </c>
      <c r="S128" s="156">
        <v>70000</v>
      </c>
      <c r="T128" s="156">
        <v>70000</v>
      </c>
      <c r="U128" s="156">
        <v>0</v>
      </c>
      <c r="V128"/>
    </row>
    <row r="129" spans="1:22" x14ac:dyDescent="0.2">
      <c r="A129" s="153">
        <v>46192</v>
      </c>
      <c r="B129" s="3">
        <f t="shared" si="9"/>
        <v>17</v>
      </c>
      <c r="C129" s="3" t="str">
        <f>+TEXT(Opex_VE[[#This Row],[Fecha]],"ddd")</f>
        <v>vie</v>
      </c>
      <c r="E129" s="14" t="s">
        <v>217</v>
      </c>
      <c r="F129" s="172">
        <f>IFERROR(VLOOKUP(Opex_VE[[#This Row],[Fecha]],Historia!A:B,2,0),_xlfn.XLOOKUP(Opex_VE[[#This Row],[dia]],Forecast!H:H,Forecast!I:I))</f>
        <v>248000</v>
      </c>
      <c r="G129" s="172">
        <f>IFERROR(VLOOKUP(Opex_VE[[#This Row],[Fecha]],Historia!A:C,3,0),_xlfn.XLOOKUP(Opex_VE[[#This Row],[dia]],Forecast!H:H,Forecast!J:J))</f>
        <v>99200</v>
      </c>
      <c r="H129" s="186">
        <f ca="1">+Opex_VE[[#This Row],[MG]]-Opex_VE[[#This Row],[Opex]]</f>
        <v>-124985.13793103449</v>
      </c>
      <c r="I129" s="172" t="str">
        <f>IFERROR(VLOOKUP(Opex_VE[[#This Row],[Fecha]],Historia!A:D,4,0),"Forecast")</f>
        <v>Forecast</v>
      </c>
      <c r="J129" s="161">
        <f t="shared" ca="1" si="8"/>
        <v>560462.8448275862</v>
      </c>
      <c r="K129" s="157">
        <f ca="1">+Opex_VE[[#This Row],[MG]]-Opex_VE[[#This Row],[Opex]]</f>
        <v>0</v>
      </c>
      <c r="L129" s="156">
        <f>+VLOOKUP($A129,Opex!$C:$Z,N$1,1)</f>
        <v>56896.551724137928</v>
      </c>
      <c r="M129" s="157">
        <f ca="1">+Opex_VE[[#This Row],[Opex]]</f>
        <v>0</v>
      </c>
      <c r="N129" s="156">
        <f t="shared" si="6"/>
        <v>295139.6551724138</v>
      </c>
      <c r="O129" s="156">
        <f>+VLOOKUP($A129,Opex!$C:$Z,Q$1,1)</f>
        <v>4137.9310344827591</v>
      </c>
      <c r="P129" s="156">
        <f t="shared" si="7"/>
        <v>291001.72413793101</v>
      </c>
      <c r="Q129" s="156">
        <f>+VLOOKUP($A129,Opex!$C:$Z,R$1,1)</f>
        <v>11001.724137931034</v>
      </c>
      <c r="R129" s="157">
        <f>+SUM(Opex_VE[[#This Row],[Cajero]:[Domiciliario]])</f>
        <v>140000</v>
      </c>
      <c r="S129" s="156">
        <v>70000</v>
      </c>
      <c r="T129" s="156">
        <v>70000</v>
      </c>
      <c r="U129" s="156">
        <v>0</v>
      </c>
      <c r="V129"/>
    </row>
    <row r="130" spans="1:22" x14ac:dyDescent="0.2">
      <c r="A130" s="153">
        <v>46193</v>
      </c>
      <c r="B130" s="3">
        <f t="shared" si="9"/>
        <v>17</v>
      </c>
      <c r="C130" s="3" t="str">
        <f>+TEXT(Opex_VE[[#This Row],[Fecha]],"ddd")</f>
        <v>sáb</v>
      </c>
      <c r="E130" s="14" t="s">
        <v>113</v>
      </c>
      <c r="F130" s="172">
        <f>IFERROR(VLOOKUP(Opex_VE[[#This Row],[Fecha]],Historia!A:B,2,0),_xlfn.XLOOKUP(Opex_VE[[#This Row],[dia]],Forecast!H:H,Forecast!I:I))</f>
        <v>320800</v>
      </c>
      <c r="G130" s="172">
        <f>IFERROR(VLOOKUP(Opex_VE[[#This Row],[Fecha]],Historia!A:C,3,0),_xlfn.XLOOKUP(Opex_VE[[#This Row],[dia]],Forecast!H:H,Forecast!J:J))</f>
        <v>128320</v>
      </c>
      <c r="H130" s="186">
        <f ca="1">+Opex_VE[[#This Row],[MG]]-Opex_VE[[#This Row],[Opex]]</f>
        <v>-95865.137931034493</v>
      </c>
      <c r="I130" s="173" t="str">
        <f>IFERROR(VLOOKUP(Opex_VE[[#This Row],[Fecha]],Historia!A:D,4,0),"Forecast")</f>
        <v>Forecast</v>
      </c>
      <c r="J130" s="161">
        <f t="shared" ca="1" si="8"/>
        <v>560462.8448275862</v>
      </c>
      <c r="K130" s="157">
        <f ca="1">+Opex_VE[[#This Row],[MG]]-Opex_VE[[#This Row],[Opex]]</f>
        <v>0</v>
      </c>
      <c r="L130" s="156">
        <f>+VLOOKUP($A130,Opex!$C:$Z,N$1,1)</f>
        <v>56896.551724137928</v>
      </c>
      <c r="M130" s="157">
        <f ca="1">+Opex_VE[[#This Row],[Opex]]</f>
        <v>0</v>
      </c>
      <c r="N130" s="156">
        <f t="shared" si="6"/>
        <v>295139.6551724138</v>
      </c>
      <c r="O130" s="156">
        <f>+VLOOKUP($A130,Opex!$C:$Z,Q$1,1)</f>
        <v>4137.9310344827591</v>
      </c>
      <c r="P130" s="156">
        <f t="shared" si="7"/>
        <v>291001.72413793101</v>
      </c>
      <c r="Q130" s="156">
        <f>+VLOOKUP($A130,Opex!$C:$Z,R$1,1)</f>
        <v>11001.724137931034</v>
      </c>
      <c r="R130" s="157">
        <f>+SUM(Opex_VE[[#This Row],[Cajero]:[Domiciliario]])</f>
        <v>140000</v>
      </c>
      <c r="S130" s="156">
        <v>70000</v>
      </c>
      <c r="T130" s="156">
        <v>70000</v>
      </c>
      <c r="U130" s="156">
        <v>0</v>
      </c>
      <c r="V130"/>
    </row>
    <row r="131" spans="1:22" x14ac:dyDescent="0.2">
      <c r="A131" s="153">
        <v>46194</v>
      </c>
      <c r="B131" s="3">
        <f t="shared" si="9"/>
        <v>17</v>
      </c>
      <c r="C131" s="3" t="str">
        <f>+TEXT(Opex_VE[[#This Row],[Fecha]],"ddd")</f>
        <v>dom</v>
      </c>
      <c r="E131" s="14" t="s">
        <v>145</v>
      </c>
      <c r="F131" s="172">
        <f>IFERROR(VLOOKUP(Opex_VE[[#This Row],[Fecha]],Historia!A:B,2,0),_xlfn.XLOOKUP(Opex_VE[[#This Row],[dia]],Forecast!H:H,Forecast!I:I))</f>
        <v>218500</v>
      </c>
      <c r="G131" s="172">
        <f>IFERROR(VLOOKUP(Opex_VE[[#This Row],[Fecha]],Historia!A:C,3,0),_xlfn.XLOOKUP(Opex_VE[[#This Row],[dia]],Forecast!H:H,Forecast!J:J))</f>
        <v>87400</v>
      </c>
      <c r="H131" s="186">
        <f ca="1">+Opex_VE[[#This Row],[MG]]-Opex_VE[[#This Row],[Opex]]</f>
        <v>-136785.13793103449</v>
      </c>
      <c r="I131" s="172" t="str">
        <f>IFERROR(VLOOKUP(Opex_VE[[#This Row],[Fecha]],Historia!A:D,4,0),"Forecast")</f>
        <v>Forecast</v>
      </c>
      <c r="J131" s="161">
        <f t="shared" ca="1" si="8"/>
        <v>560462.8448275862</v>
      </c>
      <c r="K131" s="157">
        <f ca="1">+Opex_VE[[#This Row],[MG]]-Opex_VE[[#This Row],[Opex]]</f>
        <v>0</v>
      </c>
      <c r="L131" s="156">
        <f>+VLOOKUP($A131,Opex!$C:$Z,N$1,1)</f>
        <v>56896.551724137928</v>
      </c>
      <c r="M131" s="157">
        <f ca="1">+Opex_VE[[#This Row],[Opex]]</f>
        <v>0</v>
      </c>
      <c r="N131" s="156">
        <f t="shared" ref="N131:N194" si="10">+SUM(O131,P131,U131)</f>
        <v>295139.6551724138</v>
      </c>
      <c r="O131" s="156">
        <f>+VLOOKUP($A131,Opex!$C:$Z,Q$1,1)</f>
        <v>4137.9310344827591</v>
      </c>
      <c r="P131" s="156">
        <f t="shared" ref="P131:P194" si="11">+SUM(Q131:T131)</f>
        <v>291001.72413793101</v>
      </c>
      <c r="Q131" s="156">
        <f>+VLOOKUP($A131,Opex!$C:$Z,R$1,1)</f>
        <v>11001.724137931034</v>
      </c>
      <c r="R131" s="157">
        <f>+SUM(Opex_VE[[#This Row],[Cajero]:[Domiciliario]])</f>
        <v>140000</v>
      </c>
      <c r="S131" s="156">
        <v>70000</v>
      </c>
      <c r="T131" s="156">
        <v>70000</v>
      </c>
      <c r="U131" s="156">
        <v>0</v>
      </c>
      <c r="V131"/>
    </row>
    <row r="132" spans="1:22" x14ac:dyDescent="0.2">
      <c r="A132" s="153">
        <v>46195</v>
      </c>
      <c r="B132" s="3">
        <f t="shared" si="9"/>
        <v>18</v>
      </c>
      <c r="C132" s="3" t="str">
        <f>+TEXT(Opex_VE[[#This Row],[Fecha]],"ddd")</f>
        <v>lun</v>
      </c>
      <c r="E132" s="14" t="s">
        <v>112</v>
      </c>
      <c r="F132" s="172">
        <f>IFERROR(VLOOKUP(Opex_VE[[#This Row],[Fecha]],Historia!A:B,2,0),_xlfn.XLOOKUP(Opex_VE[[#This Row],[dia]],Forecast!H:H,Forecast!I:I))</f>
        <v>179200</v>
      </c>
      <c r="G132" s="172">
        <f>IFERROR(VLOOKUP(Opex_VE[[#This Row],[Fecha]],Historia!A:C,3,0),_xlfn.XLOOKUP(Opex_VE[[#This Row],[dia]],Forecast!H:H,Forecast!J:J))</f>
        <v>71680</v>
      </c>
      <c r="H132" s="186">
        <f ca="1">+Opex_VE[[#This Row],[MG]]-Opex_VE[[#This Row],[Opex]]</f>
        <v>-152505.13793103449</v>
      </c>
      <c r="I132" s="172" t="str">
        <f>IFERROR(VLOOKUP(Opex_VE[[#This Row],[Fecha]],Historia!A:D,4,0),"Forecast")</f>
        <v>Forecast</v>
      </c>
      <c r="J132" s="161">
        <f t="shared" ca="1" si="8"/>
        <v>560462.8448275862</v>
      </c>
      <c r="K132" s="157">
        <f ca="1">+Opex_VE[[#This Row],[MG]]-Opex_VE[[#This Row],[Opex]]</f>
        <v>0</v>
      </c>
      <c r="L132" s="156">
        <f>+VLOOKUP($A132,Opex!$C:$Z,N$1,1)</f>
        <v>56896.551724137928</v>
      </c>
      <c r="M132" s="157">
        <f ca="1">+Opex_VE[[#This Row],[Opex]]</f>
        <v>0</v>
      </c>
      <c r="N132" s="156">
        <f t="shared" si="10"/>
        <v>295139.6551724138</v>
      </c>
      <c r="O132" s="156">
        <f>+VLOOKUP($A132,Opex!$C:$Z,Q$1,1)</f>
        <v>4137.9310344827591</v>
      </c>
      <c r="P132" s="156">
        <f t="shared" si="11"/>
        <v>291001.72413793101</v>
      </c>
      <c r="Q132" s="156">
        <f>+VLOOKUP($A132,Opex!$C:$Z,R$1,1)</f>
        <v>11001.724137931034</v>
      </c>
      <c r="R132" s="157">
        <f>+SUM(Opex_VE[[#This Row],[Cajero]:[Domiciliario]])</f>
        <v>140000</v>
      </c>
      <c r="S132" s="156">
        <v>70000</v>
      </c>
      <c r="T132" s="156">
        <v>70000</v>
      </c>
      <c r="U132" s="156">
        <v>0</v>
      </c>
      <c r="V132"/>
    </row>
    <row r="133" spans="1:22" x14ac:dyDescent="0.2">
      <c r="A133" s="153">
        <v>46196</v>
      </c>
      <c r="B133" s="3">
        <f t="shared" si="9"/>
        <v>18</v>
      </c>
      <c r="C133" s="3" t="str">
        <f>+TEXT(Opex_VE[[#This Row],[Fecha]],"ddd")</f>
        <v>mar</v>
      </c>
      <c r="E133" s="14" t="s">
        <v>112</v>
      </c>
      <c r="F133" s="172">
        <f>IFERROR(VLOOKUP(Opex_VE[[#This Row],[Fecha]],Historia!A:B,2,0),_xlfn.XLOOKUP(Opex_VE[[#This Row],[dia]],Forecast!H:H,Forecast!I:I))</f>
        <v>195000</v>
      </c>
      <c r="G133" s="172">
        <f>IFERROR(VLOOKUP(Opex_VE[[#This Row],[Fecha]],Historia!A:C,3,0),_xlfn.XLOOKUP(Opex_VE[[#This Row],[dia]],Forecast!H:H,Forecast!J:J))</f>
        <v>78000</v>
      </c>
      <c r="H133" s="186">
        <f ca="1">+Opex_VE[[#This Row],[MG]]-Opex_VE[[#This Row],[Opex]]</f>
        <v>-146185.13793103449</v>
      </c>
      <c r="I133" s="172" t="str">
        <f>IFERROR(VLOOKUP(Opex_VE[[#This Row],[Fecha]],Historia!A:D,4,0),"Forecast")</f>
        <v>Forecast</v>
      </c>
      <c r="J133" s="161">
        <f t="shared" ca="1" si="8"/>
        <v>560462.8448275862</v>
      </c>
      <c r="K133" s="157">
        <f ca="1">+Opex_VE[[#This Row],[MG]]-Opex_VE[[#This Row],[Opex]]</f>
        <v>0</v>
      </c>
      <c r="L133" s="156">
        <f>+VLOOKUP($A133,Opex!$C:$Z,N$1,1)</f>
        <v>56896.551724137928</v>
      </c>
      <c r="M133" s="157">
        <f ca="1">+Opex_VE[[#This Row],[Opex]]</f>
        <v>0</v>
      </c>
      <c r="N133" s="156">
        <f t="shared" si="10"/>
        <v>295139.6551724138</v>
      </c>
      <c r="O133" s="156">
        <f>+VLOOKUP($A133,Opex!$C:$Z,Q$1,1)</f>
        <v>4137.9310344827591</v>
      </c>
      <c r="P133" s="156">
        <f t="shared" si="11"/>
        <v>291001.72413793101</v>
      </c>
      <c r="Q133" s="156">
        <f>+VLOOKUP($A133,Opex!$C:$Z,R$1,1)</f>
        <v>11001.724137931034</v>
      </c>
      <c r="R133" s="157">
        <f>+SUM(Opex_VE[[#This Row],[Cajero]:[Domiciliario]])</f>
        <v>140000</v>
      </c>
      <c r="S133" s="156">
        <v>70000</v>
      </c>
      <c r="T133" s="156">
        <v>70000</v>
      </c>
      <c r="U133" s="156">
        <v>0</v>
      </c>
      <c r="V133"/>
    </row>
    <row r="134" spans="1:22" x14ac:dyDescent="0.2">
      <c r="A134" s="153">
        <v>46197</v>
      </c>
      <c r="B134" s="3">
        <f t="shared" si="9"/>
        <v>18</v>
      </c>
      <c r="C134" s="3" t="str">
        <f>+TEXT(Opex_VE[[#This Row],[Fecha]],"ddd")</f>
        <v>mié</v>
      </c>
      <c r="E134" s="14" t="s">
        <v>112</v>
      </c>
      <c r="F134" s="172">
        <f>IFERROR(VLOOKUP(Opex_VE[[#This Row],[Fecha]],Historia!A:B,2,0),_xlfn.XLOOKUP(Opex_VE[[#This Row],[dia]],Forecast!H:H,Forecast!I:I))</f>
        <v>366750</v>
      </c>
      <c r="G134" s="172">
        <f>IFERROR(VLOOKUP(Opex_VE[[#This Row],[Fecha]],Historia!A:C,3,0),_xlfn.XLOOKUP(Opex_VE[[#This Row],[dia]],Forecast!H:H,Forecast!J:J))</f>
        <v>146700</v>
      </c>
      <c r="H134" s="186">
        <f ca="1">+Opex_VE[[#This Row],[MG]]-Opex_VE[[#This Row],[Opex]]</f>
        <v>-77485.137931034493</v>
      </c>
      <c r="I134" s="172" t="str">
        <f>IFERROR(VLOOKUP(Opex_VE[[#This Row],[Fecha]],Historia!A:D,4,0),"Forecast")</f>
        <v>Forecast</v>
      </c>
      <c r="J134" s="161">
        <f t="shared" ca="1" si="8"/>
        <v>560462.8448275862</v>
      </c>
      <c r="K134" s="157">
        <f ca="1">+Opex_VE[[#This Row],[MG]]-Opex_VE[[#This Row],[Opex]]</f>
        <v>0</v>
      </c>
      <c r="L134" s="156">
        <f>+VLOOKUP($A134,Opex!$C:$Z,N$1,1)</f>
        <v>56896.551724137928</v>
      </c>
      <c r="M134" s="157">
        <f ca="1">+Opex_VE[[#This Row],[Opex]]</f>
        <v>0</v>
      </c>
      <c r="N134" s="156">
        <f t="shared" si="10"/>
        <v>295139.6551724138</v>
      </c>
      <c r="O134" s="156">
        <f>+VLOOKUP($A134,Opex!$C:$Z,Q$1,1)</f>
        <v>4137.9310344827591</v>
      </c>
      <c r="P134" s="156">
        <f t="shared" si="11"/>
        <v>291001.72413793101</v>
      </c>
      <c r="Q134" s="156">
        <f>+VLOOKUP($A134,Opex!$C:$Z,R$1,1)</f>
        <v>11001.724137931034</v>
      </c>
      <c r="R134" s="157">
        <f>+SUM(Opex_VE[[#This Row],[Cajero]:[Domiciliario]])</f>
        <v>140000</v>
      </c>
      <c r="S134" s="156">
        <v>70000</v>
      </c>
      <c r="T134" s="156">
        <v>70000</v>
      </c>
      <c r="U134" s="156">
        <v>0</v>
      </c>
      <c r="V134"/>
    </row>
    <row r="135" spans="1:22" x14ac:dyDescent="0.2">
      <c r="A135" s="153">
        <v>46198</v>
      </c>
      <c r="B135" s="3">
        <f t="shared" si="9"/>
        <v>18</v>
      </c>
      <c r="C135" s="3" t="str">
        <f>+TEXT(Opex_VE[[#This Row],[Fecha]],"ddd")</f>
        <v>jue</v>
      </c>
      <c r="E135" s="14" t="s">
        <v>112</v>
      </c>
      <c r="F135" s="172">
        <f>IFERROR(VLOOKUP(Opex_VE[[#This Row],[Fecha]],Historia!A:B,2,0),_xlfn.XLOOKUP(Opex_VE[[#This Row],[dia]],Forecast!H:H,Forecast!I:I))</f>
        <v>234000</v>
      </c>
      <c r="G135" s="172">
        <f>IFERROR(VLOOKUP(Opex_VE[[#This Row],[Fecha]],Historia!A:C,3,0),_xlfn.XLOOKUP(Opex_VE[[#This Row],[dia]],Forecast!H:H,Forecast!J:J))</f>
        <v>93600</v>
      </c>
      <c r="H135" s="186">
        <f ca="1">+Opex_VE[[#This Row],[MG]]-Opex_VE[[#This Row],[Opex]]</f>
        <v>-130585.13793103449</v>
      </c>
      <c r="I135" s="172" t="str">
        <f>IFERROR(VLOOKUP(Opex_VE[[#This Row],[Fecha]],Historia!A:D,4,0),"Forecast")</f>
        <v>Forecast</v>
      </c>
      <c r="J135" s="161">
        <f t="shared" ca="1" si="8"/>
        <v>560462.8448275862</v>
      </c>
      <c r="K135" s="157">
        <f ca="1">+Opex_VE[[#This Row],[MG]]-Opex_VE[[#This Row],[Opex]]</f>
        <v>0</v>
      </c>
      <c r="L135" s="156">
        <f>+VLOOKUP($A135,Opex!$C:$Z,N$1,1)</f>
        <v>56896.551724137928</v>
      </c>
      <c r="M135" s="157">
        <f ca="1">+Opex_VE[[#This Row],[Opex]]</f>
        <v>0</v>
      </c>
      <c r="N135" s="156">
        <f t="shared" si="10"/>
        <v>295139.6551724138</v>
      </c>
      <c r="O135" s="156">
        <f>+VLOOKUP($A135,Opex!$C:$Z,Q$1,1)</f>
        <v>4137.9310344827591</v>
      </c>
      <c r="P135" s="156">
        <f t="shared" si="11"/>
        <v>291001.72413793101</v>
      </c>
      <c r="Q135" s="156">
        <f>+VLOOKUP($A135,Opex!$C:$Z,R$1,1)</f>
        <v>11001.724137931034</v>
      </c>
      <c r="R135" s="157">
        <f>+SUM(Opex_VE[[#This Row],[Cajero]:[Domiciliario]])</f>
        <v>140000</v>
      </c>
      <c r="S135" s="156">
        <v>70000</v>
      </c>
      <c r="T135" s="156">
        <v>70000</v>
      </c>
      <c r="U135" s="156">
        <v>0</v>
      </c>
      <c r="V135"/>
    </row>
    <row r="136" spans="1:22" x14ac:dyDescent="0.2">
      <c r="A136" s="153">
        <v>46199</v>
      </c>
      <c r="B136" s="3">
        <f t="shared" si="9"/>
        <v>18</v>
      </c>
      <c r="C136" s="3" t="str">
        <f>+TEXT(Opex_VE[[#This Row],[Fecha]],"ddd")</f>
        <v>vie</v>
      </c>
      <c r="E136" s="14" t="s">
        <v>217</v>
      </c>
      <c r="F136" s="172">
        <f>IFERROR(VLOOKUP(Opex_VE[[#This Row],[Fecha]],Historia!A:B,2,0),_xlfn.XLOOKUP(Opex_VE[[#This Row],[dia]],Forecast!H:H,Forecast!I:I))</f>
        <v>248000</v>
      </c>
      <c r="G136" s="172">
        <f>IFERROR(VLOOKUP(Opex_VE[[#This Row],[Fecha]],Historia!A:C,3,0),_xlfn.XLOOKUP(Opex_VE[[#This Row],[dia]],Forecast!H:H,Forecast!J:J))</f>
        <v>99200</v>
      </c>
      <c r="H136" s="186">
        <f ca="1">+Opex_VE[[#This Row],[MG]]-Opex_VE[[#This Row],[Opex]]</f>
        <v>-124985.13793103449</v>
      </c>
      <c r="I136" s="172" t="str">
        <f>IFERROR(VLOOKUP(Opex_VE[[#This Row],[Fecha]],Historia!A:D,4,0),"Forecast")</f>
        <v>Forecast</v>
      </c>
      <c r="J136" s="161">
        <f t="shared" ca="1" si="8"/>
        <v>560462.8448275862</v>
      </c>
      <c r="K136" s="157">
        <f ca="1">+Opex_VE[[#This Row],[MG]]-Opex_VE[[#This Row],[Opex]]</f>
        <v>0</v>
      </c>
      <c r="L136" s="156">
        <f>+VLOOKUP($A136,Opex!$C:$Z,N$1,1)</f>
        <v>56896.551724137928</v>
      </c>
      <c r="M136" s="157">
        <f ca="1">+Opex_VE[[#This Row],[Opex]]</f>
        <v>0</v>
      </c>
      <c r="N136" s="156">
        <f t="shared" si="10"/>
        <v>295139.6551724138</v>
      </c>
      <c r="O136" s="156">
        <f>+VLOOKUP($A136,Opex!$C:$Z,Q$1,1)</f>
        <v>4137.9310344827591</v>
      </c>
      <c r="P136" s="156">
        <f t="shared" si="11"/>
        <v>291001.72413793101</v>
      </c>
      <c r="Q136" s="156">
        <f>+VLOOKUP($A136,Opex!$C:$Z,R$1,1)</f>
        <v>11001.724137931034</v>
      </c>
      <c r="R136" s="157">
        <f>+SUM(Opex_VE[[#This Row],[Cajero]:[Domiciliario]])</f>
        <v>140000</v>
      </c>
      <c r="S136" s="156">
        <v>70000</v>
      </c>
      <c r="T136" s="156">
        <v>70000</v>
      </c>
      <c r="U136" s="156">
        <v>0</v>
      </c>
      <c r="V136"/>
    </row>
    <row r="137" spans="1:22" x14ac:dyDescent="0.2">
      <c r="A137" s="153">
        <v>46200</v>
      </c>
      <c r="B137" s="3">
        <f t="shared" si="9"/>
        <v>18</v>
      </c>
      <c r="C137" s="3" t="str">
        <f>+TEXT(Opex_VE[[#This Row],[Fecha]],"ddd")</f>
        <v>sáb</v>
      </c>
      <c r="E137" s="14" t="s">
        <v>113</v>
      </c>
      <c r="F137" s="172">
        <f>IFERROR(VLOOKUP(Opex_VE[[#This Row],[Fecha]],Historia!A:B,2,0),_xlfn.XLOOKUP(Opex_VE[[#This Row],[dia]],Forecast!H:H,Forecast!I:I))</f>
        <v>320800</v>
      </c>
      <c r="G137" s="172">
        <f>IFERROR(VLOOKUP(Opex_VE[[#This Row],[Fecha]],Historia!A:C,3,0),_xlfn.XLOOKUP(Opex_VE[[#This Row],[dia]],Forecast!H:H,Forecast!J:J))</f>
        <v>128320</v>
      </c>
      <c r="H137" s="186">
        <f ca="1">+Opex_VE[[#This Row],[MG]]-Opex_VE[[#This Row],[Opex]]</f>
        <v>-95865.137931034493</v>
      </c>
      <c r="I137" s="173" t="str">
        <f>IFERROR(VLOOKUP(Opex_VE[[#This Row],[Fecha]],Historia!A:D,4,0),"Forecast")</f>
        <v>Forecast</v>
      </c>
      <c r="J137" s="161">
        <f t="shared" ca="1" si="8"/>
        <v>560462.8448275862</v>
      </c>
      <c r="K137" s="157">
        <f ca="1">+Opex_VE[[#This Row],[MG]]-Opex_VE[[#This Row],[Opex]]</f>
        <v>0</v>
      </c>
      <c r="L137" s="156">
        <f>+VLOOKUP($A137,Opex!$C:$Z,N$1,1)</f>
        <v>56896.551724137928</v>
      </c>
      <c r="M137" s="157">
        <f ca="1">+Opex_VE[[#This Row],[Opex]]</f>
        <v>0</v>
      </c>
      <c r="N137" s="156">
        <f t="shared" si="10"/>
        <v>295139.6551724138</v>
      </c>
      <c r="O137" s="156">
        <f>+VLOOKUP($A137,Opex!$C:$Z,Q$1,1)</f>
        <v>4137.9310344827591</v>
      </c>
      <c r="P137" s="156">
        <f t="shared" si="11"/>
        <v>291001.72413793101</v>
      </c>
      <c r="Q137" s="156">
        <f>+VLOOKUP($A137,Opex!$C:$Z,R$1,1)</f>
        <v>11001.724137931034</v>
      </c>
      <c r="R137" s="157">
        <f>+SUM(Opex_VE[[#This Row],[Cajero]:[Domiciliario]])</f>
        <v>140000</v>
      </c>
      <c r="S137" s="156">
        <v>70000</v>
      </c>
      <c r="T137" s="156">
        <v>70000</v>
      </c>
      <c r="U137" s="156">
        <v>0</v>
      </c>
      <c r="V137"/>
    </row>
    <row r="138" spans="1:22" x14ac:dyDescent="0.2">
      <c r="A138" s="153">
        <v>46201</v>
      </c>
      <c r="B138" s="3">
        <f t="shared" si="9"/>
        <v>18</v>
      </c>
      <c r="C138" s="3" t="str">
        <f>+TEXT(Opex_VE[[#This Row],[Fecha]],"ddd")</f>
        <v>dom</v>
      </c>
      <c r="E138" s="14" t="s">
        <v>145</v>
      </c>
      <c r="F138" s="172">
        <f>IFERROR(VLOOKUP(Opex_VE[[#This Row],[Fecha]],Historia!A:B,2,0),_xlfn.XLOOKUP(Opex_VE[[#This Row],[dia]],Forecast!H:H,Forecast!I:I))</f>
        <v>218500</v>
      </c>
      <c r="G138" s="172">
        <f>IFERROR(VLOOKUP(Opex_VE[[#This Row],[Fecha]],Historia!A:C,3,0),_xlfn.XLOOKUP(Opex_VE[[#This Row],[dia]],Forecast!H:H,Forecast!J:J))</f>
        <v>87400</v>
      </c>
      <c r="H138" s="186">
        <f ca="1">+Opex_VE[[#This Row],[MG]]-Opex_VE[[#This Row],[Opex]]</f>
        <v>-136785.13793103449</v>
      </c>
      <c r="I138" s="172" t="str">
        <f>IFERROR(VLOOKUP(Opex_VE[[#This Row],[Fecha]],Historia!A:D,4,0),"Forecast")</f>
        <v>Forecast</v>
      </c>
      <c r="J138" s="161">
        <f t="shared" ca="1" si="8"/>
        <v>560462.8448275862</v>
      </c>
      <c r="K138" s="157">
        <f ca="1">+Opex_VE[[#This Row],[MG]]-Opex_VE[[#This Row],[Opex]]</f>
        <v>0</v>
      </c>
      <c r="L138" s="156">
        <f>+VLOOKUP($A138,Opex!$C:$Z,N$1,1)</f>
        <v>56896.551724137928</v>
      </c>
      <c r="M138" s="157">
        <f ca="1">+Opex_VE[[#This Row],[Opex]]</f>
        <v>0</v>
      </c>
      <c r="N138" s="156">
        <f t="shared" si="10"/>
        <v>295139.6551724138</v>
      </c>
      <c r="O138" s="156">
        <f>+VLOOKUP($A138,Opex!$C:$Z,Q$1,1)</f>
        <v>4137.9310344827591</v>
      </c>
      <c r="P138" s="156">
        <f t="shared" si="11"/>
        <v>291001.72413793101</v>
      </c>
      <c r="Q138" s="156">
        <f>+VLOOKUP($A138,Opex!$C:$Z,R$1,1)</f>
        <v>11001.724137931034</v>
      </c>
      <c r="R138" s="157">
        <f>+SUM(Opex_VE[[#This Row],[Cajero]:[Domiciliario]])</f>
        <v>140000</v>
      </c>
      <c r="S138" s="156">
        <v>70000</v>
      </c>
      <c r="T138" s="156">
        <v>70000</v>
      </c>
      <c r="U138" s="156">
        <v>0</v>
      </c>
      <c r="V138"/>
    </row>
    <row r="139" spans="1:22" x14ac:dyDescent="0.2">
      <c r="A139" s="153">
        <v>46202</v>
      </c>
      <c r="B139" s="3">
        <f t="shared" si="9"/>
        <v>19</v>
      </c>
      <c r="C139" s="3" t="str">
        <f>+TEXT(Opex_VE[[#This Row],[Fecha]],"ddd")</f>
        <v>lun</v>
      </c>
      <c r="E139" s="14" t="s">
        <v>112</v>
      </c>
      <c r="F139" s="172">
        <f>IFERROR(VLOOKUP(Opex_VE[[#This Row],[Fecha]],Historia!A:B,2,0),_xlfn.XLOOKUP(Opex_VE[[#This Row],[dia]],Forecast!H:H,Forecast!I:I))</f>
        <v>179200</v>
      </c>
      <c r="G139" s="172">
        <f>IFERROR(VLOOKUP(Opex_VE[[#This Row],[Fecha]],Historia!A:C,3,0),_xlfn.XLOOKUP(Opex_VE[[#This Row],[dia]],Forecast!H:H,Forecast!J:J))</f>
        <v>71680</v>
      </c>
      <c r="H139" s="186">
        <f ca="1">+Opex_VE[[#This Row],[MG]]-Opex_VE[[#This Row],[Opex]]</f>
        <v>-152505.13793103449</v>
      </c>
      <c r="I139" s="172" t="str">
        <f>IFERROR(VLOOKUP(Opex_VE[[#This Row],[Fecha]],Historia!A:D,4,0),"Forecast")</f>
        <v>Forecast</v>
      </c>
      <c r="J139" s="161">
        <f t="shared" ca="1" si="8"/>
        <v>560462.8448275862</v>
      </c>
      <c r="K139" s="157">
        <f ca="1">+Opex_VE[[#This Row],[MG]]-Opex_VE[[#This Row],[Opex]]</f>
        <v>0</v>
      </c>
      <c r="L139" s="156">
        <f>+VLOOKUP($A139,Opex!$C:$Z,N$1,1)</f>
        <v>56896.551724137928</v>
      </c>
      <c r="M139" s="157">
        <f ca="1">+Opex_VE[[#This Row],[Opex]]</f>
        <v>0</v>
      </c>
      <c r="N139" s="156">
        <f t="shared" si="10"/>
        <v>295139.6551724138</v>
      </c>
      <c r="O139" s="156">
        <f>+VLOOKUP($A139,Opex!$C:$Z,Q$1,1)</f>
        <v>4137.9310344827591</v>
      </c>
      <c r="P139" s="156">
        <f t="shared" si="11"/>
        <v>291001.72413793101</v>
      </c>
      <c r="Q139" s="156">
        <f>+VLOOKUP($A139,Opex!$C:$Z,R$1,1)</f>
        <v>11001.724137931034</v>
      </c>
      <c r="R139" s="157">
        <f>+SUM(Opex_VE[[#This Row],[Cajero]:[Domiciliario]])</f>
        <v>140000</v>
      </c>
      <c r="S139" s="156">
        <v>70000</v>
      </c>
      <c r="T139" s="156">
        <v>70000</v>
      </c>
      <c r="U139" s="156">
        <v>0</v>
      </c>
      <c r="V139"/>
    </row>
    <row r="140" spans="1:22" x14ac:dyDescent="0.2">
      <c r="A140" s="153">
        <v>46203</v>
      </c>
      <c r="B140" s="3">
        <f t="shared" si="9"/>
        <v>19</v>
      </c>
      <c r="C140" s="3" t="str">
        <f>+TEXT(Opex_VE[[#This Row],[Fecha]],"ddd")</f>
        <v>mar</v>
      </c>
      <c r="E140" s="14" t="s">
        <v>112</v>
      </c>
      <c r="F140" s="172">
        <f>IFERROR(VLOOKUP(Opex_VE[[#This Row],[Fecha]],Historia!A:B,2,0),_xlfn.XLOOKUP(Opex_VE[[#This Row],[dia]],Forecast!H:H,Forecast!I:I))</f>
        <v>195000</v>
      </c>
      <c r="G140" s="172">
        <f>IFERROR(VLOOKUP(Opex_VE[[#This Row],[Fecha]],Historia!A:C,3,0),_xlfn.XLOOKUP(Opex_VE[[#This Row],[dia]],Forecast!H:H,Forecast!J:J))</f>
        <v>78000</v>
      </c>
      <c r="H140" s="186">
        <f ca="1">+Opex_VE[[#This Row],[MG]]-Opex_VE[[#This Row],[Opex]]</f>
        <v>-146185.13793103449</v>
      </c>
      <c r="I140" s="172" t="str">
        <f>IFERROR(VLOOKUP(Opex_VE[[#This Row],[Fecha]],Historia!A:D,4,0),"Forecast")</f>
        <v>Forecast</v>
      </c>
      <c r="J140" s="161">
        <f t="shared" ca="1" si="8"/>
        <v>560462.8448275862</v>
      </c>
      <c r="K140" s="157">
        <f ca="1">+Opex_VE[[#This Row],[MG]]-Opex_VE[[#This Row],[Opex]]</f>
        <v>0</v>
      </c>
      <c r="L140" s="156">
        <f>+VLOOKUP($A140,Opex!$C:$Z,N$1,1)</f>
        <v>56896.551724137928</v>
      </c>
      <c r="M140" s="157">
        <f ca="1">+Opex_VE[[#This Row],[Opex]]</f>
        <v>0</v>
      </c>
      <c r="N140" s="156">
        <f t="shared" si="10"/>
        <v>295139.6551724138</v>
      </c>
      <c r="O140" s="156">
        <f>+VLOOKUP($A140,Opex!$C:$Z,Q$1,1)</f>
        <v>4137.9310344827591</v>
      </c>
      <c r="P140" s="156">
        <f t="shared" si="11"/>
        <v>291001.72413793101</v>
      </c>
      <c r="Q140" s="156">
        <f>+VLOOKUP($A140,Opex!$C:$Z,R$1,1)</f>
        <v>11001.724137931034</v>
      </c>
      <c r="R140" s="157">
        <f>+SUM(Opex_VE[[#This Row],[Cajero]:[Domiciliario]])</f>
        <v>140000</v>
      </c>
      <c r="S140" s="156">
        <v>70000</v>
      </c>
      <c r="T140" s="156">
        <v>70000</v>
      </c>
      <c r="U140" s="156">
        <v>0</v>
      </c>
      <c r="V140"/>
    </row>
    <row r="141" spans="1:22" x14ac:dyDescent="0.2">
      <c r="A141" s="153">
        <v>46204</v>
      </c>
      <c r="B141" s="3">
        <f t="shared" si="9"/>
        <v>19</v>
      </c>
      <c r="C141" s="3" t="str">
        <f>+TEXT(Opex_VE[[#This Row],[Fecha]],"ddd")</f>
        <v>mié</v>
      </c>
      <c r="E141" s="14" t="s">
        <v>112</v>
      </c>
      <c r="F141" s="172">
        <f>IFERROR(VLOOKUP(Opex_VE[[#This Row],[Fecha]],Historia!A:B,2,0),_xlfn.XLOOKUP(Opex_VE[[#This Row],[dia]],Forecast!H:H,Forecast!I:I))</f>
        <v>366750</v>
      </c>
      <c r="G141" s="172">
        <f>IFERROR(VLOOKUP(Opex_VE[[#This Row],[Fecha]],Historia!A:C,3,0),_xlfn.XLOOKUP(Opex_VE[[#This Row],[dia]],Forecast!H:H,Forecast!J:J))</f>
        <v>146700</v>
      </c>
      <c r="H141" s="186">
        <f ca="1">+Opex_VE[[#This Row],[MG]]-Opex_VE[[#This Row],[Opex]]</f>
        <v>-77485.137931034493</v>
      </c>
      <c r="I141" s="172" t="str">
        <f>IFERROR(VLOOKUP(Opex_VE[[#This Row],[Fecha]],Historia!A:D,4,0),"Forecast")</f>
        <v>Forecast</v>
      </c>
      <c r="J141" s="161">
        <f t="shared" ref="J141:J204" ca="1" si="12">+K141/0.4</f>
        <v>560462.8448275862</v>
      </c>
      <c r="K141" s="157">
        <f ca="1">+Opex_VE[[#This Row],[MG]]-Opex_VE[[#This Row],[Opex]]</f>
        <v>0</v>
      </c>
      <c r="L141" s="156">
        <f>+VLOOKUP($A141,Opex!$C:$Z,N$1,1)</f>
        <v>56896.551724137928</v>
      </c>
      <c r="M141" s="157">
        <f ca="1">+Opex_VE[[#This Row],[Opex]]</f>
        <v>0</v>
      </c>
      <c r="N141" s="156">
        <f t="shared" si="10"/>
        <v>295139.6551724138</v>
      </c>
      <c r="O141" s="156">
        <f>+VLOOKUP($A141,Opex!$C:$Z,Q$1,1)</f>
        <v>4137.9310344827591</v>
      </c>
      <c r="P141" s="156">
        <f t="shared" si="11"/>
        <v>291001.72413793101</v>
      </c>
      <c r="Q141" s="156">
        <f>+VLOOKUP($A141,Opex!$C:$Z,R$1,1)</f>
        <v>11001.724137931034</v>
      </c>
      <c r="R141" s="157">
        <f>+SUM(Opex_VE[[#This Row],[Cajero]:[Domiciliario]])</f>
        <v>140000</v>
      </c>
      <c r="S141" s="156">
        <v>70000</v>
      </c>
      <c r="T141" s="156">
        <v>70000</v>
      </c>
      <c r="U141" s="156">
        <v>0</v>
      </c>
      <c r="V141"/>
    </row>
    <row r="142" spans="1:22" x14ac:dyDescent="0.2">
      <c r="A142" s="153">
        <v>46205</v>
      </c>
      <c r="B142" s="3">
        <f t="shared" si="9"/>
        <v>19</v>
      </c>
      <c r="C142" s="3" t="str">
        <f>+TEXT(Opex_VE[[#This Row],[Fecha]],"ddd")</f>
        <v>jue</v>
      </c>
      <c r="E142" s="14" t="s">
        <v>112</v>
      </c>
      <c r="F142" s="172">
        <f>IFERROR(VLOOKUP(Opex_VE[[#This Row],[Fecha]],Historia!A:B,2,0),_xlfn.XLOOKUP(Opex_VE[[#This Row],[dia]],Forecast!H:H,Forecast!I:I))</f>
        <v>234000</v>
      </c>
      <c r="G142" s="172">
        <f>IFERROR(VLOOKUP(Opex_VE[[#This Row],[Fecha]],Historia!A:C,3,0),_xlfn.XLOOKUP(Opex_VE[[#This Row],[dia]],Forecast!H:H,Forecast!J:J))</f>
        <v>93600</v>
      </c>
      <c r="H142" s="186">
        <f ca="1">+Opex_VE[[#This Row],[MG]]-Opex_VE[[#This Row],[Opex]]</f>
        <v>-130585.13793103449</v>
      </c>
      <c r="I142" s="172" t="str">
        <f>IFERROR(VLOOKUP(Opex_VE[[#This Row],[Fecha]],Historia!A:D,4,0),"Forecast")</f>
        <v>Forecast</v>
      </c>
      <c r="J142" s="161">
        <f t="shared" ca="1" si="12"/>
        <v>560462.8448275862</v>
      </c>
      <c r="K142" s="157">
        <f ca="1">+Opex_VE[[#This Row],[MG]]-Opex_VE[[#This Row],[Opex]]</f>
        <v>0</v>
      </c>
      <c r="L142" s="156">
        <f>+VLOOKUP($A142,Opex!$C:$Z,N$1,1)</f>
        <v>56896.551724137928</v>
      </c>
      <c r="M142" s="157">
        <f ca="1">+Opex_VE[[#This Row],[Opex]]</f>
        <v>0</v>
      </c>
      <c r="N142" s="156">
        <f t="shared" si="10"/>
        <v>295139.6551724138</v>
      </c>
      <c r="O142" s="156">
        <f>+VLOOKUP($A142,Opex!$C:$Z,Q$1,1)</f>
        <v>4137.9310344827591</v>
      </c>
      <c r="P142" s="156">
        <f t="shared" si="11"/>
        <v>291001.72413793101</v>
      </c>
      <c r="Q142" s="156">
        <f>+VLOOKUP($A142,Opex!$C:$Z,R$1,1)</f>
        <v>11001.724137931034</v>
      </c>
      <c r="R142" s="157">
        <f>+SUM(Opex_VE[[#This Row],[Cajero]:[Domiciliario]])</f>
        <v>140000</v>
      </c>
      <c r="S142" s="156">
        <v>70000</v>
      </c>
      <c r="T142" s="156">
        <v>70000</v>
      </c>
      <c r="U142" s="156">
        <v>0</v>
      </c>
      <c r="V142"/>
    </row>
    <row r="143" spans="1:22" x14ac:dyDescent="0.2">
      <c r="A143" s="153">
        <v>46206</v>
      </c>
      <c r="B143" s="3">
        <f t="shared" si="9"/>
        <v>19</v>
      </c>
      <c r="C143" s="3" t="str">
        <f>+TEXT(Opex_VE[[#This Row],[Fecha]],"ddd")</f>
        <v>vie</v>
      </c>
      <c r="E143" s="14" t="s">
        <v>217</v>
      </c>
      <c r="F143" s="172">
        <f>IFERROR(VLOOKUP(Opex_VE[[#This Row],[Fecha]],Historia!A:B,2,0),_xlfn.XLOOKUP(Opex_VE[[#This Row],[dia]],Forecast!H:H,Forecast!I:I))</f>
        <v>248000</v>
      </c>
      <c r="G143" s="172">
        <f>IFERROR(VLOOKUP(Opex_VE[[#This Row],[Fecha]],Historia!A:C,3,0),_xlfn.XLOOKUP(Opex_VE[[#This Row],[dia]],Forecast!H:H,Forecast!J:J))</f>
        <v>99200</v>
      </c>
      <c r="H143" s="186">
        <f ca="1">+Opex_VE[[#This Row],[MG]]-Opex_VE[[#This Row],[Opex]]</f>
        <v>-124985.13793103449</v>
      </c>
      <c r="I143" s="172" t="str">
        <f>IFERROR(VLOOKUP(Opex_VE[[#This Row],[Fecha]],Historia!A:D,4,0),"Forecast")</f>
        <v>Forecast</v>
      </c>
      <c r="J143" s="161">
        <f t="shared" ca="1" si="12"/>
        <v>560462.8448275862</v>
      </c>
      <c r="K143" s="157">
        <f ca="1">+Opex_VE[[#This Row],[MG]]-Opex_VE[[#This Row],[Opex]]</f>
        <v>0</v>
      </c>
      <c r="L143" s="156">
        <f>+VLOOKUP($A143,Opex!$C:$Z,N$1,1)</f>
        <v>56896.551724137928</v>
      </c>
      <c r="M143" s="157">
        <f ca="1">+Opex_VE[[#This Row],[Opex]]</f>
        <v>0</v>
      </c>
      <c r="N143" s="156">
        <f t="shared" si="10"/>
        <v>295139.6551724138</v>
      </c>
      <c r="O143" s="156">
        <f>+VLOOKUP($A143,Opex!$C:$Z,Q$1,1)</f>
        <v>4137.9310344827591</v>
      </c>
      <c r="P143" s="156">
        <f t="shared" si="11"/>
        <v>291001.72413793101</v>
      </c>
      <c r="Q143" s="156">
        <f>+VLOOKUP($A143,Opex!$C:$Z,R$1,1)</f>
        <v>11001.724137931034</v>
      </c>
      <c r="R143" s="157">
        <f>+SUM(Opex_VE[[#This Row],[Cajero]:[Domiciliario]])</f>
        <v>140000</v>
      </c>
      <c r="S143" s="156">
        <v>70000</v>
      </c>
      <c r="T143" s="156">
        <v>70000</v>
      </c>
      <c r="U143" s="156">
        <v>0</v>
      </c>
      <c r="V143"/>
    </row>
    <row r="144" spans="1:22" x14ac:dyDescent="0.2">
      <c r="A144" s="153">
        <v>46207</v>
      </c>
      <c r="B144" s="3">
        <f t="shared" si="9"/>
        <v>19</v>
      </c>
      <c r="C144" s="3" t="str">
        <f>+TEXT(Opex_VE[[#This Row],[Fecha]],"ddd")</f>
        <v>sáb</v>
      </c>
      <c r="E144" s="14" t="s">
        <v>113</v>
      </c>
      <c r="F144" s="172">
        <f>IFERROR(VLOOKUP(Opex_VE[[#This Row],[Fecha]],Historia!A:B,2,0),_xlfn.XLOOKUP(Opex_VE[[#This Row],[dia]],Forecast!H:H,Forecast!I:I))</f>
        <v>320800</v>
      </c>
      <c r="G144" s="172">
        <f>IFERROR(VLOOKUP(Opex_VE[[#This Row],[Fecha]],Historia!A:C,3,0),_xlfn.XLOOKUP(Opex_VE[[#This Row],[dia]],Forecast!H:H,Forecast!J:J))</f>
        <v>128320</v>
      </c>
      <c r="H144" s="186">
        <f ca="1">+Opex_VE[[#This Row],[MG]]-Opex_VE[[#This Row],[Opex]]</f>
        <v>-95865.137931034493</v>
      </c>
      <c r="I144" s="173" t="str">
        <f>IFERROR(VLOOKUP(Opex_VE[[#This Row],[Fecha]],Historia!A:D,4,0),"Forecast")</f>
        <v>Forecast</v>
      </c>
      <c r="J144" s="161">
        <f t="shared" ca="1" si="12"/>
        <v>560462.8448275862</v>
      </c>
      <c r="K144" s="157">
        <f ca="1">+Opex_VE[[#This Row],[MG]]-Opex_VE[[#This Row],[Opex]]</f>
        <v>0</v>
      </c>
      <c r="L144" s="156">
        <f>+VLOOKUP($A144,Opex!$C:$Z,N$1,1)</f>
        <v>56896.551724137928</v>
      </c>
      <c r="M144" s="157">
        <f ca="1">+Opex_VE[[#This Row],[Opex]]</f>
        <v>0</v>
      </c>
      <c r="N144" s="156">
        <f t="shared" si="10"/>
        <v>295139.6551724138</v>
      </c>
      <c r="O144" s="156">
        <f>+VLOOKUP($A144,Opex!$C:$Z,Q$1,1)</f>
        <v>4137.9310344827591</v>
      </c>
      <c r="P144" s="156">
        <f t="shared" si="11"/>
        <v>291001.72413793101</v>
      </c>
      <c r="Q144" s="156">
        <f>+VLOOKUP($A144,Opex!$C:$Z,R$1,1)</f>
        <v>11001.724137931034</v>
      </c>
      <c r="R144" s="157">
        <f>+SUM(Opex_VE[[#This Row],[Cajero]:[Domiciliario]])</f>
        <v>140000</v>
      </c>
      <c r="S144" s="156">
        <v>70000</v>
      </c>
      <c r="T144" s="156">
        <v>70000</v>
      </c>
      <c r="U144" s="156">
        <v>0</v>
      </c>
      <c r="V144"/>
    </row>
    <row r="145" spans="1:22" x14ac:dyDescent="0.2">
      <c r="A145" s="153">
        <v>46208</v>
      </c>
      <c r="B145" s="3">
        <f t="shared" si="9"/>
        <v>19</v>
      </c>
      <c r="C145" s="3" t="str">
        <f>+TEXT(Opex_VE[[#This Row],[Fecha]],"ddd")</f>
        <v>dom</v>
      </c>
      <c r="E145" s="14" t="s">
        <v>145</v>
      </c>
      <c r="F145" s="172">
        <f>IFERROR(VLOOKUP(Opex_VE[[#This Row],[Fecha]],Historia!A:B,2,0),_xlfn.XLOOKUP(Opex_VE[[#This Row],[dia]],Forecast!H:H,Forecast!I:I))</f>
        <v>218500</v>
      </c>
      <c r="G145" s="172">
        <f>IFERROR(VLOOKUP(Opex_VE[[#This Row],[Fecha]],Historia!A:C,3,0),_xlfn.XLOOKUP(Opex_VE[[#This Row],[dia]],Forecast!H:H,Forecast!J:J))</f>
        <v>87400</v>
      </c>
      <c r="H145" s="186">
        <f ca="1">+Opex_VE[[#This Row],[MG]]-Opex_VE[[#This Row],[Opex]]</f>
        <v>-136785.13793103449</v>
      </c>
      <c r="I145" s="172" t="str">
        <f>IFERROR(VLOOKUP(Opex_VE[[#This Row],[Fecha]],Historia!A:D,4,0),"Forecast")</f>
        <v>Forecast</v>
      </c>
      <c r="J145" s="161">
        <f t="shared" ca="1" si="12"/>
        <v>560462.8448275862</v>
      </c>
      <c r="K145" s="157">
        <f ca="1">+Opex_VE[[#This Row],[MG]]-Opex_VE[[#This Row],[Opex]]</f>
        <v>0</v>
      </c>
      <c r="L145" s="156">
        <f>+VLOOKUP($A145,Opex!$C:$Z,N$1,1)</f>
        <v>56896.551724137928</v>
      </c>
      <c r="M145" s="157">
        <f ca="1">+Opex_VE[[#This Row],[Opex]]</f>
        <v>0</v>
      </c>
      <c r="N145" s="156">
        <f t="shared" si="10"/>
        <v>295139.6551724138</v>
      </c>
      <c r="O145" s="156">
        <f>+VLOOKUP($A145,Opex!$C:$Z,Q$1,1)</f>
        <v>4137.9310344827591</v>
      </c>
      <c r="P145" s="156">
        <f t="shared" si="11"/>
        <v>291001.72413793101</v>
      </c>
      <c r="Q145" s="156">
        <f>+VLOOKUP($A145,Opex!$C:$Z,R$1,1)</f>
        <v>11001.724137931034</v>
      </c>
      <c r="R145" s="157">
        <f>+SUM(Opex_VE[[#This Row],[Cajero]:[Domiciliario]])</f>
        <v>140000</v>
      </c>
      <c r="S145" s="156">
        <v>70000</v>
      </c>
      <c r="T145" s="156">
        <v>70000</v>
      </c>
      <c r="U145" s="156">
        <v>0</v>
      </c>
      <c r="V145"/>
    </row>
    <row r="146" spans="1:22" x14ac:dyDescent="0.2">
      <c r="A146" s="153">
        <v>46209</v>
      </c>
      <c r="B146" s="3">
        <f t="shared" si="9"/>
        <v>20</v>
      </c>
      <c r="C146" s="3" t="str">
        <f>+TEXT(Opex_VE[[#This Row],[Fecha]],"ddd")</f>
        <v>lun</v>
      </c>
      <c r="E146" s="14" t="s">
        <v>112</v>
      </c>
      <c r="F146" s="172">
        <f>IFERROR(VLOOKUP(Opex_VE[[#This Row],[Fecha]],Historia!A:B,2,0),_xlfn.XLOOKUP(Opex_VE[[#This Row],[dia]],Forecast!H:H,Forecast!I:I))</f>
        <v>179200</v>
      </c>
      <c r="G146" s="172">
        <f>IFERROR(VLOOKUP(Opex_VE[[#This Row],[Fecha]],Historia!A:C,3,0),_xlfn.XLOOKUP(Opex_VE[[#This Row],[dia]],Forecast!H:H,Forecast!J:J))</f>
        <v>71680</v>
      </c>
      <c r="H146" s="186">
        <f ca="1">+Opex_VE[[#This Row],[MG]]-Opex_VE[[#This Row],[Opex]]</f>
        <v>-152505.13793103449</v>
      </c>
      <c r="I146" s="172" t="str">
        <f>IFERROR(VLOOKUP(Opex_VE[[#This Row],[Fecha]],Historia!A:D,4,0),"Forecast")</f>
        <v>Forecast</v>
      </c>
      <c r="J146" s="161">
        <f t="shared" ca="1" si="12"/>
        <v>560462.8448275862</v>
      </c>
      <c r="K146" s="157">
        <f ca="1">+Opex_VE[[#This Row],[MG]]-Opex_VE[[#This Row],[Opex]]</f>
        <v>0</v>
      </c>
      <c r="L146" s="156">
        <f>+VLOOKUP($A146,Opex!$C:$Z,N$1,1)</f>
        <v>56896.551724137928</v>
      </c>
      <c r="M146" s="157">
        <f ca="1">+Opex_VE[[#This Row],[Opex]]</f>
        <v>0</v>
      </c>
      <c r="N146" s="156">
        <f t="shared" si="10"/>
        <v>295139.6551724138</v>
      </c>
      <c r="O146" s="156">
        <f>+VLOOKUP($A146,Opex!$C:$Z,Q$1,1)</f>
        <v>4137.9310344827591</v>
      </c>
      <c r="P146" s="156">
        <f t="shared" si="11"/>
        <v>291001.72413793101</v>
      </c>
      <c r="Q146" s="156">
        <f>+VLOOKUP($A146,Opex!$C:$Z,R$1,1)</f>
        <v>11001.724137931034</v>
      </c>
      <c r="R146" s="157">
        <f>+SUM(Opex_VE[[#This Row],[Cajero]:[Domiciliario]])</f>
        <v>140000</v>
      </c>
      <c r="S146" s="156">
        <v>70000</v>
      </c>
      <c r="T146" s="156">
        <v>70000</v>
      </c>
      <c r="U146" s="156">
        <v>0</v>
      </c>
      <c r="V146"/>
    </row>
    <row r="147" spans="1:22" x14ac:dyDescent="0.2">
      <c r="A147" s="153">
        <v>46210</v>
      </c>
      <c r="B147" s="3">
        <f t="shared" si="9"/>
        <v>20</v>
      </c>
      <c r="C147" s="3" t="str">
        <f>+TEXT(Opex_VE[[#This Row],[Fecha]],"ddd")</f>
        <v>mar</v>
      </c>
      <c r="E147" s="14" t="s">
        <v>112</v>
      </c>
      <c r="F147" s="172">
        <f>IFERROR(VLOOKUP(Opex_VE[[#This Row],[Fecha]],Historia!A:B,2,0),_xlfn.XLOOKUP(Opex_VE[[#This Row],[dia]],Forecast!H:H,Forecast!I:I))</f>
        <v>195000</v>
      </c>
      <c r="G147" s="172">
        <f>IFERROR(VLOOKUP(Opex_VE[[#This Row],[Fecha]],Historia!A:C,3,0),_xlfn.XLOOKUP(Opex_VE[[#This Row],[dia]],Forecast!H:H,Forecast!J:J))</f>
        <v>78000</v>
      </c>
      <c r="H147" s="186">
        <f ca="1">+Opex_VE[[#This Row],[MG]]-Opex_VE[[#This Row],[Opex]]</f>
        <v>-146185.13793103449</v>
      </c>
      <c r="I147" s="172" t="str">
        <f>IFERROR(VLOOKUP(Opex_VE[[#This Row],[Fecha]],Historia!A:D,4,0),"Forecast")</f>
        <v>Forecast</v>
      </c>
      <c r="J147" s="161">
        <f t="shared" ca="1" si="12"/>
        <v>560462.8448275862</v>
      </c>
      <c r="K147" s="157">
        <f ca="1">+Opex_VE[[#This Row],[MG]]-Opex_VE[[#This Row],[Opex]]</f>
        <v>0</v>
      </c>
      <c r="L147" s="156">
        <f>+VLOOKUP($A147,Opex!$C:$Z,N$1,1)</f>
        <v>56896.551724137928</v>
      </c>
      <c r="M147" s="157">
        <f ca="1">+Opex_VE[[#This Row],[Opex]]</f>
        <v>0</v>
      </c>
      <c r="N147" s="156">
        <f t="shared" si="10"/>
        <v>295139.6551724138</v>
      </c>
      <c r="O147" s="156">
        <f>+VLOOKUP($A147,Opex!$C:$Z,Q$1,1)</f>
        <v>4137.9310344827591</v>
      </c>
      <c r="P147" s="156">
        <f t="shared" si="11"/>
        <v>291001.72413793101</v>
      </c>
      <c r="Q147" s="156">
        <f>+VLOOKUP($A147,Opex!$C:$Z,R$1,1)</f>
        <v>11001.724137931034</v>
      </c>
      <c r="R147" s="157">
        <f>+SUM(Opex_VE[[#This Row],[Cajero]:[Domiciliario]])</f>
        <v>140000</v>
      </c>
      <c r="S147" s="156">
        <v>70000</v>
      </c>
      <c r="T147" s="156">
        <v>70000</v>
      </c>
      <c r="U147" s="156">
        <v>0</v>
      </c>
      <c r="V147"/>
    </row>
    <row r="148" spans="1:22" x14ac:dyDescent="0.2">
      <c r="A148" s="153">
        <v>46211</v>
      </c>
      <c r="B148" s="3">
        <f t="shared" si="9"/>
        <v>20</v>
      </c>
      <c r="C148" s="3" t="str">
        <f>+TEXT(Opex_VE[[#This Row],[Fecha]],"ddd")</f>
        <v>mié</v>
      </c>
      <c r="E148" s="14" t="s">
        <v>112</v>
      </c>
      <c r="F148" s="172">
        <f>IFERROR(VLOOKUP(Opex_VE[[#This Row],[Fecha]],Historia!A:B,2,0),_xlfn.XLOOKUP(Opex_VE[[#This Row],[dia]],Forecast!H:H,Forecast!I:I))</f>
        <v>366750</v>
      </c>
      <c r="G148" s="172">
        <f>IFERROR(VLOOKUP(Opex_VE[[#This Row],[Fecha]],Historia!A:C,3,0),_xlfn.XLOOKUP(Opex_VE[[#This Row],[dia]],Forecast!H:H,Forecast!J:J))</f>
        <v>146700</v>
      </c>
      <c r="H148" s="186">
        <f ca="1">+Opex_VE[[#This Row],[MG]]-Opex_VE[[#This Row],[Opex]]</f>
        <v>-77485.137931034493</v>
      </c>
      <c r="I148" s="172" t="str">
        <f>IFERROR(VLOOKUP(Opex_VE[[#This Row],[Fecha]],Historia!A:D,4,0),"Forecast")</f>
        <v>Forecast</v>
      </c>
      <c r="J148" s="161">
        <f t="shared" ca="1" si="12"/>
        <v>560462.8448275862</v>
      </c>
      <c r="K148" s="157">
        <f ca="1">+Opex_VE[[#This Row],[MG]]-Opex_VE[[#This Row],[Opex]]</f>
        <v>0</v>
      </c>
      <c r="L148" s="156">
        <f>+VLOOKUP($A148,Opex!$C:$Z,N$1,1)</f>
        <v>56896.551724137928</v>
      </c>
      <c r="M148" s="157">
        <f ca="1">+Opex_VE[[#This Row],[Opex]]</f>
        <v>0</v>
      </c>
      <c r="N148" s="156">
        <f t="shared" si="10"/>
        <v>295139.6551724138</v>
      </c>
      <c r="O148" s="156">
        <f>+VLOOKUP($A148,Opex!$C:$Z,Q$1,1)</f>
        <v>4137.9310344827591</v>
      </c>
      <c r="P148" s="156">
        <f t="shared" si="11"/>
        <v>291001.72413793101</v>
      </c>
      <c r="Q148" s="156">
        <f>+VLOOKUP($A148,Opex!$C:$Z,R$1,1)</f>
        <v>11001.724137931034</v>
      </c>
      <c r="R148" s="157">
        <f>+SUM(Opex_VE[[#This Row],[Cajero]:[Domiciliario]])</f>
        <v>140000</v>
      </c>
      <c r="S148" s="156">
        <v>70000</v>
      </c>
      <c r="T148" s="156">
        <v>70000</v>
      </c>
      <c r="U148" s="156">
        <v>0</v>
      </c>
      <c r="V148"/>
    </row>
    <row r="149" spans="1:22" x14ac:dyDescent="0.2">
      <c r="A149" s="153">
        <v>46212</v>
      </c>
      <c r="B149" s="3">
        <f t="shared" ref="B149:B212" si="13">+B142+1</f>
        <v>20</v>
      </c>
      <c r="C149" s="3" t="str">
        <f>+TEXT(Opex_VE[[#This Row],[Fecha]],"ddd")</f>
        <v>jue</v>
      </c>
      <c r="E149" s="14" t="s">
        <v>112</v>
      </c>
      <c r="F149" s="172">
        <f>IFERROR(VLOOKUP(Opex_VE[[#This Row],[Fecha]],Historia!A:B,2,0),_xlfn.XLOOKUP(Opex_VE[[#This Row],[dia]],Forecast!H:H,Forecast!I:I))</f>
        <v>234000</v>
      </c>
      <c r="G149" s="172">
        <f>IFERROR(VLOOKUP(Opex_VE[[#This Row],[Fecha]],Historia!A:C,3,0),_xlfn.XLOOKUP(Opex_VE[[#This Row],[dia]],Forecast!H:H,Forecast!J:J))</f>
        <v>93600</v>
      </c>
      <c r="H149" s="186">
        <f ca="1">+Opex_VE[[#This Row],[MG]]-Opex_VE[[#This Row],[Opex]]</f>
        <v>-130585.13793103449</v>
      </c>
      <c r="I149" s="172" t="str">
        <f>IFERROR(VLOOKUP(Opex_VE[[#This Row],[Fecha]],Historia!A:D,4,0),"Forecast")</f>
        <v>Forecast</v>
      </c>
      <c r="J149" s="161">
        <f t="shared" ca="1" si="12"/>
        <v>560462.8448275862</v>
      </c>
      <c r="K149" s="157">
        <f ca="1">+Opex_VE[[#This Row],[MG]]-Opex_VE[[#This Row],[Opex]]</f>
        <v>0</v>
      </c>
      <c r="L149" s="156">
        <f>+VLOOKUP($A149,Opex!$C:$Z,N$1,1)</f>
        <v>56896.551724137928</v>
      </c>
      <c r="M149" s="157">
        <f ca="1">+Opex_VE[[#This Row],[Opex]]</f>
        <v>0</v>
      </c>
      <c r="N149" s="156">
        <f t="shared" si="10"/>
        <v>295139.6551724138</v>
      </c>
      <c r="O149" s="156">
        <f>+VLOOKUP($A149,Opex!$C:$Z,Q$1,1)</f>
        <v>4137.9310344827591</v>
      </c>
      <c r="P149" s="156">
        <f t="shared" si="11"/>
        <v>291001.72413793101</v>
      </c>
      <c r="Q149" s="156">
        <f>+VLOOKUP($A149,Opex!$C:$Z,R$1,1)</f>
        <v>11001.724137931034</v>
      </c>
      <c r="R149" s="157">
        <f>+SUM(Opex_VE[[#This Row],[Cajero]:[Domiciliario]])</f>
        <v>140000</v>
      </c>
      <c r="S149" s="156">
        <v>70000</v>
      </c>
      <c r="T149" s="156">
        <v>70000</v>
      </c>
      <c r="U149" s="156">
        <v>0</v>
      </c>
      <c r="V149"/>
    </row>
    <row r="150" spans="1:22" x14ac:dyDescent="0.2">
      <c r="A150" s="153">
        <v>46213</v>
      </c>
      <c r="B150" s="3">
        <f t="shared" si="13"/>
        <v>20</v>
      </c>
      <c r="C150" s="3" t="str">
        <f>+TEXT(Opex_VE[[#This Row],[Fecha]],"ddd")</f>
        <v>vie</v>
      </c>
      <c r="E150" s="14" t="s">
        <v>217</v>
      </c>
      <c r="F150" s="172">
        <f>IFERROR(VLOOKUP(Opex_VE[[#This Row],[Fecha]],Historia!A:B,2,0),_xlfn.XLOOKUP(Opex_VE[[#This Row],[dia]],Forecast!H:H,Forecast!I:I))</f>
        <v>248000</v>
      </c>
      <c r="G150" s="172">
        <f>IFERROR(VLOOKUP(Opex_VE[[#This Row],[Fecha]],Historia!A:C,3,0),_xlfn.XLOOKUP(Opex_VE[[#This Row],[dia]],Forecast!H:H,Forecast!J:J))</f>
        <v>99200</v>
      </c>
      <c r="H150" s="186">
        <f ca="1">+Opex_VE[[#This Row],[MG]]-Opex_VE[[#This Row],[Opex]]</f>
        <v>-124985.13793103449</v>
      </c>
      <c r="I150" s="172" t="str">
        <f>IFERROR(VLOOKUP(Opex_VE[[#This Row],[Fecha]],Historia!A:D,4,0),"Forecast")</f>
        <v>Forecast</v>
      </c>
      <c r="J150" s="161">
        <f t="shared" ca="1" si="12"/>
        <v>560462.8448275862</v>
      </c>
      <c r="K150" s="157">
        <f ca="1">+Opex_VE[[#This Row],[MG]]-Opex_VE[[#This Row],[Opex]]</f>
        <v>0</v>
      </c>
      <c r="L150" s="156">
        <f>+VLOOKUP($A150,Opex!$C:$Z,N$1,1)</f>
        <v>56896.551724137928</v>
      </c>
      <c r="M150" s="157">
        <f ca="1">+Opex_VE[[#This Row],[Opex]]</f>
        <v>0</v>
      </c>
      <c r="N150" s="156">
        <f t="shared" si="10"/>
        <v>295139.6551724138</v>
      </c>
      <c r="O150" s="156">
        <f>+VLOOKUP($A150,Opex!$C:$Z,Q$1,1)</f>
        <v>4137.9310344827591</v>
      </c>
      <c r="P150" s="156">
        <f t="shared" si="11"/>
        <v>291001.72413793101</v>
      </c>
      <c r="Q150" s="156">
        <f>+VLOOKUP($A150,Opex!$C:$Z,R$1,1)</f>
        <v>11001.724137931034</v>
      </c>
      <c r="R150" s="157">
        <f>+SUM(Opex_VE[[#This Row],[Cajero]:[Domiciliario]])</f>
        <v>140000</v>
      </c>
      <c r="S150" s="156">
        <v>70000</v>
      </c>
      <c r="T150" s="156">
        <v>70000</v>
      </c>
      <c r="U150" s="156">
        <v>0</v>
      </c>
      <c r="V150"/>
    </row>
    <row r="151" spans="1:22" x14ac:dyDescent="0.2">
      <c r="A151" s="153">
        <v>46214</v>
      </c>
      <c r="B151" s="3">
        <f t="shared" si="13"/>
        <v>20</v>
      </c>
      <c r="C151" s="3" t="str">
        <f>+TEXT(Opex_VE[[#This Row],[Fecha]],"ddd")</f>
        <v>sáb</v>
      </c>
      <c r="E151" s="14" t="s">
        <v>113</v>
      </c>
      <c r="F151" s="172">
        <f>IFERROR(VLOOKUP(Opex_VE[[#This Row],[Fecha]],Historia!A:B,2,0),_xlfn.XLOOKUP(Opex_VE[[#This Row],[dia]],Forecast!H:H,Forecast!I:I))</f>
        <v>320800</v>
      </c>
      <c r="G151" s="172">
        <f>IFERROR(VLOOKUP(Opex_VE[[#This Row],[Fecha]],Historia!A:C,3,0),_xlfn.XLOOKUP(Opex_VE[[#This Row],[dia]],Forecast!H:H,Forecast!J:J))</f>
        <v>128320</v>
      </c>
      <c r="H151" s="186">
        <f ca="1">+Opex_VE[[#This Row],[MG]]-Opex_VE[[#This Row],[Opex]]</f>
        <v>-95865.137931034493</v>
      </c>
      <c r="I151" s="173" t="str">
        <f>IFERROR(VLOOKUP(Opex_VE[[#This Row],[Fecha]],Historia!A:D,4,0),"Forecast")</f>
        <v>Forecast</v>
      </c>
      <c r="J151" s="161">
        <f t="shared" ca="1" si="12"/>
        <v>560462.8448275862</v>
      </c>
      <c r="K151" s="157">
        <f ca="1">+Opex_VE[[#This Row],[MG]]-Opex_VE[[#This Row],[Opex]]</f>
        <v>0</v>
      </c>
      <c r="L151" s="156">
        <f>+VLOOKUP($A151,Opex!$C:$Z,N$1,1)</f>
        <v>56896.551724137928</v>
      </c>
      <c r="M151" s="157">
        <f ca="1">+Opex_VE[[#This Row],[Opex]]</f>
        <v>0</v>
      </c>
      <c r="N151" s="156">
        <f t="shared" si="10"/>
        <v>295139.6551724138</v>
      </c>
      <c r="O151" s="156">
        <f>+VLOOKUP($A151,Opex!$C:$Z,Q$1,1)</f>
        <v>4137.9310344827591</v>
      </c>
      <c r="P151" s="156">
        <f t="shared" si="11"/>
        <v>291001.72413793101</v>
      </c>
      <c r="Q151" s="156">
        <f>+VLOOKUP($A151,Opex!$C:$Z,R$1,1)</f>
        <v>11001.724137931034</v>
      </c>
      <c r="R151" s="157">
        <f>+SUM(Opex_VE[[#This Row],[Cajero]:[Domiciliario]])</f>
        <v>140000</v>
      </c>
      <c r="S151" s="156">
        <v>70000</v>
      </c>
      <c r="T151" s="156">
        <v>70000</v>
      </c>
      <c r="U151" s="156">
        <v>0</v>
      </c>
      <c r="V151"/>
    </row>
    <row r="152" spans="1:22" x14ac:dyDescent="0.2">
      <c r="A152" s="153">
        <v>46215</v>
      </c>
      <c r="B152" s="3">
        <f t="shared" si="13"/>
        <v>20</v>
      </c>
      <c r="C152" s="3" t="str">
        <f>+TEXT(Opex_VE[[#This Row],[Fecha]],"ddd")</f>
        <v>dom</v>
      </c>
      <c r="E152" s="14" t="s">
        <v>145</v>
      </c>
      <c r="F152" s="172">
        <f>IFERROR(VLOOKUP(Opex_VE[[#This Row],[Fecha]],Historia!A:B,2,0),_xlfn.XLOOKUP(Opex_VE[[#This Row],[dia]],Forecast!H:H,Forecast!I:I))</f>
        <v>218500</v>
      </c>
      <c r="G152" s="172">
        <f>IFERROR(VLOOKUP(Opex_VE[[#This Row],[Fecha]],Historia!A:C,3,0),_xlfn.XLOOKUP(Opex_VE[[#This Row],[dia]],Forecast!H:H,Forecast!J:J))</f>
        <v>87400</v>
      </c>
      <c r="H152" s="186">
        <f ca="1">+Opex_VE[[#This Row],[MG]]-Opex_VE[[#This Row],[Opex]]</f>
        <v>-136785.13793103449</v>
      </c>
      <c r="I152" s="172" t="str">
        <f>IFERROR(VLOOKUP(Opex_VE[[#This Row],[Fecha]],Historia!A:D,4,0),"Forecast")</f>
        <v>Forecast</v>
      </c>
      <c r="J152" s="161">
        <f t="shared" ca="1" si="12"/>
        <v>560462.8448275862</v>
      </c>
      <c r="K152" s="157">
        <f ca="1">+Opex_VE[[#This Row],[MG]]-Opex_VE[[#This Row],[Opex]]</f>
        <v>0</v>
      </c>
      <c r="L152" s="156">
        <f>+VLOOKUP($A152,Opex!$C:$Z,N$1,1)</f>
        <v>56896.551724137928</v>
      </c>
      <c r="M152" s="157">
        <f ca="1">+Opex_VE[[#This Row],[Opex]]</f>
        <v>0</v>
      </c>
      <c r="N152" s="156">
        <f t="shared" si="10"/>
        <v>295139.6551724138</v>
      </c>
      <c r="O152" s="156">
        <f>+VLOOKUP($A152,Opex!$C:$Z,Q$1,1)</f>
        <v>4137.9310344827591</v>
      </c>
      <c r="P152" s="156">
        <f t="shared" si="11"/>
        <v>291001.72413793101</v>
      </c>
      <c r="Q152" s="156">
        <f>+VLOOKUP($A152,Opex!$C:$Z,R$1,1)</f>
        <v>11001.724137931034</v>
      </c>
      <c r="R152" s="157">
        <f>+SUM(Opex_VE[[#This Row],[Cajero]:[Domiciliario]])</f>
        <v>140000</v>
      </c>
      <c r="S152" s="156">
        <v>70000</v>
      </c>
      <c r="T152" s="156">
        <v>70000</v>
      </c>
      <c r="U152" s="156">
        <v>0</v>
      </c>
      <c r="V152"/>
    </row>
    <row r="153" spans="1:22" x14ac:dyDescent="0.2">
      <c r="A153" s="153">
        <v>46216</v>
      </c>
      <c r="B153" s="3">
        <f t="shared" si="13"/>
        <v>21</v>
      </c>
      <c r="C153" s="3" t="str">
        <f>+TEXT(Opex_VE[[#This Row],[Fecha]],"ddd")</f>
        <v>lun</v>
      </c>
      <c r="E153" s="14" t="s">
        <v>112</v>
      </c>
      <c r="F153" s="172">
        <f>IFERROR(VLOOKUP(Opex_VE[[#This Row],[Fecha]],Historia!A:B,2,0),_xlfn.XLOOKUP(Opex_VE[[#This Row],[dia]],Forecast!H:H,Forecast!I:I))</f>
        <v>179200</v>
      </c>
      <c r="G153" s="172">
        <f>IFERROR(VLOOKUP(Opex_VE[[#This Row],[Fecha]],Historia!A:C,3,0),_xlfn.XLOOKUP(Opex_VE[[#This Row],[dia]],Forecast!H:H,Forecast!J:J))</f>
        <v>71680</v>
      </c>
      <c r="H153" s="186">
        <f ca="1">+Opex_VE[[#This Row],[MG]]-Opex_VE[[#This Row],[Opex]]</f>
        <v>-152505.13793103449</v>
      </c>
      <c r="I153" s="172" t="str">
        <f>IFERROR(VLOOKUP(Opex_VE[[#This Row],[Fecha]],Historia!A:D,4,0),"Forecast")</f>
        <v>Forecast</v>
      </c>
      <c r="J153" s="161">
        <f t="shared" ca="1" si="12"/>
        <v>560462.8448275862</v>
      </c>
      <c r="K153" s="157">
        <f ca="1">+Opex_VE[[#This Row],[MG]]-Opex_VE[[#This Row],[Opex]]</f>
        <v>0</v>
      </c>
      <c r="L153" s="156">
        <f>+VLOOKUP($A153,Opex!$C:$Z,N$1,1)</f>
        <v>56896.551724137928</v>
      </c>
      <c r="M153" s="157">
        <f ca="1">+Opex_VE[[#This Row],[Opex]]</f>
        <v>0</v>
      </c>
      <c r="N153" s="156">
        <f t="shared" si="10"/>
        <v>295139.6551724138</v>
      </c>
      <c r="O153" s="156">
        <f>+VLOOKUP($A153,Opex!$C:$Z,Q$1,1)</f>
        <v>4137.9310344827591</v>
      </c>
      <c r="P153" s="156">
        <f t="shared" si="11"/>
        <v>291001.72413793101</v>
      </c>
      <c r="Q153" s="156">
        <f>+VLOOKUP($A153,Opex!$C:$Z,R$1,1)</f>
        <v>11001.724137931034</v>
      </c>
      <c r="R153" s="157">
        <f>+SUM(Opex_VE[[#This Row],[Cajero]:[Domiciliario]])</f>
        <v>140000</v>
      </c>
      <c r="S153" s="156">
        <v>70000</v>
      </c>
      <c r="T153" s="156">
        <v>70000</v>
      </c>
      <c r="U153" s="156">
        <v>0</v>
      </c>
      <c r="V153"/>
    </row>
    <row r="154" spans="1:22" x14ac:dyDescent="0.2">
      <c r="A154" s="153">
        <v>46217</v>
      </c>
      <c r="B154" s="3">
        <f t="shared" si="13"/>
        <v>21</v>
      </c>
      <c r="C154" s="3" t="str">
        <f>+TEXT(Opex_VE[[#This Row],[Fecha]],"ddd")</f>
        <v>mar</v>
      </c>
      <c r="E154" s="14" t="s">
        <v>112</v>
      </c>
      <c r="F154" s="172">
        <f>IFERROR(VLOOKUP(Opex_VE[[#This Row],[Fecha]],Historia!A:B,2,0),_xlfn.XLOOKUP(Opex_VE[[#This Row],[dia]],Forecast!H:H,Forecast!I:I))</f>
        <v>195000</v>
      </c>
      <c r="G154" s="172">
        <f>IFERROR(VLOOKUP(Opex_VE[[#This Row],[Fecha]],Historia!A:C,3,0),_xlfn.XLOOKUP(Opex_VE[[#This Row],[dia]],Forecast!H:H,Forecast!J:J))</f>
        <v>78000</v>
      </c>
      <c r="H154" s="186">
        <f ca="1">+Opex_VE[[#This Row],[MG]]-Opex_VE[[#This Row],[Opex]]</f>
        <v>-146185.13793103449</v>
      </c>
      <c r="I154" s="172" t="str">
        <f>IFERROR(VLOOKUP(Opex_VE[[#This Row],[Fecha]],Historia!A:D,4,0),"Forecast")</f>
        <v>Forecast</v>
      </c>
      <c r="J154" s="161">
        <f t="shared" ca="1" si="12"/>
        <v>560462.8448275862</v>
      </c>
      <c r="K154" s="157">
        <f ca="1">+Opex_VE[[#This Row],[MG]]-Opex_VE[[#This Row],[Opex]]</f>
        <v>0</v>
      </c>
      <c r="L154" s="156">
        <f>+VLOOKUP($A154,Opex!$C:$Z,N$1,1)</f>
        <v>56896.551724137928</v>
      </c>
      <c r="M154" s="157">
        <f ca="1">+Opex_VE[[#This Row],[Opex]]</f>
        <v>0</v>
      </c>
      <c r="N154" s="156">
        <f t="shared" si="10"/>
        <v>295139.6551724138</v>
      </c>
      <c r="O154" s="156">
        <f>+VLOOKUP($A154,Opex!$C:$Z,Q$1,1)</f>
        <v>4137.9310344827591</v>
      </c>
      <c r="P154" s="156">
        <f t="shared" si="11"/>
        <v>291001.72413793101</v>
      </c>
      <c r="Q154" s="156">
        <f>+VLOOKUP($A154,Opex!$C:$Z,R$1,1)</f>
        <v>11001.724137931034</v>
      </c>
      <c r="R154" s="157">
        <f>+SUM(Opex_VE[[#This Row],[Cajero]:[Domiciliario]])</f>
        <v>140000</v>
      </c>
      <c r="S154" s="156">
        <v>70000</v>
      </c>
      <c r="T154" s="156">
        <v>70000</v>
      </c>
      <c r="U154" s="156">
        <v>0</v>
      </c>
      <c r="V154"/>
    </row>
    <row r="155" spans="1:22" x14ac:dyDescent="0.2">
      <c r="A155" s="153">
        <v>46218</v>
      </c>
      <c r="B155" s="3">
        <f t="shared" si="13"/>
        <v>21</v>
      </c>
      <c r="C155" s="3" t="str">
        <f>+TEXT(Opex_VE[[#This Row],[Fecha]],"ddd")</f>
        <v>mié</v>
      </c>
      <c r="E155" s="14" t="s">
        <v>112</v>
      </c>
      <c r="F155" s="172">
        <f>IFERROR(VLOOKUP(Opex_VE[[#This Row],[Fecha]],Historia!A:B,2,0),_xlfn.XLOOKUP(Opex_VE[[#This Row],[dia]],Forecast!H:H,Forecast!I:I))</f>
        <v>366750</v>
      </c>
      <c r="G155" s="172">
        <f>IFERROR(VLOOKUP(Opex_VE[[#This Row],[Fecha]],Historia!A:C,3,0),_xlfn.XLOOKUP(Opex_VE[[#This Row],[dia]],Forecast!H:H,Forecast!J:J))</f>
        <v>146700</v>
      </c>
      <c r="H155" s="186">
        <f ca="1">+Opex_VE[[#This Row],[MG]]-Opex_VE[[#This Row],[Opex]]</f>
        <v>-74678.966666666674</v>
      </c>
      <c r="I155" s="172" t="str">
        <f>IFERROR(VLOOKUP(Opex_VE[[#This Row],[Fecha]],Historia!A:D,4,0),"Forecast")</f>
        <v>Forecast</v>
      </c>
      <c r="J155" s="161">
        <f t="shared" ca="1" si="12"/>
        <v>553447.41666666663</v>
      </c>
      <c r="K155" s="157">
        <f ca="1">+Opex_VE[[#This Row],[MG]]-Opex_VE[[#This Row],[Opex]]</f>
        <v>0</v>
      </c>
      <c r="L155" s="156">
        <f>+VLOOKUP($A155,Opex!$C:$Z,N$1,1)</f>
        <v>55000</v>
      </c>
      <c r="M155" s="157">
        <f ca="1">+Opex_VE[[#This Row],[Opex]]</f>
        <v>0</v>
      </c>
      <c r="N155" s="156">
        <f t="shared" si="10"/>
        <v>294635</v>
      </c>
      <c r="O155" s="156">
        <f>+VLOOKUP($A155,Opex!$C:$Z,Q$1,1)</f>
        <v>4000</v>
      </c>
      <c r="P155" s="156">
        <f t="shared" si="11"/>
        <v>290635</v>
      </c>
      <c r="Q155" s="156">
        <f>+VLOOKUP($A155,Opex!$C:$Z,R$1,1)</f>
        <v>10635</v>
      </c>
      <c r="R155" s="157">
        <f>+SUM(Opex_VE[[#This Row],[Cajero]:[Domiciliario]])</f>
        <v>140000</v>
      </c>
      <c r="S155" s="156">
        <v>70000</v>
      </c>
      <c r="T155" s="156">
        <v>70000</v>
      </c>
      <c r="U155" s="156">
        <v>0</v>
      </c>
      <c r="V155"/>
    </row>
    <row r="156" spans="1:22" x14ac:dyDescent="0.2">
      <c r="A156" s="153">
        <v>46219</v>
      </c>
      <c r="B156" s="3">
        <f t="shared" si="13"/>
        <v>21</v>
      </c>
      <c r="C156" s="3" t="str">
        <f>+TEXT(Opex_VE[[#This Row],[Fecha]],"ddd")</f>
        <v>jue</v>
      </c>
      <c r="E156" s="14" t="s">
        <v>112</v>
      </c>
      <c r="F156" s="172">
        <f>IFERROR(VLOOKUP(Opex_VE[[#This Row],[Fecha]],Historia!A:B,2,0),_xlfn.XLOOKUP(Opex_VE[[#This Row],[dia]],Forecast!H:H,Forecast!I:I))</f>
        <v>234000</v>
      </c>
      <c r="G156" s="172">
        <f>IFERROR(VLOOKUP(Opex_VE[[#This Row],[Fecha]],Historia!A:C,3,0),_xlfn.XLOOKUP(Opex_VE[[#This Row],[dia]],Forecast!H:H,Forecast!J:J))</f>
        <v>93600</v>
      </c>
      <c r="H156" s="186">
        <f ca="1">+Opex_VE[[#This Row],[MG]]-Opex_VE[[#This Row],[Opex]]</f>
        <v>-127778.96666666667</v>
      </c>
      <c r="I156" s="172" t="str">
        <f>IFERROR(VLOOKUP(Opex_VE[[#This Row],[Fecha]],Historia!A:D,4,0),"Forecast")</f>
        <v>Forecast</v>
      </c>
      <c r="J156" s="161">
        <f t="shared" ca="1" si="12"/>
        <v>553447.41666666663</v>
      </c>
      <c r="K156" s="157">
        <f ca="1">+Opex_VE[[#This Row],[MG]]-Opex_VE[[#This Row],[Opex]]</f>
        <v>0</v>
      </c>
      <c r="L156" s="156">
        <f>+VLOOKUP($A156,Opex!$C:$Z,N$1,1)</f>
        <v>55000</v>
      </c>
      <c r="M156" s="157">
        <f ca="1">+Opex_VE[[#This Row],[Opex]]</f>
        <v>0</v>
      </c>
      <c r="N156" s="156">
        <f t="shared" si="10"/>
        <v>294635</v>
      </c>
      <c r="O156" s="156">
        <f>+VLOOKUP($A156,Opex!$C:$Z,Q$1,1)</f>
        <v>4000</v>
      </c>
      <c r="P156" s="156">
        <f t="shared" si="11"/>
        <v>290635</v>
      </c>
      <c r="Q156" s="156">
        <f>+VLOOKUP($A156,Opex!$C:$Z,R$1,1)</f>
        <v>10635</v>
      </c>
      <c r="R156" s="157">
        <f>+SUM(Opex_VE[[#This Row],[Cajero]:[Domiciliario]])</f>
        <v>140000</v>
      </c>
      <c r="S156" s="156">
        <v>70000</v>
      </c>
      <c r="T156" s="156">
        <v>70000</v>
      </c>
      <c r="U156" s="156">
        <v>0</v>
      </c>
      <c r="V156"/>
    </row>
    <row r="157" spans="1:22" x14ac:dyDescent="0.2">
      <c r="A157" s="153">
        <v>46220</v>
      </c>
      <c r="B157" s="3">
        <f t="shared" si="13"/>
        <v>21</v>
      </c>
      <c r="C157" s="3" t="str">
        <f>+TEXT(Opex_VE[[#This Row],[Fecha]],"ddd")</f>
        <v>vie</v>
      </c>
      <c r="E157" s="14" t="s">
        <v>217</v>
      </c>
      <c r="F157" s="172">
        <f>IFERROR(VLOOKUP(Opex_VE[[#This Row],[Fecha]],Historia!A:B,2,0),_xlfn.XLOOKUP(Opex_VE[[#This Row],[dia]],Forecast!H:H,Forecast!I:I))</f>
        <v>248000</v>
      </c>
      <c r="G157" s="172">
        <f>IFERROR(VLOOKUP(Opex_VE[[#This Row],[Fecha]],Historia!A:C,3,0),_xlfn.XLOOKUP(Opex_VE[[#This Row],[dia]],Forecast!H:H,Forecast!J:J))</f>
        <v>99200</v>
      </c>
      <c r="H157" s="186">
        <f ca="1">+Opex_VE[[#This Row],[MG]]-Opex_VE[[#This Row],[Opex]]</f>
        <v>-122178.96666666667</v>
      </c>
      <c r="I157" s="172" t="str">
        <f>IFERROR(VLOOKUP(Opex_VE[[#This Row],[Fecha]],Historia!A:D,4,0),"Forecast")</f>
        <v>Forecast</v>
      </c>
      <c r="J157" s="161">
        <f t="shared" ca="1" si="12"/>
        <v>553447.41666666663</v>
      </c>
      <c r="K157" s="157">
        <f ca="1">+Opex_VE[[#This Row],[MG]]-Opex_VE[[#This Row],[Opex]]</f>
        <v>0</v>
      </c>
      <c r="L157" s="156">
        <f>+VLOOKUP($A157,Opex!$C:$Z,N$1,1)</f>
        <v>55000</v>
      </c>
      <c r="M157" s="157">
        <f ca="1">+Opex_VE[[#This Row],[Opex]]</f>
        <v>0</v>
      </c>
      <c r="N157" s="156">
        <f t="shared" si="10"/>
        <v>294635</v>
      </c>
      <c r="O157" s="156">
        <f>+VLOOKUP($A157,Opex!$C:$Z,Q$1,1)</f>
        <v>4000</v>
      </c>
      <c r="P157" s="156">
        <f t="shared" si="11"/>
        <v>290635</v>
      </c>
      <c r="Q157" s="156">
        <f>+VLOOKUP($A157,Opex!$C:$Z,R$1,1)</f>
        <v>10635</v>
      </c>
      <c r="R157" s="157">
        <f>+SUM(Opex_VE[[#This Row],[Cajero]:[Domiciliario]])</f>
        <v>140000</v>
      </c>
      <c r="S157" s="156">
        <v>70000</v>
      </c>
      <c r="T157" s="156">
        <v>70000</v>
      </c>
      <c r="U157" s="156">
        <v>0</v>
      </c>
      <c r="V157"/>
    </row>
    <row r="158" spans="1:22" x14ac:dyDescent="0.2">
      <c r="A158" s="153">
        <v>46221</v>
      </c>
      <c r="B158" s="3">
        <f t="shared" si="13"/>
        <v>21</v>
      </c>
      <c r="C158" s="3" t="str">
        <f>+TEXT(Opex_VE[[#This Row],[Fecha]],"ddd")</f>
        <v>sáb</v>
      </c>
      <c r="E158" s="14" t="s">
        <v>113</v>
      </c>
      <c r="F158" s="172">
        <f>IFERROR(VLOOKUP(Opex_VE[[#This Row],[Fecha]],Historia!A:B,2,0),_xlfn.XLOOKUP(Opex_VE[[#This Row],[dia]],Forecast!H:H,Forecast!I:I))</f>
        <v>320800</v>
      </c>
      <c r="G158" s="172">
        <f>IFERROR(VLOOKUP(Opex_VE[[#This Row],[Fecha]],Historia!A:C,3,0),_xlfn.XLOOKUP(Opex_VE[[#This Row],[dia]],Forecast!H:H,Forecast!J:J))</f>
        <v>128320</v>
      </c>
      <c r="H158" s="186">
        <f ca="1">+Opex_VE[[#This Row],[MG]]-Opex_VE[[#This Row],[Opex]]</f>
        <v>-93058.966666666674</v>
      </c>
      <c r="I158" s="173" t="str">
        <f>IFERROR(VLOOKUP(Opex_VE[[#This Row],[Fecha]],Historia!A:D,4,0),"Forecast")</f>
        <v>Forecast</v>
      </c>
      <c r="J158" s="161">
        <f t="shared" ca="1" si="12"/>
        <v>553447.41666666663</v>
      </c>
      <c r="K158" s="157">
        <f ca="1">+Opex_VE[[#This Row],[MG]]-Opex_VE[[#This Row],[Opex]]</f>
        <v>0</v>
      </c>
      <c r="L158" s="156">
        <f>+VLOOKUP($A158,Opex!$C:$Z,N$1,1)</f>
        <v>55000</v>
      </c>
      <c r="M158" s="157">
        <f ca="1">+Opex_VE[[#This Row],[Opex]]</f>
        <v>0</v>
      </c>
      <c r="N158" s="156">
        <f t="shared" si="10"/>
        <v>294635</v>
      </c>
      <c r="O158" s="156">
        <f>+VLOOKUP($A158,Opex!$C:$Z,Q$1,1)</f>
        <v>4000</v>
      </c>
      <c r="P158" s="156">
        <f t="shared" si="11"/>
        <v>290635</v>
      </c>
      <c r="Q158" s="156">
        <f>+VLOOKUP($A158,Opex!$C:$Z,R$1,1)</f>
        <v>10635</v>
      </c>
      <c r="R158" s="157">
        <f>+SUM(Opex_VE[[#This Row],[Cajero]:[Domiciliario]])</f>
        <v>140000</v>
      </c>
      <c r="S158" s="156">
        <v>70000</v>
      </c>
      <c r="T158" s="156">
        <v>70000</v>
      </c>
      <c r="U158" s="156">
        <v>0</v>
      </c>
      <c r="V158"/>
    </row>
    <row r="159" spans="1:22" x14ac:dyDescent="0.2">
      <c r="A159" s="153">
        <v>46222</v>
      </c>
      <c r="B159" s="3">
        <f t="shared" si="13"/>
        <v>21</v>
      </c>
      <c r="C159" s="3" t="str">
        <f>+TEXT(Opex_VE[[#This Row],[Fecha]],"ddd")</f>
        <v>dom</v>
      </c>
      <c r="E159" s="14" t="s">
        <v>145</v>
      </c>
      <c r="F159" s="172">
        <f>IFERROR(VLOOKUP(Opex_VE[[#This Row],[Fecha]],Historia!A:B,2,0),_xlfn.XLOOKUP(Opex_VE[[#This Row],[dia]],Forecast!H:H,Forecast!I:I))</f>
        <v>218500</v>
      </c>
      <c r="G159" s="172">
        <f>IFERROR(VLOOKUP(Opex_VE[[#This Row],[Fecha]],Historia!A:C,3,0),_xlfn.XLOOKUP(Opex_VE[[#This Row],[dia]],Forecast!H:H,Forecast!J:J))</f>
        <v>87400</v>
      </c>
      <c r="H159" s="186">
        <f ca="1">+Opex_VE[[#This Row],[MG]]-Opex_VE[[#This Row],[Opex]]</f>
        <v>-133978.96666666667</v>
      </c>
      <c r="I159" s="172" t="str">
        <f>IFERROR(VLOOKUP(Opex_VE[[#This Row],[Fecha]],Historia!A:D,4,0),"Forecast")</f>
        <v>Forecast</v>
      </c>
      <c r="J159" s="161">
        <f t="shared" ca="1" si="12"/>
        <v>553447.41666666663</v>
      </c>
      <c r="K159" s="157">
        <f ca="1">+Opex_VE[[#This Row],[MG]]-Opex_VE[[#This Row],[Opex]]</f>
        <v>0</v>
      </c>
      <c r="L159" s="156">
        <f>+VLOOKUP($A159,Opex!$C:$Z,N$1,1)</f>
        <v>55000</v>
      </c>
      <c r="M159" s="157">
        <f ca="1">+Opex_VE[[#This Row],[Opex]]</f>
        <v>0</v>
      </c>
      <c r="N159" s="156">
        <f t="shared" si="10"/>
        <v>294635</v>
      </c>
      <c r="O159" s="156">
        <f>+VLOOKUP($A159,Opex!$C:$Z,Q$1,1)</f>
        <v>4000</v>
      </c>
      <c r="P159" s="156">
        <f t="shared" si="11"/>
        <v>290635</v>
      </c>
      <c r="Q159" s="156">
        <f>+VLOOKUP($A159,Opex!$C:$Z,R$1,1)</f>
        <v>10635</v>
      </c>
      <c r="R159" s="157">
        <f>+SUM(Opex_VE[[#This Row],[Cajero]:[Domiciliario]])</f>
        <v>140000</v>
      </c>
      <c r="S159" s="156">
        <v>70000</v>
      </c>
      <c r="T159" s="156">
        <v>70000</v>
      </c>
      <c r="U159" s="156">
        <v>0</v>
      </c>
      <c r="V159"/>
    </row>
    <row r="160" spans="1:22" x14ac:dyDescent="0.2">
      <c r="A160" s="153">
        <v>46223</v>
      </c>
      <c r="B160" s="3">
        <f t="shared" si="13"/>
        <v>22</v>
      </c>
      <c r="C160" s="3" t="str">
        <f>+TEXT(Opex_VE[[#This Row],[Fecha]],"ddd")</f>
        <v>lun</v>
      </c>
      <c r="E160" s="14" t="s">
        <v>112</v>
      </c>
      <c r="F160" s="172">
        <f>IFERROR(VLOOKUP(Opex_VE[[#This Row],[Fecha]],Historia!A:B,2,0),_xlfn.XLOOKUP(Opex_VE[[#This Row],[dia]],Forecast!H:H,Forecast!I:I))</f>
        <v>179200</v>
      </c>
      <c r="G160" s="172">
        <f>IFERROR(VLOOKUP(Opex_VE[[#This Row],[Fecha]],Historia!A:C,3,0),_xlfn.XLOOKUP(Opex_VE[[#This Row],[dia]],Forecast!H:H,Forecast!J:J))</f>
        <v>71680</v>
      </c>
      <c r="H160" s="186">
        <f ca="1">+Opex_VE[[#This Row],[MG]]-Opex_VE[[#This Row],[Opex]]</f>
        <v>-149698.96666666667</v>
      </c>
      <c r="I160" s="172" t="str">
        <f>IFERROR(VLOOKUP(Opex_VE[[#This Row],[Fecha]],Historia!A:D,4,0),"Forecast")</f>
        <v>Forecast</v>
      </c>
      <c r="J160" s="161">
        <f t="shared" ca="1" si="12"/>
        <v>553447.41666666663</v>
      </c>
      <c r="K160" s="157">
        <f ca="1">+Opex_VE[[#This Row],[MG]]-Opex_VE[[#This Row],[Opex]]</f>
        <v>0</v>
      </c>
      <c r="L160" s="156">
        <f>+VLOOKUP($A160,Opex!$C:$Z,N$1,1)</f>
        <v>55000</v>
      </c>
      <c r="M160" s="157">
        <f ca="1">+Opex_VE[[#This Row],[Opex]]</f>
        <v>0</v>
      </c>
      <c r="N160" s="156">
        <f t="shared" si="10"/>
        <v>294635</v>
      </c>
      <c r="O160" s="156">
        <f>+VLOOKUP($A160,Opex!$C:$Z,Q$1,1)</f>
        <v>4000</v>
      </c>
      <c r="P160" s="156">
        <f t="shared" si="11"/>
        <v>290635</v>
      </c>
      <c r="Q160" s="156">
        <f>+VLOOKUP($A160,Opex!$C:$Z,R$1,1)</f>
        <v>10635</v>
      </c>
      <c r="R160" s="157">
        <f>+SUM(Opex_VE[[#This Row],[Cajero]:[Domiciliario]])</f>
        <v>140000</v>
      </c>
      <c r="S160" s="156">
        <v>70000</v>
      </c>
      <c r="T160" s="156">
        <v>70000</v>
      </c>
      <c r="U160" s="156">
        <v>0</v>
      </c>
      <c r="V160"/>
    </row>
    <row r="161" spans="1:22" x14ac:dyDescent="0.2">
      <c r="A161" s="153">
        <v>46224</v>
      </c>
      <c r="B161" s="3">
        <f t="shared" si="13"/>
        <v>22</v>
      </c>
      <c r="C161" s="3" t="str">
        <f>+TEXT(Opex_VE[[#This Row],[Fecha]],"ddd")</f>
        <v>mar</v>
      </c>
      <c r="E161" s="14" t="s">
        <v>112</v>
      </c>
      <c r="F161" s="172">
        <f>IFERROR(VLOOKUP(Opex_VE[[#This Row],[Fecha]],Historia!A:B,2,0),_xlfn.XLOOKUP(Opex_VE[[#This Row],[dia]],Forecast!H:H,Forecast!I:I))</f>
        <v>195000</v>
      </c>
      <c r="G161" s="172">
        <f>IFERROR(VLOOKUP(Opex_VE[[#This Row],[Fecha]],Historia!A:C,3,0),_xlfn.XLOOKUP(Opex_VE[[#This Row],[dia]],Forecast!H:H,Forecast!J:J))</f>
        <v>78000</v>
      </c>
      <c r="H161" s="186">
        <f ca="1">+Opex_VE[[#This Row],[MG]]-Opex_VE[[#This Row],[Opex]]</f>
        <v>-143378.96666666667</v>
      </c>
      <c r="I161" s="172" t="str">
        <f>IFERROR(VLOOKUP(Opex_VE[[#This Row],[Fecha]],Historia!A:D,4,0),"Forecast")</f>
        <v>Forecast</v>
      </c>
      <c r="J161" s="161">
        <f t="shared" ca="1" si="12"/>
        <v>553447.41666666663</v>
      </c>
      <c r="K161" s="157">
        <f ca="1">+Opex_VE[[#This Row],[MG]]-Opex_VE[[#This Row],[Opex]]</f>
        <v>0</v>
      </c>
      <c r="L161" s="156">
        <f>+VLOOKUP($A161,Opex!$C:$Z,N$1,1)</f>
        <v>55000</v>
      </c>
      <c r="M161" s="157">
        <f ca="1">+Opex_VE[[#This Row],[Opex]]</f>
        <v>0</v>
      </c>
      <c r="N161" s="156">
        <f t="shared" si="10"/>
        <v>294635</v>
      </c>
      <c r="O161" s="156">
        <f>+VLOOKUP($A161,Opex!$C:$Z,Q$1,1)</f>
        <v>4000</v>
      </c>
      <c r="P161" s="156">
        <f t="shared" si="11"/>
        <v>290635</v>
      </c>
      <c r="Q161" s="156">
        <f>+VLOOKUP($A161,Opex!$C:$Z,R$1,1)</f>
        <v>10635</v>
      </c>
      <c r="R161" s="157">
        <f>+SUM(Opex_VE[[#This Row],[Cajero]:[Domiciliario]])</f>
        <v>140000</v>
      </c>
      <c r="S161" s="156">
        <v>70000</v>
      </c>
      <c r="T161" s="156">
        <v>70000</v>
      </c>
      <c r="U161" s="156">
        <v>0</v>
      </c>
      <c r="V161"/>
    </row>
    <row r="162" spans="1:22" x14ac:dyDescent="0.2">
      <c r="A162" s="153">
        <v>46225</v>
      </c>
      <c r="B162" s="3">
        <f t="shared" si="13"/>
        <v>22</v>
      </c>
      <c r="C162" s="3" t="str">
        <f>+TEXT(Opex_VE[[#This Row],[Fecha]],"ddd")</f>
        <v>mié</v>
      </c>
      <c r="E162" s="14" t="s">
        <v>112</v>
      </c>
      <c r="F162" s="172">
        <f>IFERROR(VLOOKUP(Opex_VE[[#This Row],[Fecha]],Historia!A:B,2,0),_xlfn.XLOOKUP(Opex_VE[[#This Row],[dia]],Forecast!H:H,Forecast!I:I))</f>
        <v>366750</v>
      </c>
      <c r="G162" s="172">
        <f>IFERROR(VLOOKUP(Opex_VE[[#This Row],[Fecha]],Historia!A:C,3,0),_xlfn.XLOOKUP(Opex_VE[[#This Row],[dia]],Forecast!H:H,Forecast!J:J))</f>
        <v>146700</v>
      </c>
      <c r="H162" s="186">
        <f ca="1">+Opex_VE[[#This Row],[MG]]-Opex_VE[[#This Row],[Opex]]</f>
        <v>-74678.966666666674</v>
      </c>
      <c r="I162" s="172" t="str">
        <f>IFERROR(VLOOKUP(Opex_VE[[#This Row],[Fecha]],Historia!A:D,4,0),"Forecast")</f>
        <v>Forecast</v>
      </c>
      <c r="J162" s="161">
        <f t="shared" ca="1" si="12"/>
        <v>553447.41666666663</v>
      </c>
      <c r="K162" s="157">
        <f ca="1">+Opex_VE[[#This Row],[MG]]-Opex_VE[[#This Row],[Opex]]</f>
        <v>0</v>
      </c>
      <c r="L162" s="156">
        <f>+VLOOKUP($A162,Opex!$C:$Z,N$1,1)</f>
        <v>55000</v>
      </c>
      <c r="M162" s="157">
        <f ca="1">+Opex_VE[[#This Row],[Opex]]</f>
        <v>0</v>
      </c>
      <c r="N162" s="156">
        <f t="shared" si="10"/>
        <v>294635</v>
      </c>
      <c r="O162" s="156">
        <f>+VLOOKUP($A162,Opex!$C:$Z,Q$1,1)</f>
        <v>4000</v>
      </c>
      <c r="P162" s="156">
        <f t="shared" si="11"/>
        <v>290635</v>
      </c>
      <c r="Q162" s="156">
        <f>+VLOOKUP($A162,Opex!$C:$Z,R$1,1)</f>
        <v>10635</v>
      </c>
      <c r="R162" s="157">
        <f>+SUM(Opex_VE[[#This Row],[Cajero]:[Domiciliario]])</f>
        <v>140000</v>
      </c>
      <c r="S162" s="156">
        <v>70000</v>
      </c>
      <c r="T162" s="156">
        <v>70000</v>
      </c>
      <c r="U162" s="156">
        <v>0</v>
      </c>
      <c r="V162"/>
    </row>
    <row r="163" spans="1:22" x14ac:dyDescent="0.2">
      <c r="A163" s="153">
        <v>46226</v>
      </c>
      <c r="B163" s="3">
        <f t="shared" si="13"/>
        <v>22</v>
      </c>
      <c r="C163" s="3" t="str">
        <f>+TEXT(Opex_VE[[#This Row],[Fecha]],"ddd")</f>
        <v>jue</v>
      </c>
      <c r="E163" s="14" t="s">
        <v>112</v>
      </c>
      <c r="F163" s="172">
        <f>IFERROR(VLOOKUP(Opex_VE[[#This Row],[Fecha]],Historia!A:B,2,0),_xlfn.XLOOKUP(Opex_VE[[#This Row],[dia]],Forecast!H:H,Forecast!I:I))</f>
        <v>234000</v>
      </c>
      <c r="G163" s="172">
        <f>IFERROR(VLOOKUP(Opex_VE[[#This Row],[Fecha]],Historia!A:C,3,0),_xlfn.XLOOKUP(Opex_VE[[#This Row],[dia]],Forecast!H:H,Forecast!J:J))</f>
        <v>93600</v>
      </c>
      <c r="H163" s="186">
        <f ca="1">+Opex_VE[[#This Row],[MG]]-Opex_VE[[#This Row],[Opex]]</f>
        <v>-127778.96666666667</v>
      </c>
      <c r="I163" s="172" t="str">
        <f>IFERROR(VLOOKUP(Opex_VE[[#This Row],[Fecha]],Historia!A:D,4,0),"Forecast")</f>
        <v>Forecast</v>
      </c>
      <c r="J163" s="161">
        <f t="shared" ca="1" si="12"/>
        <v>553447.41666666663</v>
      </c>
      <c r="K163" s="157">
        <f ca="1">+Opex_VE[[#This Row],[MG]]-Opex_VE[[#This Row],[Opex]]</f>
        <v>0</v>
      </c>
      <c r="L163" s="156">
        <f>+VLOOKUP($A163,Opex!$C:$Z,N$1,1)</f>
        <v>55000</v>
      </c>
      <c r="M163" s="157">
        <f ca="1">+Opex_VE[[#This Row],[Opex]]</f>
        <v>0</v>
      </c>
      <c r="N163" s="156">
        <f t="shared" si="10"/>
        <v>294635</v>
      </c>
      <c r="O163" s="156">
        <f>+VLOOKUP($A163,Opex!$C:$Z,Q$1,1)</f>
        <v>4000</v>
      </c>
      <c r="P163" s="156">
        <f t="shared" si="11"/>
        <v>290635</v>
      </c>
      <c r="Q163" s="156">
        <f>+VLOOKUP($A163,Opex!$C:$Z,R$1,1)</f>
        <v>10635</v>
      </c>
      <c r="R163" s="157">
        <f>+SUM(Opex_VE[[#This Row],[Cajero]:[Domiciliario]])</f>
        <v>140000</v>
      </c>
      <c r="S163" s="156">
        <v>70000</v>
      </c>
      <c r="T163" s="156">
        <v>70000</v>
      </c>
      <c r="U163" s="156">
        <v>0</v>
      </c>
      <c r="V163"/>
    </row>
    <row r="164" spans="1:22" x14ac:dyDescent="0.2">
      <c r="A164" s="153">
        <v>46227</v>
      </c>
      <c r="B164" s="3">
        <f t="shared" si="13"/>
        <v>22</v>
      </c>
      <c r="C164" s="3" t="str">
        <f>+TEXT(Opex_VE[[#This Row],[Fecha]],"ddd")</f>
        <v>vie</v>
      </c>
      <c r="E164" s="14" t="s">
        <v>217</v>
      </c>
      <c r="F164" s="172">
        <f>IFERROR(VLOOKUP(Opex_VE[[#This Row],[Fecha]],Historia!A:B,2,0),_xlfn.XLOOKUP(Opex_VE[[#This Row],[dia]],Forecast!H:H,Forecast!I:I))</f>
        <v>248000</v>
      </c>
      <c r="G164" s="172">
        <f>IFERROR(VLOOKUP(Opex_VE[[#This Row],[Fecha]],Historia!A:C,3,0),_xlfn.XLOOKUP(Opex_VE[[#This Row],[dia]],Forecast!H:H,Forecast!J:J))</f>
        <v>99200</v>
      </c>
      <c r="H164" s="186">
        <f ca="1">+Opex_VE[[#This Row],[MG]]-Opex_VE[[#This Row],[Opex]]</f>
        <v>-122178.96666666667</v>
      </c>
      <c r="I164" s="172" t="str">
        <f>IFERROR(VLOOKUP(Opex_VE[[#This Row],[Fecha]],Historia!A:D,4,0),"Forecast")</f>
        <v>Forecast</v>
      </c>
      <c r="J164" s="161">
        <f t="shared" ca="1" si="12"/>
        <v>553447.41666666663</v>
      </c>
      <c r="K164" s="157">
        <f ca="1">+Opex_VE[[#This Row],[MG]]-Opex_VE[[#This Row],[Opex]]</f>
        <v>0</v>
      </c>
      <c r="L164" s="156">
        <f>+VLOOKUP($A164,Opex!$C:$Z,N$1,1)</f>
        <v>55000</v>
      </c>
      <c r="M164" s="157">
        <f ca="1">+Opex_VE[[#This Row],[Opex]]</f>
        <v>0</v>
      </c>
      <c r="N164" s="156">
        <f t="shared" si="10"/>
        <v>294635</v>
      </c>
      <c r="O164" s="156">
        <f>+VLOOKUP($A164,Opex!$C:$Z,Q$1,1)</f>
        <v>4000</v>
      </c>
      <c r="P164" s="156">
        <f t="shared" si="11"/>
        <v>290635</v>
      </c>
      <c r="Q164" s="156">
        <f>+VLOOKUP($A164,Opex!$C:$Z,R$1,1)</f>
        <v>10635</v>
      </c>
      <c r="R164" s="157">
        <f>+SUM(Opex_VE[[#This Row],[Cajero]:[Domiciliario]])</f>
        <v>140000</v>
      </c>
      <c r="S164" s="156">
        <v>70000</v>
      </c>
      <c r="T164" s="156">
        <v>70000</v>
      </c>
      <c r="U164" s="156">
        <v>0</v>
      </c>
      <c r="V164"/>
    </row>
    <row r="165" spans="1:22" x14ac:dyDescent="0.2">
      <c r="A165" s="153">
        <v>46228</v>
      </c>
      <c r="B165" s="3">
        <f t="shared" si="13"/>
        <v>22</v>
      </c>
      <c r="C165" s="3" t="str">
        <f>+TEXT(Opex_VE[[#This Row],[Fecha]],"ddd")</f>
        <v>sáb</v>
      </c>
      <c r="E165" s="14" t="s">
        <v>113</v>
      </c>
      <c r="F165" s="172">
        <f>IFERROR(VLOOKUP(Opex_VE[[#This Row],[Fecha]],Historia!A:B,2,0),_xlfn.XLOOKUP(Opex_VE[[#This Row],[dia]],Forecast!H:H,Forecast!I:I))</f>
        <v>320800</v>
      </c>
      <c r="G165" s="172">
        <f>IFERROR(VLOOKUP(Opex_VE[[#This Row],[Fecha]],Historia!A:C,3,0),_xlfn.XLOOKUP(Opex_VE[[#This Row],[dia]],Forecast!H:H,Forecast!J:J))</f>
        <v>128320</v>
      </c>
      <c r="H165" s="186">
        <f ca="1">+Opex_VE[[#This Row],[MG]]-Opex_VE[[#This Row],[Opex]]</f>
        <v>-93058.966666666674</v>
      </c>
      <c r="I165" s="173" t="str">
        <f>IFERROR(VLOOKUP(Opex_VE[[#This Row],[Fecha]],Historia!A:D,4,0),"Forecast")</f>
        <v>Forecast</v>
      </c>
      <c r="J165" s="161">
        <f t="shared" ca="1" si="12"/>
        <v>553447.41666666663</v>
      </c>
      <c r="K165" s="157">
        <f ca="1">+Opex_VE[[#This Row],[MG]]-Opex_VE[[#This Row],[Opex]]</f>
        <v>0</v>
      </c>
      <c r="L165" s="156">
        <f>+VLOOKUP($A165,Opex!$C:$Z,N$1,1)</f>
        <v>55000</v>
      </c>
      <c r="M165" s="157">
        <f ca="1">+Opex_VE[[#This Row],[Opex]]</f>
        <v>0</v>
      </c>
      <c r="N165" s="156">
        <f t="shared" si="10"/>
        <v>294635</v>
      </c>
      <c r="O165" s="156">
        <f>+VLOOKUP($A165,Opex!$C:$Z,Q$1,1)</f>
        <v>4000</v>
      </c>
      <c r="P165" s="156">
        <f t="shared" si="11"/>
        <v>290635</v>
      </c>
      <c r="Q165" s="156">
        <f>+VLOOKUP($A165,Opex!$C:$Z,R$1,1)</f>
        <v>10635</v>
      </c>
      <c r="R165" s="157">
        <f>+SUM(Opex_VE[[#This Row],[Cajero]:[Domiciliario]])</f>
        <v>140000</v>
      </c>
      <c r="S165" s="156">
        <v>70000</v>
      </c>
      <c r="T165" s="156">
        <v>70000</v>
      </c>
      <c r="U165" s="156">
        <v>0</v>
      </c>
      <c r="V165"/>
    </row>
    <row r="166" spans="1:22" x14ac:dyDescent="0.2">
      <c r="A166" s="153">
        <v>46229</v>
      </c>
      <c r="B166" s="3">
        <f t="shared" si="13"/>
        <v>22</v>
      </c>
      <c r="C166" s="3" t="str">
        <f>+TEXT(Opex_VE[[#This Row],[Fecha]],"ddd")</f>
        <v>dom</v>
      </c>
      <c r="E166" s="14" t="s">
        <v>145</v>
      </c>
      <c r="F166" s="172">
        <f>IFERROR(VLOOKUP(Opex_VE[[#This Row],[Fecha]],Historia!A:B,2,0),_xlfn.XLOOKUP(Opex_VE[[#This Row],[dia]],Forecast!H:H,Forecast!I:I))</f>
        <v>218500</v>
      </c>
      <c r="G166" s="172">
        <f>IFERROR(VLOOKUP(Opex_VE[[#This Row],[Fecha]],Historia!A:C,3,0),_xlfn.XLOOKUP(Opex_VE[[#This Row],[dia]],Forecast!H:H,Forecast!J:J))</f>
        <v>87400</v>
      </c>
      <c r="H166" s="186">
        <f ca="1">+Opex_VE[[#This Row],[MG]]-Opex_VE[[#This Row],[Opex]]</f>
        <v>-133978.96666666667</v>
      </c>
      <c r="I166" s="172" t="str">
        <f>IFERROR(VLOOKUP(Opex_VE[[#This Row],[Fecha]],Historia!A:D,4,0),"Forecast")</f>
        <v>Forecast</v>
      </c>
      <c r="J166" s="161">
        <f t="shared" ca="1" si="12"/>
        <v>553447.41666666663</v>
      </c>
      <c r="K166" s="157">
        <f ca="1">+Opex_VE[[#This Row],[MG]]-Opex_VE[[#This Row],[Opex]]</f>
        <v>0</v>
      </c>
      <c r="L166" s="156">
        <f>+VLOOKUP($A166,Opex!$C:$Z,N$1,1)</f>
        <v>55000</v>
      </c>
      <c r="M166" s="157">
        <f ca="1">+Opex_VE[[#This Row],[Opex]]</f>
        <v>0</v>
      </c>
      <c r="N166" s="156">
        <f t="shared" si="10"/>
        <v>294635</v>
      </c>
      <c r="O166" s="156">
        <f>+VLOOKUP($A166,Opex!$C:$Z,Q$1,1)</f>
        <v>4000</v>
      </c>
      <c r="P166" s="156">
        <f t="shared" si="11"/>
        <v>290635</v>
      </c>
      <c r="Q166" s="156">
        <f>+VLOOKUP($A166,Opex!$C:$Z,R$1,1)</f>
        <v>10635</v>
      </c>
      <c r="R166" s="157">
        <f>+SUM(Opex_VE[[#This Row],[Cajero]:[Domiciliario]])</f>
        <v>140000</v>
      </c>
      <c r="S166" s="156">
        <v>70000</v>
      </c>
      <c r="T166" s="156">
        <v>70000</v>
      </c>
      <c r="U166" s="156">
        <v>0</v>
      </c>
      <c r="V166"/>
    </row>
    <row r="167" spans="1:22" x14ac:dyDescent="0.2">
      <c r="A167" s="153">
        <v>46230</v>
      </c>
      <c r="B167" s="3">
        <f t="shared" si="13"/>
        <v>23</v>
      </c>
      <c r="C167" s="3" t="str">
        <f>+TEXT(Opex_VE[[#This Row],[Fecha]],"ddd")</f>
        <v>lun</v>
      </c>
      <c r="E167" s="14" t="s">
        <v>112</v>
      </c>
      <c r="F167" s="172">
        <f>IFERROR(VLOOKUP(Opex_VE[[#This Row],[Fecha]],Historia!A:B,2,0),_xlfn.XLOOKUP(Opex_VE[[#This Row],[dia]],Forecast!H:H,Forecast!I:I))</f>
        <v>179200</v>
      </c>
      <c r="G167" s="172">
        <f>IFERROR(VLOOKUP(Opex_VE[[#This Row],[Fecha]],Historia!A:C,3,0),_xlfn.XLOOKUP(Opex_VE[[#This Row],[dia]],Forecast!H:H,Forecast!J:J))</f>
        <v>71680</v>
      </c>
      <c r="H167" s="186">
        <f ca="1">+Opex_VE[[#This Row],[MG]]-Opex_VE[[#This Row],[Opex]]</f>
        <v>-149698.96666666667</v>
      </c>
      <c r="I167" s="172" t="str">
        <f>IFERROR(VLOOKUP(Opex_VE[[#This Row],[Fecha]],Historia!A:D,4,0),"Forecast")</f>
        <v>Forecast</v>
      </c>
      <c r="J167" s="161">
        <f t="shared" ca="1" si="12"/>
        <v>553447.41666666663</v>
      </c>
      <c r="K167" s="157">
        <f ca="1">+Opex_VE[[#This Row],[MG]]-Opex_VE[[#This Row],[Opex]]</f>
        <v>0</v>
      </c>
      <c r="L167" s="156">
        <f>+VLOOKUP($A167,Opex!$C:$Z,N$1,1)</f>
        <v>55000</v>
      </c>
      <c r="M167" s="157">
        <f ca="1">+Opex_VE[[#This Row],[Opex]]</f>
        <v>0</v>
      </c>
      <c r="N167" s="156">
        <f t="shared" si="10"/>
        <v>294635</v>
      </c>
      <c r="O167" s="156">
        <f>+VLOOKUP($A167,Opex!$C:$Z,Q$1,1)</f>
        <v>4000</v>
      </c>
      <c r="P167" s="156">
        <f t="shared" si="11"/>
        <v>290635</v>
      </c>
      <c r="Q167" s="156">
        <f>+VLOOKUP($A167,Opex!$C:$Z,R$1,1)</f>
        <v>10635</v>
      </c>
      <c r="R167" s="157">
        <f>+SUM(Opex_VE[[#This Row],[Cajero]:[Domiciliario]])</f>
        <v>140000</v>
      </c>
      <c r="S167" s="156">
        <v>70000</v>
      </c>
      <c r="T167" s="156">
        <v>70000</v>
      </c>
      <c r="U167" s="156">
        <v>0</v>
      </c>
      <c r="V167"/>
    </row>
    <row r="168" spans="1:22" x14ac:dyDescent="0.2">
      <c r="A168" s="153">
        <v>46231</v>
      </c>
      <c r="B168" s="3">
        <f t="shared" si="13"/>
        <v>23</v>
      </c>
      <c r="C168" s="3" t="str">
        <f>+TEXT(Opex_VE[[#This Row],[Fecha]],"ddd")</f>
        <v>mar</v>
      </c>
      <c r="E168" s="14" t="s">
        <v>112</v>
      </c>
      <c r="F168" s="172">
        <f>IFERROR(VLOOKUP(Opex_VE[[#This Row],[Fecha]],Historia!A:B,2,0),_xlfn.XLOOKUP(Opex_VE[[#This Row],[dia]],Forecast!H:H,Forecast!I:I))</f>
        <v>195000</v>
      </c>
      <c r="G168" s="172">
        <f>IFERROR(VLOOKUP(Opex_VE[[#This Row],[Fecha]],Historia!A:C,3,0),_xlfn.XLOOKUP(Opex_VE[[#This Row],[dia]],Forecast!H:H,Forecast!J:J))</f>
        <v>78000</v>
      </c>
      <c r="H168" s="186">
        <f ca="1">+Opex_VE[[#This Row],[MG]]-Opex_VE[[#This Row],[Opex]]</f>
        <v>-143378.96666666667</v>
      </c>
      <c r="I168" s="172" t="str">
        <f>IFERROR(VLOOKUP(Opex_VE[[#This Row],[Fecha]],Historia!A:D,4,0),"Forecast")</f>
        <v>Forecast</v>
      </c>
      <c r="J168" s="161">
        <f t="shared" ca="1" si="12"/>
        <v>553447.41666666663</v>
      </c>
      <c r="K168" s="157">
        <f ca="1">+Opex_VE[[#This Row],[MG]]-Opex_VE[[#This Row],[Opex]]</f>
        <v>0</v>
      </c>
      <c r="L168" s="156">
        <f>+VLOOKUP($A168,Opex!$C:$Z,N$1,1)</f>
        <v>55000</v>
      </c>
      <c r="M168" s="157">
        <f ca="1">+Opex_VE[[#This Row],[Opex]]</f>
        <v>0</v>
      </c>
      <c r="N168" s="156">
        <f t="shared" si="10"/>
        <v>294635</v>
      </c>
      <c r="O168" s="156">
        <f>+VLOOKUP($A168,Opex!$C:$Z,Q$1,1)</f>
        <v>4000</v>
      </c>
      <c r="P168" s="156">
        <f t="shared" si="11"/>
        <v>290635</v>
      </c>
      <c r="Q168" s="156">
        <f>+VLOOKUP($A168,Opex!$C:$Z,R$1,1)</f>
        <v>10635</v>
      </c>
      <c r="R168" s="157">
        <f>+SUM(Opex_VE[[#This Row],[Cajero]:[Domiciliario]])</f>
        <v>140000</v>
      </c>
      <c r="S168" s="156">
        <v>70000</v>
      </c>
      <c r="T168" s="156">
        <v>70000</v>
      </c>
      <c r="U168" s="156">
        <v>0</v>
      </c>
      <c r="V168"/>
    </row>
    <row r="169" spans="1:22" x14ac:dyDescent="0.2">
      <c r="A169" s="153">
        <v>46232</v>
      </c>
      <c r="B169" s="3">
        <f t="shared" si="13"/>
        <v>23</v>
      </c>
      <c r="C169" s="3" t="str">
        <f>+TEXT(Opex_VE[[#This Row],[Fecha]],"ddd")</f>
        <v>mié</v>
      </c>
      <c r="E169" s="14" t="s">
        <v>112</v>
      </c>
      <c r="F169" s="172">
        <f>IFERROR(VLOOKUP(Opex_VE[[#This Row],[Fecha]],Historia!A:B,2,0),_xlfn.XLOOKUP(Opex_VE[[#This Row],[dia]],Forecast!H:H,Forecast!I:I))</f>
        <v>366750</v>
      </c>
      <c r="G169" s="172">
        <f>IFERROR(VLOOKUP(Opex_VE[[#This Row],[Fecha]],Historia!A:C,3,0),_xlfn.XLOOKUP(Opex_VE[[#This Row],[dia]],Forecast!H:H,Forecast!J:J))</f>
        <v>146700</v>
      </c>
      <c r="H169" s="186">
        <f ca="1">+Opex_VE[[#This Row],[MG]]-Opex_VE[[#This Row],[Opex]]</f>
        <v>-74678.966666666674</v>
      </c>
      <c r="I169" s="172" t="str">
        <f>IFERROR(VLOOKUP(Opex_VE[[#This Row],[Fecha]],Historia!A:D,4,0),"Forecast")</f>
        <v>Forecast</v>
      </c>
      <c r="J169" s="161">
        <f t="shared" ca="1" si="12"/>
        <v>553447.41666666663</v>
      </c>
      <c r="K169" s="157">
        <f ca="1">+Opex_VE[[#This Row],[MG]]-Opex_VE[[#This Row],[Opex]]</f>
        <v>0</v>
      </c>
      <c r="L169" s="156">
        <f>+VLOOKUP($A169,Opex!$C:$Z,N$1,1)</f>
        <v>55000</v>
      </c>
      <c r="M169" s="157">
        <f ca="1">+Opex_VE[[#This Row],[Opex]]</f>
        <v>0</v>
      </c>
      <c r="N169" s="156">
        <f t="shared" si="10"/>
        <v>294635</v>
      </c>
      <c r="O169" s="156">
        <f>+VLOOKUP($A169,Opex!$C:$Z,Q$1,1)</f>
        <v>4000</v>
      </c>
      <c r="P169" s="156">
        <f t="shared" si="11"/>
        <v>290635</v>
      </c>
      <c r="Q169" s="156">
        <f>+VLOOKUP($A169,Opex!$C:$Z,R$1,1)</f>
        <v>10635</v>
      </c>
      <c r="R169" s="157">
        <f>+SUM(Opex_VE[[#This Row],[Cajero]:[Domiciliario]])</f>
        <v>140000</v>
      </c>
      <c r="S169" s="156">
        <v>70000</v>
      </c>
      <c r="T169" s="156">
        <v>70000</v>
      </c>
      <c r="U169" s="156">
        <v>0</v>
      </c>
      <c r="V169"/>
    </row>
    <row r="170" spans="1:22" x14ac:dyDescent="0.2">
      <c r="A170" s="153">
        <v>46233</v>
      </c>
      <c r="B170" s="3">
        <f t="shared" si="13"/>
        <v>23</v>
      </c>
      <c r="C170" s="3" t="str">
        <f>+TEXT(Opex_VE[[#This Row],[Fecha]],"ddd")</f>
        <v>jue</v>
      </c>
      <c r="E170" s="14" t="s">
        <v>112</v>
      </c>
      <c r="F170" s="172">
        <f>IFERROR(VLOOKUP(Opex_VE[[#This Row],[Fecha]],Historia!A:B,2,0),_xlfn.XLOOKUP(Opex_VE[[#This Row],[dia]],Forecast!H:H,Forecast!I:I))</f>
        <v>234000</v>
      </c>
      <c r="G170" s="172">
        <f>IFERROR(VLOOKUP(Opex_VE[[#This Row],[Fecha]],Historia!A:C,3,0),_xlfn.XLOOKUP(Opex_VE[[#This Row],[dia]],Forecast!H:H,Forecast!J:J))</f>
        <v>93600</v>
      </c>
      <c r="H170" s="186">
        <f ca="1">+Opex_VE[[#This Row],[MG]]-Opex_VE[[#This Row],[Opex]]</f>
        <v>-127778.96666666667</v>
      </c>
      <c r="I170" s="172" t="str">
        <f>IFERROR(VLOOKUP(Opex_VE[[#This Row],[Fecha]],Historia!A:D,4,0),"Forecast")</f>
        <v>Forecast</v>
      </c>
      <c r="J170" s="161">
        <f t="shared" ca="1" si="12"/>
        <v>553447.41666666663</v>
      </c>
      <c r="K170" s="157">
        <f ca="1">+Opex_VE[[#This Row],[MG]]-Opex_VE[[#This Row],[Opex]]</f>
        <v>0</v>
      </c>
      <c r="L170" s="156">
        <f>+VLOOKUP($A170,Opex!$C:$Z,N$1,1)</f>
        <v>55000</v>
      </c>
      <c r="M170" s="157">
        <f ca="1">+Opex_VE[[#This Row],[Opex]]</f>
        <v>0</v>
      </c>
      <c r="N170" s="156">
        <f t="shared" si="10"/>
        <v>294635</v>
      </c>
      <c r="O170" s="156">
        <f>+VLOOKUP($A170,Opex!$C:$Z,Q$1,1)</f>
        <v>4000</v>
      </c>
      <c r="P170" s="156">
        <f t="shared" si="11"/>
        <v>290635</v>
      </c>
      <c r="Q170" s="156">
        <f>+VLOOKUP($A170,Opex!$C:$Z,R$1,1)</f>
        <v>10635</v>
      </c>
      <c r="R170" s="157">
        <f>+SUM(Opex_VE[[#This Row],[Cajero]:[Domiciliario]])</f>
        <v>140000</v>
      </c>
      <c r="S170" s="156">
        <v>70000</v>
      </c>
      <c r="T170" s="156">
        <v>70000</v>
      </c>
      <c r="U170" s="156">
        <v>0</v>
      </c>
      <c r="V170"/>
    </row>
    <row r="171" spans="1:22" x14ac:dyDescent="0.2">
      <c r="A171" s="153">
        <v>46234</v>
      </c>
      <c r="B171" s="3">
        <f t="shared" si="13"/>
        <v>23</v>
      </c>
      <c r="C171" s="3" t="str">
        <f>+TEXT(Opex_VE[[#This Row],[Fecha]],"ddd")</f>
        <v>vie</v>
      </c>
      <c r="E171" s="14" t="s">
        <v>217</v>
      </c>
      <c r="F171" s="172">
        <f>IFERROR(VLOOKUP(Opex_VE[[#This Row],[Fecha]],Historia!A:B,2,0),_xlfn.XLOOKUP(Opex_VE[[#This Row],[dia]],Forecast!H:H,Forecast!I:I))</f>
        <v>248000</v>
      </c>
      <c r="G171" s="172">
        <f>IFERROR(VLOOKUP(Opex_VE[[#This Row],[Fecha]],Historia!A:C,3,0),_xlfn.XLOOKUP(Opex_VE[[#This Row],[dia]],Forecast!H:H,Forecast!J:J))</f>
        <v>99200</v>
      </c>
      <c r="H171" s="186">
        <f ca="1">+Opex_VE[[#This Row],[MG]]-Opex_VE[[#This Row],[Opex]]</f>
        <v>-122178.96666666667</v>
      </c>
      <c r="I171" s="172" t="str">
        <f>IFERROR(VLOOKUP(Opex_VE[[#This Row],[Fecha]],Historia!A:D,4,0),"Forecast")</f>
        <v>Forecast</v>
      </c>
      <c r="J171" s="161">
        <f t="shared" ca="1" si="12"/>
        <v>553447.41666666663</v>
      </c>
      <c r="K171" s="157">
        <f ca="1">+Opex_VE[[#This Row],[MG]]-Opex_VE[[#This Row],[Opex]]</f>
        <v>0</v>
      </c>
      <c r="L171" s="156">
        <f>+VLOOKUP($A171,Opex!$C:$Z,N$1,1)</f>
        <v>55000</v>
      </c>
      <c r="M171" s="157">
        <f ca="1">+Opex_VE[[#This Row],[Opex]]</f>
        <v>0</v>
      </c>
      <c r="N171" s="156">
        <f t="shared" si="10"/>
        <v>294635</v>
      </c>
      <c r="O171" s="156">
        <f>+VLOOKUP($A171,Opex!$C:$Z,Q$1,1)</f>
        <v>4000</v>
      </c>
      <c r="P171" s="156">
        <f t="shared" si="11"/>
        <v>290635</v>
      </c>
      <c r="Q171" s="156">
        <f>+VLOOKUP($A171,Opex!$C:$Z,R$1,1)</f>
        <v>10635</v>
      </c>
      <c r="R171" s="157">
        <f>+SUM(Opex_VE[[#This Row],[Cajero]:[Domiciliario]])</f>
        <v>140000</v>
      </c>
      <c r="S171" s="156">
        <v>70000</v>
      </c>
      <c r="T171" s="156">
        <v>70000</v>
      </c>
      <c r="U171" s="156">
        <v>0</v>
      </c>
      <c r="V171"/>
    </row>
    <row r="172" spans="1:22" x14ac:dyDescent="0.2">
      <c r="A172" s="153">
        <v>46235</v>
      </c>
      <c r="B172" s="3">
        <f t="shared" si="13"/>
        <v>23</v>
      </c>
      <c r="C172" s="3" t="str">
        <f>+TEXT(Opex_VE[[#This Row],[Fecha]],"ddd")</f>
        <v>sáb</v>
      </c>
      <c r="E172" s="14" t="s">
        <v>113</v>
      </c>
      <c r="F172" s="172">
        <f>IFERROR(VLOOKUP(Opex_VE[[#This Row],[Fecha]],Historia!A:B,2,0),_xlfn.XLOOKUP(Opex_VE[[#This Row],[dia]],Forecast!H:H,Forecast!I:I))</f>
        <v>320800</v>
      </c>
      <c r="G172" s="172">
        <f>IFERROR(VLOOKUP(Opex_VE[[#This Row],[Fecha]],Historia!A:C,3,0),_xlfn.XLOOKUP(Opex_VE[[#This Row],[dia]],Forecast!H:H,Forecast!J:J))</f>
        <v>128320</v>
      </c>
      <c r="H172" s="186">
        <f ca="1">+Opex_VE[[#This Row],[MG]]-Opex_VE[[#This Row],[Opex]]</f>
        <v>-93058.966666666674</v>
      </c>
      <c r="I172" s="173" t="str">
        <f>IFERROR(VLOOKUP(Opex_VE[[#This Row],[Fecha]],Historia!A:D,4,0),"Forecast")</f>
        <v>Forecast</v>
      </c>
      <c r="J172" s="161">
        <f t="shared" ca="1" si="12"/>
        <v>553447.41666666663</v>
      </c>
      <c r="K172" s="157">
        <f ca="1">+Opex_VE[[#This Row],[MG]]-Opex_VE[[#This Row],[Opex]]</f>
        <v>0</v>
      </c>
      <c r="L172" s="156">
        <f>+VLOOKUP($A172,Opex!$C:$Z,N$1,1)</f>
        <v>55000</v>
      </c>
      <c r="M172" s="157">
        <f ca="1">+Opex_VE[[#This Row],[Opex]]</f>
        <v>0</v>
      </c>
      <c r="N172" s="156">
        <f t="shared" si="10"/>
        <v>294635</v>
      </c>
      <c r="O172" s="156">
        <f>+VLOOKUP($A172,Opex!$C:$Z,Q$1,1)</f>
        <v>4000</v>
      </c>
      <c r="P172" s="156">
        <f t="shared" si="11"/>
        <v>290635</v>
      </c>
      <c r="Q172" s="156">
        <f>+VLOOKUP($A172,Opex!$C:$Z,R$1,1)</f>
        <v>10635</v>
      </c>
      <c r="R172" s="157">
        <f>+SUM(Opex_VE[[#This Row],[Cajero]:[Domiciliario]])</f>
        <v>140000</v>
      </c>
      <c r="S172" s="156">
        <v>70000</v>
      </c>
      <c r="T172" s="156">
        <v>70000</v>
      </c>
      <c r="U172" s="156">
        <v>0</v>
      </c>
      <c r="V172"/>
    </row>
    <row r="173" spans="1:22" x14ac:dyDescent="0.2">
      <c r="A173" s="153">
        <v>46236</v>
      </c>
      <c r="B173" s="3">
        <f t="shared" si="13"/>
        <v>23</v>
      </c>
      <c r="C173" s="3" t="str">
        <f>+TEXT(Opex_VE[[#This Row],[Fecha]],"ddd")</f>
        <v>dom</v>
      </c>
      <c r="E173" s="14" t="s">
        <v>145</v>
      </c>
      <c r="F173" s="172">
        <f>IFERROR(VLOOKUP(Opex_VE[[#This Row],[Fecha]],Historia!A:B,2,0),_xlfn.XLOOKUP(Opex_VE[[#This Row],[dia]],Forecast!H:H,Forecast!I:I))</f>
        <v>218500</v>
      </c>
      <c r="G173" s="172">
        <f>IFERROR(VLOOKUP(Opex_VE[[#This Row],[Fecha]],Historia!A:C,3,0),_xlfn.XLOOKUP(Opex_VE[[#This Row],[dia]],Forecast!H:H,Forecast!J:J))</f>
        <v>87400</v>
      </c>
      <c r="H173" s="186">
        <f ca="1">+Opex_VE[[#This Row],[MG]]-Opex_VE[[#This Row],[Opex]]</f>
        <v>-133978.96666666667</v>
      </c>
      <c r="I173" s="172" t="str">
        <f>IFERROR(VLOOKUP(Opex_VE[[#This Row],[Fecha]],Historia!A:D,4,0),"Forecast")</f>
        <v>Forecast</v>
      </c>
      <c r="J173" s="161">
        <f t="shared" ca="1" si="12"/>
        <v>553447.41666666663</v>
      </c>
      <c r="K173" s="157">
        <f ca="1">+Opex_VE[[#This Row],[MG]]-Opex_VE[[#This Row],[Opex]]</f>
        <v>0</v>
      </c>
      <c r="L173" s="156">
        <f>+VLOOKUP($A173,Opex!$C:$Z,N$1,1)</f>
        <v>55000</v>
      </c>
      <c r="M173" s="157">
        <f ca="1">+Opex_VE[[#This Row],[Opex]]</f>
        <v>0</v>
      </c>
      <c r="N173" s="156">
        <f t="shared" si="10"/>
        <v>294635</v>
      </c>
      <c r="O173" s="156">
        <f>+VLOOKUP($A173,Opex!$C:$Z,Q$1,1)</f>
        <v>4000</v>
      </c>
      <c r="P173" s="156">
        <f t="shared" si="11"/>
        <v>290635</v>
      </c>
      <c r="Q173" s="156">
        <f>+VLOOKUP($A173,Opex!$C:$Z,R$1,1)</f>
        <v>10635</v>
      </c>
      <c r="R173" s="157">
        <f>+SUM(Opex_VE[[#This Row],[Cajero]:[Domiciliario]])</f>
        <v>140000</v>
      </c>
      <c r="S173" s="156">
        <v>70000</v>
      </c>
      <c r="T173" s="156">
        <v>70000</v>
      </c>
      <c r="U173" s="156">
        <v>0</v>
      </c>
      <c r="V173"/>
    </row>
    <row r="174" spans="1:22" x14ac:dyDescent="0.2">
      <c r="A174" s="153">
        <v>46237</v>
      </c>
      <c r="B174" s="3">
        <f t="shared" si="13"/>
        <v>24</v>
      </c>
      <c r="C174" s="3" t="str">
        <f>+TEXT(Opex_VE[[#This Row],[Fecha]],"ddd")</f>
        <v>lun</v>
      </c>
      <c r="E174" s="14" t="s">
        <v>112</v>
      </c>
      <c r="F174" s="172">
        <f>IFERROR(VLOOKUP(Opex_VE[[#This Row],[Fecha]],Historia!A:B,2,0),_xlfn.XLOOKUP(Opex_VE[[#This Row],[dia]],Forecast!H:H,Forecast!I:I))</f>
        <v>179200</v>
      </c>
      <c r="G174" s="172">
        <f>IFERROR(VLOOKUP(Opex_VE[[#This Row],[Fecha]],Historia!A:C,3,0),_xlfn.XLOOKUP(Opex_VE[[#This Row],[dia]],Forecast!H:H,Forecast!J:J))</f>
        <v>71680</v>
      </c>
      <c r="H174" s="186">
        <f ca="1">+Opex_VE[[#This Row],[MG]]-Opex_VE[[#This Row],[Opex]]</f>
        <v>-149698.96666666667</v>
      </c>
      <c r="I174" s="172" t="str">
        <f>IFERROR(VLOOKUP(Opex_VE[[#This Row],[Fecha]],Historia!A:D,4,0),"Forecast")</f>
        <v>Forecast</v>
      </c>
      <c r="J174" s="161">
        <f t="shared" ca="1" si="12"/>
        <v>553447.41666666663</v>
      </c>
      <c r="K174" s="157">
        <f ca="1">+Opex_VE[[#This Row],[MG]]-Opex_VE[[#This Row],[Opex]]</f>
        <v>0</v>
      </c>
      <c r="L174" s="156">
        <f>+VLOOKUP($A174,Opex!$C:$Z,N$1,1)</f>
        <v>55000</v>
      </c>
      <c r="M174" s="157">
        <f ca="1">+Opex_VE[[#This Row],[Opex]]</f>
        <v>0</v>
      </c>
      <c r="N174" s="156">
        <f t="shared" si="10"/>
        <v>294635</v>
      </c>
      <c r="O174" s="156">
        <f>+VLOOKUP($A174,Opex!$C:$Z,Q$1,1)</f>
        <v>4000</v>
      </c>
      <c r="P174" s="156">
        <f t="shared" si="11"/>
        <v>290635</v>
      </c>
      <c r="Q174" s="156">
        <f>+VLOOKUP($A174,Opex!$C:$Z,R$1,1)</f>
        <v>10635</v>
      </c>
      <c r="R174" s="157">
        <f>+SUM(Opex_VE[[#This Row],[Cajero]:[Domiciliario]])</f>
        <v>140000</v>
      </c>
      <c r="S174" s="156">
        <v>70000</v>
      </c>
      <c r="T174" s="156">
        <v>70000</v>
      </c>
      <c r="U174" s="156">
        <v>0</v>
      </c>
      <c r="V174"/>
    </row>
    <row r="175" spans="1:22" x14ac:dyDescent="0.2">
      <c r="A175" s="153">
        <v>46238</v>
      </c>
      <c r="B175" s="3">
        <f t="shared" si="13"/>
        <v>24</v>
      </c>
      <c r="C175" s="3" t="str">
        <f>+TEXT(Opex_VE[[#This Row],[Fecha]],"ddd")</f>
        <v>mar</v>
      </c>
      <c r="E175" s="14" t="s">
        <v>112</v>
      </c>
      <c r="F175" s="172">
        <f>IFERROR(VLOOKUP(Opex_VE[[#This Row],[Fecha]],Historia!A:B,2,0),_xlfn.XLOOKUP(Opex_VE[[#This Row],[dia]],Forecast!H:H,Forecast!I:I))</f>
        <v>195000</v>
      </c>
      <c r="G175" s="172">
        <f>IFERROR(VLOOKUP(Opex_VE[[#This Row],[Fecha]],Historia!A:C,3,0),_xlfn.XLOOKUP(Opex_VE[[#This Row],[dia]],Forecast!H:H,Forecast!J:J))</f>
        <v>78000</v>
      </c>
      <c r="H175" s="186">
        <f ca="1">+Opex_VE[[#This Row],[MG]]-Opex_VE[[#This Row],[Opex]]</f>
        <v>-143378.96666666667</v>
      </c>
      <c r="I175" s="172" t="str">
        <f>IFERROR(VLOOKUP(Opex_VE[[#This Row],[Fecha]],Historia!A:D,4,0),"Forecast")</f>
        <v>Forecast</v>
      </c>
      <c r="J175" s="161">
        <f t="shared" ca="1" si="12"/>
        <v>553447.41666666663</v>
      </c>
      <c r="K175" s="157">
        <f ca="1">+Opex_VE[[#This Row],[MG]]-Opex_VE[[#This Row],[Opex]]</f>
        <v>0</v>
      </c>
      <c r="L175" s="156">
        <f>+VLOOKUP($A175,Opex!$C:$Z,N$1,1)</f>
        <v>55000</v>
      </c>
      <c r="M175" s="157">
        <f ca="1">+Opex_VE[[#This Row],[Opex]]</f>
        <v>0</v>
      </c>
      <c r="N175" s="156">
        <f t="shared" si="10"/>
        <v>294635</v>
      </c>
      <c r="O175" s="156">
        <f>+VLOOKUP($A175,Opex!$C:$Z,Q$1,1)</f>
        <v>4000</v>
      </c>
      <c r="P175" s="156">
        <f t="shared" si="11"/>
        <v>290635</v>
      </c>
      <c r="Q175" s="156">
        <f>+VLOOKUP($A175,Opex!$C:$Z,R$1,1)</f>
        <v>10635</v>
      </c>
      <c r="R175" s="157">
        <f>+SUM(Opex_VE[[#This Row],[Cajero]:[Domiciliario]])</f>
        <v>140000</v>
      </c>
      <c r="S175" s="156">
        <v>70000</v>
      </c>
      <c r="T175" s="156">
        <v>70000</v>
      </c>
      <c r="U175" s="156">
        <v>0</v>
      </c>
      <c r="V175"/>
    </row>
    <row r="176" spans="1:22" x14ac:dyDescent="0.2">
      <c r="A176" s="153">
        <v>46239</v>
      </c>
      <c r="B176" s="3">
        <f t="shared" si="13"/>
        <v>24</v>
      </c>
      <c r="C176" s="3" t="str">
        <f>+TEXT(Opex_VE[[#This Row],[Fecha]],"ddd")</f>
        <v>mié</v>
      </c>
      <c r="E176" s="14" t="s">
        <v>112</v>
      </c>
      <c r="F176" s="172">
        <f>IFERROR(VLOOKUP(Opex_VE[[#This Row],[Fecha]],Historia!A:B,2,0),_xlfn.XLOOKUP(Opex_VE[[#This Row],[dia]],Forecast!H:H,Forecast!I:I))</f>
        <v>366750</v>
      </c>
      <c r="G176" s="172">
        <f>IFERROR(VLOOKUP(Opex_VE[[#This Row],[Fecha]],Historia!A:C,3,0),_xlfn.XLOOKUP(Opex_VE[[#This Row],[dia]],Forecast!H:H,Forecast!J:J))</f>
        <v>146700</v>
      </c>
      <c r="H176" s="186">
        <f ca="1">+Opex_VE[[#This Row],[MG]]-Opex_VE[[#This Row],[Opex]]</f>
        <v>-74678.966666666674</v>
      </c>
      <c r="I176" s="172" t="str">
        <f>IFERROR(VLOOKUP(Opex_VE[[#This Row],[Fecha]],Historia!A:D,4,0),"Forecast")</f>
        <v>Forecast</v>
      </c>
      <c r="J176" s="161">
        <f t="shared" ca="1" si="12"/>
        <v>553447.41666666663</v>
      </c>
      <c r="K176" s="157">
        <f ca="1">+Opex_VE[[#This Row],[MG]]-Opex_VE[[#This Row],[Opex]]</f>
        <v>0</v>
      </c>
      <c r="L176" s="156">
        <f>+VLOOKUP($A176,Opex!$C:$Z,N$1,1)</f>
        <v>55000</v>
      </c>
      <c r="M176" s="157">
        <f ca="1">+Opex_VE[[#This Row],[Opex]]</f>
        <v>0</v>
      </c>
      <c r="N176" s="156">
        <f t="shared" si="10"/>
        <v>294635</v>
      </c>
      <c r="O176" s="156">
        <f>+VLOOKUP($A176,Opex!$C:$Z,Q$1,1)</f>
        <v>4000</v>
      </c>
      <c r="P176" s="156">
        <f t="shared" si="11"/>
        <v>290635</v>
      </c>
      <c r="Q176" s="156">
        <f>+VLOOKUP($A176,Opex!$C:$Z,R$1,1)</f>
        <v>10635</v>
      </c>
      <c r="R176" s="157">
        <f>+SUM(Opex_VE[[#This Row],[Cajero]:[Domiciliario]])</f>
        <v>140000</v>
      </c>
      <c r="S176" s="156">
        <v>70000</v>
      </c>
      <c r="T176" s="156">
        <v>70000</v>
      </c>
      <c r="U176" s="156">
        <v>0</v>
      </c>
      <c r="V176"/>
    </row>
    <row r="177" spans="1:22" x14ac:dyDescent="0.2">
      <c r="A177" s="153">
        <v>46240</v>
      </c>
      <c r="B177" s="3">
        <f t="shared" si="13"/>
        <v>24</v>
      </c>
      <c r="C177" s="3" t="str">
        <f>+TEXT(Opex_VE[[#This Row],[Fecha]],"ddd")</f>
        <v>jue</v>
      </c>
      <c r="E177" s="14" t="s">
        <v>112</v>
      </c>
      <c r="F177" s="172">
        <f>IFERROR(VLOOKUP(Opex_VE[[#This Row],[Fecha]],Historia!A:B,2,0),_xlfn.XLOOKUP(Opex_VE[[#This Row],[dia]],Forecast!H:H,Forecast!I:I))</f>
        <v>234000</v>
      </c>
      <c r="G177" s="172">
        <f>IFERROR(VLOOKUP(Opex_VE[[#This Row],[Fecha]],Historia!A:C,3,0),_xlfn.XLOOKUP(Opex_VE[[#This Row],[dia]],Forecast!H:H,Forecast!J:J))</f>
        <v>93600</v>
      </c>
      <c r="H177" s="186">
        <f ca="1">+Opex_VE[[#This Row],[MG]]-Opex_VE[[#This Row],[Opex]]</f>
        <v>-127778.96666666667</v>
      </c>
      <c r="I177" s="172" t="str">
        <f>IFERROR(VLOOKUP(Opex_VE[[#This Row],[Fecha]],Historia!A:D,4,0),"Forecast")</f>
        <v>Forecast</v>
      </c>
      <c r="J177" s="161">
        <f t="shared" ca="1" si="12"/>
        <v>553447.41666666663</v>
      </c>
      <c r="K177" s="157">
        <f ca="1">+Opex_VE[[#This Row],[MG]]-Opex_VE[[#This Row],[Opex]]</f>
        <v>0</v>
      </c>
      <c r="L177" s="156">
        <f>+VLOOKUP($A177,Opex!$C:$Z,N$1,1)</f>
        <v>55000</v>
      </c>
      <c r="M177" s="157">
        <f ca="1">+Opex_VE[[#This Row],[Opex]]</f>
        <v>0</v>
      </c>
      <c r="N177" s="156">
        <f t="shared" si="10"/>
        <v>294635</v>
      </c>
      <c r="O177" s="156">
        <f>+VLOOKUP($A177,Opex!$C:$Z,Q$1,1)</f>
        <v>4000</v>
      </c>
      <c r="P177" s="156">
        <f t="shared" si="11"/>
        <v>290635</v>
      </c>
      <c r="Q177" s="156">
        <f>+VLOOKUP($A177,Opex!$C:$Z,R$1,1)</f>
        <v>10635</v>
      </c>
      <c r="R177" s="157">
        <f>+SUM(Opex_VE[[#This Row],[Cajero]:[Domiciliario]])</f>
        <v>140000</v>
      </c>
      <c r="S177" s="156">
        <v>70000</v>
      </c>
      <c r="T177" s="156">
        <v>70000</v>
      </c>
      <c r="U177" s="156">
        <v>0</v>
      </c>
      <c r="V177"/>
    </row>
    <row r="178" spans="1:22" x14ac:dyDescent="0.2">
      <c r="A178" s="153">
        <v>46241</v>
      </c>
      <c r="B178" s="3">
        <f t="shared" si="13"/>
        <v>24</v>
      </c>
      <c r="C178" s="3" t="str">
        <f>+TEXT(Opex_VE[[#This Row],[Fecha]],"ddd")</f>
        <v>vie</v>
      </c>
      <c r="E178" s="14" t="s">
        <v>217</v>
      </c>
      <c r="F178" s="172">
        <f>IFERROR(VLOOKUP(Opex_VE[[#This Row],[Fecha]],Historia!A:B,2,0),_xlfn.XLOOKUP(Opex_VE[[#This Row],[dia]],Forecast!H:H,Forecast!I:I))</f>
        <v>248000</v>
      </c>
      <c r="G178" s="172">
        <f>IFERROR(VLOOKUP(Opex_VE[[#This Row],[Fecha]],Historia!A:C,3,0),_xlfn.XLOOKUP(Opex_VE[[#This Row],[dia]],Forecast!H:H,Forecast!J:J))</f>
        <v>99200</v>
      </c>
      <c r="H178" s="186">
        <f ca="1">+Opex_VE[[#This Row],[MG]]-Opex_VE[[#This Row],[Opex]]</f>
        <v>-122178.96666666667</v>
      </c>
      <c r="I178" s="172" t="str">
        <f>IFERROR(VLOOKUP(Opex_VE[[#This Row],[Fecha]],Historia!A:D,4,0),"Forecast")</f>
        <v>Forecast</v>
      </c>
      <c r="J178" s="161">
        <f t="shared" ca="1" si="12"/>
        <v>553447.41666666663</v>
      </c>
      <c r="K178" s="157">
        <f ca="1">+Opex_VE[[#This Row],[MG]]-Opex_VE[[#This Row],[Opex]]</f>
        <v>0</v>
      </c>
      <c r="L178" s="156">
        <f>+VLOOKUP($A178,Opex!$C:$Z,N$1,1)</f>
        <v>55000</v>
      </c>
      <c r="M178" s="157">
        <f ca="1">+Opex_VE[[#This Row],[Opex]]</f>
        <v>0</v>
      </c>
      <c r="N178" s="156">
        <f t="shared" si="10"/>
        <v>294635</v>
      </c>
      <c r="O178" s="156">
        <f>+VLOOKUP($A178,Opex!$C:$Z,Q$1,1)</f>
        <v>4000</v>
      </c>
      <c r="P178" s="156">
        <f t="shared" si="11"/>
        <v>290635</v>
      </c>
      <c r="Q178" s="156">
        <f>+VLOOKUP($A178,Opex!$C:$Z,R$1,1)</f>
        <v>10635</v>
      </c>
      <c r="R178" s="157">
        <f>+SUM(Opex_VE[[#This Row],[Cajero]:[Domiciliario]])</f>
        <v>140000</v>
      </c>
      <c r="S178" s="156">
        <v>70000</v>
      </c>
      <c r="T178" s="156">
        <v>70000</v>
      </c>
      <c r="U178" s="156">
        <v>0</v>
      </c>
      <c r="V178"/>
    </row>
    <row r="179" spans="1:22" x14ac:dyDescent="0.2">
      <c r="A179" s="153">
        <v>46242</v>
      </c>
      <c r="B179" s="3">
        <f t="shared" si="13"/>
        <v>24</v>
      </c>
      <c r="C179" s="3" t="str">
        <f>+TEXT(Opex_VE[[#This Row],[Fecha]],"ddd")</f>
        <v>sáb</v>
      </c>
      <c r="E179" s="14" t="s">
        <v>113</v>
      </c>
      <c r="F179" s="172">
        <f>IFERROR(VLOOKUP(Opex_VE[[#This Row],[Fecha]],Historia!A:B,2,0),_xlfn.XLOOKUP(Opex_VE[[#This Row],[dia]],Forecast!H:H,Forecast!I:I))</f>
        <v>320800</v>
      </c>
      <c r="G179" s="172">
        <f>IFERROR(VLOOKUP(Opex_VE[[#This Row],[Fecha]],Historia!A:C,3,0),_xlfn.XLOOKUP(Opex_VE[[#This Row],[dia]],Forecast!H:H,Forecast!J:J))</f>
        <v>128320</v>
      </c>
      <c r="H179" s="186">
        <f ca="1">+Opex_VE[[#This Row],[MG]]-Opex_VE[[#This Row],[Opex]]</f>
        <v>-93058.966666666674</v>
      </c>
      <c r="I179" s="173" t="str">
        <f>IFERROR(VLOOKUP(Opex_VE[[#This Row],[Fecha]],Historia!A:D,4,0),"Forecast")</f>
        <v>Forecast</v>
      </c>
      <c r="J179" s="161">
        <f t="shared" ca="1" si="12"/>
        <v>553447.41666666663</v>
      </c>
      <c r="K179" s="157">
        <f ca="1">+Opex_VE[[#This Row],[MG]]-Opex_VE[[#This Row],[Opex]]</f>
        <v>0</v>
      </c>
      <c r="L179" s="156">
        <f>+VLOOKUP($A179,Opex!$C:$Z,N$1,1)</f>
        <v>55000</v>
      </c>
      <c r="M179" s="157">
        <f ca="1">+Opex_VE[[#This Row],[Opex]]</f>
        <v>0</v>
      </c>
      <c r="N179" s="156">
        <f t="shared" si="10"/>
        <v>294635</v>
      </c>
      <c r="O179" s="156">
        <f>+VLOOKUP($A179,Opex!$C:$Z,Q$1,1)</f>
        <v>4000</v>
      </c>
      <c r="P179" s="156">
        <f t="shared" si="11"/>
        <v>290635</v>
      </c>
      <c r="Q179" s="156">
        <f>+VLOOKUP($A179,Opex!$C:$Z,R$1,1)</f>
        <v>10635</v>
      </c>
      <c r="R179" s="157">
        <f>+SUM(Opex_VE[[#This Row],[Cajero]:[Domiciliario]])</f>
        <v>140000</v>
      </c>
      <c r="S179" s="156">
        <v>70000</v>
      </c>
      <c r="T179" s="156">
        <v>70000</v>
      </c>
      <c r="U179" s="156">
        <v>0</v>
      </c>
      <c r="V179"/>
    </row>
    <row r="180" spans="1:22" x14ac:dyDescent="0.2">
      <c r="A180" s="153">
        <v>46243</v>
      </c>
      <c r="B180" s="3">
        <f t="shared" si="13"/>
        <v>24</v>
      </c>
      <c r="C180" s="3" t="str">
        <f>+TEXT(Opex_VE[[#This Row],[Fecha]],"ddd")</f>
        <v>dom</v>
      </c>
      <c r="E180" s="14" t="s">
        <v>145</v>
      </c>
      <c r="F180" s="172">
        <f>IFERROR(VLOOKUP(Opex_VE[[#This Row],[Fecha]],Historia!A:B,2,0),_xlfn.XLOOKUP(Opex_VE[[#This Row],[dia]],Forecast!H:H,Forecast!I:I))</f>
        <v>218500</v>
      </c>
      <c r="G180" s="172">
        <f>IFERROR(VLOOKUP(Opex_VE[[#This Row],[Fecha]],Historia!A:C,3,0),_xlfn.XLOOKUP(Opex_VE[[#This Row],[dia]],Forecast!H:H,Forecast!J:J))</f>
        <v>87400</v>
      </c>
      <c r="H180" s="186">
        <f ca="1">+Opex_VE[[#This Row],[MG]]-Opex_VE[[#This Row],[Opex]]</f>
        <v>-133978.96666666667</v>
      </c>
      <c r="I180" s="172" t="str">
        <f>IFERROR(VLOOKUP(Opex_VE[[#This Row],[Fecha]],Historia!A:D,4,0),"Forecast")</f>
        <v>Forecast</v>
      </c>
      <c r="J180" s="161">
        <f t="shared" ca="1" si="12"/>
        <v>553447.41666666663</v>
      </c>
      <c r="K180" s="157">
        <f ca="1">+Opex_VE[[#This Row],[MG]]-Opex_VE[[#This Row],[Opex]]</f>
        <v>0</v>
      </c>
      <c r="L180" s="156">
        <f>+VLOOKUP($A180,Opex!$C:$Z,N$1,1)</f>
        <v>55000</v>
      </c>
      <c r="M180" s="157">
        <f ca="1">+Opex_VE[[#This Row],[Opex]]</f>
        <v>0</v>
      </c>
      <c r="N180" s="156">
        <f t="shared" si="10"/>
        <v>294635</v>
      </c>
      <c r="O180" s="156">
        <f>+VLOOKUP($A180,Opex!$C:$Z,Q$1,1)</f>
        <v>4000</v>
      </c>
      <c r="P180" s="156">
        <f t="shared" si="11"/>
        <v>290635</v>
      </c>
      <c r="Q180" s="156">
        <f>+VLOOKUP($A180,Opex!$C:$Z,R$1,1)</f>
        <v>10635</v>
      </c>
      <c r="R180" s="157">
        <f>+SUM(Opex_VE[[#This Row],[Cajero]:[Domiciliario]])</f>
        <v>140000</v>
      </c>
      <c r="S180" s="156">
        <v>70000</v>
      </c>
      <c r="T180" s="156">
        <v>70000</v>
      </c>
      <c r="U180" s="156">
        <v>0</v>
      </c>
      <c r="V180"/>
    </row>
    <row r="181" spans="1:22" x14ac:dyDescent="0.2">
      <c r="A181" s="153">
        <v>46244</v>
      </c>
      <c r="B181" s="3">
        <f t="shared" si="13"/>
        <v>25</v>
      </c>
      <c r="C181" s="3" t="str">
        <f>+TEXT(Opex_VE[[#This Row],[Fecha]],"ddd")</f>
        <v>lun</v>
      </c>
      <c r="E181" s="14" t="s">
        <v>112</v>
      </c>
      <c r="F181" s="172">
        <f>IFERROR(VLOOKUP(Opex_VE[[#This Row],[Fecha]],Historia!A:B,2,0),_xlfn.XLOOKUP(Opex_VE[[#This Row],[dia]],Forecast!H:H,Forecast!I:I))</f>
        <v>179200</v>
      </c>
      <c r="G181" s="172">
        <f>IFERROR(VLOOKUP(Opex_VE[[#This Row],[Fecha]],Historia!A:C,3,0),_xlfn.XLOOKUP(Opex_VE[[#This Row],[dia]],Forecast!H:H,Forecast!J:J))</f>
        <v>71680</v>
      </c>
      <c r="H181" s="186">
        <f ca="1">+Opex_VE[[#This Row],[MG]]-Opex_VE[[#This Row],[Opex]]</f>
        <v>-149698.96666666667</v>
      </c>
      <c r="I181" s="172" t="str">
        <f>IFERROR(VLOOKUP(Opex_VE[[#This Row],[Fecha]],Historia!A:D,4,0),"Forecast")</f>
        <v>Forecast</v>
      </c>
      <c r="J181" s="161">
        <f t="shared" ca="1" si="12"/>
        <v>553447.41666666663</v>
      </c>
      <c r="K181" s="157">
        <f ca="1">+Opex_VE[[#This Row],[MG]]-Opex_VE[[#This Row],[Opex]]</f>
        <v>0</v>
      </c>
      <c r="L181" s="156">
        <f>+VLOOKUP($A181,Opex!$C:$Z,N$1,1)</f>
        <v>55000</v>
      </c>
      <c r="M181" s="157">
        <f ca="1">+Opex_VE[[#This Row],[Opex]]</f>
        <v>0</v>
      </c>
      <c r="N181" s="156">
        <f t="shared" si="10"/>
        <v>294635</v>
      </c>
      <c r="O181" s="156">
        <f>+VLOOKUP($A181,Opex!$C:$Z,Q$1,1)</f>
        <v>4000</v>
      </c>
      <c r="P181" s="156">
        <f t="shared" si="11"/>
        <v>290635</v>
      </c>
      <c r="Q181" s="156">
        <f>+VLOOKUP($A181,Opex!$C:$Z,R$1,1)</f>
        <v>10635</v>
      </c>
      <c r="R181" s="157">
        <f>+SUM(Opex_VE[[#This Row],[Cajero]:[Domiciliario]])</f>
        <v>140000</v>
      </c>
      <c r="S181" s="156">
        <v>70000</v>
      </c>
      <c r="T181" s="156">
        <v>70000</v>
      </c>
      <c r="U181" s="156">
        <v>0</v>
      </c>
      <c r="V181"/>
    </row>
    <row r="182" spans="1:22" x14ac:dyDescent="0.2">
      <c r="A182" s="153">
        <v>46245</v>
      </c>
      <c r="B182" s="3">
        <f t="shared" si="13"/>
        <v>25</v>
      </c>
      <c r="C182" s="3" t="str">
        <f>+TEXT(Opex_VE[[#This Row],[Fecha]],"ddd")</f>
        <v>mar</v>
      </c>
      <c r="E182" s="14" t="s">
        <v>112</v>
      </c>
      <c r="F182" s="172">
        <f>IFERROR(VLOOKUP(Opex_VE[[#This Row],[Fecha]],Historia!A:B,2,0),_xlfn.XLOOKUP(Opex_VE[[#This Row],[dia]],Forecast!H:H,Forecast!I:I))</f>
        <v>195000</v>
      </c>
      <c r="G182" s="172">
        <f>IFERROR(VLOOKUP(Opex_VE[[#This Row],[Fecha]],Historia!A:C,3,0),_xlfn.XLOOKUP(Opex_VE[[#This Row],[dia]],Forecast!H:H,Forecast!J:J))</f>
        <v>78000</v>
      </c>
      <c r="H182" s="186">
        <f ca="1">+Opex_VE[[#This Row],[MG]]-Opex_VE[[#This Row],[Opex]]</f>
        <v>-143378.96666666667</v>
      </c>
      <c r="I182" s="172" t="str">
        <f>IFERROR(VLOOKUP(Opex_VE[[#This Row],[Fecha]],Historia!A:D,4,0),"Forecast")</f>
        <v>Forecast</v>
      </c>
      <c r="J182" s="161">
        <f t="shared" ca="1" si="12"/>
        <v>553447.41666666663</v>
      </c>
      <c r="K182" s="157">
        <f ca="1">+Opex_VE[[#This Row],[MG]]-Opex_VE[[#This Row],[Opex]]</f>
        <v>0</v>
      </c>
      <c r="L182" s="156">
        <f>+VLOOKUP($A182,Opex!$C:$Z,N$1,1)</f>
        <v>55000</v>
      </c>
      <c r="M182" s="157">
        <f ca="1">+Opex_VE[[#This Row],[Opex]]</f>
        <v>0</v>
      </c>
      <c r="N182" s="156">
        <f t="shared" si="10"/>
        <v>294635</v>
      </c>
      <c r="O182" s="156">
        <f>+VLOOKUP($A182,Opex!$C:$Z,Q$1,1)</f>
        <v>4000</v>
      </c>
      <c r="P182" s="156">
        <f t="shared" si="11"/>
        <v>290635</v>
      </c>
      <c r="Q182" s="156">
        <f>+VLOOKUP($A182,Opex!$C:$Z,R$1,1)</f>
        <v>10635</v>
      </c>
      <c r="R182" s="157">
        <f>+SUM(Opex_VE[[#This Row],[Cajero]:[Domiciliario]])</f>
        <v>140000</v>
      </c>
      <c r="S182" s="156">
        <v>70000</v>
      </c>
      <c r="T182" s="156">
        <v>70000</v>
      </c>
      <c r="U182" s="156">
        <v>0</v>
      </c>
      <c r="V182"/>
    </row>
    <row r="183" spans="1:22" x14ac:dyDescent="0.2">
      <c r="A183" s="153">
        <v>46246</v>
      </c>
      <c r="B183" s="3">
        <f t="shared" si="13"/>
        <v>25</v>
      </c>
      <c r="C183" s="3" t="str">
        <f>+TEXT(Opex_VE[[#This Row],[Fecha]],"ddd")</f>
        <v>mié</v>
      </c>
      <c r="E183" s="14" t="s">
        <v>112</v>
      </c>
      <c r="F183" s="172">
        <f>IFERROR(VLOOKUP(Opex_VE[[#This Row],[Fecha]],Historia!A:B,2,0),_xlfn.XLOOKUP(Opex_VE[[#This Row],[dia]],Forecast!H:H,Forecast!I:I))</f>
        <v>366750</v>
      </c>
      <c r="G183" s="172">
        <f>IFERROR(VLOOKUP(Opex_VE[[#This Row],[Fecha]],Historia!A:C,3,0),_xlfn.XLOOKUP(Opex_VE[[#This Row],[dia]],Forecast!H:H,Forecast!J:J))</f>
        <v>146700</v>
      </c>
      <c r="H183" s="186">
        <f ca="1">+Opex_VE[[#This Row],[MG]]-Opex_VE[[#This Row],[Opex]]</f>
        <v>-74678.966666666674</v>
      </c>
      <c r="I183" s="172" t="str">
        <f>IFERROR(VLOOKUP(Opex_VE[[#This Row],[Fecha]],Historia!A:D,4,0),"Forecast")</f>
        <v>Forecast</v>
      </c>
      <c r="J183" s="161">
        <f t="shared" ca="1" si="12"/>
        <v>553447.41666666663</v>
      </c>
      <c r="K183" s="157">
        <f ca="1">+Opex_VE[[#This Row],[MG]]-Opex_VE[[#This Row],[Opex]]</f>
        <v>0</v>
      </c>
      <c r="L183" s="156">
        <f>+VLOOKUP($A183,Opex!$C:$Z,N$1,1)</f>
        <v>55000</v>
      </c>
      <c r="M183" s="157">
        <f ca="1">+Opex_VE[[#This Row],[Opex]]</f>
        <v>0</v>
      </c>
      <c r="N183" s="156">
        <f t="shared" si="10"/>
        <v>294635</v>
      </c>
      <c r="O183" s="156">
        <f>+VLOOKUP($A183,Opex!$C:$Z,Q$1,1)</f>
        <v>4000</v>
      </c>
      <c r="P183" s="156">
        <f t="shared" si="11"/>
        <v>290635</v>
      </c>
      <c r="Q183" s="156">
        <f>+VLOOKUP($A183,Opex!$C:$Z,R$1,1)</f>
        <v>10635</v>
      </c>
      <c r="R183" s="157">
        <f>+SUM(Opex_VE[[#This Row],[Cajero]:[Domiciliario]])</f>
        <v>140000</v>
      </c>
      <c r="S183" s="156">
        <v>70000</v>
      </c>
      <c r="T183" s="156">
        <v>70000</v>
      </c>
      <c r="U183" s="156">
        <v>0</v>
      </c>
      <c r="V183"/>
    </row>
    <row r="184" spans="1:22" x14ac:dyDescent="0.2">
      <c r="A184" s="153">
        <v>46247</v>
      </c>
      <c r="B184" s="3">
        <f t="shared" si="13"/>
        <v>25</v>
      </c>
      <c r="C184" s="3" t="str">
        <f>+TEXT(Opex_VE[[#This Row],[Fecha]],"ddd")</f>
        <v>jue</v>
      </c>
      <c r="E184" s="14" t="s">
        <v>112</v>
      </c>
      <c r="F184" s="172">
        <f>IFERROR(VLOOKUP(Opex_VE[[#This Row],[Fecha]],Historia!A:B,2,0),_xlfn.XLOOKUP(Opex_VE[[#This Row],[dia]],Forecast!H:H,Forecast!I:I))</f>
        <v>234000</v>
      </c>
      <c r="G184" s="172">
        <f>IFERROR(VLOOKUP(Opex_VE[[#This Row],[Fecha]],Historia!A:C,3,0),_xlfn.XLOOKUP(Opex_VE[[#This Row],[dia]],Forecast!H:H,Forecast!J:J))</f>
        <v>93600</v>
      </c>
      <c r="H184" s="186">
        <f ca="1">+Opex_VE[[#This Row],[MG]]-Opex_VE[[#This Row],[Opex]]</f>
        <v>-127778.96666666667</v>
      </c>
      <c r="I184" s="172" t="str">
        <f>IFERROR(VLOOKUP(Opex_VE[[#This Row],[Fecha]],Historia!A:D,4,0),"Forecast")</f>
        <v>Forecast</v>
      </c>
      <c r="J184" s="161">
        <f t="shared" ca="1" si="12"/>
        <v>553447.41666666663</v>
      </c>
      <c r="K184" s="157">
        <f ca="1">+Opex_VE[[#This Row],[MG]]-Opex_VE[[#This Row],[Opex]]</f>
        <v>0</v>
      </c>
      <c r="L184" s="156">
        <f>+VLOOKUP($A184,Opex!$C:$Z,N$1,1)</f>
        <v>55000</v>
      </c>
      <c r="M184" s="157">
        <f ca="1">+Opex_VE[[#This Row],[Opex]]</f>
        <v>0</v>
      </c>
      <c r="N184" s="156">
        <f t="shared" si="10"/>
        <v>294635</v>
      </c>
      <c r="O184" s="156">
        <f>+VLOOKUP($A184,Opex!$C:$Z,Q$1,1)</f>
        <v>4000</v>
      </c>
      <c r="P184" s="156">
        <f t="shared" si="11"/>
        <v>290635</v>
      </c>
      <c r="Q184" s="156">
        <f>+VLOOKUP($A184,Opex!$C:$Z,R$1,1)</f>
        <v>10635</v>
      </c>
      <c r="R184" s="157">
        <f>+SUM(Opex_VE[[#This Row],[Cajero]:[Domiciliario]])</f>
        <v>140000</v>
      </c>
      <c r="S184" s="156">
        <v>70000</v>
      </c>
      <c r="T184" s="156">
        <v>70000</v>
      </c>
      <c r="U184" s="156">
        <v>0</v>
      </c>
      <c r="V184"/>
    </row>
    <row r="185" spans="1:22" x14ac:dyDescent="0.2">
      <c r="A185" s="153">
        <v>46248</v>
      </c>
      <c r="B185" s="3">
        <f t="shared" si="13"/>
        <v>25</v>
      </c>
      <c r="C185" s="3" t="str">
        <f>+TEXT(Opex_VE[[#This Row],[Fecha]],"ddd")</f>
        <v>vie</v>
      </c>
      <c r="E185" s="14" t="s">
        <v>217</v>
      </c>
      <c r="F185" s="172">
        <f>IFERROR(VLOOKUP(Opex_VE[[#This Row],[Fecha]],Historia!A:B,2,0),_xlfn.XLOOKUP(Opex_VE[[#This Row],[dia]],Forecast!H:H,Forecast!I:I))</f>
        <v>248000</v>
      </c>
      <c r="G185" s="172">
        <f>IFERROR(VLOOKUP(Opex_VE[[#This Row],[Fecha]],Historia!A:C,3,0),_xlfn.XLOOKUP(Opex_VE[[#This Row],[dia]],Forecast!H:H,Forecast!J:J))</f>
        <v>99200</v>
      </c>
      <c r="H185" s="186">
        <f ca="1">+Opex_VE[[#This Row],[MG]]-Opex_VE[[#This Row],[Opex]]</f>
        <v>-122178.96666666667</v>
      </c>
      <c r="I185" s="172" t="str">
        <f>IFERROR(VLOOKUP(Opex_VE[[#This Row],[Fecha]],Historia!A:D,4,0),"Forecast")</f>
        <v>Forecast</v>
      </c>
      <c r="J185" s="161">
        <f t="shared" ca="1" si="12"/>
        <v>553447.41666666663</v>
      </c>
      <c r="K185" s="157">
        <f ca="1">+Opex_VE[[#This Row],[MG]]-Opex_VE[[#This Row],[Opex]]</f>
        <v>0</v>
      </c>
      <c r="L185" s="156">
        <f>+VLOOKUP($A185,Opex!$C:$Z,N$1,1)</f>
        <v>55000</v>
      </c>
      <c r="M185" s="157">
        <f ca="1">+Opex_VE[[#This Row],[Opex]]</f>
        <v>0</v>
      </c>
      <c r="N185" s="156">
        <f t="shared" si="10"/>
        <v>294635</v>
      </c>
      <c r="O185" s="156">
        <f>+VLOOKUP($A185,Opex!$C:$Z,Q$1,1)</f>
        <v>4000</v>
      </c>
      <c r="P185" s="156">
        <f t="shared" si="11"/>
        <v>290635</v>
      </c>
      <c r="Q185" s="156">
        <f>+VLOOKUP($A185,Opex!$C:$Z,R$1,1)</f>
        <v>10635</v>
      </c>
      <c r="R185" s="157">
        <f>+SUM(Opex_VE[[#This Row],[Cajero]:[Domiciliario]])</f>
        <v>140000</v>
      </c>
      <c r="S185" s="156">
        <v>70000</v>
      </c>
      <c r="T185" s="156">
        <v>70000</v>
      </c>
      <c r="U185" s="156">
        <v>0</v>
      </c>
      <c r="V185"/>
    </row>
    <row r="186" spans="1:22" x14ac:dyDescent="0.2">
      <c r="A186" s="153">
        <v>46249</v>
      </c>
      <c r="B186" s="3">
        <f t="shared" si="13"/>
        <v>25</v>
      </c>
      <c r="C186" s="3" t="str">
        <f>+TEXT(Opex_VE[[#This Row],[Fecha]],"ddd")</f>
        <v>sáb</v>
      </c>
      <c r="E186" s="14" t="s">
        <v>113</v>
      </c>
      <c r="F186" s="172">
        <f>IFERROR(VLOOKUP(Opex_VE[[#This Row],[Fecha]],Historia!A:B,2,0),_xlfn.XLOOKUP(Opex_VE[[#This Row],[dia]],Forecast!H:H,Forecast!I:I))</f>
        <v>320800</v>
      </c>
      <c r="G186" s="172">
        <f>IFERROR(VLOOKUP(Opex_VE[[#This Row],[Fecha]],Historia!A:C,3,0),_xlfn.XLOOKUP(Opex_VE[[#This Row],[dia]],Forecast!H:H,Forecast!J:J))</f>
        <v>128320</v>
      </c>
      <c r="H186" s="186">
        <f ca="1">+Opex_VE[[#This Row],[MG]]-Opex_VE[[#This Row],[Opex]]</f>
        <v>-93058.966666666674</v>
      </c>
      <c r="I186" s="173" t="str">
        <f>IFERROR(VLOOKUP(Opex_VE[[#This Row],[Fecha]],Historia!A:D,4,0),"Forecast")</f>
        <v>Forecast</v>
      </c>
      <c r="J186" s="161">
        <f t="shared" ca="1" si="12"/>
        <v>553447.41666666663</v>
      </c>
      <c r="K186" s="157">
        <f ca="1">+Opex_VE[[#This Row],[MG]]-Opex_VE[[#This Row],[Opex]]</f>
        <v>0</v>
      </c>
      <c r="L186" s="156">
        <f>+VLOOKUP($A186,Opex!$C:$Z,N$1,1)</f>
        <v>55000</v>
      </c>
      <c r="M186" s="157">
        <f ca="1">+Opex_VE[[#This Row],[Opex]]</f>
        <v>0</v>
      </c>
      <c r="N186" s="156">
        <f t="shared" si="10"/>
        <v>294635</v>
      </c>
      <c r="O186" s="156">
        <f>+VLOOKUP($A186,Opex!$C:$Z,Q$1,1)</f>
        <v>4000</v>
      </c>
      <c r="P186" s="156">
        <f t="shared" si="11"/>
        <v>290635</v>
      </c>
      <c r="Q186" s="156">
        <f>+VLOOKUP($A186,Opex!$C:$Z,R$1,1)</f>
        <v>10635</v>
      </c>
      <c r="R186" s="157">
        <f>+SUM(Opex_VE[[#This Row],[Cajero]:[Domiciliario]])</f>
        <v>140000</v>
      </c>
      <c r="S186" s="156">
        <v>70000</v>
      </c>
      <c r="T186" s="156">
        <v>70000</v>
      </c>
      <c r="U186" s="156">
        <v>0</v>
      </c>
      <c r="V186"/>
    </row>
    <row r="187" spans="1:22" x14ac:dyDescent="0.2">
      <c r="A187" s="153">
        <v>46250</v>
      </c>
      <c r="B187" s="3">
        <f t="shared" si="13"/>
        <v>25</v>
      </c>
      <c r="C187" s="3" t="str">
        <f>+TEXT(Opex_VE[[#This Row],[Fecha]],"ddd")</f>
        <v>dom</v>
      </c>
      <c r="E187" s="14" t="s">
        <v>145</v>
      </c>
      <c r="F187" s="172">
        <f>IFERROR(VLOOKUP(Opex_VE[[#This Row],[Fecha]],Historia!A:B,2,0),_xlfn.XLOOKUP(Opex_VE[[#This Row],[dia]],Forecast!H:H,Forecast!I:I))</f>
        <v>218500</v>
      </c>
      <c r="G187" s="172">
        <f>IFERROR(VLOOKUP(Opex_VE[[#This Row],[Fecha]],Historia!A:C,3,0),_xlfn.XLOOKUP(Opex_VE[[#This Row],[dia]],Forecast!H:H,Forecast!J:J))</f>
        <v>87400</v>
      </c>
      <c r="H187" s="186">
        <f ca="1">+Opex_VE[[#This Row],[MG]]-Opex_VE[[#This Row],[Opex]]</f>
        <v>-133978.96666666667</v>
      </c>
      <c r="I187" s="172" t="str">
        <f>IFERROR(VLOOKUP(Opex_VE[[#This Row],[Fecha]],Historia!A:D,4,0),"Forecast")</f>
        <v>Forecast</v>
      </c>
      <c r="J187" s="161">
        <f t="shared" ca="1" si="12"/>
        <v>553447.41666666663</v>
      </c>
      <c r="K187" s="157">
        <f ca="1">+Opex_VE[[#This Row],[MG]]-Opex_VE[[#This Row],[Opex]]</f>
        <v>0</v>
      </c>
      <c r="L187" s="156">
        <f>+VLOOKUP($A187,Opex!$C:$Z,N$1,1)</f>
        <v>55000</v>
      </c>
      <c r="M187" s="157">
        <f ca="1">+Opex_VE[[#This Row],[Opex]]</f>
        <v>0</v>
      </c>
      <c r="N187" s="156">
        <f t="shared" si="10"/>
        <v>294635</v>
      </c>
      <c r="O187" s="156">
        <f>+VLOOKUP($A187,Opex!$C:$Z,Q$1,1)</f>
        <v>4000</v>
      </c>
      <c r="P187" s="156">
        <f t="shared" si="11"/>
        <v>290635</v>
      </c>
      <c r="Q187" s="156">
        <f>+VLOOKUP($A187,Opex!$C:$Z,R$1,1)</f>
        <v>10635</v>
      </c>
      <c r="R187" s="157">
        <f>+SUM(Opex_VE[[#This Row],[Cajero]:[Domiciliario]])</f>
        <v>140000</v>
      </c>
      <c r="S187" s="156">
        <v>70000</v>
      </c>
      <c r="T187" s="156">
        <v>70000</v>
      </c>
      <c r="U187" s="156">
        <v>0</v>
      </c>
      <c r="V187"/>
    </row>
    <row r="188" spans="1:22" x14ac:dyDescent="0.2">
      <c r="A188" s="153">
        <v>46251</v>
      </c>
      <c r="B188" s="3">
        <f t="shared" si="13"/>
        <v>26</v>
      </c>
      <c r="C188" s="3" t="str">
        <f>+TEXT(Opex_VE[[#This Row],[Fecha]],"ddd")</f>
        <v>lun</v>
      </c>
      <c r="E188" s="14" t="s">
        <v>112</v>
      </c>
      <c r="F188" s="172">
        <f>IFERROR(VLOOKUP(Opex_VE[[#This Row],[Fecha]],Historia!A:B,2,0),_xlfn.XLOOKUP(Opex_VE[[#This Row],[dia]],Forecast!H:H,Forecast!I:I))</f>
        <v>179200</v>
      </c>
      <c r="G188" s="172">
        <f>IFERROR(VLOOKUP(Opex_VE[[#This Row],[Fecha]],Historia!A:C,3,0),_xlfn.XLOOKUP(Opex_VE[[#This Row],[dia]],Forecast!H:H,Forecast!J:J))</f>
        <v>71680</v>
      </c>
      <c r="H188" s="186">
        <f ca="1">+Opex_VE[[#This Row],[MG]]-Opex_VE[[#This Row],[Opex]]</f>
        <v>-149698.96666666667</v>
      </c>
      <c r="I188" s="172" t="str">
        <f>IFERROR(VLOOKUP(Opex_VE[[#This Row],[Fecha]],Historia!A:D,4,0),"Forecast")</f>
        <v>Forecast</v>
      </c>
      <c r="J188" s="161">
        <f t="shared" ca="1" si="12"/>
        <v>553447.41666666663</v>
      </c>
      <c r="K188" s="157">
        <f ca="1">+Opex_VE[[#This Row],[MG]]-Opex_VE[[#This Row],[Opex]]</f>
        <v>0</v>
      </c>
      <c r="L188" s="156">
        <f>+VLOOKUP($A188,Opex!$C:$Z,N$1,1)</f>
        <v>55000</v>
      </c>
      <c r="M188" s="157">
        <f ca="1">+Opex_VE[[#This Row],[Opex]]</f>
        <v>0</v>
      </c>
      <c r="N188" s="156">
        <f t="shared" si="10"/>
        <v>294635</v>
      </c>
      <c r="O188" s="156">
        <f>+VLOOKUP($A188,Opex!$C:$Z,Q$1,1)</f>
        <v>4000</v>
      </c>
      <c r="P188" s="156">
        <f t="shared" si="11"/>
        <v>290635</v>
      </c>
      <c r="Q188" s="156">
        <f>+VLOOKUP($A188,Opex!$C:$Z,R$1,1)</f>
        <v>10635</v>
      </c>
      <c r="R188" s="157">
        <f>+SUM(Opex_VE[[#This Row],[Cajero]:[Domiciliario]])</f>
        <v>140000</v>
      </c>
      <c r="S188" s="156">
        <v>70000</v>
      </c>
      <c r="T188" s="156">
        <v>70000</v>
      </c>
      <c r="U188" s="156">
        <v>0</v>
      </c>
      <c r="V188"/>
    </row>
    <row r="189" spans="1:22" x14ac:dyDescent="0.2">
      <c r="A189" s="153">
        <v>46252</v>
      </c>
      <c r="B189" s="3">
        <f t="shared" si="13"/>
        <v>26</v>
      </c>
      <c r="C189" s="3" t="str">
        <f>+TEXT(Opex_VE[[#This Row],[Fecha]],"ddd")</f>
        <v>mar</v>
      </c>
      <c r="E189" s="14" t="s">
        <v>112</v>
      </c>
      <c r="F189" s="172">
        <f>IFERROR(VLOOKUP(Opex_VE[[#This Row],[Fecha]],Historia!A:B,2,0),_xlfn.XLOOKUP(Opex_VE[[#This Row],[dia]],Forecast!H:H,Forecast!I:I))</f>
        <v>195000</v>
      </c>
      <c r="G189" s="172">
        <f>IFERROR(VLOOKUP(Opex_VE[[#This Row],[Fecha]],Historia!A:C,3,0),_xlfn.XLOOKUP(Opex_VE[[#This Row],[dia]],Forecast!H:H,Forecast!J:J))</f>
        <v>78000</v>
      </c>
      <c r="H189" s="186">
        <f ca="1">+Opex_VE[[#This Row],[MG]]-Opex_VE[[#This Row],[Opex]]</f>
        <v>-143378.96666666667</v>
      </c>
      <c r="I189" s="172" t="str">
        <f>IFERROR(VLOOKUP(Opex_VE[[#This Row],[Fecha]],Historia!A:D,4,0),"Forecast")</f>
        <v>Forecast</v>
      </c>
      <c r="J189" s="161">
        <f t="shared" ca="1" si="12"/>
        <v>553447.41666666663</v>
      </c>
      <c r="K189" s="157">
        <f ca="1">+Opex_VE[[#This Row],[MG]]-Opex_VE[[#This Row],[Opex]]</f>
        <v>0</v>
      </c>
      <c r="L189" s="156">
        <f>+VLOOKUP($A189,Opex!$C:$Z,N$1,1)</f>
        <v>55000</v>
      </c>
      <c r="M189" s="157">
        <f ca="1">+Opex_VE[[#This Row],[Opex]]</f>
        <v>0</v>
      </c>
      <c r="N189" s="156">
        <f t="shared" si="10"/>
        <v>294635</v>
      </c>
      <c r="O189" s="156">
        <f>+VLOOKUP($A189,Opex!$C:$Z,Q$1,1)</f>
        <v>4000</v>
      </c>
      <c r="P189" s="156">
        <f t="shared" si="11"/>
        <v>290635</v>
      </c>
      <c r="Q189" s="156">
        <f>+VLOOKUP($A189,Opex!$C:$Z,R$1,1)</f>
        <v>10635</v>
      </c>
      <c r="R189" s="157">
        <f>+SUM(Opex_VE[[#This Row],[Cajero]:[Domiciliario]])</f>
        <v>140000</v>
      </c>
      <c r="S189" s="156">
        <v>70000</v>
      </c>
      <c r="T189" s="156">
        <v>70000</v>
      </c>
      <c r="U189" s="156">
        <v>0</v>
      </c>
      <c r="V189"/>
    </row>
    <row r="190" spans="1:22" x14ac:dyDescent="0.2">
      <c r="A190" s="153">
        <v>46253</v>
      </c>
      <c r="B190" s="3">
        <f t="shared" si="13"/>
        <v>26</v>
      </c>
      <c r="C190" s="3" t="str">
        <f>+TEXT(Opex_VE[[#This Row],[Fecha]],"ddd")</f>
        <v>mié</v>
      </c>
      <c r="E190" s="14" t="s">
        <v>112</v>
      </c>
      <c r="F190" s="172">
        <f>IFERROR(VLOOKUP(Opex_VE[[#This Row],[Fecha]],Historia!A:B,2,0),_xlfn.XLOOKUP(Opex_VE[[#This Row],[dia]],Forecast!H:H,Forecast!I:I))</f>
        <v>366750</v>
      </c>
      <c r="G190" s="172">
        <f>IFERROR(VLOOKUP(Opex_VE[[#This Row],[Fecha]],Historia!A:C,3,0),_xlfn.XLOOKUP(Opex_VE[[#This Row],[dia]],Forecast!H:H,Forecast!J:J))</f>
        <v>146700</v>
      </c>
      <c r="H190" s="186">
        <f ca="1">+Opex_VE[[#This Row],[MG]]-Opex_VE[[#This Row],[Opex]]</f>
        <v>-74678.966666666674</v>
      </c>
      <c r="I190" s="172" t="str">
        <f>IFERROR(VLOOKUP(Opex_VE[[#This Row],[Fecha]],Historia!A:D,4,0),"Forecast")</f>
        <v>Forecast</v>
      </c>
      <c r="J190" s="161">
        <f t="shared" ca="1" si="12"/>
        <v>553447.41666666663</v>
      </c>
      <c r="K190" s="157">
        <f ca="1">+Opex_VE[[#This Row],[MG]]-Opex_VE[[#This Row],[Opex]]</f>
        <v>0</v>
      </c>
      <c r="L190" s="156">
        <f>+VLOOKUP($A190,Opex!$C:$Z,N$1,1)</f>
        <v>55000</v>
      </c>
      <c r="M190" s="157">
        <f ca="1">+Opex_VE[[#This Row],[Opex]]</f>
        <v>0</v>
      </c>
      <c r="N190" s="156">
        <f t="shared" si="10"/>
        <v>294635</v>
      </c>
      <c r="O190" s="156">
        <f>+VLOOKUP($A190,Opex!$C:$Z,Q$1,1)</f>
        <v>4000</v>
      </c>
      <c r="P190" s="156">
        <f t="shared" si="11"/>
        <v>290635</v>
      </c>
      <c r="Q190" s="156">
        <f>+VLOOKUP($A190,Opex!$C:$Z,R$1,1)</f>
        <v>10635</v>
      </c>
      <c r="R190" s="157">
        <f>+SUM(Opex_VE[[#This Row],[Cajero]:[Domiciliario]])</f>
        <v>140000</v>
      </c>
      <c r="S190" s="156">
        <v>70000</v>
      </c>
      <c r="T190" s="156">
        <v>70000</v>
      </c>
      <c r="U190" s="156">
        <v>0</v>
      </c>
      <c r="V190"/>
    </row>
    <row r="191" spans="1:22" x14ac:dyDescent="0.2">
      <c r="A191" s="153">
        <v>46254</v>
      </c>
      <c r="B191" s="3">
        <f t="shared" si="13"/>
        <v>26</v>
      </c>
      <c r="C191" s="3" t="str">
        <f>+TEXT(Opex_VE[[#This Row],[Fecha]],"ddd")</f>
        <v>jue</v>
      </c>
      <c r="E191" s="14" t="s">
        <v>112</v>
      </c>
      <c r="F191" s="172">
        <f>IFERROR(VLOOKUP(Opex_VE[[#This Row],[Fecha]],Historia!A:B,2,0),_xlfn.XLOOKUP(Opex_VE[[#This Row],[dia]],Forecast!H:H,Forecast!I:I))</f>
        <v>234000</v>
      </c>
      <c r="G191" s="172">
        <f>IFERROR(VLOOKUP(Opex_VE[[#This Row],[Fecha]],Historia!A:C,3,0),_xlfn.XLOOKUP(Opex_VE[[#This Row],[dia]],Forecast!H:H,Forecast!J:J))</f>
        <v>93600</v>
      </c>
      <c r="H191" s="186">
        <f ca="1">+Opex_VE[[#This Row],[MG]]-Opex_VE[[#This Row],[Opex]]</f>
        <v>-127778.96666666667</v>
      </c>
      <c r="I191" s="172" t="str">
        <f>IFERROR(VLOOKUP(Opex_VE[[#This Row],[Fecha]],Historia!A:D,4,0),"Forecast")</f>
        <v>Forecast</v>
      </c>
      <c r="J191" s="161">
        <f t="shared" ca="1" si="12"/>
        <v>553447.41666666663</v>
      </c>
      <c r="K191" s="157">
        <f ca="1">+Opex_VE[[#This Row],[MG]]-Opex_VE[[#This Row],[Opex]]</f>
        <v>0</v>
      </c>
      <c r="L191" s="156">
        <f>+VLOOKUP($A191,Opex!$C:$Z,N$1,1)</f>
        <v>55000</v>
      </c>
      <c r="M191" s="157">
        <f ca="1">+Opex_VE[[#This Row],[Opex]]</f>
        <v>0</v>
      </c>
      <c r="N191" s="156">
        <f t="shared" si="10"/>
        <v>294635</v>
      </c>
      <c r="O191" s="156">
        <f>+VLOOKUP($A191,Opex!$C:$Z,Q$1,1)</f>
        <v>4000</v>
      </c>
      <c r="P191" s="156">
        <f t="shared" si="11"/>
        <v>290635</v>
      </c>
      <c r="Q191" s="156">
        <f>+VLOOKUP($A191,Opex!$C:$Z,R$1,1)</f>
        <v>10635</v>
      </c>
      <c r="R191" s="157">
        <f>+SUM(Opex_VE[[#This Row],[Cajero]:[Domiciliario]])</f>
        <v>140000</v>
      </c>
      <c r="S191" s="156">
        <v>70000</v>
      </c>
      <c r="T191" s="156">
        <v>70000</v>
      </c>
      <c r="U191" s="156">
        <v>0</v>
      </c>
      <c r="V191"/>
    </row>
    <row r="192" spans="1:22" x14ac:dyDescent="0.2">
      <c r="A192" s="153">
        <v>46255</v>
      </c>
      <c r="B192" s="3">
        <f t="shared" si="13"/>
        <v>26</v>
      </c>
      <c r="C192" s="3" t="str">
        <f>+TEXT(Opex_VE[[#This Row],[Fecha]],"ddd")</f>
        <v>vie</v>
      </c>
      <c r="E192" s="14" t="s">
        <v>217</v>
      </c>
      <c r="F192" s="172">
        <f>IFERROR(VLOOKUP(Opex_VE[[#This Row],[Fecha]],Historia!A:B,2,0),_xlfn.XLOOKUP(Opex_VE[[#This Row],[dia]],Forecast!H:H,Forecast!I:I))</f>
        <v>248000</v>
      </c>
      <c r="G192" s="172">
        <f>IFERROR(VLOOKUP(Opex_VE[[#This Row],[Fecha]],Historia!A:C,3,0),_xlfn.XLOOKUP(Opex_VE[[#This Row],[dia]],Forecast!H:H,Forecast!J:J))</f>
        <v>99200</v>
      </c>
      <c r="H192" s="186">
        <f ca="1">+Opex_VE[[#This Row],[MG]]-Opex_VE[[#This Row],[Opex]]</f>
        <v>-122178.96666666667</v>
      </c>
      <c r="I192" s="172" t="str">
        <f>IFERROR(VLOOKUP(Opex_VE[[#This Row],[Fecha]],Historia!A:D,4,0),"Forecast")</f>
        <v>Forecast</v>
      </c>
      <c r="J192" s="161">
        <f t="shared" ca="1" si="12"/>
        <v>553447.41666666663</v>
      </c>
      <c r="K192" s="157">
        <f ca="1">+Opex_VE[[#This Row],[MG]]-Opex_VE[[#This Row],[Opex]]</f>
        <v>0</v>
      </c>
      <c r="L192" s="156">
        <f>+VLOOKUP($A192,Opex!$C:$Z,N$1,1)</f>
        <v>55000</v>
      </c>
      <c r="M192" s="157">
        <f ca="1">+Opex_VE[[#This Row],[Opex]]</f>
        <v>0</v>
      </c>
      <c r="N192" s="156">
        <f t="shared" si="10"/>
        <v>294635</v>
      </c>
      <c r="O192" s="156">
        <f>+VLOOKUP($A192,Opex!$C:$Z,Q$1,1)</f>
        <v>4000</v>
      </c>
      <c r="P192" s="156">
        <f t="shared" si="11"/>
        <v>290635</v>
      </c>
      <c r="Q192" s="156">
        <f>+VLOOKUP($A192,Opex!$C:$Z,R$1,1)</f>
        <v>10635</v>
      </c>
      <c r="R192" s="157">
        <f>+SUM(Opex_VE[[#This Row],[Cajero]:[Domiciliario]])</f>
        <v>140000</v>
      </c>
      <c r="S192" s="156">
        <v>70000</v>
      </c>
      <c r="T192" s="156">
        <v>70000</v>
      </c>
      <c r="U192" s="156">
        <v>0</v>
      </c>
      <c r="V192"/>
    </row>
    <row r="193" spans="1:22" x14ac:dyDescent="0.2">
      <c r="A193" s="153">
        <v>46256</v>
      </c>
      <c r="B193" s="3">
        <f t="shared" si="13"/>
        <v>26</v>
      </c>
      <c r="C193" s="3" t="str">
        <f>+TEXT(Opex_VE[[#This Row],[Fecha]],"ddd")</f>
        <v>sáb</v>
      </c>
      <c r="E193" s="14" t="s">
        <v>113</v>
      </c>
      <c r="F193" s="172">
        <f>IFERROR(VLOOKUP(Opex_VE[[#This Row],[Fecha]],Historia!A:B,2,0),_xlfn.XLOOKUP(Opex_VE[[#This Row],[dia]],Forecast!H:H,Forecast!I:I))</f>
        <v>320800</v>
      </c>
      <c r="G193" s="172">
        <f>IFERROR(VLOOKUP(Opex_VE[[#This Row],[Fecha]],Historia!A:C,3,0),_xlfn.XLOOKUP(Opex_VE[[#This Row],[dia]],Forecast!H:H,Forecast!J:J))</f>
        <v>128320</v>
      </c>
      <c r="H193" s="186">
        <f ca="1">+Opex_VE[[#This Row],[MG]]-Opex_VE[[#This Row],[Opex]]</f>
        <v>-93058.966666666674</v>
      </c>
      <c r="I193" s="173" t="str">
        <f>IFERROR(VLOOKUP(Opex_VE[[#This Row],[Fecha]],Historia!A:D,4,0),"Forecast")</f>
        <v>Forecast</v>
      </c>
      <c r="J193" s="161">
        <f t="shared" ca="1" si="12"/>
        <v>553447.41666666663</v>
      </c>
      <c r="K193" s="157">
        <f ca="1">+Opex_VE[[#This Row],[MG]]-Opex_VE[[#This Row],[Opex]]</f>
        <v>0</v>
      </c>
      <c r="L193" s="156">
        <f>+VLOOKUP($A193,Opex!$C:$Z,N$1,1)</f>
        <v>55000</v>
      </c>
      <c r="M193" s="157">
        <f ca="1">+Opex_VE[[#This Row],[Opex]]</f>
        <v>0</v>
      </c>
      <c r="N193" s="156">
        <f t="shared" si="10"/>
        <v>294635</v>
      </c>
      <c r="O193" s="156">
        <f>+VLOOKUP($A193,Opex!$C:$Z,Q$1,1)</f>
        <v>4000</v>
      </c>
      <c r="P193" s="156">
        <f t="shared" si="11"/>
        <v>290635</v>
      </c>
      <c r="Q193" s="156">
        <f>+VLOOKUP($A193,Opex!$C:$Z,R$1,1)</f>
        <v>10635</v>
      </c>
      <c r="R193" s="157">
        <f>+SUM(Opex_VE[[#This Row],[Cajero]:[Domiciliario]])</f>
        <v>140000</v>
      </c>
      <c r="S193" s="156">
        <v>70000</v>
      </c>
      <c r="T193" s="156">
        <v>70000</v>
      </c>
      <c r="U193" s="156">
        <v>0</v>
      </c>
      <c r="V193"/>
    </row>
    <row r="194" spans="1:22" x14ac:dyDescent="0.2">
      <c r="A194" s="153">
        <v>46257</v>
      </c>
      <c r="B194" s="3">
        <f t="shared" si="13"/>
        <v>26</v>
      </c>
      <c r="C194" s="3" t="str">
        <f>+TEXT(Opex_VE[[#This Row],[Fecha]],"ddd")</f>
        <v>dom</v>
      </c>
      <c r="E194" s="14" t="s">
        <v>145</v>
      </c>
      <c r="F194" s="172">
        <f>IFERROR(VLOOKUP(Opex_VE[[#This Row],[Fecha]],Historia!A:B,2,0),_xlfn.XLOOKUP(Opex_VE[[#This Row],[dia]],Forecast!H:H,Forecast!I:I))</f>
        <v>218500</v>
      </c>
      <c r="G194" s="172">
        <f>IFERROR(VLOOKUP(Opex_VE[[#This Row],[Fecha]],Historia!A:C,3,0),_xlfn.XLOOKUP(Opex_VE[[#This Row],[dia]],Forecast!H:H,Forecast!J:J))</f>
        <v>87400</v>
      </c>
      <c r="H194" s="186">
        <f ca="1">+Opex_VE[[#This Row],[MG]]-Opex_VE[[#This Row],[Opex]]</f>
        <v>-133978.96666666667</v>
      </c>
      <c r="I194" s="172" t="str">
        <f>IFERROR(VLOOKUP(Opex_VE[[#This Row],[Fecha]],Historia!A:D,4,0),"Forecast")</f>
        <v>Forecast</v>
      </c>
      <c r="J194" s="161">
        <f t="shared" ca="1" si="12"/>
        <v>553447.41666666663</v>
      </c>
      <c r="K194" s="157">
        <f ca="1">+Opex_VE[[#This Row],[MG]]-Opex_VE[[#This Row],[Opex]]</f>
        <v>0</v>
      </c>
      <c r="L194" s="156">
        <f>+VLOOKUP($A194,Opex!$C:$Z,N$1,1)</f>
        <v>55000</v>
      </c>
      <c r="M194" s="157">
        <f ca="1">+Opex_VE[[#This Row],[Opex]]</f>
        <v>0</v>
      </c>
      <c r="N194" s="156">
        <f t="shared" si="10"/>
        <v>294635</v>
      </c>
      <c r="O194" s="156">
        <f>+VLOOKUP($A194,Opex!$C:$Z,Q$1,1)</f>
        <v>4000</v>
      </c>
      <c r="P194" s="156">
        <f t="shared" si="11"/>
        <v>290635</v>
      </c>
      <c r="Q194" s="156">
        <f>+VLOOKUP($A194,Opex!$C:$Z,R$1,1)</f>
        <v>10635</v>
      </c>
      <c r="R194" s="157">
        <f>+SUM(Opex_VE[[#This Row],[Cajero]:[Domiciliario]])</f>
        <v>140000</v>
      </c>
      <c r="S194" s="156">
        <v>70000</v>
      </c>
      <c r="T194" s="156">
        <v>70000</v>
      </c>
      <c r="U194" s="156">
        <v>0</v>
      </c>
      <c r="V194"/>
    </row>
    <row r="195" spans="1:22" x14ac:dyDescent="0.2">
      <c r="A195" s="153">
        <v>46258</v>
      </c>
      <c r="B195" s="3">
        <f t="shared" si="13"/>
        <v>27</v>
      </c>
      <c r="C195" s="3" t="str">
        <f>+TEXT(Opex_VE[[#This Row],[Fecha]],"ddd")</f>
        <v>lun</v>
      </c>
      <c r="E195" s="14" t="s">
        <v>112</v>
      </c>
      <c r="F195" s="172">
        <f>IFERROR(VLOOKUP(Opex_VE[[#This Row],[Fecha]],Historia!A:B,2,0),_xlfn.XLOOKUP(Opex_VE[[#This Row],[dia]],Forecast!H:H,Forecast!I:I))</f>
        <v>179200</v>
      </c>
      <c r="G195" s="172">
        <f>IFERROR(VLOOKUP(Opex_VE[[#This Row],[Fecha]],Historia!A:C,3,0),_xlfn.XLOOKUP(Opex_VE[[#This Row],[dia]],Forecast!H:H,Forecast!J:J))</f>
        <v>71680</v>
      </c>
      <c r="H195" s="186">
        <f ca="1">+Opex_VE[[#This Row],[MG]]-Opex_VE[[#This Row],[Opex]]</f>
        <v>-149698.96666666667</v>
      </c>
      <c r="I195" s="172" t="str">
        <f>IFERROR(VLOOKUP(Opex_VE[[#This Row],[Fecha]],Historia!A:D,4,0),"Forecast")</f>
        <v>Forecast</v>
      </c>
      <c r="J195" s="161">
        <f t="shared" ca="1" si="12"/>
        <v>553447.41666666663</v>
      </c>
      <c r="K195" s="157">
        <f ca="1">+Opex_VE[[#This Row],[MG]]-Opex_VE[[#This Row],[Opex]]</f>
        <v>0</v>
      </c>
      <c r="L195" s="156">
        <f>+VLOOKUP($A195,Opex!$C:$Z,N$1,1)</f>
        <v>55000</v>
      </c>
      <c r="M195" s="157">
        <f ca="1">+Opex_VE[[#This Row],[Opex]]</f>
        <v>0</v>
      </c>
      <c r="N195" s="156">
        <f t="shared" ref="N195:N258" si="14">+SUM(O195,P195,U195)</f>
        <v>294635</v>
      </c>
      <c r="O195" s="156">
        <f>+VLOOKUP($A195,Opex!$C:$Z,Q$1,1)</f>
        <v>4000</v>
      </c>
      <c r="P195" s="156">
        <f t="shared" ref="P195:P258" si="15">+SUM(Q195:T195)</f>
        <v>290635</v>
      </c>
      <c r="Q195" s="156">
        <f>+VLOOKUP($A195,Opex!$C:$Z,R$1,1)</f>
        <v>10635</v>
      </c>
      <c r="R195" s="157">
        <f>+SUM(Opex_VE[[#This Row],[Cajero]:[Domiciliario]])</f>
        <v>140000</v>
      </c>
      <c r="S195" s="156">
        <v>70000</v>
      </c>
      <c r="T195" s="156">
        <v>70000</v>
      </c>
      <c r="U195" s="156">
        <v>0</v>
      </c>
      <c r="V195"/>
    </row>
    <row r="196" spans="1:22" x14ac:dyDescent="0.2">
      <c r="A196" s="153">
        <v>46259</v>
      </c>
      <c r="B196" s="3">
        <f t="shared" si="13"/>
        <v>27</v>
      </c>
      <c r="C196" s="3" t="str">
        <f>+TEXT(Opex_VE[[#This Row],[Fecha]],"ddd")</f>
        <v>mar</v>
      </c>
      <c r="E196" s="14" t="s">
        <v>112</v>
      </c>
      <c r="F196" s="172">
        <f>IFERROR(VLOOKUP(Opex_VE[[#This Row],[Fecha]],Historia!A:B,2,0),_xlfn.XLOOKUP(Opex_VE[[#This Row],[dia]],Forecast!H:H,Forecast!I:I))</f>
        <v>195000</v>
      </c>
      <c r="G196" s="172">
        <f>IFERROR(VLOOKUP(Opex_VE[[#This Row],[Fecha]],Historia!A:C,3,0),_xlfn.XLOOKUP(Opex_VE[[#This Row],[dia]],Forecast!H:H,Forecast!J:J))</f>
        <v>78000</v>
      </c>
      <c r="H196" s="186">
        <f ca="1">+Opex_VE[[#This Row],[MG]]-Opex_VE[[#This Row],[Opex]]</f>
        <v>-143378.96666666667</v>
      </c>
      <c r="I196" s="172" t="str">
        <f>IFERROR(VLOOKUP(Opex_VE[[#This Row],[Fecha]],Historia!A:D,4,0),"Forecast")</f>
        <v>Forecast</v>
      </c>
      <c r="J196" s="161">
        <f t="shared" ca="1" si="12"/>
        <v>553447.41666666663</v>
      </c>
      <c r="K196" s="157">
        <f ca="1">+Opex_VE[[#This Row],[MG]]-Opex_VE[[#This Row],[Opex]]</f>
        <v>0</v>
      </c>
      <c r="L196" s="156">
        <f>+VLOOKUP($A196,Opex!$C:$Z,N$1,1)</f>
        <v>55000</v>
      </c>
      <c r="M196" s="157">
        <f ca="1">+Opex_VE[[#This Row],[Opex]]</f>
        <v>0</v>
      </c>
      <c r="N196" s="156">
        <f t="shared" si="14"/>
        <v>294635</v>
      </c>
      <c r="O196" s="156">
        <f>+VLOOKUP($A196,Opex!$C:$Z,Q$1,1)</f>
        <v>4000</v>
      </c>
      <c r="P196" s="156">
        <f t="shared" si="15"/>
        <v>290635</v>
      </c>
      <c r="Q196" s="156">
        <f>+VLOOKUP($A196,Opex!$C:$Z,R$1,1)</f>
        <v>10635</v>
      </c>
      <c r="R196" s="157">
        <f>+SUM(Opex_VE[[#This Row],[Cajero]:[Domiciliario]])</f>
        <v>140000</v>
      </c>
      <c r="S196" s="156">
        <v>70000</v>
      </c>
      <c r="T196" s="156">
        <v>70000</v>
      </c>
      <c r="U196" s="156">
        <v>0</v>
      </c>
      <c r="V196"/>
    </row>
    <row r="197" spans="1:22" x14ac:dyDescent="0.2">
      <c r="A197" s="153">
        <v>46260</v>
      </c>
      <c r="B197" s="3">
        <f t="shared" si="13"/>
        <v>27</v>
      </c>
      <c r="C197" s="3" t="str">
        <f>+TEXT(Opex_VE[[#This Row],[Fecha]],"ddd")</f>
        <v>mié</v>
      </c>
      <c r="E197" s="14" t="s">
        <v>112</v>
      </c>
      <c r="F197" s="172">
        <f>IFERROR(VLOOKUP(Opex_VE[[#This Row],[Fecha]],Historia!A:B,2,0),_xlfn.XLOOKUP(Opex_VE[[#This Row],[dia]],Forecast!H:H,Forecast!I:I))</f>
        <v>366750</v>
      </c>
      <c r="G197" s="172">
        <f>IFERROR(VLOOKUP(Opex_VE[[#This Row],[Fecha]],Historia!A:C,3,0),_xlfn.XLOOKUP(Opex_VE[[#This Row],[dia]],Forecast!H:H,Forecast!J:J))</f>
        <v>146700</v>
      </c>
      <c r="H197" s="186">
        <f ca="1">+Opex_VE[[#This Row],[MG]]-Opex_VE[[#This Row],[Opex]]</f>
        <v>-74678.966666666674</v>
      </c>
      <c r="I197" s="172" t="str">
        <f>IFERROR(VLOOKUP(Opex_VE[[#This Row],[Fecha]],Historia!A:D,4,0),"Forecast")</f>
        <v>Forecast</v>
      </c>
      <c r="J197" s="161">
        <f t="shared" ca="1" si="12"/>
        <v>553447.41666666663</v>
      </c>
      <c r="K197" s="157">
        <f ca="1">+Opex_VE[[#This Row],[MG]]-Opex_VE[[#This Row],[Opex]]</f>
        <v>0</v>
      </c>
      <c r="L197" s="156">
        <f>+VLOOKUP($A197,Opex!$C:$Z,N$1,1)</f>
        <v>55000</v>
      </c>
      <c r="M197" s="157">
        <f ca="1">+Opex_VE[[#This Row],[Opex]]</f>
        <v>0</v>
      </c>
      <c r="N197" s="156">
        <f t="shared" si="14"/>
        <v>294635</v>
      </c>
      <c r="O197" s="156">
        <f>+VLOOKUP($A197,Opex!$C:$Z,Q$1,1)</f>
        <v>4000</v>
      </c>
      <c r="P197" s="156">
        <f t="shared" si="15"/>
        <v>290635</v>
      </c>
      <c r="Q197" s="156">
        <f>+VLOOKUP($A197,Opex!$C:$Z,R$1,1)</f>
        <v>10635</v>
      </c>
      <c r="R197" s="157">
        <f>+SUM(Opex_VE[[#This Row],[Cajero]:[Domiciliario]])</f>
        <v>140000</v>
      </c>
      <c r="S197" s="156">
        <v>70000</v>
      </c>
      <c r="T197" s="156">
        <v>70000</v>
      </c>
      <c r="U197" s="156">
        <v>0</v>
      </c>
      <c r="V197"/>
    </row>
    <row r="198" spans="1:22" x14ac:dyDescent="0.2">
      <c r="A198" s="153">
        <v>46261</v>
      </c>
      <c r="B198" s="3">
        <f t="shared" si="13"/>
        <v>27</v>
      </c>
      <c r="C198" s="3" t="str">
        <f>+TEXT(Opex_VE[[#This Row],[Fecha]],"ddd")</f>
        <v>jue</v>
      </c>
      <c r="E198" s="14" t="s">
        <v>112</v>
      </c>
      <c r="F198" s="172">
        <f>IFERROR(VLOOKUP(Opex_VE[[#This Row],[Fecha]],Historia!A:B,2,0),_xlfn.XLOOKUP(Opex_VE[[#This Row],[dia]],Forecast!H:H,Forecast!I:I))</f>
        <v>234000</v>
      </c>
      <c r="G198" s="172">
        <f>IFERROR(VLOOKUP(Opex_VE[[#This Row],[Fecha]],Historia!A:C,3,0),_xlfn.XLOOKUP(Opex_VE[[#This Row],[dia]],Forecast!H:H,Forecast!J:J))</f>
        <v>93600</v>
      </c>
      <c r="H198" s="186">
        <f ca="1">+Opex_VE[[#This Row],[MG]]-Opex_VE[[#This Row],[Opex]]</f>
        <v>-127778.96666666667</v>
      </c>
      <c r="I198" s="172" t="str">
        <f>IFERROR(VLOOKUP(Opex_VE[[#This Row],[Fecha]],Historia!A:D,4,0),"Forecast")</f>
        <v>Forecast</v>
      </c>
      <c r="J198" s="161">
        <f t="shared" ca="1" si="12"/>
        <v>553447.41666666663</v>
      </c>
      <c r="K198" s="157">
        <f ca="1">+Opex_VE[[#This Row],[MG]]-Opex_VE[[#This Row],[Opex]]</f>
        <v>0</v>
      </c>
      <c r="L198" s="156">
        <f>+VLOOKUP($A198,Opex!$C:$Z,N$1,1)</f>
        <v>55000</v>
      </c>
      <c r="M198" s="157">
        <f ca="1">+Opex_VE[[#This Row],[Opex]]</f>
        <v>0</v>
      </c>
      <c r="N198" s="156">
        <f t="shared" si="14"/>
        <v>294635</v>
      </c>
      <c r="O198" s="156">
        <f>+VLOOKUP($A198,Opex!$C:$Z,Q$1,1)</f>
        <v>4000</v>
      </c>
      <c r="P198" s="156">
        <f t="shared" si="15"/>
        <v>290635</v>
      </c>
      <c r="Q198" s="156">
        <f>+VLOOKUP($A198,Opex!$C:$Z,R$1,1)</f>
        <v>10635</v>
      </c>
      <c r="R198" s="157">
        <f>+SUM(Opex_VE[[#This Row],[Cajero]:[Domiciliario]])</f>
        <v>140000</v>
      </c>
      <c r="S198" s="156">
        <v>70000</v>
      </c>
      <c r="T198" s="156">
        <v>70000</v>
      </c>
      <c r="U198" s="156">
        <v>0</v>
      </c>
      <c r="V198"/>
    </row>
    <row r="199" spans="1:22" x14ac:dyDescent="0.2">
      <c r="A199" s="153">
        <v>46262</v>
      </c>
      <c r="B199" s="3">
        <f t="shared" si="13"/>
        <v>27</v>
      </c>
      <c r="C199" s="3" t="str">
        <f>+TEXT(Opex_VE[[#This Row],[Fecha]],"ddd")</f>
        <v>vie</v>
      </c>
      <c r="E199" s="14" t="s">
        <v>217</v>
      </c>
      <c r="F199" s="172">
        <f>IFERROR(VLOOKUP(Opex_VE[[#This Row],[Fecha]],Historia!A:B,2,0),_xlfn.XLOOKUP(Opex_VE[[#This Row],[dia]],Forecast!H:H,Forecast!I:I))</f>
        <v>248000</v>
      </c>
      <c r="G199" s="172">
        <f>IFERROR(VLOOKUP(Opex_VE[[#This Row],[Fecha]],Historia!A:C,3,0),_xlfn.XLOOKUP(Opex_VE[[#This Row],[dia]],Forecast!H:H,Forecast!J:J))</f>
        <v>99200</v>
      </c>
      <c r="H199" s="186">
        <f ca="1">+Opex_VE[[#This Row],[MG]]-Opex_VE[[#This Row],[Opex]]</f>
        <v>-122178.96666666667</v>
      </c>
      <c r="I199" s="172" t="str">
        <f>IFERROR(VLOOKUP(Opex_VE[[#This Row],[Fecha]],Historia!A:D,4,0),"Forecast")</f>
        <v>Forecast</v>
      </c>
      <c r="J199" s="161">
        <f t="shared" ca="1" si="12"/>
        <v>553447.41666666663</v>
      </c>
      <c r="K199" s="157">
        <f ca="1">+Opex_VE[[#This Row],[MG]]-Opex_VE[[#This Row],[Opex]]</f>
        <v>0</v>
      </c>
      <c r="L199" s="156">
        <f>+VLOOKUP($A199,Opex!$C:$Z,N$1,1)</f>
        <v>55000</v>
      </c>
      <c r="M199" s="157">
        <f ca="1">+Opex_VE[[#This Row],[Opex]]</f>
        <v>0</v>
      </c>
      <c r="N199" s="156">
        <f t="shared" si="14"/>
        <v>294635</v>
      </c>
      <c r="O199" s="156">
        <f>+VLOOKUP($A199,Opex!$C:$Z,Q$1,1)</f>
        <v>4000</v>
      </c>
      <c r="P199" s="156">
        <f t="shared" si="15"/>
        <v>290635</v>
      </c>
      <c r="Q199" s="156">
        <f>+VLOOKUP($A199,Opex!$C:$Z,R$1,1)</f>
        <v>10635</v>
      </c>
      <c r="R199" s="157">
        <f>+SUM(Opex_VE[[#This Row],[Cajero]:[Domiciliario]])</f>
        <v>140000</v>
      </c>
      <c r="S199" s="156">
        <v>70000</v>
      </c>
      <c r="T199" s="156">
        <v>70000</v>
      </c>
      <c r="U199" s="156">
        <v>0</v>
      </c>
      <c r="V199"/>
    </row>
    <row r="200" spans="1:22" x14ac:dyDescent="0.2">
      <c r="A200" s="153">
        <v>46263</v>
      </c>
      <c r="B200" s="3">
        <f t="shared" si="13"/>
        <v>27</v>
      </c>
      <c r="C200" s="3" t="str">
        <f>+TEXT(Opex_VE[[#This Row],[Fecha]],"ddd")</f>
        <v>sáb</v>
      </c>
      <c r="E200" s="14" t="s">
        <v>113</v>
      </c>
      <c r="F200" s="172">
        <f>IFERROR(VLOOKUP(Opex_VE[[#This Row],[Fecha]],Historia!A:B,2,0),_xlfn.XLOOKUP(Opex_VE[[#This Row],[dia]],Forecast!H:H,Forecast!I:I))</f>
        <v>320800</v>
      </c>
      <c r="G200" s="172">
        <f>IFERROR(VLOOKUP(Opex_VE[[#This Row],[Fecha]],Historia!A:C,3,0),_xlfn.XLOOKUP(Opex_VE[[#This Row],[dia]],Forecast!H:H,Forecast!J:J))</f>
        <v>128320</v>
      </c>
      <c r="H200" s="186">
        <f ca="1">+Opex_VE[[#This Row],[MG]]-Opex_VE[[#This Row],[Opex]]</f>
        <v>-93058.966666666674</v>
      </c>
      <c r="I200" s="173" t="str">
        <f>IFERROR(VLOOKUP(Opex_VE[[#This Row],[Fecha]],Historia!A:D,4,0),"Forecast")</f>
        <v>Forecast</v>
      </c>
      <c r="J200" s="161">
        <f t="shared" ca="1" si="12"/>
        <v>553447.41666666663</v>
      </c>
      <c r="K200" s="157">
        <f ca="1">+Opex_VE[[#This Row],[MG]]-Opex_VE[[#This Row],[Opex]]</f>
        <v>0</v>
      </c>
      <c r="L200" s="156">
        <f>+VLOOKUP($A200,Opex!$C:$Z,N$1,1)</f>
        <v>55000</v>
      </c>
      <c r="M200" s="157">
        <f ca="1">+Opex_VE[[#This Row],[Opex]]</f>
        <v>0</v>
      </c>
      <c r="N200" s="156">
        <f t="shared" si="14"/>
        <v>294635</v>
      </c>
      <c r="O200" s="156">
        <f>+VLOOKUP($A200,Opex!$C:$Z,Q$1,1)</f>
        <v>4000</v>
      </c>
      <c r="P200" s="156">
        <f t="shared" si="15"/>
        <v>290635</v>
      </c>
      <c r="Q200" s="156">
        <f>+VLOOKUP($A200,Opex!$C:$Z,R$1,1)</f>
        <v>10635</v>
      </c>
      <c r="R200" s="157">
        <f>+SUM(Opex_VE[[#This Row],[Cajero]:[Domiciliario]])</f>
        <v>140000</v>
      </c>
      <c r="S200" s="156">
        <v>70000</v>
      </c>
      <c r="T200" s="156">
        <v>70000</v>
      </c>
      <c r="U200" s="156">
        <v>0</v>
      </c>
      <c r="V200"/>
    </row>
    <row r="201" spans="1:22" x14ac:dyDescent="0.2">
      <c r="A201" s="153">
        <v>46264</v>
      </c>
      <c r="B201" s="3">
        <f t="shared" si="13"/>
        <v>27</v>
      </c>
      <c r="C201" s="3" t="str">
        <f>+TEXT(Opex_VE[[#This Row],[Fecha]],"ddd")</f>
        <v>dom</v>
      </c>
      <c r="E201" s="14" t="s">
        <v>145</v>
      </c>
      <c r="F201" s="172">
        <f>IFERROR(VLOOKUP(Opex_VE[[#This Row],[Fecha]],Historia!A:B,2,0),_xlfn.XLOOKUP(Opex_VE[[#This Row],[dia]],Forecast!H:H,Forecast!I:I))</f>
        <v>218500</v>
      </c>
      <c r="G201" s="172">
        <f>IFERROR(VLOOKUP(Opex_VE[[#This Row],[Fecha]],Historia!A:C,3,0),_xlfn.XLOOKUP(Opex_VE[[#This Row],[dia]],Forecast!H:H,Forecast!J:J))</f>
        <v>87400</v>
      </c>
      <c r="H201" s="186">
        <f ca="1">+Opex_VE[[#This Row],[MG]]-Opex_VE[[#This Row],[Opex]]</f>
        <v>-133978.96666666667</v>
      </c>
      <c r="I201" s="172" t="str">
        <f>IFERROR(VLOOKUP(Opex_VE[[#This Row],[Fecha]],Historia!A:D,4,0),"Forecast")</f>
        <v>Forecast</v>
      </c>
      <c r="J201" s="161">
        <f t="shared" ca="1" si="12"/>
        <v>553447.41666666663</v>
      </c>
      <c r="K201" s="157">
        <f ca="1">+Opex_VE[[#This Row],[MG]]-Opex_VE[[#This Row],[Opex]]</f>
        <v>0</v>
      </c>
      <c r="L201" s="156">
        <f>+VLOOKUP($A201,Opex!$C:$Z,N$1,1)</f>
        <v>55000</v>
      </c>
      <c r="M201" s="157">
        <f ca="1">+Opex_VE[[#This Row],[Opex]]</f>
        <v>0</v>
      </c>
      <c r="N201" s="156">
        <f t="shared" si="14"/>
        <v>294635</v>
      </c>
      <c r="O201" s="156">
        <f>+VLOOKUP($A201,Opex!$C:$Z,Q$1,1)</f>
        <v>4000</v>
      </c>
      <c r="P201" s="156">
        <f t="shared" si="15"/>
        <v>290635</v>
      </c>
      <c r="Q201" s="156">
        <f>+VLOOKUP($A201,Opex!$C:$Z,R$1,1)</f>
        <v>10635</v>
      </c>
      <c r="R201" s="157">
        <f>+SUM(Opex_VE[[#This Row],[Cajero]:[Domiciliario]])</f>
        <v>140000</v>
      </c>
      <c r="S201" s="156">
        <v>70000</v>
      </c>
      <c r="T201" s="156">
        <v>70000</v>
      </c>
      <c r="U201" s="156">
        <v>0</v>
      </c>
      <c r="V201"/>
    </row>
    <row r="202" spans="1:22" x14ac:dyDescent="0.2">
      <c r="A202" s="153">
        <v>46265</v>
      </c>
      <c r="B202" s="3">
        <f t="shared" si="13"/>
        <v>28</v>
      </c>
      <c r="C202" s="3" t="str">
        <f>+TEXT(Opex_VE[[#This Row],[Fecha]],"ddd")</f>
        <v>lun</v>
      </c>
      <c r="E202" s="14" t="s">
        <v>112</v>
      </c>
      <c r="F202" s="172">
        <f>IFERROR(VLOOKUP(Opex_VE[[#This Row],[Fecha]],Historia!A:B,2,0),_xlfn.XLOOKUP(Opex_VE[[#This Row],[dia]],Forecast!H:H,Forecast!I:I))</f>
        <v>179200</v>
      </c>
      <c r="G202" s="172">
        <f>IFERROR(VLOOKUP(Opex_VE[[#This Row],[Fecha]],Historia!A:C,3,0),_xlfn.XLOOKUP(Opex_VE[[#This Row],[dia]],Forecast!H:H,Forecast!J:J))</f>
        <v>71680</v>
      </c>
      <c r="H202" s="186">
        <f ca="1">+Opex_VE[[#This Row],[MG]]-Opex_VE[[#This Row],[Opex]]</f>
        <v>-149698.96666666667</v>
      </c>
      <c r="I202" s="172" t="str">
        <f>IFERROR(VLOOKUP(Opex_VE[[#This Row],[Fecha]],Historia!A:D,4,0),"Forecast")</f>
        <v>Forecast</v>
      </c>
      <c r="J202" s="161">
        <f t="shared" ca="1" si="12"/>
        <v>553447.41666666663</v>
      </c>
      <c r="K202" s="157">
        <f ca="1">+Opex_VE[[#This Row],[MG]]-Opex_VE[[#This Row],[Opex]]</f>
        <v>0</v>
      </c>
      <c r="L202" s="156">
        <f>+VLOOKUP($A202,Opex!$C:$Z,N$1,1)</f>
        <v>55000</v>
      </c>
      <c r="M202" s="157">
        <f ca="1">+Opex_VE[[#This Row],[Opex]]</f>
        <v>0</v>
      </c>
      <c r="N202" s="156">
        <f t="shared" si="14"/>
        <v>294635</v>
      </c>
      <c r="O202" s="156">
        <f>+VLOOKUP($A202,Opex!$C:$Z,Q$1,1)</f>
        <v>4000</v>
      </c>
      <c r="P202" s="156">
        <f t="shared" si="15"/>
        <v>290635</v>
      </c>
      <c r="Q202" s="156">
        <f>+VLOOKUP($A202,Opex!$C:$Z,R$1,1)</f>
        <v>10635</v>
      </c>
      <c r="R202" s="157">
        <f>+SUM(Opex_VE[[#This Row],[Cajero]:[Domiciliario]])</f>
        <v>140000</v>
      </c>
      <c r="S202" s="156">
        <v>70000</v>
      </c>
      <c r="T202" s="156">
        <v>70000</v>
      </c>
      <c r="U202" s="156">
        <v>0</v>
      </c>
      <c r="V202"/>
    </row>
    <row r="203" spans="1:22" x14ac:dyDescent="0.2">
      <c r="A203" s="153">
        <v>46266</v>
      </c>
      <c r="B203" s="3">
        <f t="shared" si="13"/>
        <v>28</v>
      </c>
      <c r="C203" s="3" t="str">
        <f>+TEXT(Opex_VE[[#This Row],[Fecha]],"ddd")</f>
        <v>mar</v>
      </c>
      <c r="E203" s="14" t="s">
        <v>112</v>
      </c>
      <c r="F203" s="172">
        <f>IFERROR(VLOOKUP(Opex_VE[[#This Row],[Fecha]],Historia!A:B,2,0),_xlfn.XLOOKUP(Opex_VE[[#This Row],[dia]],Forecast!H:H,Forecast!I:I))</f>
        <v>195000</v>
      </c>
      <c r="G203" s="172">
        <f>IFERROR(VLOOKUP(Opex_VE[[#This Row],[Fecha]],Historia!A:C,3,0),_xlfn.XLOOKUP(Opex_VE[[#This Row],[dia]],Forecast!H:H,Forecast!J:J))</f>
        <v>78000</v>
      </c>
      <c r="H203" s="186">
        <f ca="1">+Opex_VE[[#This Row],[MG]]-Opex_VE[[#This Row],[Opex]]</f>
        <v>-143378.96666666667</v>
      </c>
      <c r="I203" s="172" t="str">
        <f>IFERROR(VLOOKUP(Opex_VE[[#This Row],[Fecha]],Historia!A:D,4,0),"Forecast")</f>
        <v>Forecast</v>
      </c>
      <c r="J203" s="161">
        <f t="shared" ca="1" si="12"/>
        <v>553447.41666666663</v>
      </c>
      <c r="K203" s="157">
        <f ca="1">+Opex_VE[[#This Row],[MG]]-Opex_VE[[#This Row],[Opex]]</f>
        <v>0</v>
      </c>
      <c r="L203" s="156">
        <f>+VLOOKUP($A203,Opex!$C:$Z,N$1,1)</f>
        <v>55000</v>
      </c>
      <c r="M203" s="157">
        <f ca="1">+Opex_VE[[#This Row],[Opex]]</f>
        <v>0</v>
      </c>
      <c r="N203" s="156">
        <f t="shared" si="14"/>
        <v>294635</v>
      </c>
      <c r="O203" s="156">
        <f>+VLOOKUP($A203,Opex!$C:$Z,Q$1,1)</f>
        <v>4000</v>
      </c>
      <c r="P203" s="156">
        <f t="shared" si="15"/>
        <v>290635</v>
      </c>
      <c r="Q203" s="156">
        <f>+VLOOKUP($A203,Opex!$C:$Z,R$1,1)</f>
        <v>10635</v>
      </c>
      <c r="R203" s="157">
        <f>+SUM(Opex_VE[[#This Row],[Cajero]:[Domiciliario]])</f>
        <v>140000</v>
      </c>
      <c r="S203" s="156">
        <v>70000</v>
      </c>
      <c r="T203" s="156">
        <v>70000</v>
      </c>
      <c r="U203" s="156">
        <v>0</v>
      </c>
      <c r="V203"/>
    </row>
    <row r="204" spans="1:22" x14ac:dyDescent="0.2">
      <c r="A204" s="153">
        <v>46267</v>
      </c>
      <c r="B204" s="3">
        <f t="shared" si="13"/>
        <v>28</v>
      </c>
      <c r="C204" s="3" t="str">
        <f>+TEXT(Opex_VE[[#This Row],[Fecha]],"ddd")</f>
        <v>mié</v>
      </c>
      <c r="E204" s="14" t="s">
        <v>112</v>
      </c>
      <c r="F204" s="172">
        <f>IFERROR(VLOOKUP(Opex_VE[[#This Row],[Fecha]],Historia!A:B,2,0),_xlfn.XLOOKUP(Opex_VE[[#This Row],[dia]],Forecast!H:H,Forecast!I:I))</f>
        <v>366750</v>
      </c>
      <c r="G204" s="172">
        <f>IFERROR(VLOOKUP(Opex_VE[[#This Row],[Fecha]],Historia!A:C,3,0),_xlfn.XLOOKUP(Opex_VE[[#This Row],[dia]],Forecast!H:H,Forecast!J:J))</f>
        <v>146700</v>
      </c>
      <c r="H204" s="186">
        <f ca="1">+Opex_VE[[#This Row],[MG]]-Opex_VE[[#This Row],[Opex]]</f>
        <v>-74678.966666666674</v>
      </c>
      <c r="I204" s="172" t="str">
        <f>IFERROR(VLOOKUP(Opex_VE[[#This Row],[Fecha]],Historia!A:D,4,0),"Forecast")</f>
        <v>Forecast</v>
      </c>
      <c r="J204" s="161">
        <f t="shared" ca="1" si="12"/>
        <v>553447.41666666663</v>
      </c>
      <c r="K204" s="157">
        <f ca="1">+Opex_VE[[#This Row],[MG]]-Opex_VE[[#This Row],[Opex]]</f>
        <v>0</v>
      </c>
      <c r="L204" s="156">
        <f>+VLOOKUP($A204,Opex!$C:$Z,N$1,1)</f>
        <v>55000</v>
      </c>
      <c r="M204" s="157">
        <f ca="1">+Opex_VE[[#This Row],[Opex]]</f>
        <v>0</v>
      </c>
      <c r="N204" s="156">
        <f t="shared" si="14"/>
        <v>294635</v>
      </c>
      <c r="O204" s="156">
        <f>+VLOOKUP($A204,Opex!$C:$Z,Q$1,1)</f>
        <v>4000</v>
      </c>
      <c r="P204" s="156">
        <f t="shared" si="15"/>
        <v>290635</v>
      </c>
      <c r="Q204" s="156">
        <f>+VLOOKUP($A204,Opex!$C:$Z,R$1,1)</f>
        <v>10635</v>
      </c>
      <c r="R204" s="157">
        <f>+SUM(Opex_VE[[#This Row],[Cajero]:[Domiciliario]])</f>
        <v>140000</v>
      </c>
      <c r="S204" s="156">
        <v>70000</v>
      </c>
      <c r="T204" s="156">
        <v>70000</v>
      </c>
      <c r="U204" s="156">
        <v>0</v>
      </c>
      <c r="V204"/>
    </row>
    <row r="205" spans="1:22" x14ac:dyDescent="0.2">
      <c r="A205" s="153">
        <v>46268</v>
      </c>
      <c r="B205" s="3">
        <f t="shared" si="13"/>
        <v>28</v>
      </c>
      <c r="C205" s="3" t="str">
        <f>+TEXT(Opex_VE[[#This Row],[Fecha]],"ddd")</f>
        <v>jue</v>
      </c>
      <c r="E205" s="14" t="s">
        <v>112</v>
      </c>
      <c r="F205" s="172">
        <f>IFERROR(VLOOKUP(Opex_VE[[#This Row],[Fecha]],Historia!A:B,2,0),_xlfn.XLOOKUP(Opex_VE[[#This Row],[dia]],Forecast!H:H,Forecast!I:I))</f>
        <v>234000</v>
      </c>
      <c r="G205" s="172">
        <f>IFERROR(VLOOKUP(Opex_VE[[#This Row],[Fecha]],Historia!A:C,3,0),_xlfn.XLOOKUP(Opex_VE[[#This Row],[dia]],Forecast!H:H,Forecast!J:J))</f>
        <v>93600</v>
      </c>
      <c r="H205" s="186">
        <f ca="1">+Opex_VE[[#This Row],[MG]]-Opex_VE[[#This Row],[Opex]]</f>
        <v>-127778.96666666667</v>
      </c>
      <c r="I205" s="172" t="str">
        <f>IFERROR(VLOOKUP(Opex_VE[[#This Row],[Fecha]],Historia!A:D,4,0),"Forecast")</f>
        <v>Forecast</v>
      </c>
      <c r="J205" s="161">
        <f t="shared" ref="J205:J268" ca="1" si="16">+K205/0.4</f>
        <v>553447.41666666663</v>
      </c>
      <c r="K205" s="157">
        <f ca="1">+Opex_VE[[#This Row],[MG]]-Opex_VE[[#This Row],[Opex]]</f>
        <v>0</v>
      </c>
      <c r="L205" s="156">
        <f>+VLOOKUP($A205,Opex!$C:$Z,N$1,1)</f>
        <v>55000</v>
      </c>
      <c r="M205" s="157">
        <f ca="1">+Opex_VE[[#This Row],[Opex]]</f>
        <v>0</v>
      </c>
      <c r="N205" s="156">
        <f t="shared" si="14"/>
        <v>294635</v>
      </c>
      <c r="O205" s="156">
        <f>+VLOOKUP($A205,Opex!$C:$Z,Q$1,1)</f>
        <v>4000</v>
      </c>
      <c r="P205" s="156">
        <f t="shared" si="15"/>
        <v>290635</v>
      </c>
      <c r="Q205" s="156">
        <f>+VLOOKUP($A205,Opex!$C:$Z,R$1,1)</f>
        <v>10635</v>
      </c>
      <c r="R205" s="157">
        <f>+SUM(Opex_VE[[#This Row],[Cajero]:[Domiciliario]])</f>
        <v>140000</v>
      </c>
      <c r="S205" s="156">
        <v>70000</v>
      </c>
      <c r="T205" s="156">
        <v>70000</v>
      </c>
      <c r="U205" s="156">
        <v>0</v>
      </c>
      <c r="V205"/>
    </row>
    <row r="206" spans="1:22" x14ac:dyDescent="0.2">
      <c r="A206" s="153">
        <v>46269</v>
      </c>
      <c r="B206" s="3">
        <f t="shared" si="13"/>
        <v>28</v>
      </c>
      <c r="C206" s="3" t="str">
        <f>+TEXT(Opex_VE[[#This Row],[Fecha]],"ddd")</f>
        <v>vie</v>
      </c>
      <c r="E206" s="14" t="s">
        <v>217</v>
      </c>
      <c r="F206" s="172">
        <f>IFERROR(VLOOKUP(Opex_VE[[#This Row],[Fecha]],Historia!A:B,2,0),_xlfn.XLOOKUP(Opex_VE[[#This Row],[dia]],Forecast!H:H,Forecast!I:I))</f>
        <v>248000</v>
      </c>
      <c r="G206" s="172">
        <f>IFERROR(VLOOKUP(Opex_VE[[#This Row],[Fecha]],Historia!A:C,3,0),_xlfn.XLOOKUP(Opex_VE[[#This Row],[dia]],Forecast!H:H,Forecast!J:J))</f>
        <v>99200</v>
      </c>
      <c r="H206" s="186">
        <f ca="1">+Opex_VE[[#This Row],[MG]]-Opex_VE[[#This Row],[Opex]]</f>
        <v>-122178.96666666667</v>
      </c>
      <c r="I206" s="172" t="str">
        <f>IFERROR(VLOOKUP(Opex_VE[[#This Row],[Fecha]],Historia!A:D,4,0),"Forecast")</f>
        <v>Forecast</v>
      </c>
      <c r="J206" s="161">
        <f t="shared" ca="1" si="16"/>
        <v>553447.41666666663</v>
      </c>
      <c r="K206" s="157">
        <f ca="1">+Opex_VE[[#This Row],[MG]]-Opex_VE[[#This Row],[Opex]]</f>
        <v>0</v>
      </c>
      <c r="L206" s="156">
        <f>+VLOOKUP($A206,Opex!$C:$Z,N$1,1)</f>
        <v>55000</v>
      </c>
      <c r="M206" s="157">
        <f ca="1">+Opex_VE[[#This Row],[Opex]]</f>
        <v>0</v>
      </c>
      <c r="N206" s="156">
        <f t="shared" si="14"/>
        <v>294635</v>
      </c>
      <c r="O206" s="156">
        <f>+VLOOKUP($A206,Opex!$C:$Z,Q$1,1)</f>
        <v>4000</v>
      </c>
      <c r="P206" s="156">
        <f t="shared" si="15"/>
        <v>290635</v>
      </c>
      <c r="Q206" s="156">
        <f>+VLOOKUP($A206,Opex!$C:$Z,R$1,1)</f>
        <v>10635</v>
      </c>
      <c r="R206" s="157">
        <f>+SUM(Opex_VE[[#This Row],[Cajero]:[Domiciliario]])</f>
        <v>140000</v>
      </c>
      <c r="S206" s="156">
        <v>70000</v>
      </c>
      <c r="T206" s="156">
        <v>70000</v>
      </c>
      <c r="U206" s="156">
        <v>0</v>
      </c>
      <c r="V206"/>
    </row>
    <row r="207" spans="1:22" x14ac:dyDescent="0.2">
      <c r="A207" s="153">
        <v>46270</v>
      </c>
      <c r="B207" s="3">
        <f t="shared" si="13"/>
        <v>28</v>
      </c>
      <c r="C207" s="3" t="str">
        <f>+TEXT(Opex_VE[[#This Row],[Fecha]],"ddd")</f>
        <v>sáb</v>
      </c>
      <c r="E207" s="14" t="s">
        <v>113</v>
      </c>
      <c r="F207" s="172">
        <f>IFERROR(VLOOKUP(Opex_VE[[#This Row],[Fecha]],Historia!A:B,2,0),_xlfn.XLOOKUP(Opex_VE[[#This Row],[dia]],Forecast!H:H,Forecast!I:I))</f>
        <v>320800</v>
      </c>
      <c r="G207" s="172">
        <f>IFERROR(VLOOKUP(Opex_VE[[#This Row],[Fecha]],Historia!A:C,3,0),_xlfn.XLOOKUP(Opex_VE[[#This Row],[dia]],Forecast!H:H,Forecast!J:J))</f>
        <v>128320</v>
      </c>
      <c r="H207" s="186">
        <f ca="1">+Opex_VE[[#This Row],[MG]]-Opex_VE[[#This Row],[Opex]]</f>
        <v>-93058.966666666674</v>
      </c>
      <c r="I207" s="173" t="str">
        <f>IFERROR(VLOOKUP(Opex_VE[[#This Row],[Fecha]],Historia!A:D,4,0),"Forecast")</f>
        <v>Forecast</v>
      </c>
      <c r="J207" s="161">
        <f t="shared" ca="1" si="16"/>
        <v>553447.41666666663</v>
      </c>
      <c r="K207" s="157">
        <f ca="1">+Opex_VE[[#This Row],[MG]]-Opex_VE[[#This Row],[Opex]]</f>
        <v>0</v>
      </c>
      <c r="L207" s="156">
        <f>+VLOOKUP($A207,Opex!$C:$Z,N$1,1)</f>
        <v>55000</v>
      </c>
      <c r="M207" s="157">
        <f ca="1">+Opex_VE[[#This Row],[Opex]]</f>
        <v>0</v>
      </c>
      <c r="N207" s="156">
        <f t="shared" si="14"/>
        <v>294635</v>
      </c>
      <c r="O207" s="156">
        <f>+VLOOKUP($A207,Opex!$C:$Z,Q$1,1)</f>
        <v>4000</v>
      </c>
      <c r="P207" s="156">
        <f t="shared" si="15"/>
        <v>290635</v>
      </c>
      <c r="Q207" s="156">
        <f>+VLOOKUP($A207,Opex!$C:$Z,R$1,1)</f>
        <v>10635</v>
      </c>
      <c r="R207" s="157">
        <f>+SUM(Opex_VE[[#This Row],[Cajero]:[Domiciliario]])</f>
        <v>140000</v>
      </c>
      <c r="S207" s="156">
        <v>70000</v>
      </c>
      <c r="T207" s="156">
        <v>70000</v>
      </c>
      <c r="U207" s="156">
        <v>0</v>
      </c>
      <c r="V207"/>
    </row>
    <row r="208" spans="1:22" x14ac:dyDescent="0.2">
      <c r="A208" s="153">
        <v>46271</v>
      </c>
      <c r="B208" s="3">
        <f t="shared" si="13"/>
        <v>28</v>
      </c>
      <c r="C208" s="3" t="str">
        <f>+TEXT(Opex_VE[[#This Row],[Fecha]],"ddd")</f>
        <v>dom</v>
      </c>
      <c r="E208" s="14" t="s">
        <v>145</v>
      </c>
      <c r="F208" s="172">
        <f>IFERROR(VLOOKUP(Opex_VE[[#This Row],[Fecha]],Historia!A:B,2,0),_xlfn.XLOOKUP(Opex_VE[[#This Row],[dia]],Forecast!H:H,Forecast!I:I))</f>
        <v>218500</v>
      </c>
      <c r="G208" s="172">
        <f>IFERROR(VLOOKUP(Opex_VE[[#This Row],[Fecha]],Historia!A:C,3,0),_xlfn.XLOOKUP(Opex_VE[[#This Row],[dia]],Forecast!H:H,Forecast!J:J))</f>
        <v>87400</v>
      </c>
      <c r="H208" s="186">
        <f ca="1">+Opex_VE[[#This Row],[MG]]-Opex_VE[[#This Row],[Opex]]</f>
        <v>-133978.96666666667</v>
      </c>
      <c r="I208" s="172" t="str">
        <f>IFERROR(VLOOKUP(Opex_VE[[#This Row],[Fecha]],Historia!A:D,4,0),"Forecast")</f>
        <v>Forecast</v>
      </c>
      <c r="J208" s="161">
        <f t="shared" ca="1" si="16"/>
        <v>553447.41666666663</v>
      </c>
      <c r="K208" s="157">
        <f ca="1">+Opex_VE[[#This Row],[MG]]-Opex_VE[[#This Row],[Opex]]</f>
        <v>0</v>
      </c>
      <c r="L208" s="156">
        <f>+VLOOKUP($A208,Opex!$C:$Z,N$1,1)</f>
        <v>55000</v>
      </c>
      <c r="M208" s="157">
        <f ca="1">+Opex_VE[[#This Row],[Opex]]</f>
        <v>0</v>
      </c>
      <c r="N208" s="156">
        <f t="shared" si="14"/>
        <v>294635</v>
      </c>
      <c r="O208" s="156">
        <f>+VLOOKUP($A208,Opex!$C:$Z,Q$1,1)</f>
        <v>4000</v>
      </c>
      <c r="P208" s="156">
        <f t="shared" si="15"/>
        <v>290635</v>
      </c>
      <c r="Q208" s="156">
        <f>+VLOOKUP($A208,Opex!$C:$Z,R$1,1)</f>
        <v>10635</v>
      </c>
      <c r="R208" s="157">
        <f>+SUM(Opex_VE[[#This Row],[Cajero]:[Domiciliario]])</f>
        <v>140000</v>
      </c>
      <c r="S208" s="156">
        <v>70000</v>
      </c>
      <c r="T208" s="156">
        <v>70000</v>
      </c>
      <c r="U208" s="156">
        <v>0</v>
      </c>
      <c r="V208"/>
    </row>
    <row r="209" spans="1:22" x14ac:dyDescent="0.2">
      <c r="A209" s="153">
        <v>46272</v>
      </c>
      <c r="B209" s="3">
        <f t="shared" si="13"/>
        <v>29</v>
      </c>
      <c r="C209" s="3" t="str">
        <f>+TEXT(Opex_VE[[#This Row],[Fecha]],"ddd")</f>
        <v>lun</v>
      </c>
      <c r="E209" s="14" t="s">
        <v>112</v>
      </c>
      <c r="F209" s="172">
        <f>IFERROR(VLOOKUP(Opex_VE[[#This Row],[Fecha]],Historia!A:B,2,0),_xlfn.XLOOKUP(Opex_VE[[#This Row],[dia]],Forecast!H:H,Forecast!I:I))</f>
        <v>179200</v>
      </c>
      <c r="G209" s="172">
        <f>IFERROR(VLOOKUP(Opex_VE[[#This Row],[Fecha]],Historia!A:C,3,0),_xlfn.XLOOKUP(Opex_VE[[#This Row],[dia]],Forecast!H:H,Forecast!J:J))</f>
        <v>71680</v>
      </c>
      <c r="H209" s="186">
        <f ca="1">+Opex_VE[[#This Row],[MG]]-Opex_VE[[#This Row],[Opex]]</f>
        <v>-149698.96666666667</v>
      </c>
      <c r="I209" s="172" t="str">
        <f>IFERROR(VLOOKUP(Opex_VE[[#This Row],[Fecha]],Historia!A:D,4,0),"Forecast")</f>
        <v>Forecast</v>
      </c>
      <c r="J209" s="161">
        <f t="shared" ca="1" si="16"/>
        <v>553447.41666666663</v>
      </c>
      <c r="K209" s="157">
        <f ca="1">+Opex_VE[[#This Row],[MG]]-Opex_VE[[#This Row],[Opex]]</f>
        <v>0</v>
      </c>
      <c r="L209" s="156">
        <f>+VLOOKUP($A209,Opex!$C:$Z,N$1,1)</f>
        <v>55000</v>
      </c>
      <c r="M209" s="157">
        <f ca="1">+Opex_VE[[#This Row],[Opex]]</f>
        <v>0</v>
      </c>
      <c r="N209" s="156">
        <f t="shared" si="14"/>
        <v>294635</v>
      </c>
      <c r="O209" s="156">
        <f>+VLOOKUP($A209,Opex!$C:$Z,Q$1,1)</f>
        <v>4000</v>
      </c>
      <c r="P209" s="156">
        <f t="shared" si="15"/>
        <v>290635</v>
      </c>
      <c r="Q209" s="156">
        <f>+VLOOKUP($A209,Opex!$C:$Z,R$1,1)</f>
        <v>10635</v>
      </c>
      <c r="R209" s="157">
        <f>+SUM(Opex_VE[[#This Row],[Cajero]:[Domiciliario]])</f>
        <v>140000</v>
      </c>
      <c r="S209" s="156">
        <v>70000</v>
      </c>
      <c r="T209" s="156">
        <v>70000</v>
      </c>
      <c r="U209" s="156">
        <v>0</v>
      </c>
      <c r="V209"/>
    </row>
    <row r="210" spans="1:22" x14ac:dyDescent="0.2">
      <c r="A210" s="153">
        <v>46273</v>
      </c>
      <c r="B210" s="3">
        <f t="shared" si="13"/>
        <v>29</v>
      </c>
      <c r="C210" s="3" t="str">
        <f>+TEXT(Opex_VE[[#This Row],[Fecha]],"ddd")</f>
        <v>mar</v>
      </c>
      <c r="E210" s="14" t="s">
        <v>112</v>
      </c>
      <c r="F210" s="172">
        <f>IFERROR(VLOOKUP(Opex_VE[[#This Row],[Fecha]],Historia!A:B,2,0),_xlfn.XLOOKUP(Opex_VE[[#This Row],[dia]],Forecast!H:H,Forecast!I:I))</f>
        <v>195000</v>
      </c>
      <c r="G210" s="172">
        <f>IFERROR(VLOOKUP(Opex_VE[[#This Row],[Fecha]],Historia!A:C,3,0),_xlfn.XLOOKUP(Opex_VE[[#This Row],[dia]],Forecast!H:H,Forecast!J:J))</f>
        <v>78000</v>
      </c>
      <c r="H210" s="186">
        <f ca="1">+Opex_VE[[#This Row],[MG]]-Opex_VE[[#This Row],[Opex]]</f>
        <v>-143378.96666666667</v>
      </c>
      <c r="I210" s="172" t="str">
        <f>IFERROR(VLOOKUP(Opex_VE[[#This Row],[Fecha]],Historia!A:D,4,0),"Forecast")</f>
        <v>Forecast</v>
      </c>
      <c r="J210" s="161">
        <f t="shared" ca="1" si="16"/>
        <v>553447.41666666663</v>
      </c>
      <c r="K210" s="157">
        <f ca="1">+Opex_VE[[#This Row],[MG]]-Opex_VE[[#This Row],[Opex]]</f>
        <v>0</v>
      </c>
      <c r="L210" s="156">
        <f>+VLOOKUP($A210,Opex!$C:$Z,N$1,1)</f>
        <v>55000</v>
      </c>
      <c r="M210" s="157">
        <f ca="1">+Opex_VE[[#This Row],[Opex]]</f>
        <v>0</v>
      </c>
      <c r="N210" s="156">
        <f t="shared" si="14"/>
        <v>294635</v>
      </c>
      <c r="O210" s="156">
        <f>+VLOOKUP($A210,Opex!$C:$Z,Q$1,1)</f>
        <v>4000</v>
      </c>
      <c r="P210" s="156">
        <f t="shared" si="15"/>
        <v>290635</v>
      </c>
      <c r="Q210" s="156">
        <f>+VLOOKUP($A210,Opex!$C:$Z,R$1,1)</f>
        <v>10635</v>
      </c>
      <c r="R210" s="157">
        <f>+SUM(Opex_VE[[#This Row],[Cajero]:[Domiciliario]])</f>
        <v>140000</v>
      </c>
      <c r="S210" s="156">
        <v>70000</v>
      </c>
      <c r="T210" s="156">
        <v>70000</v>
      </c>
      <c r="U210" s="156">
        <v>0</v>
      </c>
      <c r="V210"/>
    </row>
    <row r="211" spans="1:22" x14ac:dyDescent="0.2">
      <c r="A211" s="153">
        <v>46274</v>
      </c>
      <c r="B211" s="3">
        <f t="shared" si="13"/>
        <v>29</v>
      </c>
      <c r="C211" s="3" t="str">
        <f>+TEXT(Opex_VE[[#This Row],[Fecha]],"ddd")</f>
        <v>mié</v>
      </c>
      <c r="E211" s="14" t="s">
        <v>112</v>
      </c>
      <c r="F211" s="172">
        <f>IFERROR(VLOOKUP(Opex_VE[[#This Row],[Fecha]],Historia!A:B,2,0),_xlfn.XLOOKUP(Opex_VE[[#This Row],[dia]],Forecast!H:H,Forecast!I:I))</f>
        <v>366750</v>
      </c>
      <c r="G211" s="172">
        <f>IFERROR(VLOOKUP(Opex_VE[[#This Row],[Fecha]],Historia!A:C,3,0),_xlfn.XLOOKUP(Opex_VE[[#This Row],[dia]],Forecast!H:H,Forecast!J:J))</f>
        <v>146700</v>
      </c>
      <c r="H211" s="186">
        <f ca="1">+Opex_VE[[#This Row],[MG]]-Opex_VE[[#This Row],[Opex]]</f>
        <v>-74678.966666666674</v>
      </c>
      <c r="I211" s="172" t="str">
        <f>IFERROR(VLOOKUP(Opex_VE[[#This Row],[Fecha]],Historia!A:D,4,0),"Forecast")</f>
        <v>Forecast</v>
      </c>
      <c r="J211" s="161">
        <f t="shared" ca="1" si="16"/>
        <v>553447.41666666663</v>
      </c>
      <c r="K211" s="157">
        <f ca="1">+Opex_VE[[#This Row],[MG]]-Opex_VE[[#This Row],[Opex]]</f>
        <v>0</v>
      </c>
      <c r="L211" s="156">
        <f>+VLOOKUP($A211,Opex!$C:$Z,N$1,1)</f>
        <v>55000</v>
      </c>
      <c r="M211" s="157">
        <f ca="1">+Opex_VE[[#This Row],[Opex]]</f>
        <v>0</v>
      </c>
      <c r="N211" s="156">
        <f t="shared" si="14"/>
        <v>294635</v>
      </c>
      <c r="O211" s="156">
        <f>+VLOOKUP($A211,Opex!$C:$Z,Q$1,1)</f>
        <v>4000</v>
      </c>
      <c r="P211" s="156">
        <f t="shared" si="15"/>
        <v>290635</v>
      </c>
      <c r="Q211" s="156">
        <f>+VLOOKUP($A211,Opex!$C:$Z,R$1,1)</f>
        <v>10635</v>
      </c>
      <c r="R211" s="157">
        <f>+SUM(Opex_VE[[#This Row],[Cajero]:[Domiciliario]])</f>
        <v>140000</v>
      </c>
      <c r="S211" s="156">
        <v>70000</v>
      </c>
      <c r="T211" s="156">
        <v>70000</v>
      </c>
      <c r="U211" s="156">
        <v>0</v>
      </c>
      <c r="V211"/>
    </row>
    <row r="212" spans="1:22" x14ac:dyDescent="0.2">
      <c r="A212" s="153">
        <v>46275</v>
      </c>
      <c r="B212" s="3">
        <f t="shared" si="13"/>
        <v>29</v>
      </c>
      <c r="C212" s="3" t="str">
        <f>+TEXT(Opex_VE[[#This Row],[Fecha]],"ddd")</f>
        <v>jue</v>
      </c>
      <c r="E212" s="14" t="s">
        <v>112</v>
      </c>
      <c r="F212" s="172">
        <f>IFERROR(VLOOKUP(Opex_VE[[#This Row],[Fecha]],Historia!A:B,2,0),_xlfn.XLOOKUP(Opex_VE[[#This Row],[dia]],Forecast!H:H,Forecast!I:I))</f>
        <v>234000</v>
      </c>
      <c r="G212" s="172">
        <f>IFERROR(VLOOKUP(Opex_VE[[#This Row],[Fecha]],Historia!A:C,3,0),_xlfn.XLOOKUP(Opex_VE[[#This Row],[dia]],Forecast!H:H,Forecast!J:J))</f>
        <v>93600</v>
      </c>
      <c r="H212" s="186">
        <f ca="1">+Opex_VE[[#This Row],[MG]]-Opex_VE[[#This Row],[Opex]]</f>
        <v>-127778.96666666667</v>
      </c>
      <c r="I212" s="172" t="str">
        <f>IFERROR(VLOOKUP(Opex_VE[[#This Row],[Fecha]],Historia!A:D,4,0),"Forecast")</f>
        <v>Forecast</v>
      </c>
      <c r="J212" s="161">
        <f t="shared" ca="1" si="16"/>
        <v>553447.41666666663</v>
      </c>
      <c r="K212" s="157">
        <f ca="1">+Opex_VE[[#This Row],[MG]]-Opex_VE[[#This Row],[Opex]]</f>
        <v>0</v>
      </c>
      <c r="L212" s="156">
        <f>+VLOOKUP($A212,Opex!$C:$Z,N$1,1)</f>
        <v>55000</v>
      </c>
      <c r="M212" s="157">
        <f ca="1">+Opex_VE[[#This Row],[Opex]]</f>
        <v>0</v>
      </c>
      <c r="N212" s="156">
        <f t="shared" si="14"/>
        <v>294635</v>
      </c>
      <c r="O212" s="156">
        <f>+VLOOKUP($A212,Opex!$C:$Z,Q$1,1)</f>
        <v>4000</v>
      </c>
      <c r="P212" s="156">
        <f t="shared" si="15"/>
        <v>290635</v>
      </c>
      <c r="Q212" s="156">
        <f>+VLOOKUP($A212,Opex!$C:$Z,R$1,1)</f>
        <v>10635</v>
      </c>
      <c r="R212" s="157">
        <f>+SUM(Opex_VE[[#This Row],[Cajero]:[Domiciliario]])</f>
        <v>140000</v>
      </c>
      <c r="S212" s="156">
        <v>70000</v>
      </c>
      <c r="T212" s="156">
        <v>70000</v>
      </c>
      <c r="U212" s="156">
        <v>0</v>
      </c>
      <c r="V212"/>
    </row>
    <row r="213" spans="1:22" x14ac:dyDescent="0.2">
      <c r="A213" s="153">
        <v>46276</v>
      </c>
      <c r="B213" s="3">
        <f t="shared" ref="B213:B276" si="17">+B206+1</f>
        <v>29</v>
      </c>
      <c r="C213" s="3" t="str">
        <f>+TEXT(Opex_VE[[#This Row],[Fecha]],"ddd")</f>
        <v>vie</v>
      </c>
      <c r="E213" s="14" t="s">
        <v>217</v>
      </c>
      <c r="F213" s="172">
        <f>IFERROR(VLOOKUP(Opex_VE[[#This Row],[Fecha]],Historia!A:B,2,0),_xlfn.XLOOKUP(Opex_VE[[#This Row],[dia]],Forecast!H:H,Forecast!I:I))</f>
        <v>248000</v>
      </c>
      <c r="G213" s="172">
        <f>IFERROR(VLOOKUP(Opex_VE[[#This Row],[Fecha]],Historia!A:C,3,0),_xlfn.XLOOKUP(Opex_VE[[#This Row],[dia]],Forecast!H:H,Forecast!J:J))</f>
        <v>99200</v>
      </c>
      <c r="H213" s="186">
        <f ca="1">+Opex_VE[[#This Row],[MG]]-Opex_VE[[#This Row],[Opex]]</f>
        <v>-122178.96666666667</v>
      </c>
      <c r="I213" s="172" t="str">
        <f>IFERROR(VLOOKUP(Opex_VE[[#This Row],[Fecha]],Historia!A:D,4,0),"Forecast")</f>
        <v>Forecast</v>
      </c>
      <c r="J213" s="161">
        <f t="shared" ca="1" si="16"/>
        <v>553447.41666666663</v>
      </c>
      <c r="K213" s="157">
        <f ca="1">+Opex_VE[[#This Row],[MG]]-Opex_VE[[#This Row],[Opex]]</f>
        <v>0</v>
      </c>
      <c r="L213" s="156">
        <f>+VLOOKUP($A213,Opex!$C:$Z,N$1,1)</f>
        <v>55000</v>
      </c>
      <c r="M213" s="157">
        <f ca="1">+Opex_VE[[#This Row],[Opex]]</f>
        <v>0</v>
      </c>
      <c r="N213" s="156">
        <f t="shared" si="14"/>
        <v>294635</v>
      </c>
      <c r="O213" s="156">
        <f>+VLOOKUP($A213,Opex!$C:$Z,Q$1,1)</f>
        <v>4000</v>
      </c>
      <c r="P213" s="156">
        <f t="shared" si="15"/>
        <v>290635</v>
      </c>
      <c r="Q213" s="156">
        <f>+VLOOKUP($A213,Opex!$C:$Z,R$1,1)</f>
        <v>10635</v>
      </c>
      <c r="R213" s="157">
        <f>+SUM(Opex_VE[[#This Row],[Cajero]:[Domiciliario]])</f>
        <v>140000</v>
      </c>
      <c r="S213" s="156">
        <v>70000</v>
      </c>
      <c r="T213" s="156">
        <v>70000</v>
      </c>
      <c r="U213" s="156">
        <v>0</v>
      </c>
      <c r="V213"/>
    </row>
    <row r="214" spans="1:22" x14ac:dyDescent="0.2">
      <c r="A214" s="153">
        <v>46277</v>
      </c>
      <c r="B214" s="3">
        <f t="shared" si="17"/>
        <v>29</v>
      </c>
      <c r="C214" s="3" t="str">
        <f>+TEXT(Opex_VE[[#This Row],[Fecha]],"ddd")</f>
        <v>sáb</v>
      </c>
      <c r="E214" s="14" t="s">
        <v>113</v>
      </c>
      <c r="F214" s="172">
        <f>IFERROR(VLOOKUP(Opex_VE[[#This Row],[Fecha]],Historia!A:B,2,0),_xlfn.XLOOKUP(Opex_VE[[#This Row],[dia]],Forecast!H:H,Forecast!I:I))</f>
        <v>320800</v>
      </c>
      <c r="G214" s="172">
        <f>IFERROR(VLOOKUP(Opex_VE[[#This Row],[Fecha]],Historia!A:C,3,0),_xlfn.XLOOKUP(Opex_VE[[#This Row],[dia]],Forecast!H:H,Forecast!J:J))</f>
        <v>128320</v>
      </c>
      <c r="H214" s="186">
        <f ca="1">+Opex_VE[[#This Row],[MG]]-Opex_VE[[#This Row],[Opex]]</f>
        <v>-93058.966666666674</v>
      </c>
      <c r="I214" s="173" t="str">
        <f>IFERROR(VLOOKUP(Opex_VE[[#This Row],[Fecha]],Historia!A:D,4,0),"Forecast")</f>
        <v>Forecast</v>
      </c>
      <c r="J214" s="161">
        <f t="shared" ca="1" si="16"/>
        <v>553447.41666666663</v>
      </c>
      <c r="K214" s="157">
        <f ca="1">+Opex_VE[[#This Row],[MG]]-Opex_VE[[#This Row],[Opex]]</f>
        <v>0</v>
      </c>
      <c r="L214" s="156">
        <f>+VLOOKUP($A214,Opex!$C:$Z,N$1,1)</f>
        <v>55000</v>
      </c>
      <c r="M214" s="157">
        <f ca="1">+Opex_VE[[#This Row],[Opex]]</f>
        <v>0</v>
      </c>
      <c r="N214" s="156">
        <f t="shared" si="14"/>
        <v>294635</v>
      </c>
      <c r="O214" s="156">
        <f>+VLOOKUP($A214,Opex!$C:$Z,Q$1,1)</f>
        <v>4000</v>
      </c>
      <c r="P214" s="156">
        <f t="shared" si="15"/>
        <v>290635</v>
      </c>
      <c r="Q214" s="156">
        <f>+VLOOKUP($A214,Opex!$C:$Z,R$1,1)</f>
        <v>10635</v>
      </c>
      <c r="R214" s="157">
        <f>+SUM(Opex_VE[[#This Row],[Cajero]:[Domiciliario]])</f>
        <v>140000</v>
      </c>
      <c r="S214" s="156">
        <v>70000</v>
      </c>
      <c r="T214" s="156">
        <v>70000</v>
      </c>
      <c r="U214" s="156">
        <v>0</v>
      </c>
      <c r="V214"/>
    </row>
    <row r="215" spans="1:22" x14ac:dyDescent="0.2">
      <c r="A215" s="153">
        <v>46278</v>
      </c>
      <c r="B215" s="3">
        <f t="shared" si="17"/>
        <v>29</v>
      </c>
      <c r="C215" s="3" t="str">
        <f>+TEXT(Opex_VE[[#This Row],[Fecha]],"ddd")</f>
        <v>dom</v>
      </c>
      <c r="E215" s="14" t="s">
        <v>145</v>
      </c>
      <c r="F215" s="172">
        <f>IFERROR(VLOOKUP(Opex_VE[[#This Row],[Fecha]],Historia!A:B,2,0),_xlfn.XLOOKUP(Opex_VE[[#This Row],[dia]],Forecast!H:H,Forecast!I:I))</f>
        <v>218500</v>
      </c>
      <c r="G215" s="172">
        <f>IFERROR(VLOOKUP(Opex_VE[[#This Row],[Fecha]],Historia!A:C,3,0),_xlfn.XLOOKUP(Opex_VE[[#This Row],[dia]],Forecast!H:H,Forecast!J:J))</f>
        <v>87400</v>
      </c>
      <c r="H215" s="186">
        <f ca="1">+Opex_VE[[#This Row],[MG]]-Opex_VE[[#This Row],[Opex]]</f>
        <v>-133978.96666666667</v>
      </c>
      <c r="I215" s="172" t="str">
        <f>IFERROR(VLOOKUP(Opex_VE[[#This Row],[Fecha]],Historia!A:D,4,0),"Forecast")</f>
        <v>Forecast</v>
      </c>
      <c r="J215" s="161">
        <f t="shared" ca="1" si="16"/>
        <v>553447.41666666663</v>
      </c>
      <c r="K215" s="157">
        <f ca="1">+Opex_VE[[#This Row],[MG]]-Opex_VE[[#This Row],[Opex]]</f>
        <v>0</v>
      </c>
      <c r="L215" s="156">
        <f>+VLOOKUP($A215,Opex!$C:$Z,N$1,1)</f>
        <v>55000</v>
      </c>
      <c r="M215" s="157">
        <f ca="1">+Opex_VE[[#This Row],[Opex]]</f>
        <v>0</v>
      </c>
      <c r="N215" s="156">
        <f t="shared" si="14"/>
        <v>294635</v>
      </c>
      <c r="O215" s="156">
        <f>+VLOOKUP($A215,Opex!$C:$Z,Q$1,1)</f>
        <v>4000</v>
      </c>
      <c r="P215" s="156">
        <f t="shared" si="15"/>
        <v>290635</v>
      </c>
      <c r="Q215" s="156">
        <f>+VLOOKUP($A215,Opex!$C:$Z,R$1,1)</f>
        <v>10635</v>
      </c>
      <c r="R215" s="157">
        <f>+SUM(Opex_VE[[#This Row],[Cajero]:[Domiciliario]])</f>
        <v>140000</v>
      </c>
      <c r="S215" s="156">
        <v>70000</v>
      </c>
      <c r="T215" s="156">
        <v>70000</v>
      </c>
      <c r="U215" s="156">
        <v>0</v>
      </c>
      <c r="V215"/>
    </row>
    <row r="216" spans="1:22" x14ac:dyDescent="0.2">
      <c r="A216" s="153">
        <v>46279</v>
      </c>
      <c r="B216" s="3">
        <f t="shared" si="17"/>
        <v>30</v>
      </c>
      <c r="C216" s="3" t="str">
        <f>+TEXT(Opex_VE[[#This Row],[Fecha]],"ddd")</f>
        <v>lun</v>
      </c>
      <c r="E216" s="14" t="s">
        <v>112</v>
      </c>
      <c r="F216" s="172">
        <f>IFERROR(VLOOKUP(Opex_VE[[#This Row],[Fecha]],Historia!A:B,2,0),_xlfn.XLOOKUP(Opex_VE[[#This Row],[dia]],Forecast!H:H,Forecast!I:I))</f>
        <v>179200</v>
      </c>
      <c r="G216" s="172">
        <f>IFERROR(VLOOKUP(Opex_VE[[#This Row],[Fecha]],Historia!A:C,3,0),_xlfn.XLOOKUP(Opex_VE[[#This Row],[dia]],Forecast!H:H,Forecast!J:J))</f>
        <v>71680</v>
      </c>
      <c r="H216" s="186">
        <f ca="1">+Opex_VE[[#This Row],[MG]]-Opex_VE[[#This Row],[Opex]]</f>
        <v>-149698.96666666667</v>
      </c>
      <c r="I216" s="172" t="str">
        <f>IFERROR(VLOOKUP(Opex_VE[[#This Row],[Fecha]],Historia!A:D,4,0),"Forecast")</f>
        <v>Forecast</v>
      </c>
      <c r="J216" s="161">
        <f t="shared" ca="1" si="16"/>
        <v>553447.41666666663</v>
      </c>
      <c r="K216" s="157">
        <f ca="1">+Opex_VE[[#This Row],[MG]]-Opex_VE[[#This Row],[Opex]]</f>
        <v>0</v>
      </c>
      <c r="L216" s="156">
        <f>+VLOOKUP($A216,Opex!$C:$Z,N$1,1)</f>
        <v>55000</v>
      </c>
      <c r="M216" s="157">
        <f ca="1">+Opex_VE[[#This Row],[Opex]]</f>
        <v>0</v>
      </c>
      <c r="N216" s="156">
        <f t="shared" si="14"/>
        <v>294635</v>
      </c>
      <c r="O216" s="156">
        <f>+VLOOKUP($A216,Opex!$C:$Z,Q$1,1)</f>
        <v>4000</v>
      </c>
      <c r="P216" s="156">
        <f t="shared" si="15"/>
        <v>290635</v>
      </c>
      <c r="Q216" s="156">
        <f>+VLOOKUP($A216,Opex!$C:$Z,R$1,1)</f>
        <v>10635</v>
      </c>
      <c r="R216" s="157">
        <f>+SUM(Opex_VE[[#This Row],[Cajero]:[Domiciliario]])</f>
        <v>140000</v>
      </c>
      <c r="S216" s="156">
        <v>70000</v>
      </c>
      <c r="T216" s="156">
        <v>70000</v>
      </c>
      <c r="U216" s="156">
        <v>0</v>
      </c>
      <c r="V216"/>
    </row>
    <row r="217" spans="1:22" x14ac:dyDescent="0.2">
      <c r="A217" s="153">
        <v>46280</v>
      </c>
      <c r="B217" s="3">
        <f t="shared" si="17"/>
        <v>30</v>
      </c>
      <c r="C217" s="3" t="str">
        <f>+TEXT(Opex_VE[[#This Row],[Fecha]],"ddd")</f>
        <v>mar</v>
      </c>
      <c r="E217" s="14" t="s">
        <v>112</v>
      </c>
      <c r="F217" s="172">
        <f>IFERROR(VLOOKUP(Opex_VE[[#This Row],[Fecha]],Historia!A:B,2,0),_xlfn.XLOOKUP(Opex_VE[[#This Row],[dia]],Forecast!H:H,Forecast!I:I))</f>
        <v>195000</v>
      </c>
      <c r="G217" s="172">
        <f>IFERROR(VLOOKUP(Opex_VE[[#This Row],[Fecha]],Historia!A:C,3,0),_xlfn.XLOOKUP(Opex_VE[[#This Row],[dia]],Forecast!H:H,Forecast!J:J))</f>
        <v>78000</v>
      </c>
      <c r="H217" s="186">
        <f ca="1">+Opex_VE[[#This Row],[MG]]-Opex_VE[[#This Row],[Opex]]</f>
        <v>-146185.13793103449</v>
      </c>
      <c r="I217" s="172" t="str">
        <f>IFERROR(VLOOKUP(Opex_VE[[#This Row],[Fecha]],Historia!A:D,4,0),"Forecast")</f>
        <v>Forecast</v>
      </c>
      <c r="J217" s="161">
        <f t="shared" ca="1" si="16"/>
        <v>560462.8448275862</v>
      </c>
      <c r="K217" s="157">
        <f ca="1">+Opex_VE[[#This Row],[MG]]-Opex_VE[[#This Row],[Opex]]</f>
        <v>0</v>
      </c>
      <c r="L217" s="156">
        <f>+VLOOKUP($A217,Opex!$C:$Z,N$1,1)</f>
        <v>56896.551724137928</v>
      </c>
      <c r="M217" s="157">
        <f ca="1">+Opex_VE[[#This Row],[Opex]]</f>
        <v>0</v>
      </c>
      <c r="N217" s="156">
        <f t="shared" si="14"/>
        <v>295139.6551724138</v>
      </c>
      <c r="O217" s="156">
        <f>+VLOOKUP($A217,Opex!$C:$Z,Q$1,1)</f>
        <v>4137.9310344827591</v>
      </c>
      <c r="P217" s="156">
        <f t="shared" si="15"/>
        <v>291001.72413793101</v>
      </c>
      <c r="Q217" s="156">
        <f>+VLOOKUP($A217,Opex!$C:$Z,R$1,1)</f>
        <v>11001.724137931034</v>
      </c>
      <c r="R217" s="157">
        <f>+SUM(Opex_VE[[#This Row],[Cajero]:[Domiciliario]])</f>
        <v>140000</v>
      </c>
      <c r="S217" s="156">
        <v>70000</v>
      </c>
      <c r="T217" s="156">
        <v>70000</v>
      </c>
      <c r="U217" s="156">
        <v>0</v>
      </c>
      <c r="V217"/>
    </row>
    <row r="218" spans="1:22" x14ac:dyDescent="0.2">
      <c r="A218" s="153">
        <v>46281</v>
      </c>
      <c r="B218" s="3">
        <f t="shared" si="17"/>
        <v>30</v>
      </c>
      <c r="C218" s="3" t="str">
        <f>+TEXT(Opex_VE[[#This Row],[Fecha]],"ddd")</f>
        <v>mié</v>
      </c>
      <c r="E218" s="14" t="s">
        <v>112</v>
      </c>
      <c r="F218" s="172">
        <f>IFERROR(VLOOKUP(Opex_VE[[#This Row],[Fecha]],Historia!A:B,2,0),_xlfn.XLOOKUP(Opex_VE[[#This Row],[dia]],Forecast!H:H,Forecast!I:I))</f>
        <v>366750</v>
      </c>
      <c r="G218" s="172">
        <f>IFERROR(VLOOKUP(Opex_VE[[#This Row],[Fecha]],Historia!A:C,3,0),_xlfn.XLOOKUP(Opex_VE[[#This Row],[dia]],Forecast!H:H,Forecast!J:J))</f>
        <v>146700</v>
      </c>
      <c r="H218" s="186">
        <f ca="1">+Opex_VE[[#This Row],[MG]]-Opex_VE[[#This Row],[Opex]]</f>
        <v>-77485.137931034493</v>
      </c>
      <c r="I218" s="172" t="str">
        <f>IFERROR(VLOOKUP(Opex_VE[[#This Row],[Fecha]],Historia!A:D,4,0),"Forecast")</f>
        <v>Forecast</v>
      </c>
      <c r="J218" s="161">
        <f t="shared" ca="1" si="16"/>
        <v>560462.8448275862</v>
      </c>
      <c r="K218" s="157">
        <f ca="1">+Opex_VE[[#This Row],[MG]]-Opex_VE[[#This Row],[Opex]]</f>
        <v>0</v>
      </c>
      <c r="L218" s="156">
        <f>+VLOOKUP($A218,Opex!$C:$Z,N$1,1)</f>
        <v>56896.551724137928</v>
      </c>
      <c r="M218" s="157">
        <f ca="1">+Opex_VE[[#This Row],[Opex]]</f>
        <v>0</v>
      </c>
      <c r="N218" s="156">
        <f t="shared" si="14"/>
        <v>295139.6551724138</v>
      </c>
      <c r="O218" s="156">
        <f>+VLOOKUP($A218,Opex!$C:$Z,Q$1,1)</f>
        <v>4137.9310344827591</v>
      </c>
      <c r="P218" s="156">
        <f t="shared" si="15"/>
        <v>291001.72413793101</v>
      </c>
      <c r="Q218" s="156">
        <f>+VLOOKUP($A218,Opex!$C:$Z,R$1,1)</f>
        <v>11001.724137931034</v>
      </c>
      <c r="R218" s="157">
        <f>+SUM(Opex_VE[[#This Row],[Cajero]:[Domiciliario]])</f>
        <v>140000</v>
      </c>
      <c r="S218" s="156">
        <v>70000</v>
      </c>
      <c r="T218" s="156">
        <v>70000</v>
      </c>
      <c r="U218" s="156">
        <v>0</v>
      </c>
      <c r="V218"/>
    </row>
    <row r="219" spans="1:22" x14ac:dyDescent="0.2">
      <c r="A219" s="153">
        <v>46282</v>
      </c>
      <c r="B219" s="3">
        <f t="shared" si="17"/>
        <v>30</v>
      </c>
      <c r="C219" s="3" t="str">
        <f>+TEXT(Opex_VE[[#This Row],[Fecha]],"ddd")</f>
        <v>jue</v>
      </c>
      <c r="E219" s="14" t="s">
        <v>112</v>
      </c>
      <c r="F219" s="172">
        <f>IFERROR(VLOOKUP(Opex_VE[[#This Row],[Fecha]],Historia!A:B,2,0),_xlfn.XLOOKUP(Opex_VE[[#This Row],[dia]],Forecast!H:H,Forecast!I:I))</f>
        <v>234000</v>
      </c>
      <c r="G219" s="172">
        <f>IFERROR(VLOOKUP(Opex_VE[[#This Row],[Fecha]],Historia!A:C,3,0),_xlfn.XLOOKUP(Opex_VE[[#This Row],[dia]],Forecast!H:H,Forecast!J:J))</f>
        <v>93600</v>
      </c>
      <c r="H219" s="186">
        <f ca="1">+Opex_VE[[#This Row],[MG]]-Opex_VE[[#This Row],[Opex]]</f>
        <v>-130585.13793103449</v>
      </c>
      <c r="I219" s="172" t="str">
        <f>IFERROR(VLOOKUP(Opex_VE[[#This Row],[Fecha]],Historia!A:D,4,0),"Forecast")</f>
        <v>Forecast</v>
      </c>
      <c r="J219" s="161">
        <f t="shared" ca="1" si="16"/>
        <v>560462.8448275862</v>
      </c>
      <c r="K219" s="157">
        <f ca="1">+Opex_VE[[#This Row],[MG]]-Opex_VE[[#This Row],[Opex]]</f>
        <v>0</v>
      </c>
      <c r="L219" s="156">
        <f>+VLOOKUP($A219,Opex!$C:$Z,N$1,1)</f>
        <v>56896.551724137928</v>
      </c>
      <c r="M219" s="157">
        <f ca="1">+Opex_VE[[#This Row],[Opex]]</f>
        <v>0</v>
      </c>
      <c r="N219" s="156">
        <f t="shared" si="14"/>
        <v>295139.6551724138</v>
      </c>
      <c r="O219" s="156">
        <f>+VLOOKUP($A219,Opex!$C:$Z,Q$1,1)</f>
        <v>4137.9310344827591</v>
      </c>
      <c r="P219" s="156">
        <f t="shared" si="15"/>
        <v>291001.72413793101</v>
      </c>
      <c r="Q219" s="156">
        <f>+VLOOKUP($A219,Opex!$C:$Z,R$1,1)</f>
        <v>11001.724137931034</v>
      </c>
      <c r="R219" s="157">
        <f>+SUM(Opex_VE[[#This Row],[Cajero]:[Domiciliario]])</f>
        <v>140000</v>
      </c>
      <c r="S219" s="156">
        <v>70000</v>
      </c>
      <c r="T219" s="156">
        <v>70000</v>
      </c>
      <c r="U219" s="156">
        <v>0</v>
      </c>
      <c r="V219"/>
    </row>
    <row r="220" spans="1:22" x14ac:dyDescent="0.2">
      <c r="A220" s="153">
        <v>46283</v>
      </c>
      <c r="B220" s="3">
        <f t="shared" si="17"/>
        <v>30</v>
      </c>
      <c r="C220" s="3" t="str">
        <f>+TEXT(Opex_VE[[#This Row],[Fecha]],"ddd")</f>
        <v>vie</v>
      </c>
      <c r="E220" s="14" t="s">
        <v>217</v>
      </c>
      <c r="F220" s="172">
        <f>IFERROR(VLOOKUP(Opex_VE[[#This Row],[Fecha]],Historia!A:B,2,0),_xlfn.XLOOKUP(Opex_VE[[#This Row],[dia]],Forecast!H:H,Forecast!I:I))</f>
        <v>248000</v>
      </c>
      <c r="G220" s="172">
        <f>IFERROR(VLOOKUP(Opex_VE[[#This Row],[Fecha]],Historia!A:C,3,0),_xlfn.XLOOKUP(Opex_VE[[#This Row],[dia]],Forecast!H:H,Forecast!J:J))</f>
        <v>99200</v>
      </c>
      <c r="H220" s="186">
        <f ca="1">+Opex_VE[[#This Row],[MG]]-Opex_VE[[#This Row],[Opex]]</f>
        <v>-124985.13793103449</v>
      </c>
      <c r="I220" s="172" t="str">
        <f>IFERROR(VLOOKUP(Opex_VE[[#This Row],[Fecha]],Historia!A:D,4,0),"Forecast")</f>
        <v>Forecast</v>
      </c>
      <c r="J220" s="161">
        <f t="shared" ca="1" si="16"/>
        <v>560462.8448275862</v>
      </c>
      <c r="K220" s="157">
        <f ca="1">+Opex_VE[[#This Row],[MG]]-Opex_VE[[#This Row],[Opex]]</f>
        <v>0</v>
      </c>
      <c r="L220" s="156">
        <f>+VLOOKUP($A220,Opex!$C:$Z,N$1,1)</f>
        <v>56896.551724137928</v>
      </c>
      <c r="M220" s="157">
        <f ca="1">+Opex_VE[[#This Row],[Opex]]</f>
        <v>0</v>
      </c>
      <c r="N220" s="156">
        <f t="shared" si="14"/>
        <v>295139.6551724138</v>
      </c>
      <c r="O220" s="156">
        <f>+VLOOKUP($A220,Opex!$C:$Z,Q$1,1)</f>
        <v>4137.9310344827591</v>
      </c>
      <c r="P220" s="156">
        <f t="shared" si="15"/>
        <v>291001.72413793101</v>
      </c>
      <c r="Q220" s="156">
        <f>+VLOOKUP($A220,Opex!$C:$Z,R$1,1)</f>
        <v>11001.724137931034</v>
      </c>
      <c r="R220" s="157">
        <f>+SUM(Opex_VE[[#This Row],[Cajero]:[Domiciliario]])</f>
        <v>140000</v>
      </c>
      <c r="S220" s="156">
        <v>70000</v>
      </c>
      <c r="T220" s="156">
        <v>70000</v>
      </c>
      <c r="U220" s="156">
        <v>0</v>
      </c>
      <c r="V220"/>
    </row>
    <row r="221" spans="1:22" x14ac:dyDescent="0.2">
      <c r="A221" s="153">
        <v>46284</v>
      </c>
      <c r="B221" s="3">
        <f t="shared" si="17"/>
        <v>30</v>
      </c>
      <c r="C221" s="3" t="str">
        <f>+TEXT(Opex_VE[[#This Row],[Fecha]],"ddd")</f>
        <v>sáb</v>
      </c>
      <c r="E221" s="14" t="s">
        <v>113</v>
      </c>
      <c r="F221" s="172">
        <f>IFERROR(VLOOKUP(Opex_VE[[#This Row],[Fecha]],Historia!A:B,2,0),_xlfn.XLOOKUP(Opex_VE[[#This Row],[dia]],Forecast!H:H,Forecast!I:I))</f>
        <v>320800</v>
      </c>
      <c r="G221" s="172">
        <f>IFERROR(VLOOKUP(Opex_VE[[#This Row],[Fecha]],Historia!A:C,3,0),_xlfn.XLOOKUP(Opex_VE[[#This Row],[dia]],Forecast!H:H,Forecast!J:J))</f>
        <v>128320</v>
      </c>
      <c r="H221" s="186">
        <f ca="1">+Opex_VE[[#This Row],[MG]]-Opex_VE[[#This Row],[Opex]]</f>
        <v>-95865.137931034493</v>
      </c>
      <c r="I221" s="173" t="str">
        <f>IFERROR(VLOOKUP(Opex_VE[[#This Row],[Fecha]],Historia!A:D,4,0),"Forecast")</f>
        <v>Forecast</v>
      </c>
      <c r="J221" s="161">
        <f t="shared" ca="1" si="16"/>
        <v>560462.8448275862</v>
      </c>
      <c r="K221" s="157">
        <f ca="1">+Opex_VE[[#This Row],[MG]]-Opex_VE[[#This Row],[Opex]]</f>
        <v>0</v>
      </c>
      <c r="L221" s="156">
        <f>+VLOOKUP($A221,Opex!$C:$Z,N$1,1)</f>
        <v>56896.551724137928</v>
      </c>
      <c r="M221" s="157">
        <f ca="1">+Opex_VE[[#This Row],[Opex]]</f>
        <v>0</v>
      </c>
      <c r="N221" s="156">
        <f t="shared" si="14"/>
        <v>295139.6551724138</v>
      </c>
      <c r="O221" s="156">
        <f>+VLOOKUP($A221,Opex!$C:$Z,Q$1,1)</f>
        <v>4137.9310344827591</v>
      </c>
      <c r="P221" s="156">
        <f t="shared" si="15"/>
        <v>291001.72413793101</v>
      </c>
      <c r="Q221" s="156">
        <f>+VLOOKUP($A221,Opex!$C:$Z,R$1,1)</f>
        <v>11001.724137931034</v>
      </c>
      <c r="R221" s="157">
        <f>+SUM(Opex_VE[[#This Row],[Cajero]:[Domiciliario]])</f>
        <v>140000</v>
      </c>
      <c r="S221" s="156">
        <v>70000</v>
      </c>
      <c r="T221" s="156">
        <v>70000</v>
      </c>
      <c r="U221" s="156">
        <v>0</v>
      </c>
      <c r="V221"/>
    </row>
    <row r="222" spans="1:22" x14ac:dyDescent="0.2">
      <c r="A222" s="153">
        <v>46285</v>
      </c>
      <c r="B222" s="3">
        <f t="shared" si="17"/>
        <v>30</v>
      </c>
      <c r="C222" s="3" t="str">
        <f>+TEXT(Opex_VE[[#This Row],[Fecha]],"ddd")</f>
        <v>dom</v>
      </c>
      <c r="E222" s="14" t="s">
        <v>145</v>
      </c>
      <c r="F222" s="172">
        <f>IFERROR(VLOOKUP(Opex_VE[[#This Row],[Fecha]],Historia!A:B,2,0),_xlfn.XLOOKUP(Opex_VE[[#This Row],[dia]],Forecast!H:H,Forecast!I:I))</f>
        <v>218500</v>
      </c>
      <c r="G222" s="172">
        <f>IFERROR(VLOOKUP(Opex_VE[[#This Row],[Fecha]],Historia!A:C,3,0),_xlfn.XLOOKUP(Opex_VE[[#This Row],[dia]],Forecast!H:H,Forecast!J:J))</f>
        <v>87400</v>
      </c>
      <c r="H222" s="186">
        <f ca="1">+Opex_VE[[#This Row],[MG]]-Opex_VE[[#This Row],[Opex]]</f>
        <v>-136785.13793103449</v>
      </c>
      <c r="I222" s="172" t="str">
        <f>IFERROR(VLOOKUP(Opex_VE[[#This Row],[Fecha]],Historia!A:D,4,0),"Forecast")</f>
        <v>Forecast</v>
      </c>
      <c r="J222" s="161">
        <f t="shared" ca="1" si="16"/>
        <v>560462.8448275862</v>
      </c>
      <c r="K222" s="157">
        <f ca="1">+Opex_VE[[#This Row],[MG]]-Opex_VE[[#This Row],[Opex]]</f>
        <v>0</v>
      </c>
      <c r="L222" s="156">
        <f>+VLOOKUP($A222,Opex!$C:$Z,N$1,1)</f>
        <v>56896.551724137928</v>
      </c>
      <c r="M222" s="157">
        <f ca="1">+Opex_VE[[#This Row],[Opex]]</f>
        <v>0</v>
      </c>
      <c r="N222" s="156">
        <f t="shared" si="14"/>
        <v>295139.6551724138</v>
      </c>
      <c r="O222" s="156">
        <f>+VLOOKUP($A222,Opex!$C:$Z,Q$1,1)</f>
        <v>4137.9310344827591</v>
      </c>
      <c r="P222" s="156">
        <f t="shared" si="15"/>
        <v>291001.72413793101</v>
      </c>
      <c r="Q222" s="156">
        <f>+VLOOKUP($A222,Opex!$C:$Z,R$1,1)</f>
        <v>11001.724137931034</v>
      </c>
      <c r="R222" s="157">
        <f>+SUM(Opex_VE[[#This Row],[Cajero]:[Domiciliario]])</f>
        <v>140000</v>
      </c>
      <c r="S222" s="156">
        <v>70000</v>
      </c>
      <c r="T222" s="156">
        <v>70000</v>
      </c>
      <c r="U222" s="156">
        <v>0</v>
      </c>
      <c r="V222"/>
    </row>
    <row r="223" spans="1:22" x14ac:dyDescent="0.2">
      <c r="A223" s="153">
        <v>46286</v>
      </c>
      <c r="B223" s="3">
        <f t="shared" si="17"/>
        <v>31</v>
      </c>
      <c r="C223" s="3" t="str">
        <f>+TEXT(Opex_VE[[#This Row],[Fecha]],"ddd")</f>
        <v>lun</v>
      </c>
      <c r="E223" s="14" t="s">
        <v>112</v>
      </c>
      <c r="F223" s="172">
        <f>IFERROR(VLOOKUP(Opex_VE[[#This Row],[Fecha]],Historia!A:B,2,0),_xlfn.XLOOKUP(Opex_VE[[#This Row],[dia]],Forecast!H:H,Forecast!I:I))</f>
        <v>179200</v>
      </c>
      <c r="G223" s="172">
        <f>IFERROR(VLOOKUP(Opex_VE[[#This Row],[Fecha]],Historia!A:C,3,0),_xlfn.XLOOKUP(Opex_VE[[#This Row],[dia]],Forecast!H:H,Forecast!J:J))</f>
        <v>71680</v>
      </c>
      <c r="H223" s="186">
        <f ca="1">+Opex_VE[[#This Row],[MG]]-Opex_VE[[#This Row],[Opex]]</f>
        <v>-152505.13793103449</v>
      </c>
      <c r="I223" s="172" t="str">
        <f>IFERROR(VLOOKUP(Opex_VE[[#This Row],[Fecha]],Historia!A:D,4,0),"Forecast")</f>
        <v>Forecast</v>
      </c>
      <c r="J223" s="161">
        <f t="shared" ca="1" si="16"/>
        <v>560462.8448275862</v>
      </c>
      <c r="K223" s="157">
        <f ca="1">+Opex_VE[[#This Row],[MG]]-Opex_VE[[#This Row],[Opex]]</f>
        <v>0</v>
      </c>
      <c r="L223" s="156">
        <f>+VLOOKUP($A223,Opex!$C:$Z,N$1,1)</f>
        <v>56896.551724137928</v>
      </c>
      <c r="M223" s="157">
        <f ca="1">+Opex_VE[[#This Row],[Opex]]</f>
        <v>0</v>
      </c>
      <c r="N223" s="156">
        <f t="shared" si="14"/>
        <v>295139.6551724138</v>
      </c>
      <c r="O223" s="156">
        <f>+VLOOKUP($A223,Opex!$C:$Z,Q$1,1)</f>
        <v>4137.9310344827591</v>
      </c>
      <c r="P223" s="156">
        <f t="shared" si="15"/>
        <v>291001.72413793101</v>
      </c>
      <c r="Q223" s="156">
        <f>+VLOOKUP($A223,Opex!$C:$Z,R$1,1)</f>
        <v>11001.724137931034</v>
      </c>
      <c r="R223" s="157">
        <f>+SUM(Opex_VE[[#This Row],[Cajero]:[Domiciliario]])</f>
        <v>140000</v>
      </c>
      <c r="S223" s="156">
        <v>70000</v>
      </c>
      <c r="T223" s="156">
        <v>70000</v>
      </c>
      <c r="U223" s="156">
        <v>0</v>
      </c>
      <c r="V223"/>
    </row>
    <row r="224" spans="1:22" x14ac:dyDescent="0.2">
      <c r="A224" s="153">
        <v>46287</v>
      </c>
      <c r="B224" s="3">
        <f t="shared" si="17"/>
        <v>31</v>
      </c>
      <c r="C224" s="3" t="str">
        <f>+TEXT(Opex_VE[[#This Row],[Fecha]],"ddd")</f>
        <v>mar</v>
      </c>
      <c r="E224" s="14" t="s">
        <v>112</v>
      </c>
      <c r="F224" s="172">
        <f>IFERROR(VLOOKUP(Opex_VE[[#This Row],[Fecha]],Historia!A:B,2,0),_xlfn.XLOOKUP(Opex_VE[[#This Row],[dia]],Forecast!H:H,Forecast!I:I))</f>
        <v>195000</v>
      </c>
      <c r="G224" s="172">
        <f>IFERROR(VLOOKUP(Opex_VE[[#This Row],[Fecha]],Historia!A:C,3,0),_xlfn.XLOOKUP(Opex_VE[[#This Row],[dia]],Forecast!H:H,Forecast!J:J))</f>
        <v>78000</v>
      </c>
      <c r="H224" s="186">
        <f ca="1">+Opex_VE[[#This Row],[MG]]-Opex_VE[[#This Row],[Opex]]</f>
        <v>-146185.13793103449</v>
      </c>
      <c r="I224" s="172" t="str">
        <f>IFERROR(VLOOKUP(Opex_VE[[#This Row],[Fecha]],Historia!A:D,4,0),"Forecast")</f>
        <v>Forecast</v>
      </c>
      <c r="J224" s="161">
        <f t="shared" ca="1" si="16"/>
        <v>560462.8448275862</v>
      </c>
      <c r="K224" s="157">
        <f ca="1">+Opex_VE[[#This Row],[MG]]-Opex_VE[[#This Row],[Opex]]</f>
        <v>0</v>
      </c>
      <c r="L224" s="156">
        <f>+VLOOKUP($A224,Opex!$C:$Z,N$1,1)</f>
        <v>56896.551724137928</v>
      </c>
      <c r="M224" s="157">
        <f ca="1">+Opex_VE[[#This Row],[Opex]]</f>
        <v>0</v>
      </c>
      <c r="N224" s="156">
        <f t="shared" si="14"/>
        <v>295139.6551724138</v>
      </c>
      <c r="O224" s="156">
        <f>+VLOOKUP($A224,Opex!$C:$Z,Q$1,1)</f>
        <v>4137.9310344827591</v>
      </c>
      <c r="P224" s="156">
        <f t="shared" si="15"/>
        <v>291001.72413793101</v>
      </c>
      <c r="Q224" s="156">
        <f>+VLOOKUP($A224,Opex!$C:$Z,R$1,1)</f>
        <v>11001.724137931034</v>
      </c>
      <c r="R224" s="157">
        <f>+SUM(Opex_VE[[#This Row],[Cajero]:[Domiciliario]])</f>
        <v>140000</v>
      </c>
      <c r="S224" s="156">
        <v>70000</v>
      </c>
      <c r="T224" s="156">
        <v>70000</v>
      </c>
      <c r="U224" s="156">
        <v>0</v>
      </c>
      <c r="V224"/>
    </row>
    <row r="225" spans="1:22" x14ac:dyDescent="0.2">
      <c r="A225" s="153">
        <v>46288</v>
      </c>
      <c r="B225" s="3">
        <f t="shared" si="17"/>
        <v>31</v>
      </c>
      <c r="C225" s="3" t="str">
        <f>+TEXT(Opex_VE[[#This Row],[Fecha]],"ddd")</f>
        <v>mié</v>
      </c>
      <c r="E225" s="14" t="s">
        <v>112</v>
      </c>
      <c r="F225" s="172">
        <f>IFERROR(VLOOKUP(Opex_VE[[#This Row],[Fecha]],Historia!A:B,2,0),_xlfn.XLOOKUP(Opex_VE[[#This Row],[dia]],Forecast!H:H,Forecast!I:I))</f>
        <v>366750</v>
      </c>
      <c r="G225" s="172">
        <f>IFERROR(VLOOKUP(Opex_VE[[#This Row],[Fecha]],Historia!A:C,3,0),_xlfn.XLOOKUP(Opex_VE[[#This Row],[dia]],Forecast!H:H,Forecast!J:J))</f>
        <v>146700</v>
      </c>
      <c r="H225" s="186">
        <f ca="1">+Opex_VE[[#This Row],[MG]]-Opex_VE[[#This Row],[Opex]]</f>
        <v>-77485.137931034493</v>
      </c>
      <c r="I225" s="172" t="str">
        <f>IFERROR(VLOOKUP(Opex_VE[[#This Row],[Fecha]],Historia!A:D,4,0),"Forecast")</f>
        <v>Forecast</v>
      </c>
      <c r="J225" s="161">
        <f t="shared" ca="1" si="16"/>
        <v>560462.8448275862</v>
      </c>
      <c r="K225" s="157">
        <f ca="1">+Opex_VE[[#This Row],[MG]]-Opex_VE[[#This Row],[Opex]]</f>
        <v>0</v>
      </c>
      <c r="L225" s="156">
        <f>+VLOOKUP($A225,Opex!$C:$Z,N$1,1)</f>
        <v>56896.551724137928</v>
      </c>
      <c r="M225" s="157">
        <f ca="1">+Opex_VE[[#This Row],[Opex]]</f>
        <v>0</v>
      </c>
      <c r="N225" s="156">
        <f t="shared" si="14"/>
        <v>295139.6551724138</v>
      </c>
      <c r="O225" s="156">
        <f>+VLOOKUP($A225,Opex!$C:$Z,Q$1,1)</f>
        <v>4137.9310344827591</v>
      </c>
      <c r="P225" s="156">
        <f t="shared" si="15"/>
        <v>291001.72413793101</v>
      </c>
      <c r="Q225" s="156">
        <f>+VLOOKUP($A225,Opex!$C:$Z,R$1,1)</f>
        <v>11001.724137931034</v>
      </c>
      <c r="R225" s="157">
        <f>+SUM(Opex_VE[[#This Row],[Cajero]:[Domiciliario]])</f>
        <v>140000</v>
      </c>
      <c r="S225" s="156">
        <v>70000</v>
      </c>
      <c r="T225" s="156">
        <v>70000</v>
      </c>
      <c r="U225" s="156">
        <v>0</v>
      </c>
      <c r="V225"/>
    </row>
    <row r="226" spans="1:22" x14ac:dyDescent="0.2">
      <c r="A226" s="153">
        <v>46289</v>
      </c>
      <c r="B226" s="3">
        <f t="shared" si="17"/>
        <v>31</v>
      </c>
      <c r="C226" s="3" t="str">
        <f>+TEXT(Opex_VE[[#This Row],[Fecha]],"ddd")</f>
        <v>jue</v>
      </c>
      <c r="E226" s="14" t="s">
        <v>112</v>
      </c>
      <c r="F226" s="172">
        <f>IFERROR(VLOOKUP(Opex_VE[[#This Row],[Fecha]],Historia!A:B,2,0),_xlfn.XLOOKUP(Opex_VE[[#This Row],[dia]],Forecast!H:H,Forecast!I:I))</f>
        <v>234000</v>
      </c>
      <c r="G226" s="172">
        <f>IFERROR(VLOOKUP(Opex_VE[[#This Row],[Fecha]],Historia!A:C,3,0),_xlfn.XLOOKUP(Opex_VE[[#This Row],[dia]],Forecast!H:H,Forecast!J:J))</f>
        <v>93600</v>
      </c>
      <c r="H226" s="186">
        <f ca="1">+Opex_VE[[#This Row],[MG]]-Opex_VE[[#This Row],[Opex]]</f>
        <v>-130585.13793103449</v>
      </c>
      <c r="I226" s="172" t="str">
        <f>IFERROR(VLOOKUP(Opex_VE[[#This Row],[Fecha]],Historia!A:D,4,0),"Forecast")</f>
        <v>Forecast</v>
      </c>
      <c r="J226" s="161">
        <f t="shared" ca="1" si="16"/>
        <v>560462.8448275862</v>
      </c>
      <c r="K226" s="157">
        <f ca="1">+Opex_VE[[#This Row],[MG]]-Opex_VE[[#This Row],[Opex]]</f>
        <v>0</v>
      </c>
      <c r="L226" s="156">
        <f>+VLOOKUP($A226,Opex!$C:$Z,N$1,1)</f>
        <v>56896.551724137928</v>
      </c>
      <c r="M226" s="157">
        <f ca="1">+Opex_VE[[#This Row],[Opex]]</f>
        <v>0</v>
      </c>
      <c r="N226" s="156">
        <f t="shared" si="14"/>
        <v>295139.6551724138</v>
      </c>
      <c r="O226" s="156">
        <f>+VLOOKUP($A226,Opex!$C:$Z,Q$1,1)</f>
        <v>4137.9310344827591</v>
      </c>
      <c r="P226" s="156">
        <f t="shared" si="15"/>
        <v>291001.72413793101</v>
      </c>
      <c r="Q226" s="156">
        <f>+VLOOKUP($A226,Opex!$C:$Z,R$1,1)</f>
        <v>11001.724137931034</v>
      </c>
      <c r="R226" s="157">
        <f>+SUM(Opex_VE[[#This Row],[Cajero]:[Domiciliario]])</f>
        <v>140000</v>
      </c>
      <c r="S226" s="156">
        <v>70000</v>
      </c>
      <c r="T226" s="156">
        <v>70000</v>
      </c>
      <c r="U226" s="156">
        <v>0</v>
      </c>
      <c r="V226"/>
    </row>
    <row r="227" spans="1:22" x14ac:dyDescent="0.2">
      <c r="A227" s="153">
        <v>46290</v>
      </c>
      <c r="B227" s="3">
        <f t="shared" si="17"/>
        <v>31</v>
      </c>
      <c r="C227" s="3" t="str">
        <f>+TEXT(Opex_VE[[#This Row],[Fecha]],"ddd")</f>
        <v>vie</v>
      </c>
      <c r="E227" s="14" t="s">
        <v>217</v>
      </c>
      <c r="F227" s="172">
        <f>IFERROR(VLOOKUP(Opex_VE[[#This Row],[Fecha]],Historia!A:B,2,0),_xlfn.XLOOKUP(Opex_VE[[#This Row],[dia]],Forecast!H:H,Forecast!I:I))</f>
        <v>248000</v>
      </c>
      <c r="G227" s="172">
        <f>IFERROR(VLOOKUP(Opex_VE[[#This Row],[Fecha]],Historia!A:C,3,0),_xlfn.XLOOKUP(Opex_VE[[#This Row],[dia]],Forecast!H:H,Forecast!J:J))</f>
        <v>99200</v>
      </c>
      <c r="H227" s="186">
        <f ca="1">+Opex_VE[[#This Row],[MG]]-Opex_VE[[#This Row],[Opex]]</f>
        <v>-124985.13793103449</v>
      </c>
      <c r="I227" s="172" t="str">
        <f>IFERROR(VLOOKUP(Opex_VE[[#This Row],[Fecha]],Historia!A:D,4,0),"Forecast")</f>
        <v>Forecast</v>
      </c>
      <c r="J227" s="161">
        <f t="shared" ca="1" si="16"/>
        <v>560462.8448275862</v>
      </c>
      <c r="K227" s="157">
        <f ca="1">+Opex_VE[[#This Row],[MG]]-Opex_VE[[#This Row],[Opex]]</f>
        <v>0</v>
      </c>
      <c r="L227" s="156">
        <f>+VLOOKUP($A227,Opex!$C:$Z,N$1,1)</f>
        <v>56896.551724137928</v>
      </c>
      <c r="M227" s="157">
        <f ca="1">+Opex_VE[[#This Row],[Opex]]</f>
        <v>0</v>
      </c>
      <c r="N227" s="156">
        <f t="shared" si="14"/>
        <v>295139.6551724138</v>
      </c>
      <c r="O227" s="156">
        <f>+VLOOKUP($A227,Opex!$C:$Z,Q$1,1)</f>
        <v>4137.9310344827591</v>
      </c>
      <c r="P227" s="156">
        <f t="shared" si="15"/>
        <v>291001.72413793101</v>
      </c>
      <c r="Q227" s="156">
        <f>+VLOOKUP($A227,Opex!$C:$Z,R$1,1)</f>
        <v>11001.724137931034</v>
      </c>
      <c r="R227" s="157">
        <f>+SUM(Opex_VE[[#This Row],[Cajero]:[Domiciliario]])</f>
        <v>140000</v>
      </c>
      <c r="S227" s="156">
        <v>70000</v>
      </c>
      <c r="T227" s="156">
        <v>70000</v>
      </c>
      <c r="U227" s="156">
        <v>0</v>
      </c>
      <c r="V227"/>
    </row>
    <row r="228" spans="1:22" x14ac:dyDescent="0.2">
      <c r="A228" s="153">
        <v>46291</v>
      </c>
      <c r="B228" s="3">
        <f t="shared" si="17"/>
        <v>31</v>
      </c>
      <c r="C228" s="3" t="str">
        <f>+TEXT(Opex_VE[[#This Row],[Fecha]],"ddd")</f>
        <v>sáb</v>
      </c>
      <c r="E228" s="14" t="s">
        <v>113</v>
      </c>
      <c r="F228" s="172">
        <f>IFERROR(VLOOKUP(Opex_VE[[#This Row],[Fecha]],Historia!A:B,2,0),_xlfn.XLOOKUP(Opex_VE[[#This Row],[dia]],Forecast!H:H,Forecast!I:I))</f>
        <v>320800</v>
      </c>
      <c r="G228" s="172">
        <f>IFERROR(VLOOKUP(Opex_VE[[#This Row],[Fecha]],Historia!A:C,3,0),_xlfn.XLOOKUP(Opex_VE[[#This Row],[dia]],Forecast!H:H,Forecast!J:J))</f>
        <v>128320</v>
      </c>
      <c r="H228" s="186">
        <f ca="1">+Opex_VE[[#This Row],[MG]]-Opex_VE[[#This Row],[Opex]]</f>
        <v>-95865.137931034493</v>
      </c>
      <c r="I228" s="173" t="str">
        <f>IFERROR(VLOOKUP(Opex_VE[[#This Row],[Fecha]],Historia!A:D,4,0),"Forecast")</f>
        <v>Forecast</v>
      </c>
      <c r="J228" s="161">
        <f t="shared" ca="1" si="16"/>
        <v>560462.8448275862</v>
      </c>
      <c r="K228" s="157">
        <f ca="1">+Opex_VE[[#This Row],[MG]]-Opex_VE[[#This Row],[Opex]]</f>
        <v>0</v>
      </c>
      <c r="L228" s="156">
        <f>+VLOOKUP($A228,Opex!$C:$Z,N$1,1)</f>
        <v>56896.551724137928</v>
      </c>
      <c r="M228" s="157">
        <f ca="1">+Opex_VE[[#This Row],[Opex]]</f>
        <v>0</v>
      </c>
      <c r="N228" s="156">
        <f t="shared" si="14"/>
        <v>295139.6551724138</v>
      </c>
      <c r="O228" s="156">
        <f>+VLOOKUP($A228,Opex!$C:$Z,Q$1,1)</f>
        <v>4137.9310344827591</v>
      </c>
      <c r="P228" s="156">
        <f t="shared" si="15"/>
        <v>291001.72413793101</v>
      </c>
      <c r="Q228" s="156">
        <f>+VLOOKUP($A228,Opex!$C:$Z,R$1,1)</f>
        <v>11001.724137931034</v>
      </c>
      <c r="R228" s="157">
        <f>+SUM(Opex_VE[[#This Row],[Cajero]:[Domiciliario]])</f>
        <v>140000</v>
      </c>
      <c r="S228" s="156">
        <v>70000</v>
      </c>
      <c r="T228" s="156">
        <v>70000</v>
      </c>
      <c r="U228" s="156">
        <v>0</v>
      </c>
      <c r="V228"/>
    </row>
    <row r="229" spans="1:22" x14ac:dyDescent="0.2">
      <c r="A229" s="153">
        <v>46292</v>
      </c>
      <c r="B229" s="3">
        <f t="shared" si="17"/>
        <v>31</v>
      </c>
      <c r="C229" s="3" t="str">
        <f>+TEXT(Opex_VE[[#This Row],[Fecha]],"ddd")</f>
        <v>dom</v>
      </c>
      <c r="E229" s="14" t="s">
        <v>145</v>
      </c>
      <c r="F229" s="172">
        <f>IFERROR(VLOOKUP(Opex_VE[[#This Row],[Fecha]],Historia!A:B,2,0),_xlfn.XLOOKUP(Opex_VE[[#This Row],[dia]],Forecast!H:H,Forecast!I:I))</f>
        <v>218500</v>
      </c>
      <c r="G229" s="172">
        <f>IFERROR(VLOOKUP(Opex_VE[[#This Row],[Fecha]],Historia!A:C,3,0),_xlfn.XLOOKUP(Opex_VE[[#This Row],[dia]],Forecast!H:H,Forecast!J:J))</f>
        <v>87400</v>
      </c>
      <c r="H229" s="186">
        <f ca="1">+Opex_VE[[#This Row],[MG]]-Opex_VE[[#This Row],[Opex]]</f>
        <v>-136785.13793103449</v>
      </c>
      <c r="I229" s="172" t="str">
        <f>IFERROR(VLOOKUP(Opex_VE[[#This Row],[Fecha]],Historia!A:D,4,0),"Forecast")</f>
        <v>Forecast</v>
      </c>
      <c r="J229" s="161">
        <f t="shared" ca="1" si="16"/>
        <v>560462.8448275862</v>
      </c>
      <c r="K229" s="157">
        <f ca="1">+Opex_VE[[#This Row],[MG]]-Opex_VE[[#This Row],[Opex]]</f>
        <v>0</v>
      </c>
      <c r="L229" s="156">
        <f>+VLOOKUP($A229,Opex!$C:$Z,N$1,1)</f>
        <v>56896.551724137928</v>
      </c>
      <c r="M229" s="157">
        <f ca="1">+Opex_VE[[#This Row],[Opex]]</f>
        <v>0</v>
      </c>
      <c r="N229" s="156">
        <f t="shared" si="14"/>
        <v>295139.6551724138</v>
      </c>
      <c r="O229" s="156">
        <f>+VLOOKUP($A229,Opex!$C:$Z,Q$1,1)</f>
        <v>4137.9310344827591</v>
      </c>
      <c r="P229" s="156">
        <f t="shared" si="15"/>
        <v>291001.72413793101</v>
      </c>
      <c r="Q229" s="156">
        <f>+VLOOKUP($A229,Opex!$C:$Z,R$1,1)</f>
        <v>11001.724137931034</v>
      </c>
      <c r="R229" s="157">
        <f>+SUM(Opex_VE[[#This Row],[Cajero]:[Domiciliario]])</f>
        <v>140000</v>
      </c>
      <c r="S229" s="156">
        <v>70000</v>
      </c>
      <c r="T229" s="156">
        <v>70000</v>
      </c>
      <c r="U229" s="156">
        <v>0</v>
      </c>
      <c r="V229"/>
    </row>
    <row r="230" spans="1:22" x14ac:dyDescent="0.2">
      <c r="A230" s="153">
        <v>46293</v>
      </c>
      <c r="B230" s="3">
        <f t="shared" si="17"/>
        <v>32</v>
      </c>
      <c r="C230" s="3" t="str">
        <f>+TEXT(Opex_VE[[#This Row],[Fecha]],"ddd")</f>
        <v>lun</v>
      </c>
      <c r="E230" s="14" t="s">
        <v>112</v>
      </c>
      <c r="F230" s="172">
        <f>IFERROR(VLOOKUP(Opex_VE[[#This Row],[Fecha]],Historia!A:B,2,0),_xlfn.XLOOKUP(Opex_VE[[#This Row],[dia]],Forecast!H:H,Forecast!I:I))</f>
        <v>179200</v>
      </c>
      <c r="G230" s="172">
        <f>IFERROR(VLOOKUP(Opex_VE[[#This Row],[Fecha]],Historia!A:C,3,0),_xlfn.XLOOKUP(Opex_VE[[#This Row],[dia]],Forecast!H:H,Forecast!J:J))</f>
        <v>71680</v>
      </c>
      <c r="H230" s="186">
        <f ca="1">+Opex_VE[[#This Row],[MG]]-Opex_VE[[#This Row],[Opex]]</f>
        <v>-152505.13793103449</v>
      </c>
      <c r="I230" s="172" t="str">
        <f>IFERROR(VLOOKUP(Opex_VE[[#This Row],[Fecha]],Historia!A:D,4,0),"Forecast")</f>
        <v>Forecast</v>
      </c>
      <c r="J230" s="161">
        <f t="shared" ca="1" si="16"/>
        <v>560462.8448275862</v>
      </c>
      <c r="K230" s="157">
        <f ca="1">+Opex_VE[[#This Row],[MG]]-Opex_VE[[#This Row],[Opex]]</f>
        <v>0</v>
      </c>
      <c r="L230" s="156">
        <f>+VLOOKUP($A230,Opex!$C:$Z,N$1,1)</f>
        <v>56896.551724137928</v>
      </c>
      <c r="M230" s="157">
        <f ca="1">+Opex_VE[[#This Row],[Opex]]</f>
        <v>0</v>
      </c>
      <c r="N230" s="156">
        <f t="shared" si="14"/>
        <v>295139.6551724138</v>
      </c>
      <c r="O230" s="156">
        <f>+VLOOKUP($A230,Opex!$C:$Z,Q$1,1)</f>
        <v>4137.9310344827591</v>
      </c>
      <c r="P230" s="156">
        <f t="shared" si="15"/>
        <v>291001.72413793101</v>
      </c>
      <c r="Q230" s="156">
        <f>+VLOOKUP($A230,Opex!$C:$Z,R$1,1)</f>
        <v>11001.724137931034</v>
      </c>
      <c r="R230" s="157">
        <f>+SUM(Opex_VE[[#This Row],[Cajero]:[Domiciliario]])</f>
        <v>140000</v>
      </c>
      <c r="S230" s="156">
        <v>70000</v>
      </c>
      <c r="T230" s="156">
        <v>70000</v>
      </c>
      <c r="U230" s="156">
        <v>0</v>
      </c>
      <c r="V230"/>
    </row>
    <row r="231" spans="1:22" x14ac:dyDescent="0.2">
      <c r="A231" s="153">
        <v>46294</v>
      </c>
      <c r="B231" s="3">
        <f t="shared" si="17"/>
        <v>32</v>
      </c>
      <c r="C231" s="3" t="str">
        <f>+TEXT(Opex_VE[[#This Row],[Fecha]],"ddd")</f>
        <v>mar</v>
      </c>
      <c r="E231" s="14" t="s">
        <v>112</v>
      </c>
      <c r="F231" s="172">
        <f>IFERROR(VLOOKUP(Opex_VE[[#This Row],[Fecha]],Historia!A:B,2,0),_xlfn.XLOOKUP(Opex_VE[[#This Row],[dia]],Forecast!H:H,Forecast!I:I))</f>
        <v>195000</v>
      </c>
      <c r="G231" s="172">
        <f>IFERROR(VLOOKUP(Opex_VE[[#This Row],[Fecha]],Historia!A:C,3,0),_xlfn.XLOOKUP(Opex_VE[[#This Row],[dia]],Forecast!H:H,Forecast!J:J))</f>
        <v>78000</v>
      </c>
      <c r="H231" s="186">
        <f ca="1">+Opex_VE[[#This Row],[MG]]-Opex_VE[[#This Row],[Opex]]</f>
        <v>-146185.13793103449</v>
      </c>
      <c r="I231" s="172" t="str">
        <f>IFERROR(VLOOKUP(Opex_VE[[#This Row],[Fecha]],Historia!A:D,4,0),"Forecast")</f>
        <v>Forecast</v>
      </c>
      <c r="J231" s="161">
        <f t="shared" ca="1" si="16"/>
        <v>560462.8448275862</v>
      </c>
      <c r="K231" s="157">
        <f ca="1">+Opex_VE[[#This Row],[MG]]-Opex_VE[[#This Row],[Opex]]</f>
        <v>0</v>
      </c>
      <c r="L231" s="156">
        <f>+VLOOKUP($A231,Opex!$C:$Z,N$1,1)</f>
        <v>56896.551724137928</v>
      </c>
      <c r="M231" s="157">
        <f ca="1">+Opex_VE[[#This Row],[Opex]]</f>
        <v>0</v>
      </c>
      <c r="N231" s="156">
        <f t="shared" si="14"/>
        <v>295139.6551724138</v>
      </c>
      <c r="O231" s="156">
        <f>+VLOOKUP($A231,Opex!$C:$Z,Q$1,1)</f>
        <v>4137.9310344827591</v>
      </c>
      <c r="P231" s="156">
        <f t="shared" si="15"/>
        <v>291001.72413793101</v>
      </c>
      <c r="Q231" s="156">
        <f>+VLOOKUP($A231,Opex!$C:$Z,R$1,1)</f>
        <v>11001.724137931034</v>
      </c>
      <c r="R231" s="157">
        <f>+SUM(Opex_VE[[#This Row],[Cajero]:[Domiciliario]])</f>
        <v>140000</v>
      </c>
      <c r="S231" s="156">
        <v>70000</v>
      </c>
      <c r="T231" s="156">
        <v>70000</v>
      </c>
      <c r="U231" s="156">
        <v>0</v>
      </c>
      <c r="V231"/>
    </row>
    <row r="232" spans="1:22" x14ac:dyDescent="0.2">
      <c r="A232" s="153">
        <v>46295</v>
      </c>
      <c r="B232" s="3">
        <f t="shared" si="17"/>
        <v>32</v>
      </c>
      <c r="C232" s="3" t="str">
        <f>+TEXT(Opex_VE[[#This Row],[Fecha]],"ddd")</f>
        <v>mié</v>
      </c>
      <c r="E232" s="14" t="s">
        <v>112</v>
      </c>
      <c r="F232" s="172">
        <f>IFERROR(VLOOKUP(Opex_VE[[#This Row],[Fecha]],Historia!A:B,2,0),_xlfn.XLOOKUP(Opex_VE[[#This Row],[dia]],Forecast!H:H,Forecast!I:I))</f>
        <v>366750</v>
      </c>
      <c r="G232" s="172">
        <f>IFERROR(VLOOKUP(Opex_VE[[#This Row],[Fecha]],Historia!A:C,3,0),_xlfn.XLOOKUP(Opex_VE[[#This Row],[dia]],Forecast!H:H,Forecast!J:J))</f>
        <v>146700</v>
      </c>
      <c r="H232" s="186">
        <f ca="1">+Opex_VE[[#This Row],[MG]]-Opex_VE[[#This Row],[Opex]]</f>
        <v>-77485.137931034493</v>
      </c>
      <c r="I232" s="172" t="str">
        <f>IFERROR(VLOOKUP(Opex_VE[[#This Row],[Fecha]],Historia!A:D,4,0),"Forecast")</f>
        <v>Forecast</v>
      </c>
      <c r="J232" s="161">
        <f t="shared" ca="1" si="16"/>
        <v>560462.8448275862</v>
      </c>
      <c r="K232" s="157">
        <f ca="1">+Opex_VE[[#This Row],[MG]]-Opex_VE[[#This Row],[Opex]]</f>
        <v>0</v>
      </c>
      <c r="L232" s="156">
        <f>+VLOOKUP($A232,Opex!$C:$Z,N$1,1)</f>
        <v>56896.551724137928</v>
      </c>
      <c r="M232" s="157">
        <f ca="1">+Opex_VE[[#This Row],[Opex]]</f>
        <v>0</v>
      </c>
      <c r="N232" s="156">
        <f t="shared" si="14"/>
        <v>295139.6551724138</v>
      </c>
      <c r="O232" s="156">
        <f>+VLOOKUP($A232,Opex!$C:$Z,Q$1,1)</f>
        <v>4137.9310344827591</v>
      </c>
      <c r="P232" s="156">
        <f t="shared" si="15"/>
        <v>291001.72413793101</v>
      </c>
      <c r="Q232" s="156">
        <f>+VLOOKUP($A232,Opex!$C:$Z,R$1,1)</f>
        <v>11001.724137931034</v>
      </c>
      <c r="R232" s="157">
        <f>+SUM(Opex_VE[[#This Row],[Cajero]:[Domiciliario]])</f>
        <v>140000</v>
      </c>
      <c r="S232" s="156">
        <v>70000</v>
      </c>
      <c r="T232" s="156">
        <v>70000</v>
      </c>
      <c r="U232" s="156">
        <v>0</v>
      </c>
      <c r="V232"/>
    </row>
    <row r="233" spans="1:22" x14ac:dyDescent="0.2">
      <c r="A233" s="153">
        <v>46296</v>
      </c>
      <c r="B233" s="3">
        <f t="shared" si="17"/>
        <v>32</v>
      </c>
      <c r="C233" s="3" t="str">
        <f>+TEXT(Opex_VE[[#This Row],[Fecha]],"ddd")</f>
        <v>jue</v>
      </c>
      <c r="E233" s="14" t="s">
        <v>112</v>
      </c>
      <c r="F233" s="172">
        <f>IFERROR(VLOOKUP(Opex_VE[[#This Row],[Fecha]],Historia!A:B,2,0),_xlfn.XLOOKUP(Opex_VE[[#This Row],[dia]],Forecast!H:H,Forecast!I:I))</f>
        <v>234000</v>
      </c>
      <c r="G233" s="172">
        <f>IFERROR(VLOOKUP(Opex_VE[[#This Row],[Fecha]],Historia!A:C,3,0),_xlfn.XLOOKUP(Opex_VE[[#This Row],[dia]],Forecast!H:H,Forecast!J:J))</f>
        <v>93600</v>
      </c>
      <c r="H233" s="186">
        <f ca="1">+Opex_VE[[#This Row],[MG]]-Opex_VE[[#This Row],[Opex]]</f>
        <v>-130585.13793103449</v>
      </c>
      <c r="I233" s="172" t="str">
        <f>IFERROR(VLOOKUP(Opex_VE[[#This Row],[Fecha]],Historia!A:D,4,0),"Forecast")</f>
        <v>Forecast</v>
      </c>
      <c r="J233" s="161">
        <f t="shared" ca="1" si="16"/>
        <v>560462.8448275862</v>
      </c>
      <c r="K233" s="157">
        <f ca="1">+Opex_VE[[#This Row],[MG]]-Opex_VE[[#This Row],[Opex]]</f>
        <v>0</v>
      </c>
      <c r="L233" s="156">
        <f>+VLOOKUP($A233,Opex!$C:$Z,N$1,1)</f>
        <v>56896.551724137928</v>
      </c>
      <c r="M233" s="157">
        <f ca="1">+Opex_VE[[#This Row],[Opex]]</f>
        <v>0</v>
      </c>
      <c r="N233" s="156">
        <f t="shared" si="14"/>
        <v>295139.6551724138</v>
      </c>
      <c r="O233" s="156">
        <f>+VLOOKUP($A233,Opex!$C:$Z,Q$1,1)</f>
        <v>4137.9310344827591</v>
      </c>
      <c r="P233" s="156">
        <f t="shared" si="15"/>
        <v>291001.72413793101</v>
      </c>
      <c r="Q233" s="156">
        <f>+VLOOKUP($A233,Opex!$C:$Z,R$1,1)</f>
        <v>11001.724137931034</v>
      </c>
      <c r="R233" s="157">
        <f>+SUM(Opex_VE[[#This Row],[Cajero]:[Domiciliario]])</f>
        <v>140000</v>
      </c>
      <c r="S233" s="156">
        <v>70000</v>
      </c>
      <c r="T233" s="156">
        <v>70000</v>
      </c>
      <c r="U233" s="156">
        <v>0</v>
      </c>
      <c r="V233"/>
    </row>
    <row r="234" spans="1:22" x14ac:dyDescent="0.2">
      <c r="A234" s="153">
        <v>46297</v>
      </c>
      <c r="B234" s="3">
        <f t="shared" si="17"/>
        <v>32</v>
      </c>
      <c r="C234" s="3" t="str">
        <f>+TEXT(Opex_VE[[#This Row],[Fecha]],"ddd")</f>
        <v>vie</v>
      </c>
      <c r="E234" s="14" t="s">
        <v>217</v>
      </c>
      <c r="F234" s="172">
        <f>IFERROR(VLOOKUP(Opex_VE[[#This Row],[Fecha]],Historia!A:B,2,0),_xlfn.XLOOKUP(Opex_VE[[#This Row],[dia]],Forecast!H:H,Forecast!I:I))</f>
        <v>248000</v>
      </c>
      <c r="G234" s="172">
        <f>IFERROR(VLOOKUP(Opex_VE[[#This Row],[Fecha]],Historia!A:C,3,0),_xlfn.XLOOKUP(Opex_VE[[#This Row],[dia]],Forecast!H:H,Forecast!J:J))</f>
        <v>99200</v>
      </c>
      <c r="H234" s="186">
        <f ca="1">+Opex_VE[[#This Row],[MG]]-Opex_VE[[#This Row],[Opex]]</f>
        <v>-124985.13793103449</v>
      </c>
      <c r="I234" s="172" t="str">
        <f>IFERROR(VLOOKUP(Opex_VE[[#This Row],[Fecha]],Historia!A:D,4,0),"Forecast")</f>
        <v>Forecast</v>
      </c>
      <c r="J234" s="161">
        <f t="shared" ca="1" si="16"/>
        <v>560462.8448275862</v>
      </c>
      <c r="K234" s="157">
        <f ca="1">+Opex_VE[[#This Row],[MG]]-Opex_VE[[#This Row],[Opex]]</f>
        <v>0</v>
      </c>
      <c r="L234" s="156">
        <f>+VLOOKUP($A234,Opex!$C:$Z,N$1,1)</f>
        <v>56896.551724137928</v>
      </c>
      <c r="M234" s="157">
        <f ca="1">+Opex_VE[[#This Row],[Opex]]</f>
        <v>0</v>
      </c>
      <c r="N234" s="156">
        <f t="shared" si="14"/>
        <v>295139.6551724138</v>
      </c>
      <c r="O234" s="156">
        <f>+VLOOKUP($A234,Opex!$C:$Z,Q$1,1)</f>
        <v>4137.9310344827591</v>
      </c>
      <c r="P234" s="156">
        <f t="shared" si="15"/>
        <v>291001.72413793101</v>
      </c>
      <c r="Q234" s="156">
        <f>+VLOOKUP($A234,Opex!$C:$Z,R$1,1)</f>
        <v>11001.724137931034</v>
      </c>
      <c r="R234" s="157">
        <f>+SUM(Opex_VE[[#This Row],[Cajero]:[Domiciliario]])</f>
        <v>140000</v>
      </c>
      <c r="S234" s="156">
        <v>70000</v>
      </c>
      <c r="T234" s="156">
        <v>70000</v>
      </c>
      <c r="U234" s="156">
        <v>0</v>
      </c>
      <c r="V234"/>
    </row>
    <row r="235" spans="1:22" x14ac:dyDescent="0.2">
      <c r="A235" s="153">
        <v>46298</v>
      </c>
      <c r="B235" s="3">
        <f t="shared" si="17"/>
        <v>32</v>
      </c>
      <c r="C235" s="3" t="str">
        <f>+TEXT(Opex_VE[[#This Row],[Fecha]],"ddd")</f>
        <v>sáb</v>
      </c>
      <c r="E235" s="14" t="s">
        <v>113</v>
      </c>
      <c r="F235" s="172">
        <f>IFERROR(VLOOKUP(Opex_VE[[#This Row],[Fecha]],Historia!A:B,2,0),_xlfn.XLOOKUP(Opex_VE[[#This Row],[dia]],Forecast!H:H,Forecast!I:I))</f>
        <v>320800</v>
      </c>
      <c r="G235" s="172">
        <f>IFERROR(VLOOKUP(Opex_VE[[#This Row],[Fecha]],Historia!A:C,3,0),_xlfn.XLOOKUP(Opex_VE[[#This Row],[dia]],Forecast!H:H,Forecast!J:J))</f>
        <v>128320</v>
      </c>
      <c r="H235" s="186">
        <f ca="1">+Opex_VE[[#This Row],[MG]]-Opex_VE[[#This Row],[Opex]]</f>
        <v>-95865.137931034493</v>
      </c>
      <c r="I235" s="173" t="str">
        <f>IFERROR(VLOOKUP(Opex_VE[[#This Row],[Fecha]],Historia!A:D,4,0),"Forecast")</f>
        <v>Forecast</v>
      </c>
      <c r="J235" s="161">
        <f t="shared" ca="1" si="16"/>
        <v>560462.8448275862</v>
      </c>
      <c r="K235" s="157">
        <f ca="1">+Opex_VE[[#This Row],[MG]]-Opex_VE[[#This Row],[Opex]]</f>
        <v>0</v>
      </c>
      <c r="L235" s="156">
        <f>+VLOOKUP($A235,Opex!$C:$Z,N$1,1)</f>
        <v>56896.551724137928</v>
      </c>
      <c r="M235" s="157">
        <f ca="1">+Opex_VE[[#This Row],[Opex]]</f>
        <v>0</v>
      </c>
      <c r="N235" s="156">
        <f t="shared" si="14"/>
        <v>295139.6551724138</v>
      </c>
      <c r="O235" s="156">
        <f>+VLOOKUP($A235,Opex!$C:$Z,Q$1,1)</f>
        <v>4137.9310344827591</v>
      </c>
      <c r="P235" s="156">
        <f t="shared" si="15"/>
        <v>291001.72413793101</v>
      </c>
      <c r="Q235" s="156">
        <f>+VLOOKUP($A235,Opex!$C:$Z,R$1,1)</f>
        <v>11001.724137931034</v>
      </c>
      <c r="R235" s="157">
        <f>+SUM(Opex_VE[[#This Row],[Cajero]:[Domiciliario]])</f>
        <v>140000</v>
      </c>
      <c r="S235" s="156">
        <v>70000</v>
      </c>
      <c r="T235" s="156">
        <v>70000</v>
      </c>
      <c r="U235" s="156">
        <v>0</v>
      </c>
      <c r="V235"/>
    </row>
    <row r="236" spans="1:22" x14ac:dyDescent="0.2">
      <c r="A236" s="153">
        <v>46299</v>
      </c>
      <c r="B236" s="3">
        <f t="shared" si="17"/>
        <v>32</v>
      </c>
      <c r="C236" s="3" t="str">
        <f>+TEXT(Opex_VE[[#This Row],[Fecha]],"ddd")</f>
        <v>dom</v>
      </c>
      <c r="E236" s="14" t="s">
        <v>145</v>
      </c>
      <c r="F236" s="172">
        <f>IFERROR(VLOOKUP(Opex_VE[[#This Row],[Fecha]],Historia!A:B,2,0),_xlfn.XLOOKUP(Opex_VE[[#This Row],[dia]],Forecast!H:H,Forecast!I:I))</f>
        <v>218500</v>
      </c>
      <c r="G236" s="172">
        <f>IFERROR(VLOOKUP(Opex_VE[[#This Row],[Fecha]],Historia!A:C,3,0),_xlfn.XLOOKUP(Opex_VE[[#This Row],[dia]],Forecast!H:H,Forecast!J:J))</f>
        <v>87400</v>
      </c>
      <c r="H236" s="186">
        <f ca="1">+Opex_VE[[#This Row],[MG]]-Opex_VE[[#This Row],[Opex]]</f>
        <v>-136785.13793103449</v>
      </c>
      <c r="I236" s="172" t="str">
        <f>IFERROR(VLOOKUP(Opex_VE[[#This Row],[Fecha]],Historia!A:D,4,0),"Forecast")</f>
        <v>Forecast</v>
      </c>
      <c r="J236" s="161">
        <f t="shared" ca="1" si="16"/>
        <v>560462.8448275862</v>
      </c>
      <c r="K236" s="157">
        <f ca="1">+Opex_VE[[#This Row],[MG]]-Opex_VE[[#This Row],[Opex]]</f>
        <v>0</v>
      </c>
      <c r="L236" s="156">
        <f>+VLOOKUP($A236,Opex!$C:$Z,N$1,1)</f>
        <v>56896.551724137928</v>
      </c>
      <c r="M236" s="157">
        <f ca="1">+Opex_VE[[#This Row],[Opex]]</f>
        <v>0</v>
      </c>
      <c r="N236" s="156">
        <f t="shared" si="14"/>
        <v>295139.6551724138</v>
      </c>
      <c r="O236" s="156">
        <f>+VLOOKUP($A236,Opex!$C:$Z,Q$1,1)</f>
        <v>4137.9310344827591</v>
      </c>
      <c r="P236" s="156">
        <f t="shared" si="15"/>
        <v>291001.72413793101</v>
      </c>
      <c r="Q236" s="156">
        <f>+VLOOKUP($A236,Opex!$C:$Z,R$1,1)</f>
        <v>11001.724137931034</v>
      </c>
      <c r="R236" s="157">
        <f>+SUM(Opex_VE[[#This Row],[Cajero]:[Domiciliario]])</f>
        <v>140000</v>
      </c>
      <c r="S236" s="156">
        <v>70000</v>
      </c>
      <c r="T236" s="156">
        <v>70000</v>
      </c>
      <c r="U236" s="156">
        <v>0</v>
      </c>
      <c r="V236"/>
    </row>
    <row r="237" spans="1:22" x14ac:dyDescent="0.2">
      <c r="A237" s="153">
        <v>46300</v>
      </c>
      <c r="B237" s="3">
        <f t="shared" si="17"/>
        <v>33</v>
      </c>
      <c r="C237" s="3" t="str">
        <f>+TEXT(Opex_VE[[#This Row],[Fecha]],"ddd")</f>
        <v>lun</v>
      </c>
      <c r="E237" s="14" t="s">
        <v>112</v>
      </c>
      <c r="F237" s="172">
        <f>IFERROR(VLOOKUP(Opex_VE[[#This Row],[Fecha]],Historia!A:B,2,0),_xlfn.XLOOKUP(Opex_VE[[#This Row],[dia]],Forecast!H:H,Forecast!I:I))</f>
        <v>179200</v>
      </c>
      <c r="G237" s="172">
        <f>IFERROR(VLOOKUP(Opex_VE[[#This Row],[Fecha]],Historia!A:C,3,0),_xlfn.XLOOKUP(Opex_VE[[#This Row],[dia]],Forecast!H:H,Forecast!J:J))</f>
        <v>71680</v>
      </c>
      <c r="H237" s="186">
        <f ca="1">+Opex_VE[[#This Row],[MG]]-Opex_VE[[#This Row],[Opex]]</f>
        <v>-152505.13793103449</v>
      </c>
      <c r="I237" s="172" t="str">
        <f>IFERROR(VLOOKUP(Opex_VE[[#This Row],[Fecha]],Historia!A:D,4,0),"Forecast")</f>
        <v>Forecast</v>
      </c>
      <c r="J237" s="161">
        <f t="shared" ca="1" si="16"/>
        <v>560462.8448275862</v>
      </c>
      <c r="K237" s="157">
        <f ca="1">+Opex_VE[[#This Row],[MG]]-Opex_VE[[#This Row],[Opex]]</f>
        <v>0</v>
      </c>
      <c r="L237" s="156">
        <f>+VLOOKUP($A237,Opex!$C:$Z,N$1,1)</f>
        <v>56896.551724137928</v>
      </c>
      <c r="M237" s="157">
        <f ca="1">+Opex_VE[[#This Row],[Opex]]</f>
        <v>0</v>
      </c>
      <c r="N237" s="156">
        <f t="shared" si="14"/>
        <v>295139.6551724138</v>
      </c>
      <c r="O237" s="156">
        <f>+VLOOKUP($A237,Opex!$C:$Z,Q$1,1)</f>
        <v>4137.9310344827591</v>
      </c>
      <c r="P237" s="156">
        <f t="shared" si="15"/>
        <v>291001.72413793101</v>
      </c>
      <c r="Q237" s="156">
        <f>+VLOOKUP($A237,Opex!$C:$Z,R$1,1)</f>
        <v>11001.724137931034</v>
      </c>
      <c r="R237" s="157">
        <f>+SUM(Opex_VE[[#This Row],[Cajero]:[Domiciliario]])</f>
        <v>140000</v>
      </c>
      <c r="S237" s="156">
        <v>70000</v>
      </c>
      <c r="T237" s="156">
        <v>70000</v>
      </c>
      <c r="U237" s="156">
        <v>0</v>
      </c>
      <c r="V237"/>
    </row>
    <row r="238" spans="1:22" x14ac:dyDescent="0.2">
      <c r="A238" s="153">
        <v>46301</v>
      </c>
      <c r="B238" s="3">
        <f t="shared" si="17"/>
        <v>33</v>
      </c>
      <c r="C238" s="3" t="str">
        <f>+TEXT(Opex_VE[[#This Row],[Fecha]],"ddd")</f>
        <v>mar</v>
      </c>
      <c r="E238" s="14" t="s">
        <v>112</v>
      </c>
      <c r="F238" s="172">
        <f>IFERROR(VLOOKUP(Opex_VE[[#This Row],[Fecha]],Historia!A:B,2,0),_xlfn.XLOOKUP(Opex_VE[[#This Row],[dia]],Forecast!H:H,Forecast!I:I))</f>
        <v>195000</v>
      </c>
      <c r="G238" s="172">
        <f>IFERROR(VLOOKUP(Opex_VE[[#This Row],[Fecha]],Historia!A:C,3,0),_xlfn.XLOOKUP(Opex_VE[[#This Row],[dia]],Forecast!H:H,Forecast!J:J))</f>
        <v>78000</v>
      </c>
      <c r="H238" s="186">
        <f ca="1">+Opex_VE[[#This Row],[MG]]-Opex_VE[[#This Row],[Opex]]</f>
        <v>-146185.13793103449</v>
      </c>
      <c r="I238" s="172" t="str">
        <f>IFERROR(VLOOKUP(Opex_VE[[#This Row],[Fecha]],Historia!A:D,4,0),"Forecast")</f>
        <v>Forecast</v>
      </c>
      <c r="J238" s="161">
        <f t="shared" ca="1" si="16"/>
        <v>560462.8448275862</v>
      </c>
      <c r="K238" s="157">
        <f ca="1">+Opex_VE[[#This Row],[MG]]-Opex_VE[[#This Row],[Opex]]</f>
        <v>0</v>
      </c>
      <c r="L238" s="156">
        <f>+VLOOKUP($A238,Opex!$C:$Z,N$1,1)</f>
        <v>56896.551724137928</v>
      </c>
      <c r="M238" s="157">
        <f ca="1">+Opex_VE[[#This Row],[Opex]]</f>
        <v>0</v>
      </c>
      <c r="N238" s="156">
        <f t="shared" si="14"/>
        <v>295139.6551724138</v>
      </c>
      <c r="O238" s="156">
        <f>+VLOOKUP($A238,Opex!$C:$Z,Q$1,1)</f>
        <v>4137.9310344827591</v>
      </c>
      <c r="P238" s="156">
        <f t="shared" si="15"/>
        <v>291001.72413793101</v>
      </c>
      <c r="Q238" s="156">
        <f>+VLOOKUP($A238,Opex!$C:$Z,R$1,1)</f>
        <v>11001.724137931034</v>
      </c>
      <c r="R238" s="157">
        <f>+SUM(Opex_VE[[#This Row],[Cajero]:[Domiciliario]])</f>
        <v>140000</v>
      </c>
      <c r="S238" s="156">
        <v>70000</v>
      </c>
      <c r="T238" s="156">
        <v>70000</v>
      </c>
      <c r="U238" s="156">
        <v>0</v>
      </c>
      <c r="V238"/>
    </row>
    <row r="239" spans="1:22" x14ac:dyDescent="0.2">
      <c r="A239" s="153">
        <v>46302</v>
      </c>
      <c r="B239" s="3">
        <f t="shared" si="17"/>
        <v>33</v>
      </c>
      <c r="C239" s="3" t="str">
        <f>+TEXT(Opex_VE[[#This Row],[Fecha]],"ddd")</f>
        <v>mié</v>
      </c>
      <c r="E239" s="14" t="s">
        <v>112</v>
      </c>
      <c r="F239" s="172">
        <f>IFERROR(VLOOKUP(Opex_VE[[#This Row],[Fecha]],Historia!A:B,2,0),_xlfn.XLOOKUP(Opex_VE[[#This Row],[dia]],Forecast!H:H,Forecast!I:I))</f>
        <v>366750</v>
      </c>
      <c r="G239" s="172">
        <f>IFERROR(VLOOKUP(Opex_VE[[#This Row],[Fecha]],Historia!A:C,3,0),_xlfn.XLOOKUP(Opex_VE[[#This Row],[dia]],Forecast!H:H,Forecast!J:J))</f>
        <v>146700</v>
      </c>
      <c r="H239" s="186">
        <f ca="1">+Opex_VE[[#This Row],[MG]]-Opex_VE[[#This Row],[Opex]]</f>
        <v>-77485.137931034493</v>
      </c>
      <c r="I239" s="172" t="str">
        <f>IFERROR(VLOOKUP(Opex_VE[[#This Row],[Fecha]],Historia!A:D,4,0),"Forecast")</f>
        <v>Forecast</v>
      </c>
      <c r="J239" s="161">
        <f t="shared" ca="1" si="16"/>
        <v>560462.8448275862</v>
      </c>
      <c r="K239" s="157">
        <f ca="1">+Opex_VE[[#This Row],[MG]]-Opex_VE[[#This Row],[Opex]]</f>
        <v>0</v>
      </c>
      <c r="L239" s="156">
        <f>+VLOOKUP($A239,Opex!$C:$Z,N$1,1)</f>
        <v>56896.551724137928</v>
      </c>
      <c r="M239" s="157">
        <f ca="1">+Opex_VE[[#This Row],[Opex]]</f>
        <v>0</v>
      </c>
      <c r="N239" s="156">
        <f t="shared" si="14"/>
        <v>295139.6551724138</v>
      </c>
      <c r="O239" s="156">
        <f>+VLOOKUP($A239,Opex!$C:$Z,Q$1,1)</f>
        <v>4137.9310344827591</v>
      </c>
      <c r="P239" s="156">
        <f t="shared" si="15"/>
        <v>291001.72413793101</v>
      </c>
      <c r="Q239" s="156">
        <f>+VLOOKUP($A239,Opex!$C:$Z,R$1,1)</f>
        <v>11001.724137931034</v>
      </c>
      <c r="R239" s="157">
        <f>+SUM(Opex_VE[[#This Row],[Cajero]:[Domiciliario]])</f>
        <v>140000</v>
      </c>
      <c r="S239" s="156">
        <v>70000</v>
      </c>
      <c r="T239" s="156">
        <v>70000</v>
      </c>
      <c r="U239" s="156">
        <v>0</v>
      </c>
      <c r="V239"/>
    </row>
    <row r="240" spans="1:22" x14ac:dyDescent="0.2">
      <c r="A240" s="153">
        <v>46303</v>
      </c>
      <c r="B240" s="3">
        <f t="shared" si="17"/>
        <v>33</v>
      </c>
      <c r="C240" s="3" t="str">
        <f>+TEXT(Opex_VE[[#This Row],[Fecha]],"ddd")</f>
        <v>jue</v>
      </c>
      <c r="E240" s="14" t="s">
        <v>112</v>
      </c>
      <c r="F240" s="172">
        <f>IFERROR(VLOOKUP(Opex_VE[[#This Row],[Fecha]],Historia!A:B,2,0),_xlfn.XLOOKUP(Opex_VE[[#This Row],[dia]],Forecast!H:H,Forecast!I:I))</f>
        <v>234000</v>
      </c>
      <c r="G240" s="172">
        <f>IFERROR(VLOOKUP(Opex_VE[[#This Row],[Fecha]],Historia!A:C,3,0),_xlfn.XLOOKUP(Opex_VE[[#This Row],[dia]],Forecast!H:H,Forecast!J:J))</f>
        <v>93600</v>
      </c>
      <c r="H240" s="186">
        <f ca="1">+Opex_VE[[#This Row],[MG]]-Opex_VE[[#This Row],[Opex]]</f>
        <v>-130585.13793103449</v>
      </c>
      <c r="I240" s="172" t="str">
        <f>IFERROR(VLOOKUP(Opex_VE[[#This Row],[Fecha]],Historia!A:D,4,0),"Forecast")</f>
        <v>Forecast</v>
      </c>
      <c r="J240" s="161">
        <f t="shared" ca="1" si="16"/>
        <v>560462.8448275862</v>
      </c>
      <c r="K240" s="157">
        <f ca="1">+Opex_VE[[#This Row],[MG]]-Opex_VE[[#This Row],[Opex]]</f>
        <v>0</v>
      </c>
      <c r="L240" s="156">
        <f>+VLOOKUP($A240,Opex!$C:$Z,N$1,1)</f>
        <v>56896.551724137928</v>
      </c>
      <c r="M240" s="157">
        <f ca="1">+Opex_VE[[#This Row],[Opex]]</f>
        <v>0</v>
      </c>
      <c r="N240" s="156">
        <f t="shared" si="14"/>
        <v>295139.6551724138</v>
      </c>
      <c r="O240" s="156">
        <f>+VLOOKUP($A240,Opex!$C:$Z,Q$1,1)</f>
        <v>4137.9310344827591</v>
      </c>
      <c r="P240" s="156">
        <f t="shared" si="15"/>
        <v>291001.72413793101</v>
      </c>
      <c r="Q240" s="156">
        <f>+VLOOKUP($A240,Opex!$C:$Z,R$1,1)</f>
        <v>11001.724137931034</v>
      </c>
      <c r="R240" s="157">
        <f>+SUM(Opex_VE[[#This Row],[Cajero]:[Domiciliario]])</f>
        <v>140000</v>
      </c>
      <c r="S240" s="156">
        <v>70000</v>
      </c>
      <c r="T240" s="156">
        <v>70000</v>
      </c>
      <c r="U240" s="156">
        <v>0</v>
      </c>
      <c r="V240"/>
    </row>
    <row r="241" spans="1:22" x14ac:dyDescent="0.2">
      <c r="A241" s="153">
        <v>46304</v>
      </c>
      <c r="B241" s="3">
        <f t="shared" si="17"/>
        <v>33</v>
      </c>
      <c r="C241" s="3" t="str">
        <f>+TEXT(Opex_VE[[#This Row],[Fecha]],"ddd")</f>
        <v>vie</v>
      </c>
      <c r="E241" s="14" t="s">
        <v>217</v>
      </c>
      <c r="F241" s="172">
        <f>IFERROR(VLOOKUP(Opex_VE[[#This Row],[Fecha]],Historia!A:B,2,0),_xlfn.XLOOKUP(Opex_VE[[#This Row],[dia]],Forecast!H:H,Forecast!I:I))</f>
        <v>248000</v>
      </c>
      <c r="G241" s="172">
        <f>IFERROR(VLOOKUP(Opex_VE[[#This Row],[Fecha]],Historia!A:C,3,0),_xlfn.XLOOKUP(Opex_VE[[#This Row],[dia]],Forecast!H:H,Forecast!J:J))</f>
        <v>99200</v>
      </c>
      <c r="H241" s="186">
        <f ca="1">+Opex_VE[[#This Row],[MG]]-Opex_VE[[#This Row],[Opex]]</f>
        <v>-124985.13793103449</v>
      </c>
      <c r="I241" s="172" t="str">
        <f>IFERROR(VLOOKUP(Opex_VE[[#This Row],[Fecha]],Historia!A:D,4,0),"Forecast")</f>
        <v>Forecast</v>
      </c>
      <c r="J241" s="161">
        <f t="shared" ca="1" si="16"/>
        <v>560462.8448275862</v>
      </c>
      <c r="K241" s="157">
        <f ca="1">+Opex_VE[[#This Row],[MG]]-Opex_VE[[#This Row],[Opex]]</f>
        <v>0</v>
      </c>
      <c r="L241" s="156">
        <f>+VLOOKUP($A241,Opex!$C:$Z,N$1,1)</f>
        <v>56896.551724137928</v>
      </c>
      <c r="M241" s="157">
        <f ca="1">+Opex_VE[[#This Row],[Opex]]</f>
        <v>0</v>
      </c>
      <c r="N241" s="156">
        <f t="shared" si="14"/>
        <v>295139.6551724138</v>
      </c>
      <c r="O241" s="156">
        <f>+VLOOKUP($A241,Opex!$C:$Z,Q$1,1)</f>
        <v>4137.9310344827591</v>
      </c>
      <c r="P241" s="156">
        <f t="shared" si="15"/>
        <v>291001.72413793101</v>
      </c>
      <c r="Q241" s="156">
        <f>+VLOOKUP($A241,Opex!$C:$Z,R$1,1)</f>
        <v>11001.724137931034</v>
      </c>
      <c r="R241" s="157">
        <f>+SUM(Opex_VE[[#This Row],[Cajero]:[Domiciliario]])</f>
        <v>140000</v>
      </c>
      <c r="S241" s="156">
        <v>70000</v>
      </c>
      <c r="T241" s="156">
        <v>70000</v>
      </c>
      <c r="U241" s="156">
        <v>0</v>
      </c>
      <c r="V241"/>
    </row>
    <row r="242" spans="1:22" x14ac:dyDescent="0.2">
      <c r="A242" s="153">
        <v>46305</v>
      </c>
      <c r="B242" s="3">
        <f t="shared" si="17"/>
        <v>33</v>
      </c>
      <c r="C242" s="3" t="str">
        <f>+TEXT(Opex_VE[[#This Row],[Fecha]],"ddd")</f>
        <v>sáb</v>
      </c>
      <c r="E242" s="14" t="s">
        <v>113</v>
      </c>
      <c r="F242" s="172">
        <f>IFERROR(VLOOKUP(Opex_VE[[#This Row],[Fecha]],Historia!A:B,2,0),_xlfn.XLOOKUP(Opex_VE[[#This Row],[dia]],Forecast!H:H,Forecast!I:I))</f>
        <v>320800</v>
      </c>
      <c r="G242" s="172">
        <f>IFERROR(VLOOKUP(Opex_VE[[#This Row],[Fecha]],Historia!A:C,3,0),_xlfn.XLOOKUP(Opex_VE[[#This Row],[dia]],Forecast!H:H,Forecast!J:J))</f>
        <v>128320</v>
      </c>
      <c r="H242" s="186">
        <f ca="1">+Opex_VE[[#This Row],[MG]]-Opex_VE[[#This Row],[Opex]]</f>
        <v>-95865.137931034493</v>
      </c>
      <c r="I242" s="173" t="str">
        <f>IFERROR(VLOOKUP(Opex_VE[[#This Row],[Fecha]],Historia!A:D,4,0),"Forecast")</f>
        <v>Forecast</v>
      </c>
      <c r="J242" s="161">
        <f t="shared" ca="1" si="16"/>
        <v>560462.8448275862</v>
      </c>
      <c r="K242" s="157">
        <f ca="1">+Opex_VE[[#This Row],[MG]]-Opex_VE[[#This Row],[Opex]]</f>
        <v>0</v>
      </c>
      <c r="L242" s="156">
        <f>+VLOOKUP($A242,Opex!$C:$Z,N$1,1)</f>
        <v>56896.551724137928</v>
      </c>
      <c r="M242" s="157">
        <f ca="1">+Opex_VE[[#This Row],[Opex]]</f>
        <v>0</v>
      </c>
      <c r="N242" s="156">
        <f t="shared" si="14"/>
        <v>295139.6551724138</v>
      </c>
      <c r="O242" s="156">
        <f>+VLOOKUP($A242,Opex!$C:$Z,Q$1,1)</f>
        <v>4137.9310344827591</v>
      </c>
      <c r="P242" s="156">
        <f t="shared" si="15"/>
        <v>291001.72413793101</v>
      </c>
      <c r="Q242" s="156">
        <f>+VLOOKUP($A242,Opex!$C:$Z,R$1,1)</f>
        <v>11001.724137931034</v>
      </c>
      <c r="R242" s="157">
        <f>+SUM(Opex_VE[[#This Row],[Cajero]:[Domiciliario]])</f>
        <v>140000</v>
      </c>
      <c r="S242" s="156">
        <v>70000</v>
      </c>
      <c r="T242" s="156">
        <v>70000</v>
      </c>
      <c r="U242" s="156">
        <v>0</v>
      </c>
      <c r="V242"/>
    </row>
    <row r="243" spans="1:22" x14ac:dyDescent="0.2">
      <c r="A243" s="153">
        <v>46306</v>
      </c>
      <c r="B243" s="3">
        <f t="shared" si="17"/>
        <v>33</v>
      </c>
      <c r="C243" s="3" t="str">
        <f>+TEXT(Opex_VE[[#This Row],[Fecha]],"ddd")</f>
        <v>dom</v>
      </c>
      <c r="E243" s="14" t="s">
        <v>145</v>
      </c>
      <c r="F243" s="172">
        <f>IFERROR(VLOOKUP(Opex_VE[[#This Row],[Fecha]],Historia!A:B,2,0),_xlfn.XLOOKUP(Opex_VE[[#This Row],[dia]],Forecast!H:H,Forecast!I:I))</f>
        <v>218500</v>
      </c>
      <c r="G243" s="172">
        <f>IFERROR(VLOOKUP(Opex_VE[[#This Row],[Fecha]],Historia!A:C,3,0),_xlfn.XLOOKUP(Opex_VE[[#This Row],[dia]],Forecast!H:H,Forecast!J:J))</f>
        <v>87400</v>
      </c>
      <c r="H243" s="186">
        <f ca="1">+Opex_VE[[#This Row],[MG]]-Opex_VE[[#This Row],[Opex]]</f>
        <v>-136785.13793103449</v>
      </c>
      <c r="I243" s="172" t="str">
        <f>IFERROR(VLOOKUP(Opex_VE[[#This Row],[Fecha]],Historia!A:D,4,0),"Forecast")</f>
        <v>Forecast</v>
      </c>
      <c r="J243" s="161">
        <f t="shared" ca="1" si="16"/>
        <v>560462.8448275862</v>
      </c>
      <c r="K243" s="157">
        <f ca="1">+Opex_VE[[#This Row],[MG]]-Opex_VE[[#This Row],[Opex]]</f>
        <v>0</v>
      </c>
      <c r="L243" s="156">
        <f>+VLOOKUP($A243,Opex!$C:$Z,N$1,1)</f>
        <v>56896.551724137928</v>
      </c>
      <c r="M243" s="157">
        <f ca="1">+Opex_VE[[#This Row],[Opex]]</f>
        <v>0</v>
      </c>
      <c r="N243" s="156">
        <f t="shared" si="14"/>
        <v>295139.6551724138</v>
      </c>
      <c r="O243" s="156">
        <f>+VLOOKUP($A243,Opex!$C:$Z,Q$1,1)</f>
        <v>4137.9310344827591</v>
      </c>
      <c r="P243" s="156">
        <f t="shared" si="15"/>
        <v>291001.72413793101</v>
      </c>
      <c r="Q243" s="156">
        <f>+VLOOKUP($A243,Opex!$C:$Z,R$1,1)</f>
        <v>11001.724137931034</v>
      </c>
      <c r="R243" s="157">
        <f>+SUM(Opex_VE[[#This Row],[Cajero]:[Domiciliario]])</f>
        <v>140000</v>
      </c>
      <c r="S243" s="156">
        <v>70000</v>
      </c>
      <c r="T243" s="156">
        <v>70000</v>
      </c>
      <c r="U243" s="156">
        <v>0</v>
      </c>
      <c r="V243"/>
    </row>
    <row r="244" spans="1:22" x14ac:dyDescent="0.2">
      <c r="A244" s="153">
        <v>46307</v>
      </c>
      <c r="B244" s="3">
        <f t="shared" si="17"/>
        <v>34</v>
      </c>
      <c r="C244" s="3" t="str">
        <f>+TEXT(Opex_VE[[#This Row],[Fecha]],"ddd")</f>
        <v>lun</v>
      </c>
      <c r="E244" s="14" t="s">
        <v>112</v>
      </c>
      <c r="F244" s="172">
        <f>IFERROR(VLOOKUP(Opex_VE[[#This Row],[Fecha]],Historia!A:B,2,0),_xlfn.XLOOKUP(Opex_VE[[#This Row],[dia]],Forecast!H:H,Forecast!I:I))</f>
        <v>179200</v>
      </c>
      <c r="G244" s="172">
        <f>IFERROR(VLOOKUP(Opex_VE[[#This Row],[Fecha]],Historia!A:C,3,0),_xlfn.XLOOKUP(Opex_VE[[#This Row],[dia]],Forecast!H:H,Forecast!J:J))</f>
        <v>71680</v>
      </c>
      <c r="H244" s="186">
        <f ca="1">+Opex_VE[[#This Row],[MG]]-Opex_VE[[#This Row],[Opex]]</f>
        <v>-152505.13793103449</v>
      </c>
      <c r="I244" s="172" t="str">
        <f>IFERROR(VLOOKUP(Opex_VE[[#This Row],[Fecha]],Historia!A:D,4,0),"Forecast")</f>
        <v>Forecast</v>
      </c>
      <c r="J244" s="161">
        <f t="shared" ca="1" si="16"/>
        <v>560462.8448275862</v>
      </c>
      <c r="K244" s="157">
        <f ca="1">+Opex_VE[[#This Row],[MG]]-Opex_VE[[#This Row],[Opex]]</f>
        <v>0</v>
      </c>
      <c r="L244" s="156">
        <f>+VLOOKUP($A244,Opex!$C:$Z,N$1,1)</f>
        <v>56896.551724137928</v>
      </c>
      <c r="M244" s="157">
        <f ca="1">+Opex_VE[[#This Row],[Opex]]</f>
        <v>0</v>
      </c>
      <c r="N244" s="156">
        <f t="shared" si="14"/>
        <v>295139.6551724138</v>
      </c>
      <c r="O244" s="156">
        <f>+VLOOKUP($A244,Opex!$C:$Z,Q$1,1)</f>
        <v>4137.9310344827591</v>
      </c>
      <c r="P244" s="156">
        <f t="shared" si="15"/>
        <v>291001.72413793101</v>
      </c>
      <c r="Q244" s="156">
        <f>+VLOOKUP($A244,Opex!$C:$Z,R$1,1)</f>
        <v>11001.724137931034</v>
      </c>
      <c r="R244" s="157">
        <f>+SUM(Opex_VE[[#This Row],[Cajero]:[Domiciliario]])</f>
        <v>140000</v>
      </c>
      <c r="S244" s="156">
        <v>70000</v>
      </c>
      <c r="T244" s="156">
        <v>70000</v>
      </c>
      <c r="U244" s="156">
        <v>0</v>
      </c>
      <c r="V244"/>
    </row>
    <row r="245" spans="1:22" x14ac:dyDescent="0.2">
      <c r="A245" s="153">
        <v>46308</v>
      </c>
      <c r="B245" s="3">
        <f t="shared" si="17"/>
        <v>34</v>
      </c>
      <c r="C245" s="3" t="str">
        <f>+TEXT(Opex_VE[[#This Row],[Fecha]],"ddd")</f>
        <v>mar</v>
      </c>
      <c r="E245" s="14" t="s">
        <v>112</v>
      </c>
      <c r="F245" s="172">
        <f>IFERROR(VLOOKUP(Opex_VE[[#This Row],[Fecha]],Historia!A:B,2,0),_xlfn.XLOOKUP(Opex_VE[[#This Row],[dia]],Forecast!H:H,Forecast!I:I))</f>
        <v>195000</v>
      </c>
      <c r="G245" s="172">
        <f>IFERROR(VLOOKUP(Opex_VE[[#This Row],[Fecha]],Historia!A:C,3,0),_xlfn.XLOOKUP(Opex_VE[[#This Row],[dia]],Forecast!H:H,Forecast!J:J))</f>
        <v>78000</v>
      </c>
      <c r="H245" s="186">
        <f ca="1">+Opex_VE[[#This Row],[MG]]-Opex_VE[[#This Row],[Opex]]</f>
        <v>-146185.13793103449</v>
      </c>
      <c r="I245" s="172" t="str">
        <f>IFERROR(VLOOKUP(Opex_VE[[#This Row],[Fecha]],Historia!A:D,4,0),"Forecast")</f>
        <v>Forecast</v>
      </c>
      <c r="J245" s="161">
        <f t="shared" ca="1" si="16"/>
        <v>560462.8448275862</v>
      </c>
      <c r="K245" s="157">
        <f ca="1">+Opex_VE[[#This Row],[MG]]-Opex_VE[[#This Row],[Opex]]</f>
        <v>0</v>
      </c>
      <c r="L245" s="156">
        <f>+VLOOKUP($A245,Opex!$C:$Z,N$1,1)</f>
        <v>56896.551724137928</v>
      </c>
      <c r="M245" s="157">
        <f ca="1">+Opex_VE[[#This Row],[Opex]]</f>
        <v>0</v>
      </c>
      <c r="N245" s="156">
        <f t="shared" si="14"/>
        <v>295139.6551724138</v>
      </c>
      <c r="O245" s="156">
        <f>+VLOOKUP($A245,Opex!$C:$Z,Q$1,1)</f>
        <v>4137.9310344827591</v>
      </c>
      <c r="P245" s="156">
        <f t="shared" si="15"/>
        <v>291001.72413793101</v>
      </c>
      <c r="Q245" s="156">
        <f>+VLOOKUP($A245,Opex!$C:$Z,R$1,1)</f>
        <v>11001.724137931034</v>
      </c>
      <c r="R245" s="157">
        <f>+SUM(Opex_VE[[#This Row],[Cajero]:[Domiciliario]])</f>
        <v>140000</v>
      </c>
      <c r="S245" s="156">
        <v>70000</v>
      </c>
      <c r="T245" s="156">
        <v>70000</v>
      </c>
      <c r="U245" s="156">
        <v>0</v>
      </c>
      <c r="V245"/>
    </row>
    <row r="246" spans="1:22" x14ac:dyDescent="0.2">
      <c r="A246" s="153">
        <v>46309</v>
      </c>
      <c r="B246" s="3">
        <f t="shared" si="17"/>
        <v>34</v>
      </c>
      <c r="C246" s="3" t="str">
        <f>+TEXT(Opex_VE[[#This Row],[Fecha]],"ddd")</f>
        <v>mié</v>
      </c>
      <c r="E246" s="14" t="s">
        <v>112</v>
      </c>
      <c r="F246" s="172">
        <f>IFERROR(VLOOKUP(Opex_VE[[#This Row],[Fecha]],Historia!A:B,2,0),_xlfn.XLOOKUP(Opex_VE[[#This Row],[dia]],Forecast!H:H,Forecast!I:I))</f>
        <v>366750</v>
      </c>
      <c r="G246" s="172">
        <f>IFERROR(VLOOKUP(Opex_VE[[#This Row],[Fecha]],Historia!A:C,3,0),_xlfn.XLOOKUP(Opex_VE[[#This Row],[dia]],Forecast!H:H,Forecast!J:J))</f>
        <v>146700</v>
      </c>
      <c r="H246" s="186">
        <f ca="1">+Opex_VE[[#This Row],[MG]]-Opex_VE[[#This Row],[Opex]]</f>
        <v>-77485.137931034493</v>
      </c>
      <c r="I246" s="172" t="str">
        <f>IFERROR(VLOOKUP(Opex_VE[[#This Row],[Fecha]],Historia!A:D,4,0),"Forecast")</f>
        <v>Forecast</v>
      </c>
      <c r="J246" s="161">
        <f t="shared" ca="1" si="16"/>
        <v>560462.8448275862</v>
      </c>
      <c r="K246" s="157">
        <f ca="1">+Opex_VE[[#This Row],[MG]]-Opex_VE[[#This Row],[Opex]]</f>
        <v>0</v>
      </c>
      <c r="L246" s="156">
        <f>+VLOOKUP($A246,Opex!$C:$Z,N$1,1)</f>
        <v>56896.551724137928</v>
      </c>
      <c r="M246" s="157">
        <f ca="1">+Opex_VE[[#This Row],[Opex]]</f>
        <v>0</v>
      </c>
      <c r="N246" s="156">
        <f t="shared" si="14"/>
        <v>295139.6551724138</v>
      </c>
      <c r="O246" s="156">
        <f>+VLOOKUP($A246,Opex!$C:$Z,Q$1,1)</f>
        <v>4137.9310344827591</v>
      </c>
      <c r="P246" s="156">
        <f t="shared" si="15"/>
        <v>291001.72413793101</v>
      </c>
      <c r="Q246" s="156">
        <f>+VLOOKUP($A246,Opex!$C:$Z,R$1,1)</f>
        <v>11001.724137931034</v>
      </c>
      <c r="R246" s="157">
        <f>+SUM(Opex_VE[[#This Row],[Cajero]:[Domiciliario]])</f>
        <v>140000</v>
      </c>
      <c r="S246" s="156">
        <v>70000</v>
      </c>
      <c r="T246" s="156">
        <v>70000</v>
      </c>
      <c r="U246" s="156">
        <v>0</v>
      </c>
      <c r="V246"/>
    </row>
    <row r="247" spans="1:22" x14ac:dyDescent="0.2">
      <c r="A247" s="153">
        <v>46310</v>
      </c>
      <c r="B247" s="3">
        <f t="shared" si="17"/>
        <v>34</v>
      </c>
      <c r="C247" s="3" t="str">
        <f>+TEXT(Opex_VE[[#This Row],[Fecha]],"ddd")</f>
        <v>jue</v>
      </c>
      <c r="E247" s="14" t="s">
        <v>112</v>
      </c>
      <c r="F247" s="172">
        <f>IFERROR(VLOOKUP(Opex_VE[[#This Row],[Fecha]],Historia!A:B,2,0),_xlfn.XLOOKUP(Opex_VE[[#This Row],[dia]],Forecast!H:H,Forecast!I:I))</f>
        <v>234000</v>
      </c>
      <c r="G247" s="172">
        <f>IFERROR(VLOOKUP(Opex_VE[[#This Row],[Fecha]],Historia!A:C,3,0),_xlfn.XLOOKUP(Opex_VE[[#This Row],[dia]],Forecast!H:H,Forecast!J:J))</f>
        <v>93600</v>
      </c>
      <c r="H247" s="186">
        <f ca="1">+Opex_VE[[#This Row],[MG]]-Opex_VE[[#This Row],[Opex]]</f>
        <v>-127778.96666666667</v>
      </c>
      <c r="I247" s="172" t="str">
        <f>IFERROR(VLOOKUP(Opex_VE[[#This Row],[Fecha]],Historia!A:D,4,0),"Forecast")</f>
        <v>Forecast</v>
      </c>
      <c r="J247" s="161">
        <f t="shared" ca="1" si="16"/>
        <v>553447.41666666663</v>
      </c>
      <c r="K247" s="157">
        <f ca="1">+Opex_VE[[#This Row],[MG]]-Opex_VE[[#This Row],[Opex]]</f>
        <v>0</v>
      </c>
      <c r="L247" s="156">
        <f>+VLOOKUP($A247,Opex!$C:$Z,N$1,1)</f>
        <v>55000</v>
      </c>
      <c r="M247" s="157">
        <f ca="1">+Opex_VE[[#This Row],[Opex]]</f>
        <v>0</v>
      </c>
      <c r="N247" s="156">
        <f t="shared" si="14"/>
        <v>294635</v>
      </c>
      <c r="O247" s="156">
        <f>+VLOOKUP($A247,Opex!$C:$Z,Q$1,1)</f>
        <v>4000</v>
      </c>
      <c r="P247" s="156">
        <f t="shared" si="15"/>
        <v>290635</v>
      </c>
      <c r="Q247" s="156">
        <f>+VLOOKUP($A247,Opex!$C:$Z,R$1,1)</f>
        <v>10635</v>
      </c>
      <c r="R247" s="157">
        <f>+SUM(Opex_VE[[#This Row],[Cajero]:[Domiciliario]])</f>
        <v>140000</v>
      </c>
      <c r="S247" s="156">
        <v>70000</v>
      </c>
      <c r="T247" s="156">
        <v>70000</v>
      </c>
      <c r="U247" s="156">
        <v>0</v>
      </c>
      <c r="V247"/>
    </row>
    <row r="248" spans="1:22" x14ac:dyDescent="0.2">
      <c r="A248" s="153">
        <v>46311</v>
      </c>
      <c r="B248" s="3">
        <f t="shared" si="17"/>
        <v>34</v>
      </c>
      <c r="C248" s="3" t="str">
        <f>+TEXT(Opex_VE[[#This Row],[Fecha]],"ddd")</f>
        <v>vie</v>
      </c>
      <c r="E248" s="14" t="s">
        <v>217</v>
      </c>
      <c r="F248" s="172">
        <f>IFERROR(VLOOKUP(Opex_VE[[#This Row],[Fecha]],Historia!A:B,2,0),_xlfn.XLOOKUP(Opex_VE[[#This Row],[dia]],Forecast!H:H,Forecast!I:I))</f>
        <v>248000</v>
      </c>
      <c r="G248" s="172">
        <f>IFERROR(VLOOKUP(Opex_VE[[#This Row],[Fecha]],Historia!A:C,3,0),_xlfn.XLOOKUP(Opex_VE[[#This Row],[dia]],Forecast!H:H,Forecast!J:J))</f>
        <v>99200</v>
      </c>
      <c r="H248" s="186">
        <f ca="1">+Opex_VE[[#This Row],[MG]]-Opex_VE[[#This Row],[Opex]]</f>
        <v>-122178.96666666667</v>
      </c>
      <c r="I248" s="172" t="str">
        <f>IFERROR(VLOOKUP(Opex_VE[[#This Row],[Fecha]],Historia!A:D,4,0),"Forecast")</f>
        <v>Forecast</v>
      </c>
      <c r="J248" s="161">
        <f t="shared" ca="1" si="16"/>
        <v>553447.41666666663</v>
      </c>
      <c r="K248" s="157">
        <f ca="1">+Opex_VE[[#This Row],[MG]]-Opex_VE[[#This Row],[Opex]]</f>
        <v>0</v>
      </c>
      <c r="L248" s="156">
        <f>+VLOOKUP($A248,Opex!$C:$Z,N$1,1)</f>
        <v>55000</v>
      </c>
      <c r="M248" s="157">
        <f ca="1">+Opex_VE[[#This Row],[Opex]]</f>
        <v>0</v>
      </c>
      <c r="N248" s="156">
        <f t="shared" si="14"/>
        <v>294635</v>
      </c>
      <c r="O248" s="156">
        <f>+VLOOKUP($A248,Opex!$C:$Z,Q$1,1)</f>
        <v>4000</v>
      </c>
      <c r="P248" s="156">
        <f t="shared" si="15"/>
        <v>290635</v>
      </c>
      <c r="Q248" s="156">
        <f>+VLOOKUP($A248,Opex!$C:$Z,R$1,1)</f>
        <v>10635</v>
      </c>
      <c r="R248" s="157">
        <f>+SUM(Opex_VE[[#This Row],[Cajero]:[Domiciliario]])</f>
        <v>140000</v>
      </c>
      <c r="S248" s="156">
        <v>70000</v>
      </c>
      <c r="T248" s="156">
        <v>70000</v>
      </c>
      <c r="U248" s="156">
        <v>0</v>
      </c>
      <c r="V248"/>
    </row>
    <row r="249" spans="1:22" x14ac:dyDescent="0.2">
      <c r="A249" s="153">
        <v>46312</v>
      </c>
      <c r="B249" s="3">
        <f t="shared" si="17"/>
        <v>34</v>
      </c>
      <c r="C249" s="3" t="str">
        <f>+TEXT(Opex_VE[[#This Row],[Fecha]],"ddd")</f>
        <v>sáb</v>
      </c>
      <c r="E249" s="14" t="s">
        <v>113</v>
      </c>
      <c r="F249" s="172">
        <f>IFERROR(VLOOKUP(Opex_VE[[#This Row],[Fecha]],Historia!A:B,2,0),_xlfn.XLOOKUP(Opex_VE[[#This Row],[dia]],Forecast!H:H,Forecast!I:I))</f>
        <v>320800</v>
      </c>
      <c r="G249" s="172">
        <f>IFERROR(VLOOKUP(Opex_VE[[#This Row],[Fecha]],Historia!A:C,3,0),_xlfn.XLOOKUP(Opex_VE[[#This Row],[dia]],Forecast!H:H,Forecast!J:J))</f>
        <v>128320</v>
      </c>
      <c r="H249" s="186">
        <f ca="1">+Opex_VE[[#This Row],[MG]]-Opex_VE[[#This Row],[Opex]]</f>
        <v>-93058.966666666674</v>
      </c>
      <c r="I249" s="173" t="str">
        <f>IFERROR(VLOOKUP(Opex_VE[[#This Row],[Fecha]],Historia!A:D,4,0),"Forecast")</f>
        <v>Forecast</v>
      </c>
      <c r="J249" s="161">
        <f t="shared" ca="1" si="16"/>
        <v>553447.41666666663</v>
      </c>
      <c r="K249" s="157">
        <f ca="1">+Opex_VE[[#This Row],[MG]]-Opex_VE[[#This Row],[Opex]]</f>
        <v>0</v>
      </c>
      <c r="L249" s="156">
        <f>+VLOOKUP($A249,Opex!$C:$Z,N$1,1)</f>
        <v>55000</v>
      </c>
      <c r="M249" s="157">
        <f ca="1">+Opex_VE[[#This Row],[Opex]]</f>
        <v>0</v>
      </c>
      <c r="N249" s="156">
        <f t="shared" si="14"/>
        <v>294635</v>
      </c>
      <c r="O249" s="156">
        <f>+VLOOKUP($A249,Opex!$C:$Z,Q$1,1)</f>
        <v>4000</v>
      </c>
      <c r="P249" s="156">
        <f t="shared" si="15"/>
        <v>290635</v>
      </c>
      <c r="Q249" s="156">
        <f>+VLOOKUP($A249,Opex!$C:$Z,R$1,1)</f>
        <v>10635</v>
      </c>
      <c r="R249" s="157">
        <f>+SUM(Opex_VE[[#This Row],[Cajero]:[Domiciliario]])</f>
        <v>140000</v>
      </c>
      <c r="S249" s="156">
        <v>70000</v>
      </c>
      <c r="T249" s="156">
        <v>70000</v>
      </c>
      <c r="U249" s="156">
        <v>0</v>
      </c>
      <c r="V249"/>
    </row>
    <row r="250" spans="1:22" x14ac:dyDescent="0.2">
      <c r="A250" s="153">
        <v>46313</v>
      </c>
      <c r="B250" s="3">
        <f t="shared" si="17"/>
        <v>34</v>
      </c>
      <c r="C250" s="3" t="str">
        <f>+TEXT(Opex_VE[[#This Row],[Fecha]],"ddd")</f>
        <v>dom</v>
      </c>
      <c r="E250" s="14" t="s">
        <v>145</v>
      </c>
      <c r="F250" s="172">
        <f>IFERROR(VLOOKUP(Opex_VE[[#This Row],[Fecha]],Historia!A:B,2,0),_xlfn.XLOOKUP(Opex_VE[[#This Row],[dia]],Forecast!H:H,Forecast!I:I))</f>
        <v>218500</v>
      </c>
      <c r="G250" s="172">
        <f>IFERROR(VLOOKUP(Opex_VE[[#This Row],[Fecha]],Historia!A:C,3,0),_xlfn.XLOOKUP(Opex_VE[[#This Row],[dia]],Forecast!H:H,Forecast!J:J))</f>
        <v>87400</v>
      </c>
      <c r="H250" s="186">
        <f ca="1">+Opex_VE[[#This Row],[MG]]-Opex_VE[[#This Row],[Opex]]</f>
        <v>-133978.96666666667</v>
      </c>
      <c r="I250" s="172" t="str">
        <f>IFERROR(VLOOKUP(Opex_VE[[#This Row],[Fecha]],Historia!A:D,4,0),"Forecast")</f>
        <v>Forecast</v>
      </c>
      <c r="J250" s="161">
        <f t="shared" ca="1" si="16"/>
        <v>553447.41666666663</v>
      </c>
      <c r="K250" s="157">
        <f ca="1">+Opex_VE[[#This Row],[MG]]-Opex_VE[[#This Row],[Opex]]</f>
        <v>0</v>
      </c>
      <c r="L250" s="156">
        <f>+VLOOKUP($A250,Opex!$C:$Z,N$1,1)</f>
        <v>55000</v>
      </c>
      <c r="M250" s="157">
        <f ca="1">+Opex_VE[[#This Row],[Opex]]</f>
        <v>0</v>
      </c>
      <c r="N250" s="156">
        <f t="shared" si="14"/>
        <v>294635</v>
      </c>
      <c r="O250" s="156">
        <f>+VLOOKUP($A250,Opex!$C:$Z,Q$1,1)</f>
        <v>4000</v>
      </c>
      <c r="P250" s="156">
        <f t="shared" si="15"/>
        <v>290635</v>
      </c>
      <c r="Q250" s="156">
        <f>+VLOOKUP($A250,Opex!$C:$Z,R$1,1)</f>
        <v>10635</v>
      </c>
      <c r="R250" s="157">
        <f>+SUM(Opex_VE[[#This Row],[Cajero]:[Domiciliario]])</f>
        <v>140000</v>
      </c>
      <c r="S250" s="156">
        <v>70000</v>
      </c>
      <c r="T250" s="156">
        <v>70000</v>
      </c>
      <c r="U250" s="156">
        <v>0</v>
      </c>
      <c r="V250"/>
    </row>
    <row r="251" spans="1:22" x14ac:dyDescent="0.2">
      <c r="A251" s="153">
        <v>46314</v>
      </c>
      <c r="B251" s="3">
        <f t="shared" si="17"/>
        <v>35</v>
      </c>
      <c r="C251" s="3" t="str">
        <f>+TEXT(Opex_VE[[#This Row],[Fecha]],"ddd")</f>
        <v>lun</v>
      </c>
      <c r="E251" s="14" t="s">
        <v>112</v>
      </c>
      <c r="F251" s="172">
        <f>IFERROR(VLOOKUP(Opex_VE[[#This Row],[Fecha]],Historia!A:B,2,0),_xlfn.XLOOKUP(Opex_VE[[#This Row],[dia]],Forecast!H:H,Forecast!I:I))</f>
        <v>179200</v>
      </c>
      <c r="G251" s="172">
        <f>IFERROR(VLOOKUP(Opex_VE[[#This Row],[Fecha]],Historia!A:C,3,0),_xlfn.XLOOKUP(Opex_VE[[#This Row],[dia]],Forecast!H:H,Forecast!J:J))</f>
        <v>71680</v>
      </c>
      <c r="H251" s="186">
        <f ca="1">+Opex_VE[[#This Row],[MG]]-Opex_VE[[#This Row],[Opex]]</f>
        <v>-149698.96666666667</v>
      </c>
      <c r="I251" s="172" t="str">
        <f>IFERROR(VLOOKUP(Opex_VE[[#This Row],[Fecha]],Historia!A:D,4,0),"Forecast")</f>
        <v>Forecast</v>
      </c>
      <c r="J251" s="161">
        <f t="shared" ca="1" si="16"/>
        <v>553447.41666666663</v>
      </c>
      <c r="K251" s="157">
        <f ca="1">+Opex_VE[[#This Row],[MG]]-Opex_VE[[#This Row],[Opex]]</f>
        <v>0</v>
      </c>
      <c r="L251" s="156">
        <f>+VLOOKUP($A251,Opex!$C:$Z,N$1,1)</f>
        <v>55000</v>
      </c>
      <c r="M251" s="157">
        <f ca="1">+Opex_VE[[#This Row],[Opex]]</f>
        <v>0</v>
      </c>
      <c r="N251" s="156">
        <f t="shared" si="14"/>
        <v>294635</v>
      </c>
      <c r="O251" s="156">
        <f>+VLOOKUP($A251,Opex!$C:$Z,Q$1,1)</f>
        <v>4000</v>
      </c>
      <c r="P251" s="156">
        <f t="shared" si="15"/>
        <v>290635</v>
      </c>
      <c r="Q251" s="156">
        <f>+VLOOKUP($A251,Opex!$C:$Z,R$1,1)</f>
        <v>10635</v>
      </c>
      <c r="R251" s="157">
        <f>+SUM(Opex_VE[[#This Row],[Cajero]:[Domiciliario]])</f>
        <v>140000</v>
      </c>
      <c r="S251" s="156">
        <v>70000</v>
      </c>
      <c r="T251" s="156">
        <v>70000</v>
      </c>
      <c r="U251" s="156">
        <v>0</v>
      </c>
      <c r="V251"/>
    </row>
    <row r="252" spans="1:22" x14ac:dyDescent="0.2">
      <c r="A252" s="153">
        <v>46315</v>
      </c>
      <c r="B252" s="3">
        <f t="shared" si="17"/>
        <v>35</v>
      </c>
      <c r="C252" s="3" t="str">
        <f>+TEXT(Opex_VE[[#This Row],[Fecha]],"ddd")</f>
        <v>mar</v>
      </c>
      <c r="E252" s="14" t="s">
        <v>112</v>
      </c>
      <c r="F252" s="172">
        <f>IFERROR(VLOOKUP(Opex_VE[[#This Row],[Fecha]],Historia!A:B,2,0),_xlfn.XLOOKUP(Opex_VE[[#This Row],[dia]],Forecast!H:H,Forecast!I:I))</f>
        <v>195000</v>
      </c>
      <c r="G252" s="172">
        <f>IFERROR(VLOOKUP(Opex_VE[[#This Row],[Fecha]],Historia!A:C,3,0),_xlfn.XLOOKUP(Opex_VE[[#This Row],[dia]],Forecast!H:H,Forecast!J:J))</f>
        <v>78000</v>
      </c>
      <c r="H252" s="186">
        <f ca="1">+Opex_VE[[#This Row],[MG]]-Opex_VE[[#This Row],[Opex]]</f>
        <v>-143378.96666666667</v>
      </c>
      <c r="I252" s="172" t="str">
        <f>IFERROR(VLOOKUP(Opex_VE[[#This Row],[Fecha]],Historia!A:D,4,0),"Forecast")</f>
        <v>Forecast</v>
      </c>
      <c r="J252" s="161">
        <f t="shared" ca="1" si="16"/>
        <v>553447.41666666663</v>
      </c>
      <c r="K252" s="157">
        <f ca="1">+Opex_VE[[#This Row],[MG]]-Opex_VE[[#This Row],[Opex]]</f>
        <v>0</v>
      </c>
      <c r="L252" s="156">
        <f>+VLOOKUP($A252,Opex!$C:$Z,N$1,1)</f>
        <v>55000</v>
      </c>
      <c r="M252" s="157">
        <f ca="1">+Opex_VE[[#This Row],[Opex]]</f>
        <v>0</v>
      </c>
      <c r="N252" s="156">
        <f t="shared" si="14"/>
        <v>294635</v>
      </c>
      <c r="O252" s="156">
        <f>+VLOOKUP($A252,Opex!$C:$Z,Q$1,1)</f>
        <v>4000</v>
      </c>
      <c r="P252" s="156">
        <f t="shared" si="15"/>
        <v>290635</v>
      </c>
      <c r="Q252" s="156">
        <f>+VLOOKUP($A252,Opex!$C:$Z,R$1,1)</f>
        <v>10635</v>
      </c>
      <c r="R252" s="157">
        <f>+SUM(Opex_VE[[#This Row],[Cajero]:[Domiciliario]])</f>
        <v>140000</v>
      </c>
      <c r="S252" s="156">
        <v>70000</v>
      </c>
      <c r="T252" s="156">
        <v>70000</v>
      </c>
      <c r="U252" s="156">
        <v>0</v>
      </c>
      <c r="V252"/>
    </row>
    <row r="253" spans="1:22" x14ac:dyDescent="0.2">
      <c r="A253" s="153">
        <v>46316</v>
      </c>
      <c r="B253" s="3">
        <f t="shared" si="17"/>
        <v>35</v>
      </c>
      <c r="C253" s="3" t="str">
        <f>+TEXT(Opex_VE[[#This Row],[Fecha]],"ddd")</f>
        <v>mié</v>
      </c>
      <c r="E253" s="14" t="s">
        <v>112</v>
      </c>
      <c r="F253" s="172">
        <f>IFERROR(VLOOKUP(Opex_VE[[#This Row],[Fecha]],Historia!A:B,2,0),_xlfn.XLOOKUP(Opex_VE[[#This Row],[dia]],Forecast!H:H,Forecast!I:I))</f>
        <v>366750</v>
      </c>
      <c r="G253" s="172">
        <f>IFERROR(VLOOKUP(Opex_VE[[#This Row],[Fecha]],Historia!A:C,3,0),_xlfn.XLOOKUP(Opex_VE[[#This Row],[dia]],Forecast!H:H,Forecast!J:J))</f>
        <v>146700</v>
      </c>
      <c r="H253" s="186">
        <f ca="1">+Opex_VE[[#This Row],[MG]]-Opex_VE[[#This Row],[Opex]]</f>
        <v>-74678.966666666674</v>
      </c>
      <c r="I253" s="172" t="str">
        <f>IFERROR(VLOOKUP(Opex_VE[[#This Row],[Fecha]],Historia!A:D,4,0),"Forecast")</f>
        <v>Forecast</v>
      </c>
      <c r="J253" s="161">
        <f t="shared" ca="1" si="16"/>
        <v>553447.41666666663</v>
      </c>
      <c r="K253" s="157">
        <f ca="1">+Opex_VE[[#This Row],[MG]]-Opex_VE[[#This Row],[Opex]]</f>
        <v>0</v>
      </c>
      <c r="L253" s="156">
        <f>+VLOOKUP($A253,Opex!$C:$Z,N$1,1)</f>
        <v>55000</v>
      </c>
      <c r="M253" s="157">
        <f ca="1">+Opex_VE[[#This Row],[Opex]]</f>
        <v>0</v>
      </c>
      <c r="N253" s="156">
        <f t="shared" si="14"/>
        <v>294635</v>
      </c>
      <c r="O253" s="156">
        <f>+VLOOKUP($A253,Opex!$C:$Z,Q$1,1)</f>
        <v>4000</v>
      </c>
      <c r="P253" s="156">
        <f t="shared" si="15"/>
        <v>290635</v>
      </c>
      <c r="Q253" s="156">
        <f>+VLOOKUP($A253,Opex!$C:$Z,R$1,1)</f>
        <v>10635</v>
      </c>
      <c r="R253" s="157">
        <f>+SUM(Opex_VE[[#This Row],[Cajero]:[Domiciliario]])</f>
        <v>140000</v>
      </c>
      <c r="S253" s="156">
        <v>70000</v>
      </c>
      <c r="T253" s="156">
        <v>70000</v>
      </c>
      <c r="U253" s="156">
        <v>0</v>
      </c>
      <c r="V253"/>
    </row>
    <row r="254" spans="1:22" x14ac:dyDescent="0.2">
      <c r="A254" s="153">
        <v>46317</v>
      </c>
      <c r="B254" s="3">
        <f t="shared" si="17"/>
        <v>35</v>
      </c>
      <c r="C254" s="3" t="str">
        <f>+TEXT(Opex_VE[[#This Row],[Fecha]],"ddd")</f>
        <v>jue</v>
      </c>
      <c r="E254" s="14" t="s">
        <v>112</v>
      </c>
      <c r="F254" s="172">
        <f>IFERROR(VLOOKUP(Opex_VE[[#This Row],[Fecha]],Historia!A:B,2,0),_xlfn.XLOOKUP(Opex_VE[[#This Row],[dia]],Forecast!H:H,Forecast!I:I))</f>
        <v>234000</v>
      </c>
      <c r="G254" s="172">
        <f>IFERROR(VLOOKUP(Opex_VE[[#This Row],[Fecha]],Historia!A:C,3,0),_xlfn.XLOOKUP(Opex_VE[[#This Row],[dia]],Forecast!H:H,Forecast!J:J))</f>
        <v>93600</v>
      </c>
      <c r="H254" s="186">
        <f ca="1">+Opex_VE[[#This Row],[MG]]-Opex_VE[[#This Row],[Opex]]</f>
        <v>-127778.96666666667</v>
      </c>
      <c r="I254" s="172" t="str">
        <f>IFERROR(VLOOKUP(Opex_VE[[#This Row],[Fecha]],Historia!A:D,4,0),"Forecast")</f>
        <v>Forecast</v>
      </c>
      <c r="J254" s="161">
        <f t="shared" ca="1" si="16"/>
        <v>553447.41666666663</v>
      </c>
      <c r="K254" s="157">
        <f ca="1">+Opex_VE[[#This Row],[MG]]-Opex_VE[[#This Row],[Opex]]</f>
        <v>0</v>
      </c>
      <c r="L254" s="156">
        <f>+VLOOKUP($A254,Opex!$C:$Z,N$1,1)</f>
        <v>55000</v>
      </c>
      <c r="M254" s="157">
        <f ca="1">+Opex_VE[[#This Row],[Opex]]</f>
        <v>0</v>
      </c>
      <c r="N254" s="156">
        <f t="shared" si="14"/>
        <v>294635</v>
      </c>
      <c r="O254" s="156">
        <f>+VLOOKUP($A254,Opex!$C:$Z,Q$1,1)</f>
        <v>4000</v>
      </c>
      <c r="P254" s="156">
        <f t="shared" si="15"/>
        <v>290635</v>
      </c>
      <c r="Q254" s="156">
        <f>+VLOOKUP($A254,Opex!$C:$Z,R$1,1)</f>
        <v>10635</v>
      </c>
      <c r="R254" s="157">
        <f>+SUM(Opex_VE[[#This Row],[Cajero]:[Domiciliario]])</f>
        <v>140000</v>
      </c>
      <c r="S254" s="156">
        <v>70000</v>
      </c>
      <c r="T254" s="156">
        <v>70000</v>
      </c>
      <c r="U254" s="156">
        <v>0</v>
      </c>
      <c r="V254"/>
    </row>
    <row r="255" spans="1:22" x14ac:dyDescent="0.2">
      <c r="A255" s="153">
        <v>46318</v>
      </c>
      <c r="B255" s="3">
        <f t="shared" si="17"/>
        <v>35</v>
      </c>
      <c r="C255" s="3" t="str">
        <f>+TEXT(Opex_VE[[#This Row],[Fecha]],"ddd")</f>
        <v>vie</v>
      </c>
      <c r="E255" s="14" t="s">
        <v>217</v>
      </c>
      <c r="F255" s="172">
        <f>IFERROR(VLOOKUP(Opex_VE[[#This Row],[Fecha]],Historia!A:B,2,0),_xlfn.XLOOKUP(Opex_VE[[#This Row],[dia]],Forecast!H:H,Forecast!I:I))</f>
        <v>248000</v>
      </c>
      <c r="G255" s="172">
        <f>IFERROR(VLOOKUP(Opex_VE[[#This Row],[Fecha]],Historia!A:C,3,0),_xlfn.XLOOKUP(Opex_VE[[#This Row],[dia]],Forecast!H:H,Forecast!J:J))</f>
        <v>99200</v>
      </c>
      <c r="H255" s="186">
        <f ca="1">+Opex_VE[[#This Row],[MG]]-Opex_VE[[#This Row],[Opex]]</f>
        <v>-122178.96666666667</v>
      </c>
      <c r="I255" s="172" t="str">
        <f>IFERROR(VLOOKUP(Opex_VE[[#This Row],[Fecha]],Historia!A:D,4,0),"Forecast")</f>
        <v>Forecast</v>
      </c>
      <c r="J255" s="161">
        <f t="shared" ca="1" si="16"/>
        <v>553447.41666666663</v>
      </c>
      <c r="K255" s="157">
        <f ca="1">+Opex_VE[[#This Row],[MG]]-Opex_VE[[#This Row],[Opex]]</f>
        <v>0</v>
      </c>
      <c r="L255" s="156">
        <f>+VLOOKUP($A255,Opex!$C:$Z,N$1,1)</f>
        <v>55000</v>
      </c>
      <c r="M255" s="157">
        <f ca="1">+Opex_VE[[#This Row],[Opex]]</f>
        <v>0</v>
      </c>
      <c r="N255" s="156">
        <f t="shared" si="14"/>
        <v>294635</v>
      </c>
      <c r="O255" s="156">
        <f>+VLOOKUP($A255,Opex!$C:$Z,Q$1,1)</f>
        <v>4000</v>
      </c>
      <c r="P255" s="156">
        <f t="shared" si="15"/>
        <v>290635</v>
      </c>
      <c r="Q255" s="156">
        <f>+VLOOKUP($A255,Opex!$C:$Z,R$1,1)</f>
        <v>10635</v>
      </c>
      <c r="R255" s="157">
        <f>+SUM(Opex_VE[[#This Row],[Cajero]:[Domiciliario]])</f>
        <v>140000</v>
      </c>
      <c r="S255" s="156">
        <v>70000</v>
      </c>
      <c r="T255" s="156">
        <v>70000</v>
      </c>
      <c r="U255" s="156">
        <v>0</v>
      </c>
      <c r="V255"/>
    </row>
    <row r="256" spans="1:22" x14ac:dyDescent="0.2">
      <c r="A256" s="153">
        <v>46319</v>
      </c>
      <c r="B256" s="3">
        <f t="shared" si="17"/>
        <v>35</v>
      </c>
      <c r="C256" s="3" t="str">
        <f>+TEXT(Opex_VE[[#This Row],[Fecha]],"ddd")</f>
        <v>sáb</v>
      </c>
      <c r="E256" s="14" t="s">
        <v>113</v>
      </c>
      <c r="F256" s="172">
        <f>IFERROR(VLOOKUP(Opex_VE[[#This Row],[Fecha]],Historia!A:B,2,0),_xlfn.XLOOKUP(Opex_VE[[#This Row],[dia]],Forecast!H:H,Forecast!I:I))</f>
        <v>320800</v>
      </c>
      <c r="G256" s="172">
        <f>IFERROR(VLOOKUP(Opex_VE[[#This Row],[Fecha]],Historia!A:C,3,0),_xlfn.XLOOKUP(Opex_VE[[#This Row],[dia]],Forecast!H:H,Forecast!J:J))</f>
        <v>128320</v>
      </c>
      <c r="H256" s="186">
        <f ca="1">+Opex_VE[[#This Row],[MG]]-Opex_VE[[#This Row],[Opex]]</f>
        <v>-93058.966666666674</v>
      </c>
      <c r="I256" s="173" t="str">
        <f>IFERROR(VLOOKUP(Opex_VE[[#This Row],[Fecha]],Historia!A:D,4,0),"Forecast")</f>
        <v>Forecast</v>
      </c>
      <c r="J256" s="161">
        <f t="shared" ca="1" si="16"/>
        <v>553447.41666666663</v>
      </c>
      <c r="K256" s="157">
        <f ca="1">+Opex_VE[[#This Row],[MG]]-Opex_VE[[#This Row],[Opex]]</f>
        <v>0</v>
      </c>
      <c r="L256" s="156">
        <f>+VLOOKUP($A256,Opex!$C:$Z,N$1,1)</f>
        <v>55000</v>
      </c>
      <c r="M256" s="157">
        <f ca="1">+Opex_VE[[#This Row],[Opex]]</f>
        <v>0</v>
      </c>
      <c r="N256" s="156">
        <f t="shared" si="14"/>
        <v>294635</v>
      </c>
      <c r="O256" s="156">
        <f>+VLOOKUP($A256,Opex!$C:$Z,Q$1,1)</f>
        <v>4000</v>
      </c>
      <c r="P256" s="156">
        <f t="shared" si="15"/>
        <v>290635</v>
      </c>
      <c r="Q256" s="156">
        <f>+VLOOKUP($A256,Opex!$C:$Z,R$1,1)</f>
        <v>10635</v>
      </c>
      <c r="R256" s="157">
        <f>+SUM(Opex_VE[[#This Row],[Cajero]:[Domiciliario]])</f>
        <v>140000</v>
      </c>
      <c r="S256" s="156">
        <v>70000</v>
      </c>
      <c r="T256" s="156">
        <v>70000</v>
      </c>
      <c r="U256" s="156">
        <v>0</v>
      </c>
      <c r="V256"/>
    </row>
    <row r="257" spans="1:22" x14ac:dyDescent="0.2">
      <c r="A257" s="153">
        <v>46320</v>
      </c>
      <c r="B257" s="3">
        <f t="shared" si="17"/>
        <v>35</v>
      </c>
      <c r="C257" s="3" t="str">
        <f>+TEXT(Opex_VE[[#This Row],[Fecha]],"ddd")</f>
        <v>dom</v>
      </c>
      <c r="E257" s="14" t="s">
        <v>145</v>
      </c>
      <c r="F257" s="172">
        <f>IFERROR(VLOOKUP(Opex_VE[[#This Row],[Fecha]],Historia!A:B,2,0),_xlfn.XLOOKUP(Opex_VE[[#This Row],[dia]],Forecast!H:H,Forecast!I:I))</f>
        <v>218500</v>
      </c>
      <c r="G257" s="172">
        <f>IFERROR(VLOOKUP(Opex_VE[[#This Row],[Fecha]],Historia!A:C,3,0),_xlfn.XLOOKUP(Opex_VE[[#This Row],[dia]],Forecast!H:H,Forecast!J:J))</f>
        <v>87400</v>
      </c>
      <c r="H257" s="186">
        <f ca="1">+Opex_VE[[#This Row],[MG]]-Opex_VE[[#This Row],[Opex]]</f>
        <v>-133978.96666666667</v>
      </c>
      <c r="I257" s="172" t="str">
        <f>IFERROR(VLOOKUP(Opex_VE[[#This Row],[Fecha]],Historia!A:D,4,0),"Forecast")</f>
        <v>Forecast</v>
      </c>
      <c r="J257" s="161">
        <f t="shared" ca="1" si="16"/>
        <v>553447.41666666663</v>
      </c>
      <c r="K257" s="157">
        <f ca="1">+Opex_VE[[#This Row],[MG]]-Opex_VE[[#This Row],[Opex]]</f>
        <v>0</v>
      </c>
      <c r="L257" s="156">
        <f>+VLOOKUP($A257,Opex!$C:$Z,N$1,1)</f>
        <v>55000</v>
      </c>
      <c r="M257" s="157">
        <f ca="1">+Opex_VE[[#This Row],[Opex]]</f>
        <v>0</v>
      </c>
      <c r="N257" s="156">
        <f t="shared" si="14"/>
        <v>294635</v>
      </c>
      <c r="O257" s="156">
        <f>+VLOOKUP($A257,Opex!$C:$Z,Q$1,1)</f>
        <v>4000</v>
      </c>
      <c r="P257" s="156">
        <f t="shared" si="15"/>
        <v>290635</v>
      </c>
      <c r="Q257" s="156">
        <f>+VLOOKUP($A257,Opex!$C:$Z,R$1,1)</f>
        <v>10635</v>
      </c>
      <c r="R257" s="157">
        <f>+SUM(Opex_VE[[#This Row],[Cajero]:[Domiciliario]])</f>
        <v>140000</v>
      </c>
      <c r="S257" s="156">
        <v>70000</v>
      </c>
      <c r="T257" s="156">
        <v>70000</v>
      </c>
      <c r="U257" s="156">
        <v>0</v>
      </c>
      <c r="V257"/>
    </row>
    <row r="258" spans="1:22" x14ac:dyDescent="0.2">
      <c r="A258" s="153">
        <v>46321</v>
      </c>
      <c r="B258" s="3">
        <f t="shared" si="17"/>
        <v>36</v>
      </c>
      <c r="C258" s="3" t="str">
        <f>+TEXT(Opex_VE[[#This Row],[Fecha]],"ddd")</f>
        <v>lun</v>
      </c>
      <c r="E258" s="14" t="s">
        <v>112</v>
      </c>
      <c r="F258" s="172">
        <f>IFERROR(VLOOKUP(Opex_VE[[#This Row],[Fecha]],Historia!A:B,2,0),_xlfn.XLOOKUP(Opex_VE[[#This Row],[dia]],Forecast!H:H,Forecast!I:I))</f>
        <v>179200</v>
      </c>
      <c r="G258" s="172">
        <f>IFERROR(VLOOKUP(Opex_VE[[#This Row],[Fecha]],Historia!A:C,3,0),_xlfn.XLOOKUP(Opex_VE[[#This Row],[dia]],Forecast!H:H,Forecast!J:J))</f>
        <v>71680</v>
      </c>
      <c r="H258" s="186">
        <f ca="1">+Opex_VE[[#This Row],[MG]]-Opex_VE[[#This Row],[Opex]]</f>
        <v>-149698.96666666667</v>
      </c>
      <c r="I258" s="172" t="str">
        <f>IFERROR(VLOOKUP(Opex_VE[[#This Row],[Fecha]],Historia!A:D,4,0),"Forecast")</f>
        <v>Forecast</v>
      </c>
      <c r="J258" s="161">
        <f t="shared" ca="1" si="16"/>
        <v>553447.41666666663</v>
      </c>
      <c r="K258" s="157">
        <f ca="1">+Opex_VE[[#This Row],[MG]]-Opex_VE[[#This Row],[Opex]]</f>
        <v>0</v>
      </c>
      <c r="L258" s="156">
        <f>+VLOOKUP($A258,Opex!$C:$Z,N$1,1)</f>
        <v>55000</v>
      </c>
      <c r="M258" s="157">
        <f ca="1">+Opex_VE[[#This Row],[Opex]]</f>
        <v>0</v>
      </c>
      <c r="N258" s="156">
        <f t="shared" si="14"/>
        <v>294635</v>
      </c>
      <c r="O258" s="156">
        <f>+VLOOKUP($A258,Opex!$C:$Z,Q$1,1)</f>
        <v>4000</v>
      </c>
      <c r="P258" s="156">
        <f t="shared" si="15"/>
        <v>290635</v>
      </c>
      <c r="Q258" s="156">
        <f>+VLOOKUP($A258,Opex!$C:$Z,R$1,1)</f>
        <v>10635</v>
      </c>
      <c r="R258" s="157">
        <f>+SUM(Opex_VE[[#This Row],[Cajero]:[Domiciliario]])</f>
        <v>140000</v>
      </c>
      <c r="S258" s="156">
        <v>70000</v>
      </c>
      <c r="T258" s="156">
        <v>70000</v>
      </c>
      <c r="U258" s="156">
        <v>0</v>
      </c>
      <c r="V258"/>
    </row>
    <row r="259" spans="1:22" x14ac:dyDescent="0.2">
      <c r="A259" s="153">
        <v>46322</v>
      </c>
      <c r="B259" s="3">
        <f t="shared" si="17"/>
        <v>36</v>
      </c>
      <c r="C259" s="3" t="str">
        <f>+TEXT(Opex_VE[[#This Row],[Fecha]],"ddd")</f>
        <v>mar</v>
      </c>
      <c r="E259" s="14" t="s">
        <v>112</v>
      </c>
      <c r="F259" s="172">
        <f>IFERROR(VLOOKUP(Opex_VE[[#This Row],[Fecha]],Historia!A:B,2,0),_xlfn.XLOOKUP(Opex_VE[[#This Row],[dia]],Forecast!H:H,Forecast!I:I))</f>
        <v>195000</v>
      </c>
      <c r="G259" s="172">
        <f>IFERROR(VLOOKUP(Opex_VE[[#This Row],[Fecha]],Historia!A:C,3,0),_xlfn.XLOOKUP(Opex_VE[[#This Row],[dia]],Forecast!H:H,Forecast!J:J))</f>
        <v>78000</v>
      </c>
      <c r="H259" s="186">
        <f ca="1">+Opex_VE[[#This Row],[MG]]-Opex_VE[[#This Row],[Opex]]</f>
        <v>-143378.96666666667</v>
      </c>
      <c r="I259" s="172" t="str">
        <f>IFERROR(VLOOKUP(Opex_VE[[#This Row],[Fecha]],Historia!A:D,4,0),"Forecast")</f>
        <v>Forecast</v>
      </c>
      <c r="J259" s="161">
        <f t="shared" ca="1" si="16"/>
        <v>553447.41666666663</v>
      </c>
      <c r="K259" s="157">
        <f ca="1">+Opex_VE[[#This Row],[MG]]-Opex_VE[[#This Row],[Opex]]</f>
        <v>0</v>
      </c>
      <c r="L259" s="156">
        <f>+VLOOKUP($A259,Opex!$C:$Z,N$1,1)</f>
        <v>55000</v>
      </c>
      <c r="M259" s="157">
        <f ca="1">+Opex_VE[[#This Row],[Opex]]</f>
        <v>0</v>
      </c>
      <c r="N259" s="156">
        <f t="shared" ref="N259:N322" si="18">+SUM(O259,P259,U259)</f>
        <v>294635</v>
      </c>
      <c r="O259" s="156">
        <f>+VLOOKUP($A259,Opex!$C:$Z,Q$1,1)</f>
        <v>4000</v>
      </c>
      <c r="P259" s="156">
        <f t="shared" ref="P259:P322" si="19">+SUM(Q259:T259)</f>
        <v>290635</v>
      </c>
      <c r="Q259" s="156">
        <f>+VLOOKUP($A259,Opex!$C:$Z,R$1,1)</f>
        <v>10635</v>
      </c>
      <c r="R259" s="157">
        <f>+SUM(Opex_VE[[#This Row],[Cajero]:[Domiciliario]])</f>
        <v>140000</v>
      </c>
      <c r="S259" s="156">
        <v>70000</v>
      </c>
      <c r="T259" s="156">
        <v>70000</v>
      </c>
      <c r="U259" s="156">
        <v>0</v>
      </c>
      <c r="V259"/>
    </row>
    <row r="260" spans="1:22" x14ac:dyDescent="0.2">
      <c r="A260" s="153">
        <v>46323</v>
      </c>
      <c r="B260" s="3">
        <f t="shared" si="17"/>
        <v>36</v>
      </c>
      <c r="C260" s="3" t="str">
        <f>+TEXT(Opex_VE[[#This Row],[Fecha]],"ddd")</f>
        <v>mié</v>
      </c>
      <c r="E260" s="14" t="s">
        <v>112</v>
      </c>
      <c r="F260" s="172">
        <f>IFERROR(VLOOKUP(Opex_VE[[#This Row],[Fecha]],Historia!A:B,2,0),_xlfn.XLOOKUP(Opex_VE[[#This Row],[dia]],Forecast!H:H,Forecast!I:I))</f>
        <v>366750</v>
      </c>
      <c r="G260" s="172">
        <f>IFERROR(VLOOKUP(Opex_VE[[#This Row],[Fecha]],Historia!A:C,3,0),_xlfn.XLOOKUP(Opex_VE[[#This Row],[dia]],Forecast!H:H,Forecast!J:J))</f>
        <v>146700</v>
      </c>
      <c r="H260" s="186">
        <f ca="1">+Opex_VE[[#This Row],[MG]]-Opex_VE[[#This Row],[Opex]]</f>
        <v>-74678.966666666674</v>
      </c>
      <c r="I260" s="172" t="str">
        <f>IFERROR(VLOOKUP(Opex_VE[[#This Row],[Fecha]],Historia!A:D,4,0),"Forecast")</f>
        <v>Forecast</v>
      </c>
      <c r="J260" s="161">
        <f t="shared" ca="1" si="16"/>
        <v>553447.41666666663</v>
      </c>
      <c r="K260" s="157">
        <f ca="1">+Opex_VE[[#This Row],[MG]]-Opex_VE[[#This Row],[Opex]]</f>
        <v>0</v>
      </c>
      <c r="L260" s="156">
        <f>+VLOOKUP($A260,Opex!$C:$Z,N$1,1)</f>
        <v>55000</v>
      </c>
      <c r="M260" s="157">
        <f ca="1">+Opex_VE[[#This Row],[Opex]]</f>
        <v>0</v>
      </c>
      <c r="N260" s="156">
        <f t="shared" si="18"/>
        <v>294635</v>
      </c>
      <c r="O260" s="156">
        <f>+VLOOKUP($A260,Opex!$C:$Z,Q$1,1)</f>
        <v>4000</v>
      </c>
      <c r="P260" s="156">
        <f t="shared" si="19"/>
        <v>290635</v>
      </c>
      <c r="Q260" s="156">
        <f>+VLOOKUP($A260,Opex!$C:$Z,R$1,1)</f>
        <v>10635</v>
      </c>
      <c r="R260" s="157">
        <f>+SUM(Opex_VE[[#This Row],[Cajero]:[Domiciliario]])</f>
        <v>140000</v>
      </c>
      <c r="S260" s="156">
        <v>70000</v>
      </c>
      <c r="T260" s="156">
        <v>70000</v>
      </c>
      <c r="U260" s="156">
        <v>0</v>
      </c>
      <c r="V260"/>
    </row>
    <row r="261" spans="1:22" x14ac:dyDescent="0.2">
      <c r="A261" s="153">
        <v>46324</v>
      </c>
      <c r="B261" s="3">
        <f t="shared" si="17"/>
        <v>36</v>
      </c>
      <c r="C261" s="3" t="str">
        <f>+TEXT(Opex_VE[[#This Row],[Fecha]],"ddd")</f>
        <v>jue</v>
      </c>
      <c r="E261" s="14" t="s">
        <v>112</v>
      </c>
      <c r="F261" s="172">
        <f>IFERROR(VLOOKUP(Opex_VE[[#This Row],[Fecha]],Historia!A:B,2,0),_xlfn.XLOOKUP(Opex_VE[[#This Row],[dia]],Forecast!H:H,Forecast!I:I))</f>
        <v>234000</v>
      </c>
      <c r="G261" s="172">
        <f>IFERROR(VLOOKUP(Opex_VE[[#This Row],[Fecha]],Historia!A:C,3,0),_xlfn.XLOOKUP(Opex_VE[[#This Row],[dia]],Forecast!H:H,Forecast!J:J))</f>
        <v>93600</v>
      </c>
      <c r="H261" s="186">
        <f ca="1">+Opex_VE[[#This Row],[MG]]-Opex_VE[[#This Row],[Opex]]</f>
        <v>-127778.96666666667</v>
      </c>
      <c r="I261" s="172" t="str">
        <f>IFERROR(VLOOKUP(Opex_VE[[#This Row],[Fecha]],Historia!A:D,4,0),"Forecast")</f>
        <v>Forecast</v>
      </c>
      <c r="J261" s="161">
        <f t="shared" ca="1" si="16"/>
        <v>553447.41666666663</v>
      </c>
      <c r="K261" s="157">
        <f ca="1">+Opex_VE[[#This Row],[MG]]-Opex_VE[[#This Row],[Opex]]</f>
        <v>0</v>
      </c>
      <c r="L261" s="156">
        <f>+VLOOKUP($A261,Opex!$C:$Z,N$1,1)</f>
        <v>55000</v>
      </c>
      <c r="M261" s="157">
        <f ca="1">+Opex_VE[[#This Row],[Opex]]</f>
        <v>0</v>
      </c>
      <c r="N261" s="156">
        <f t="shared" si="18"/>
        <v>294635</v>
      </c>
      <c r="O261" s="156">
        <f>+VLOOKUP($A261,Opex!$C:$Z,Q$1,1)</f>
        <v>4000</v>
      </c>
      <c r="P261" s="156">
        <f t="shared" si="19"/>
        <v>290635</v>
      </c>
      <c r="Q261" s="156">
        <f>+VLOOKUP($A261,Opex!$C:$Z,R$1,1)</f>
        <v>10635</v>
      </c>
      <c r="R261" s="157">
        <f>+SUM(Opex_VE[[#This Row],[Cajero]:[Domiciliario]])</f>
        <v>140000</v>
      </c>
      <c r="S261" s="156">
        <v>70000</v>
      </c>
      <c r="T261" s="156">
        <v>70000</v>
      </c>
      <c r="U261" s="156">
        <v>0</v>
      </c>
      <c r="V261"/>
    </row>
    <row r="262" spans="1:22" x14ac:dyDescent="0.2">
      <c r="A262" s="153">
        <v>46325</v>
      </c>
      <c r="B262" s="3">
        <f t="shared" si="17"/>
        <v>36</v>
      </c>
      <c r="C262" s="3" t="str">
        <f>+TEXT(Opex_VE[[#This Row],[Fecha]],"ddd")</f>
        <v>vie</v>
      </c>
      <c r="E262" s="14" t="s">
        <v>217</v>
      </c>
      <c r="F262" s="172">
        <f>IFERROR(VLOOKUP(Opex_VE[[#This Row],[Fecha]],Historia!A:B,2,0),_xlfn.XLOOKUP(Opex_VE[[#This Row],[dia]],Forecast!H:H,Forecast!I:I))</f>
        <v>248000</v>
      </c>
      <c r="G262" s="172">
        <f>IFERROR(VLOOKUP(Opex_VE[[#This Row],[Fecha]],Historia!A:C,3,0),_xlfn.XLOOKUP(Opex_VE[[#This Row],[dia]],Forecast!H:H,Forecast!J:J))</f>
        <v>99200</v>
      </c>
      <c r="H262" s="186">
        <f ca="1">+Opex_VE[[#This Row],[MG]]-Opex_VE[[#This Row],[Opex]]</f>
        <v>-122178.96666666667</v>
      </c>
      <c r="I262" s="172" t="str">
        <f>IFERROR(VLOOKUP(Opex_VE[[#This Row],[Fecha]],Historia!A:D,4,0),"Forecast")</f>
        <v>Forecast</v>
      </c>
      <c r="J262" s="161">
        <f t="shared" ca="1" si="16"/>
        <v>553447.41666666663</v>
      </c>
      <c r="K262" s="157">
        <f ca="1">+Opex_VE[[#This Row],[MG]]-Opex_VE[[#This Row],[Opex]]</f>
        <v>0</v>
      </c>
      <c r="L262" s="156">
        <f>+VLOOKUP($A262,Opex!$C:$Z,N$1,1)</f>
        <v>55000</v>
      </c>
      <c r="M262" s="157">
        <f ca="1">+Opex_VE[[#This Row],[Opex]]</f>
        <v>0</v>
      </c>
      <c r="N262" s="156">
        <f t="shared" si="18"/>
        <v>294635</v>
      </c>
      <c r="O262" s="156">
        <f>+VLOOKUP($A262,Opex!$C:$Z,Q$1,1)</f>
        <v>4000</v>
      </c>
      <c r="P262" s="156">
        <f t="shared" si="19"/>
        <v>290635</v>
      </c>
      <c r="Q262" s="156">
        <f>+VLOOKUP($A262,Opex!$C:$Z,R$1,1)</f>
        <v>10635</v>
      </c>
      <c r="R262" s="157">
        <f>+SUM(Opex_VE[[#This Row],[Cajero]:[Domiciliario]])</f>
        <v>140000</v>
      </c>
      <c r="S262" s="156">
        <v>70000</v>
      </c>
      <c r="T262" s="156">
        <v>70000</v>
      </c>
      <c r="U262" s="156">
        <v>0</v>
      </c>
      <c r="V262"/>
    </row>
    <row r="263" spans="1:22" x14ac:dyDescent="0.2">
      <c r="A263" s="153">
        <v>46326</v>
      </c>
      <c r="B263" s="3">
        <f t="shared" si="17"/>
        <v>36</v>
      </c>
      <c r="C263" s="3" t="str">
        <f>+TEXT(Opex_VE[[#This Row],[Fecha]],"ddd")</f>
        <v>sáb</v>
      </c>
      <c r="E263" s="14" t="s">
        <v>113</v>
      </c>
      <c r="F263" s="172">
        <f>IFERROR(VLOOKUP(Opex_VE[[#This Row],[Fecha]],Historia!A:B,2,0),_xlfn.XLOOKUP(Opex_VE[[#This Row],[dia]],Forecast!H:H,Forecast!I:I))</f>
        <v>320800</v>
      </c>
      <c r="G263" s="172">
        <f>IFERROR(VLOOKUP(Opex_VE[[#This Row],[Fecha]],Historia!A:C,3,0),_xlfn.XLOOKUP(Opex_VE[[#This Row],[dia]],Forecast!H:H,Forecast!J:J))</f>
        <v>128320</v>
      </c>
      <c r="H263" s="186">
        <f ca="1">+Opex_VE[[#This Row],[MG]]-Opex_VE[[#This Row],[Opex]]</f>
        <v>-93058.966666666674</v>
      </c>
      <c r="I263" s="173" t="str">
        <f>IFERROR(VLOOKUP(Opex_VE[[#This Row],[Fecha]],Historia!A:D,4,0),"Forecast")</f>
        <v>Forecast</v>
      </c>
      <c r="J263" s="161">
        <f t="shared" ca="1" si="16"/>
        <v>553447.41666666663</v>
      </c>
      <c r="K263" s="157">
        <f ca="1">+Opex_VE[[#This Row],[MG]]-Opex_VE[[#This Row],[Opex]]</f>
        <v>0</v>
      </c>
      <c r="L263" s="156">
        <f>+VLOOKUP($A263,Opex!$C:$Z,N$1,1)</f>
        <v>55000</v>
      </c>
      <c r="M263" s="157">
        <f ca="1">+Opex_VE[[#This Row],[Opex]]</f>
        <v>0</v>
      </c>
      <c r="N263" s="156">
        <f t="shared" si="18"/>
        <v>294635</v>
      </c>
      <c r="O263" s="156">
        <f>+VLOOKUP($A263,Opex!$C:$Z,Q$1,1)</f>
        <v>4000</v>
      </c>
      <c r="P263" s="156">
        <f t="shared" si="19"/>
        <v>290635</v>
      </c>
      <c r="Q263" s="156">
        <f>+VLOOKUP($A263,Opex!$C:$Z,R$1,1)</f>
        <v>10635</v>
      </c>
      <c r="R263" s="157">
        <f>+SUM(Opex_VE[[#This Row],[Cajero]:[Domiciliario]])</f>
        <v>140000</v>
      </c>
      <c r="S263" s="156">
        <v>70000</v>
      </c>
      <c r="T263" s="156">
        <v>70000</v>
      </c>
      <c r="U263" s="156">
        <v>0</v>
      </c>
      <c r="V263"/>
    </row>
    <row r="264" spans="1:22" x14ac:dyDescent="0.2">
      <c r="A264" s="153">
        <v>46327</v>
      </c>
      <c r="B264" s="3">
        <f t="shared" si="17"/>
        <v>36</v>
      </c>
      <c r="C264" s="3" t="str">
        <f>+TEXT(Opex_VE[[#This Row],[Fecha]],"ddd")</f>
        <v>dom</v>
      </c>
      <c r="E264" s="14" t="s">
        <v>145</v>
      </c>
      <c r="F264" s="172">
        <f>IFERROR(VLOOKUP(Opex_VE[[#This Row],[Fecha]],Historia!A:B,2,0),_xlfn.XLOOKUP(Opex_VE[[#This Row],[dia]],Forecast!H:H,Forecast!I:I))</f>
        <v>218500</v>
      </c>
      <c r="G264" s="172">
        <f>IFERROR(VLOOKUP(Opex_VE[[#This Row],[Fecha]],Historia!A:C,3,0),_xlfn.XLOOKUP(Opex_VE[[#This Row],[dia]],Forecast!H:H,Forecast!J:J))</f>
        <v>87400</v>
      </c>
      <c r="H264" s="186">
        <f ca="1">+Opex_VE[[#This Row],[MG]]-Opex_VE[[#This Row],[Opex]]</f>
        <v>-133978.96666666667</v>
      </c>
      <c r="I264" s="172" t="str">
        <f>IFERROR(VLOOKUP(Opex_VE[[#This Row],[Fecha]],Historia!A:D,4,0),"Forecast")</f>
        <v>Forecast</v>
      </c>
      <c r="J264" s="161">
        <f t="shared" ca="1" si="16"/>
        <v>553447.41666666663</v>
      </c>
      <c r="K264" s="157">
        <f ca="1">+Opex_VE[[#This Row],[MG]]-Opex_VE[[#This Row],[Opex]]</f>
        <v>0</v>
      </c>
      <c r="L264" s="156">
        <f>+VLOOKUP($A264,Opex!$C:$Z,N$1,1)</f>
        <v>55000</v>
      </c>
      <c r="M264" s="157">
        <f ca="1">+Opex_VE[[#This Row],[Opex]]</f>
        <v>0</v>
      </c>
      <c r="N264" s="156">
        <f t="shared" si="18"/>
        <v>294635</v>
      </c>
      <c r="O264" s="156">
        <f>+VLOOKUP($A264,Opex!$C:$Z,Q$1,1)</f>
        <v>4000</v>
      </c>
      <c r="P264" s="156">
        <f t="shared" si="19"/>
        <v>290635</v>
      </c>
      <c r="Q264" s="156">
        <f>+VLOOKUP($A264,Opex!$C:$Z,R$1,1)</f>
        <v>10635</v>
      </c>
      <c r="R264" s="157">
        <f>+SUM(Opex_VE[[#This Row],[Cajero]:[Domiciliario]])</f>
        <v>140000</v>
      </c>
      <c r="S264" s="156">
        <v>70000</v>
      </c>
      <c r="T264" s="156">
        <v>70000</v>
      </c>
      <c r="U264" s="156">
        <v>0</v>
      </c>
      <c r="V264"/>
    </row>
    <row r="265" spans="1:22" x14ac:dyDescent="0.2">
      <c r="A265" s="153">
        <v>46328</v>
      </c>
      <c r="B265" s="3">
        <f t="shared" si="17"/>
        <v>37</v>
      </c>
      <c r="C265" s="3" t="str">
        <f>+TEXT(Opex_VE[[#This Row],[Fecha]],"ddd")</f>
        <v>lun</v>
      </c>
      <c r="E265" s="14" t="s">
        <v>112</v>
      </c>
      <c r="F265" s="172">
        <f>IFERROR(VLOOKUP(Opex_VE[[#This Row],[Fecha]],Historia!A:B,2,0),_xlfn.XLOOKUP(Opex_VE[[#This Row],[dia]],Forecast!H:H,Forecast!I:I))</f>
        <v>179200</v>
      </c>
      <c r="G265" s="172">
        <f>IFERROR(VLOOKUP(Opex_VE[[#This Row],[Fecha]],Historia!A:C,3,0),_xlfn.XLOOKUP(Opex_VE[[#This Row],[dia]],Forecast!H:H,Forecast!J:J))</f>
        <v>71680</v>
      </c>
      <c r="H265" s="186">
        <f ca="1">+Opex_VE[[#This Row],[MG]]-Opex_VE[[#This Row],[Opex]]</f>
        <v>-149698.96666666667</v>
      </c>
      <c r="I265" s="172" t="str">
        <f>IFERROR(VLOOKUP(Opex_VE[[#This Row],[Fecha]],Historia!A:D,4,0),"Forecast")</f>
        <v>Forecast</v>
      </c>
      <c r="J265" s="161">
        <f t="shared" ca="1" si="16"/>
        <v>553447.41666666663</v>
      </c>
      <c r="K265" s="157">
        <f ca="1">+Opex_VE[[#This Row],[MG]]-Opex_VE[[#This Row],[Opex]]</f>
        <v>0</v>
      </c>
      <c r="L265" s="156">
        <f>+VLOOKUP($A265,Opex!$C:$Z,N$1,1)</f>
        <v>55000</v>
      </c>
      <c r="M265" s="157">
        <f ca="1">+Opex_VE[[#This Row],[Opex]]</f>
        <v>0</v>
      </c>
      <c r="N265" s="156">
        <f t="shared" si="18"/>
        <v>294635</v>
      </c>
      <c r="O265" s="156">
        <f>+VLOOKUP($A265,Opex!$C:$Z,Q$1,1)</f>
        <v>4000</v>
      </c>
      <c r="P265" s="156">
        <f t="shared" si="19"/>
        <v>290635</v>
      </c>
      <c r="Q265" s="156">
        <f>+VLOOKUP($A265,Opex!$C:$Z,R$1,1)</f>
        <v>10635</v>
      </c>
      <c r="R265" s="157">
        <f>+SUM(Opex_VE[[#This Row],[Cajero]:[Domiciliario]])</f>
        <v>140000</v>
      </c>
      <c r="S265" s="156">
        <v>70000</v>
      </c>
      <c r="T265" s="156">
        <v>70000</v>
      </c>
      <c r="U265" s="156">
        <v>0</v>
      </c>
      <c r="V265"/>
    </row>
    <row r="266" spans="1:22" x14ac:dyDescent="0.2">
      <c r="A266" s="153">
        <v>46329</v>
      </c>
      <c r="B266" s="3">
        <f t="shared" si="17"/>
        <v>37</v>
      </c>
      <c r="C266" s="3" t="str">
        <f>+TEXT(Opex_VE[[#This Row],[Fecha]],"ddd")</f>
        <v>mar</v>
      </c>
      <c r="E266" s="14" t="s">
        <v>112</v>
      </c>
      <c r="F266" s="172">
        <f>IFERROR(VLOOKUP(Opex_VE[[#This Row],[Fecha]],Historia!A:B,2,0),_xlfn.XLOOKUP(Opex_VE[[#This Row],[dia]],Forecast!H:H,Forecast!I:I))</f>
        <v>195000</v>
      </c>
      <c r="G266" s="172">
        <f>IFERROR(VLOOKUP(Opex_VE[[#This Row],[Fecha]],Historia!A:C,3,0),_xlfn.XLOOKUP(Opex_VE[[#This Row],[dia]],Forecast!H:H,Forecast!J:J))</f>
        <v>78000</v>
      </c>
      <c r="H266" s="186">
        <f ca="1">+Opex_VE[[#This Row],[MG]]-Opex_VE[[#This Row],[Opex]]</f>
        <v>-143378.96666666667</v>
      </c>
      <c r="I266" s="172" t="str">
        <f>IFERROR(VLOOKUP(Opex_VE[[#This Row],[Fecha]],Historia!A:D,4,0),"Forecast")</f>
        <v>Forecast</v>
      </c>
      <c r="J266" s="161">
        <f t="shared" ca="1" si="16"/>
        <v>553447.41666666663</v>
      </c>
      <c r="K266" s="157">
        <f ca="1">+Opex_VE[[#This Row],[MG]]-Opex_VE[[#This Row],[Opex]]</f>
        <v>0</v>
      </c>
      <c r="L266" s="156">
        <f>+VLOOKUP($A266,Opex!$C:$Z,N$1,1)</f>
        <v>55000</v>
      </c>
      <c r="M266" s="157">
        <f ca="1">+Opex_VE[[#This Row],[Opex]]</f>
        <v>0</v>
      </c>
      <c r="N266" s="156">
        <f t="shared" si="18"/>
        <v>294635</v>
      </c>
      <c r="O266" s="156">
        <f>+VLOOKUP($A266,Opex!$C:$Z,Q$1,1)</f>
        <v>4000</v>
      </c>
      <c r="P266" s="156">
        <f t="shared" si="19"/>
        <v>290635</v>
      </c>
      <c r="Q266" s="156">
        <f>+VLOOKUP($A266,Opex!$C:$Z,R$1,1)</f>
        <v>10635</v>
      </c>
      <c r="R266" s="157">
        <f>+SUM(Opex_VE[[#This Row],[Cajero]:[Domiciliario]])</f>
        <v>140000</v>
      </c>
      <c r="S266" s="156">
        <v>70000</v>
      </c>
      <c r="T266" s="156">
        <v>70000</v>
      </c>
      <c r="U266" s="156">
        <v>0</v>
      </c>
      <c r="V266"/>
    </row>
    <row r="267" spans="1:22" x14ac:dyDescent="0.2">
      <c r="A267" s="153">
        <v>46330</v>
      </c>
      <c r="B267" s="3">
        <f t="shared" si="17"/>
        <v>37</v>
      </c>
      <c r="C267" s="3" t="str">
        <f>+TEXT(Opex_VE[[#This Row],[Fecha]],"ddd")</f>
        <v>mié</v>
      </c>
      <c r="E267" s="14" t="s">
        <v>112</v>
      </c>
      <c r="F267" s="172">
        <f>IFERROR(VLOOKUP(Opex_VE[[#This Row],[Fecha]],Historia!A:B,2,0),_xlfn.XLOOKUP(Opex_VE[[#This Row],[dia]],Forecast!H:H,Forecast!I:I))</f>
        <v>366750</v>
      </c>
      <c r="G267" s="172">
        <f>IFERROR(VLOOKUP(Opex_VE[[#This Row],[Fecha]],Historia!A:C,3,0),_xlfn.XLOOKUP(Opex_VE[[#This Row],[dia]],Forecast!H:H,Forecast!J:J))</f>
        <v>146700</v>
      </c>
      <c r="H267" s="186">
        <f ca="1">+Opex_VE[[#This Row],[MG]]-Opex_VE[[#This Row],[Opex]]</f>
        <v>-74678.966666666674</v>
      </c>
      <c r="I267" s="172" t="str">
        <f>IFERROR(VLOOKUP(Opex_VE[[#This Row],[Fecha]],Historia!A:D,4,0),"Forecast")</f>
        <v>Forecast</v>
      </c>
      <c r="J267" s="161">
        <f t="shared" ca="1" si="16"/>
        <v>553447.41666666663</v>
      </c>
      <c r="K267" s="157">
        <f ca="1">+Opex_VE[[#This Row],[MG]]-Opex_VE[[#This Row],[Opex]]</f>
        <v>0</v>
      </c>
      <c r="L267" s="156">
        <f>+VLOOKUP($A267,Opex!$C:$Z,N$1,1)</f>
        <v>55000</v>
      </c>
      <c r="M267" s="157">
        <f ca="1">+Opex_VE[[#This Row],[Opex]]</f>
        <v>0</v>
      </c>
      <c r="N267" s="156">
        <f t="shared" si="18"/>
        <v>294635</v>
      </c>
      <c r="O267" s="156">
        <f>+VLOOKUP($A267,Opex!$C:$Z,Q$1,1)</f>
        <v>4000</v>
      </c>
      <c r="P267" s="156">
        <f t="shared" si="19"/>
        <v>290635</v>
      </c>
      <c r="Q267" s="156">
        <f>+VLOOKUP($A267,Opex!$C:$Z,R$1,1)</f>
        <v>10635</v>
      </c>
      <c r="R267" s="157">
        <f>+SUM(Opex_VE[[#This Row],[Cajero]:[Domiciliario]])</f>
        <v>140000</v>
      </c>
      <c r="S267" s="156">
        <v>70000</v>
      </c>
      <c r="T267" s="156">
        <v>70000</v>
      </c>
      <c r="U267" s="156">
        <v>0</v>
      </c>
      <c r="V267"/>
    </row>
    <row r="268" spans="1:22" x14ac:dyDescent="0.2">
      <c r="A268" s="153">
        <v>46331</v>
      </c>
      <c r="B268" s="3">
        <f t="shared" si="17"/>
        <v>37</v>
      </c>
      <c r="C268" s="3" t="str">
        <f>+TEXT(Opex_VE[[#This Row],[Fecha]],"ddd")</f>
        <v>jue</v>
      </c>
      <c r="E268" s="14" t="s">
        <v>112</v>
      </c>
      <c r="F268" s="172">
        <f>IFERROR(VLOOKUP(Opex_VE[[#This Row],[Fecha]],Historia!A:B,2,0),_xlfn.XLOOKUP(Opex_VE[[#This Row],[dia]],Forecast!H:H,Forecast!I:I))</f>
        <v>234000</v>
      </c>
      <c r="G268" s="172">
        <f>IFERROR(VLOOKUP(Opex_VE[[#This Row],[Fecha]],Historia!A:C,3,0),_xlfn.XLOOKUP(Opex_VE[[#This Row],[dia]],Forecast!H:H,Forecast!J:J))</f>
        <v>93600</v>
      </c>
      <c r="H268" s="186">
        <f ca="1">+Opex_VE[[#This Row],[MG]]-Opex_VE[[#This Row],[Opex]]</f>
        <v>-127778.96666666667</v>
      </c>
      <c r="I268" s="172" t="str">
        <f>IFERROR(VLOOKUP(Opex_VE[[#This Row],[Fecha]],Historia!A:D,4,0),"Forecast")</f>
        <v>Forecast</v>
      </c>
      <c r="J268" s="161">
        <f t="shared" ca="1" si="16"/>
        <v>553447.41666666663</v>
      </c>
      <c r="K268" s="157">
        <f ca="1">+Opex_VE[[#This Row],[MG]]-Opex_VE[[#This Row],[Opex]]</f>
        <v>0</v>
      </c>
      <c r="L268" s="156">
        <f>+VLOOKUP($A268,Opex!$C:$Z,N$1,1)</f>
        <v>55000</v>
      </c>
      <c r="M268" s="157">
        <f ca="1">+Opex_VE[[#This Row],[Opex]]</f>
        <v>0</v>
      </c>
      <c r="N268" s="156">
        <f t="shared" si="18"/>
        <v>294635</v>
      </c>
      <c r="O268" s="156">
        <f>+VLOOKUP($A268,Opex!$C:$Z,Q$1,1)</f>
        <v>4000</v>
      </c>
      <c r="P268" s="156">
        <f t="shared" si="19"/>
        <v>290635</v>
      </c>
      <c r="Q268" s="156">
        <f>+VLOOKUP($A268,Opex!$C:$Z,R$1,1)</f>
        <v>10635</v>
      </c>
      <c r="R268" s="157">
        <f>+SUM(Opex_VE[[#This Row],[Cajero]:[Domiciliario]])</f>
        <v>140000</v>
      </c>
      <c r="S268" s="156">
        <v>70000</v>
      </c>
      <c r="T268" s="156">
        <v>70000</v>
      </c>
      <c r="U268" s="156">
        <v>0</v>
      </c>
      <c r="V268"/>
    </row>
    <row r="269" spans="1:22" x14ac:dyDescent="0.2">
      <c r="A269" s="153">
        <v>46332</v>
      </c>
      <c r="B269" s="3">
        <f t="shared" si="17"/>
        <v>37</v>
      </c>
      <c r="C269" s="3" t="str">
        <f>+TEXT(Opex_VE[[#This Row],[Fecha]],"ddd")</f>
        <v>vie</v>
      </c>
      <c r="E269" s="14" t="s">
        <v>217</v>
      </c>
      <c r="F269" s="172">
        <f>IFERROR(VLOOKUP(Opex_VE[[#This Row],[Fecha]],Historia!A:B,2,0),_xlfn.XLOOKUP(Opex_VE[[#This Row],[dia]],Forecast!H:H,Forecast!I:I))</f>
        <v>248000</v>
      </c>
      <c r="G269" s="172">
        <f>IFERROR(VLOOKUP(Opex_VE[[#This Row],[Fecha]],Historia!A:C,3,0),_xlfn.XLOOKUP(Opex_VE[[#This Row],[dia]],Forecast!H:H,Forecast!J:J))</f>
        <v>99200</v>
      </c>
      <c r="H269" s="186">
        <f ca="1">+Opex_VE[[#This Row],[MG]]-Opex_VE[[#This Row],[Opex]]</f>
        <v>-122178.96666666667</v>
      </c>
      <c r="I269" s="172" t="str">
        <f>IFERROR(VLOOKUP(Opex_VE[[#This Row],[Fecha]],Historia!A:D,4,0),"Forecast")</f>
        <v>Forecast</v>
      </c>
      <c r="J269" s="161">
        <f t="shared" ref="J269:J332" ca="1" si="20">+K269/0.4</f>
        <v>553447.41666666663</v>
      </c>
      <c r="K269" s="157">
        <f ca="1">+Opex_VE[[#This Row],[MG]]-Opex_VE[[#This Row],[Opex]]</f>
        <v>0</v>
      </c>
      <c r="L269" s="156">
        <f>+VLOOKUP($A269,Opex!$C:$Z,N$1,1)</f>
        <v>55000</v>
      </c>
      <c r="M269" s="157">
        <f ca="1">+Opex_VE[[#This Row],[Opex]]</f>
        <v>0</v>
      </c>
      <c r="N269" s="156">
        <f t="shared" si="18"/>
        <v>294635</v>
      </c>
      <c r="O269" s="156">
        <f>+VLOOKUP($A269,Opex!$C:$Z,Q$1,1)</f>
        <v>4000</v>
      </c>
      <c r="P269" s="156">
        <f t="shared" si="19"/>
        <v>290635</v>
      </c>
      <c r="Q269" s="156">
        <f>+VLOOKUP($A269,Opex!$C:$Z,R$1,1)</f>
        <v>10635</v>
      </c>
      <c r="R269" s="157">
        <f>+SUM(Opex_VE[[#This Row],[Cajero]:[Domiciliario]])</f>
        <v>140000</v>
      </c>
      <c r="S269" s="156">
        <v>70000</v>
      </c>
      <c r="T269" s="156">
        <v>70000</v>
      </c>
      <c r="U269" s="156">
        <v>0</v>
      </c>
      <c r="V269"/>
    </row>
    <row r="270" spans="1:22" x14ac:dyDescent="0.2">
      <c r="A270" s="153">
        <v>46333</v>
      </c>
      <c r="B270" s="3">
        <f t="shared" si="17"/>
        <v>37</v>
      </c>
      <c r="C270" s="3" t="str">
        <f>+TEXT(Opex_VE[[#This Row],[Fecha]],"ddd")</f>
        <v>sáb</v>
      </c>
      <c r="E270" s="14" t="s">
        <v>113</v>
      </c>
      <c r="F270" s="172">
        <f>IFERROR(VLOOKUP(Opex_VE[[#This Row],[Fecha]],Historia!A:B,2,0),_xlfn.XLOOKUP(Opex_VE[[#This Row],[dia]],Forecast!H:H,Forecast!I:I))</f>
        <v>320800</v>
      </c>
      <c r="G270" s="172">
        <f>IFERROR(VLOOKUP(Opex_VE[[#This Row],[Fecha]],Historia!A:C,3,0),_xlfn.XLOOKUP(Opex_VE[[#This Row],[dia]],Forecast!H:H,Forecast!J:J))</f>
        <v>128320</v>
      </c>
      <c r="H270" s="186">
        <f ca="1">+Opex_VE[[#This Row],[MG]]-Opex_VE[[#This Row],[Opex]]</f>
        <v>-93058.966666666674</v>
      </c>
      <c r="I270" s="173" t="str">
        <f>IFERROR(VLOOKUP(Opex_VE[[#This Row],[Fecha]],Historia!A:D,4,0),"Forecast")</f>
        <v>Forecast</v>
      </c>
      <c r="J270" s="161">
        <f t="shared" ca="1" si="20"/>
        <v>553447.41666666663</v>
      </c>
      <c r="K270" s="157">
        <f ca="1">+Opex_VE[[#This Row],[MG]]-Opex_VE[[#This Row],[Opex]]</f>
        <v>0</v>
      </c>
      <c r="L270" s="156">
        <f>+VLOOKUP($A270,Opex!$C:$Z,N$1,1)</f>
        <v>55000</v>
      </c>
      <c r="M270" s="157">
        <f ca="1">+Opex_VE[[#This Row],[Opex]]</f>
        <v>0</v>
      </c>
      <c r="N270" s="156">
        <f t="shared" si="18"/>
        <v>294635</v>
      </c>
      <c r="O270" s="156">
        <f>+VLOOKUP($A270,Opex!$C:$Z,Q$1,1)</f>
        <v>4000</v>
      </c>
      <c r="P270" s="156">
        <f t="shared" si="19"/>
        <v>290635</v>
      </c>
      <c r="Q270" s="156">
        <f>+VLOOKUP($A270,Opex!$C:$Z,R$1,1)</f>
        <v>10635</v>
      </c>
      <c r="R270" s="157">
        <f>+SUM(Opex_VE[[#This Row],[Cajero]:[Domiciliario]])</f>
        <v>140000</v>
      </c>
      <c r="S270" s="156">
        <v>70000</v>
      </c>
      <c r="T270" s="156">
        <v>70000</v>
      </c>
      <c r="U270" s="156">
        <v>0</v>
      </c>
      <c r="V270"/>
    </row>
    <row r="271" spans="1:22" x14ac:dyDescent="0.2">
      <c r="A271" s="153">
        <v>46334</v>
      </c>
      <c r="B271" s="3">
        <f t="shared" si="17"/>
        <v>37</v>
      </c>
      <c r="C271" s="3" t="str">
        <f>+TEXT(Opex_VE[[#This Row],[Fecha]],"ddd")</f>
        <v>dom</v>
      </c>
      <c r="E271" s="14" t="s">
        <v>145</v>
      </c>
      <c r="F271" s="172">
        <f>IFERROR(VLOOKUP(Opex_VE[[#This Row],[Fecha]],Historia!A:B,2,0),_xlfn.XLOOKUP(Opex_VE[[#This Row],[dia]],Forecast!H:H,Forecast!I:I))</f>
        <v>218500</v>
      </c>
      <c r="G271" s="172">
        <f>IFERROR(VLOOKUP(Opex_VE[[#This Row],[Fecha]],Historia!A:C,3,0),_xlfn.XLOOKUP(Opex_VE[[#This Row],[dia]],Forecast!H:H,Forecast!J:J))</f>
        <v>87400</v>
      </c>
      <c r="H271" s="186">
        <f ca="1">+Opex_VE[[#This Row],[MG]]-Opex_VE[[#This Row],[Opex]]</f>
        <v>-133978.96666666667</v>
      </c>
      <c r="I271" s="172" t="str">
        <f>IFERROR(VLOOKUP(Opex_VE[[#This Row],[Fecha]],Historia!A:D,4,0),"Forecast")</f>
        <v>Forecast</v>
      </c>
      <c r="J271" s="161">
        <f t="shared" ca="1" si="20"/>
        <v>553447.41666666663</v>
      </c>
      <c r="K271" s="157">
        <f ca="1">+Opex_VE[[#This Row],[MG]]-Opex_VE[[#This Row],[Opex]]</f>
        <v>0</v>
      </c>
      <c r="L271" s="156">
        <f>+VLOOKUP($A271,Opex!$C:$Z,N$1,1)</f>
        <v>55000</v>
      </c>
      <c r="M271" s="157">
        <f ca="1">+Opex_VE[[#This Row],[Opex]]</f>
        <v>0</v>
      </c>
      <c r="N271" s="156">
        <f t="shared" si="18"/>
        <v>294635</v>
      </c>
      <c r="O271" s="156">
        <f>+VLOOKUP($A271,Opex!$C:$Z,Q$1,1)</f>
        <v>4000</v>
      </c>
      <c r="P271" s="156">
        <f t="shared" si="19"/>
        <v>290635</v>
      </c>
      <c r="Q271" s="156">
        <f>+VLOOKUP($A271,Opex!$C:$Z,R$1,1)</f>
        <v>10635</v>
      </c>
      <c r="R271" s="157">
        <f>+SUM(Opex_VE[[#This Row],[Cajero]:[Domiciliario]])</f>
        <v>140000</v>
      </c>
      <c r="S271" s="156">
        <v>70000</v>
      </c>
      <c r="T271" s="156">
        <v>70000</v>
      </c>
      <c r="U271" s="156">
        <v>0</v>
      </c>
      <c r="V271"/>
    </row>
    <row r="272" spans="1:22" x14ac:dyDescent="0.2">
      <c r="A272" s="153">
        <v>46335</v>
      </c>
      <c r="B272" s="3">
        <f t="shared" si="17"/>
        <v>38</v>
      </c>
      <c r="C272" s="3" t="str">
        <f>+TEXT(Opex_VE[[#This Row],[Fecha]],"ddd")</f>
        <v>lun</v>
      </c>
      <c r="E272" s="14" t="s">
        <v>112</v>
      </c>
      <c r="F272" s="172">
        <f>IFERROR(VLOOKUP(Opex_VE[[#This Row],[Fecha]],Historia!A:B,2,0),_xlfn.XLOOKUP(Opex_VE[[#This Row],[dia]],Forecast!H:H,Forecast!I:I))</f>
        <v>179200</v>
      </c>
      <c r="G272" s="172">
        <f>IFERROR(VLOOKUP(Opex_VE[[#This Row],[Fecha]],Historia!A:C,3,0),_xlfn.XLOOKUP(Opex_VE[[#This Row],[dia]],Forecast!H:H,Forecast!J:J))</f>
        <v>71680</v>
      </c>
      <c r="H272" s="186">
        <f ca="1">+Opex_VE[[#This Row],[MG]]-Opex_VE[[#This Row],[Opex]]</f>
        <v>-149698.96666666667</v>
      </c>
      <c r="I272" s="172" t="str">
        <f>IFERROR(VLOOKUP(Opex_VE[[#This Row],[Fecha]],Historia!A:D,4,0),"Forecast")</f>
        <v>Forecast</v>
      </c>
      <c r="J272" s="161">
        <f t="shared" ca="1" si="20"/>
        <v>553447.41666666663</v>
      </c>
      <c r="K272" s="157">
        <f ca="1">+Opex_VE[[#This Row],[MG]]-Opex_VE[[#This Row],[Opex]]</f>
        <v>0</v>
      </c>
      <c r="L272" s="156">
        <f>+VLOOKUP($A272,Opex!$C:$Z,N$1,1)</f>
        <v>55000</v>
      </c>
      <c r="M272" s="157">
        <f ca="1">+Opex_VE[[#This Row],[Opex]]</f>
        <v>0</v>
      </c>
      <c r="N272" s="156">
        <f t="shared" si="18"/>
        <v>294635</v>
      </c>
      <c r="O272" s="156">
        <f>+VLOOKUP($A272,Opex!$C:$Z,Q$1,1)</f>
        <v>4000</v>
      </c>
      <c r="P272" s="156">
        <f t="shared" si="19"/>
        <v>290635</v>
      </c>
      <c r="Q272" s="156">
        <f>+VLOOKUP($A272,Opex!$C:$Z,R$1,1)</f>
        <v>10635</v>
      </c>
      <c r="R272" s="157">
        <f>+SUM(Opex_VE[[#This Row],[Cajero]:[Domiciliario]])</f>
        <v>140000</v>
      </c>
      <c r="S272" s="156">
        <v>70000</v>
      </c>
      <c r="T272" s="156">
        <v>70000</v>
      </c>
      <c r="U272" s="156">
        <v>0</v>
      </c>
      <c r="V272"/>
    </row>
    <row r="273" spans="1:22" x14ac:dyDescent="0.2">
      <c r="A273" s="153">
        <v>46336</v>
      </c>
      <c r="B273" s="3">
        <f t="shared" si="17"/>
        <v>38</v>
      </c>
      <c r="C273" s="3" t="str">
        <f>+TEXT(Opex_VE[[#This Row],[Fecha]],"ddd")</f>
        <v>mar</v>
      </c>
      <c r="E273" s="14" t="s">
        <v>112</v>
      </c>
      <c r="F273" s="172">
        <f>IFERROR(VLOOKUP(Opex_VE[[#This Row],[Fecha]],Historia!A:B,2,0),_xlfn.XLOOKUP(Opex_VE[[#This Row],[dia]],Forecast!H:H,Forecast!I:I))</f>
        <v>195000</v>
      </c>
      <c r="G273" s="172">
        <f>IFERROR(VLOOKUP(Opex_VE[[#This Row],[Fecha]],Historia!A:C,3,0),_xlfn.XLOOKUP(Opex_VE[[#This Row],[dia]],Forecast!H:H,Forecast!J:J))</f>
        <v>78000</v>
      </c>
      <c r="H273" s="186">
        <f ca="1">+Opex_VE[[#This Row],[MG]]-Opex_VE[[#This Row],[Opex]]</f>
        <v>-143378.96666666667</v>
      </c>
      <c r="I273" s="172" t="str">
        <f>IFERROR(VLOOKUP(Opex_VE[[#This Row],[Fecha]],Historia!A:D,4,0),"Forecast")</f>
        <v>Forecast</v>
      </c>
      <c r="J273" s="161">
        <f t="shared" ca="1" si="20"/>
        <v>553447.41666666663</v>
      </c>
      <c r="K273" s="157">
        <f ca="1">+Opex_VE[[#This Row],[MG]]-Opex_VE[[#This Row],[Opex]]</f>
        <v>0</v>
      </c>
      <c r="L273" s="156">
        <f>+VLOOKUP($A273,Opex!$C:$Z,N$1,1)</f>
        <v>55000</v>
      </c>
      <c r="M273" s="157">
        <f ca="1">+Opex_VE[[#This Row],[Opex]]</f>
        <v>0</v>
      </c>
      <c r="N273" s="156">
        <f t="shared" si="18"/>
        <v>294635</v>
      </c>
      <c r="O273" s="156">
        <f>+VLOOKUP($A273,Opex!$C:$Z,Q$1,1)</f>
        <v>4000</v>
      </c>
      <c r="P273" s="156">
        <f t="shared" si="19"/>
        <v>290635</v>
      </c>
      <c r="Q273" s="156">
        <f>+VLOOKUP($A273,Opex!$C:$Z,R$1,1)</f>
        <v>10635</v>
      </c>
      <c r="R273" s="157">
        <f>+SUM(Opex_VE[[#This Row],[Cajero]:[Domiciliario]])</f>
        <v>140000</v>
      </c>
      <c r="S273" s="156">
        <v>70000</v>
      </c>
      <c r="T273" s="156">
        <v>70000</v>
      </c>
      <c r="U273" s="156">
        <v>0</v>
      </c>
      <c r="V273"/>
    </row>
    <row r="274" spans="1:22" x14ac:dyDescent="0.2">
      <c r="A274" s="153">
        <v>46337</v>
      </c>
      <c r="B274" s="3">
        <f t="shared" si="17"/>
        <v>38</v>
      </c>
      <c r="C274" s="3" t="str">
        <f>+TEXT(Opex_VE[[#This Row],[Fecha]],"ddd")</f>
        <v>mié</v>
      </c>
      <c r="E274" s="14" t="s">
        <v>112</v>
      </c>
      <c r="F274" s="172">
        <f>IFERROR(VLOOKUP(Opex_VE[[#This Row],[Fecha]],Historia!A:B,2,0),_xlfn.XLOOKUP(Opex_VE[[#This Row],[dia]],Forecast!H:H,Forecast!I:I))</f>
        <v>366750</v>
      </c>
      <c r="G274" s="172">
        <f>IFERROR(VLOOKUP(Opex_VE[[#This Row],[Fecha]],Historia!A:C,3,0),_xlfn.XLOOKUP(Opex_VE[[#This Row],[dia]],Forecast!H:H,Forecast!J:J))</f>
        <v>146700</v>
      </c>
      <c r="H274" s="186">
        <f ca="1">+Opex_VE[[#This Row],[MG]]-Opex_VE[[#This Row],[Opex]]</f>
        <v>-74678.966666666674</v>
      </c>
      <c r="I274" s="172" t="str">
        <f>IFERROR(VLOOKUP(Opex_VE[[#This Row],[Fecha]],Historia!A:D,4,0),"Forecast")</f>
        <v>Forecast</v>
      </c>
      <c r="J274" s="161">
        <f t="shared" ca="1" si="20"/>
        <v>553447.41666666663</v>
      </c>
      <c r="K274" s="157">
        <f ca="1">+Opex_VE[[#This Row],[MG]]-Opex_VE[[#This Row],[Opex]]</f>
        <v>0</v>
      </c>
      <c r="L274" s="156">
        <f>+VLOOKUP($A274,Opex!$C:$Z,N$1,1)</f>
        <v>55000</v>
      </c>
      <c r="M274" s="157">
        <f ca="1">+Opex_VE[[#This Row],[Opex]]</f>
        <v>0</v>
      </c>
      <c r="N274" s="156">
        <f t="shared" si="18"/>
        <v>294635</v>
      </c>
      <c r="O274" s="156">
        <f>+VLOOKUP($A274,Opex!$C:$Z,Q$1,1)</f>
        <v>4000</v>
      </c>
      <c r="P274" s="156">
        <f t="shared" si="19"/>
        <v>290635</v>
      </c>
      <c r="Q274" s="156">
        <f>+VLOOKUP($A274,Opex!$C:$Z,R$1,1)</f>
        <v>10635</v>
      </c>
      <c r="R274" s="157">
        <f>+SUM(Opex_VE[[#This Row],[Cajero]:[Domiciliario]])</f>
        <v>140000</v>
      </c>
      <c r="S274" s="156">
        <v>70000</v>
      </c>
      <c r="T274" s="156">
        <v>70000</v>
      </c>
      <c r="U274" s="156">
        <v>0</v>
      </c>
      <c r="V274"/>
    </row>
    <row r="275" spans="1:22" x14ac:dyDescent="0.2">
      <c r="A275" s="153">
        <v>46338</v>
      </c>
      <c r="B275" s="3">
        <f t="shared" si="17"/>
        <v>38</v>
      </c>
      <c r="C275" s="3" t="str">
        <f>+TEXT(Opex_VE[[#This Row],[Fecha]],"ddd")</f>
        <v>jue</v>
      </c>
      <c r="E275" s="14" t="s">
        <v>112</v>
      </c>
      <c r="F275" s="172">
        <f>IFERROR(VLOOKUP(Opex_VE[[#This Row],[Fecha]],Historia!A:B,2,0),_xlfn.XLOOKUP(Opex_VE[[#This Row],[dia]],Forecast!H:H,Forecast!I:I))</f>
        <v>234000</v>
      </c>
      <c r="G275" s="172">
        <f>IFERROR(VLOOKUP(Opex_VE[[#This Row],[Fecha]],Historia!A:C,3,0),_xlfn.XLOOKUP(Opex_VE[[#This Row],[dia]],Forecast!H:H,Forecast!J:J))</f>
        <v>93600</v>
      </c>
      <c r="H275" s="186">
        <f ca="1">+Opex_VE[[#This Row],[MG]]-Opex_VE[[#This Row],[Opex]]</f>
        <v>-127778.96666666667</v>
      </c>
      <c r="I275" s="172" t="str">
        <f>IFERROR(VLOOKUP(Opex_VE[[#This Row],[Fecha]],Historia!A:D,4,0),"Forecast")</f>
        <v>Forecast</v>
      </c>
      <c r="J275" s="161">
        <f t="shared" ca="1" si="20"/>
        <v>553447.41666666663</v>
      </c>
      <c r="K275" s="157">
        <f ca="1">+Opex_VE[[#This Row],[MG]]-Opex_VE[[#This Row],[Opex]]</f>
        <v>0</v>
      </c>
      <c r="L275" s="156">
        <f>+VLOOKUP($A275,Opex!$C:$Z,N$1,1)</f>
        <v>55000</v>
      </c>
      <c r="M275" s="157">
        <f ca="1">+Opex_VE[[#This Row],[Opex]]</f>
        <v>0</v>
      </c>
      <c r="N275" s="156">
        <f t="shared" si="18"/>
        <v>294635</v>
      </c>
      <c r="O275" s="156">
        <f>+VLOOKUP($A275,Opex!$C:$Z,Q$1,1)</f>
        <v>4000</v>
      </c>
      <c r="P275" s="156">
        <f t="shared" si="19"/>
        <v>290635</v>
      </c>
      <c r="Q275" s="156">
        <f>+VLOOKUP($A275,Opex!$C:$Z,R$1,1)</f>
        <v>10635</v>
      </c>
      <c r="R275" s="157">
        <f>+SUM(Opex_VE[[#This Row],[Cajero]:[Domiciliario]])</f>
        <v>140000</v>
      </c>
      <c r="S275" s="156">
        <v>70000</v>
      </c>
      <c r="T275" s="156">
        <v>70000</v>
      </c>
      <c r="U275" s="156">
        <v>0</v>
      </c>
      <c r="V275"/>
    </row>
    <row r="276" spans="1:22" x14ac:dyDescent="0.2">
      <c r="A276" s="153">
        <v>46339</v>
      </c>
      <c r="B276" s="3">
        <f t="shared" si="17"/>
        <v>38</v>
      </c>
      <c r="C276" s="3" t="str">
        <f>+TEXT(Opex_VE[[#This Row],[Fecha]],"ddd")</f>
        <v>vie</v>
      </c>
      <c r="E276" s="14" t="s">
        <v>217</v>
      </c>
      <c r="F276" s="172">
        <f>IFERROR(VLOOKUP(Opex_VE[[#This Row],[Fecha]],Historia!A:B,2,0),_xlfn.XLOOKUP(Opex_VE[[#This Row],[dia]],Forecast!H:H,Forecast!I:I))</f>
        <v>248000</v>
      </c>
      <c r="G276" s="172">
        <f>IFERROR(VLOOKUP(Opex_VE[[#This Row],[Fecha]],Historia!A:C,3,0),_xlfn.XLOOKUP(Opex_VE[[#This Row],[dia]],Forecast!H:H,Forecast!J:J))</f>
        <v>99200</v>
      </c>
      <c r="H276" s="186">
        <f ca="1">+Opex_VE[[#This Row],[MG]]-Opex_VE[[#This Row],[Opex]]</f>
        <v>-122178.96666666667</v>
      </c>
      <c r="I276" s="172" t="str">
        <f>IFERROR(VLOOKUP(Opex_VE[[#This Row],[Fecha]],Historia!A:D,4,0),"Forecast")</f>
        <v>Forecast</v>
      </c>
      <c r="J276" s="161">
        <f t="shared" ca="1" si="20"/>
        <v>553447.41666666663</v>
      </c>
      <c r="K276" s="157">
        <f ca="1">+Opex_VE[[#This Row],[MG]]-Opex_VE[[#This Row],[Opex]]</f>
        <v>0</v>
      </c>
      <c r="L276" s="156">
        <f>+VLOOKUP($A276,Opex!$C:$Z,N$1,1)</f>
        <v>55000</v>
      </c>
      <c r="M276" s="157">
        <f ca="1">+Opex_VE[[#This Row],[Opex]]</f>
        <v>0</v>
      </c>
      <c r="N276" s="156">
        <f t="shared" si="18"/>
        <v>294635</v>
      </c>
      <c r="O276" s="156">
        <f>+VLOOKUP($A276,Opex!$C:$Z,Q$1,1)</f>
        <v>4000</v>
      </c>
      <c r="P276" s="156">
        <f t="shared" si="19"/>
        <v>290635</v>
      </c>
      <c r="Q276" s="156">
        <f>+VLOOKUP($A276,Opex!$C:$Z,R$1,1)</f>
        <v>10635</v>
      </c>
      <c r="R276" s="157">
        <f>+SUM(Opex_VE[[#This Row],[Cajero]:[Domiciliario]])</f>
        <v>140000</v>
      </c>
      <c r="S276" s="156">
        <v>70000</v>
      </c>
      <c r="T276" s="156">
        <v>70000</v>
      </c>
      <c r="U276" s="156">
        <v>0</v>
      </c>
      <c r="V276"/>
    </row>
    <row r="277" spans="1:22" x14ac:dyDescent="0.2">
      <c r="A277" s="153">
        <v>46340</v>
      </c>
      <c r="B277" s="3">
        <f t="shared" ref="B277:B340" si="21">+B270+1</f>
        <v>38</v>
      </c>
      <c r="C277" s="3" t="str">
        <f>+TEXT(Opex_VE[[#This Row],[Fecha]],"ddd")</f>
        <v>sáb</v>
      </c>
      <c r="E277" s="14" t="s">
        <v>113</v>
      </c>
      <c r="F277" s="172">
        <f>IFERROR(VLOOKUP(Opex_VE[[#This Row],[Fecha]],Historia!A:B,2,0),_xlfn.XLOOKUP(Opex_VE[[#This Row],[dia]],Forecast!H:H,Forecast!I:I))</f>
        <v>320800</v>
      </c>
      <c r="G277" s="172">
        <f>IFERROR(VLOOKUP(Opex_VE[[#This Row],[Fecha]],Historia!A:C,3,0),_xlfn.XLOOKUP(Opex_VE[[#This Row],[dia]],Forecast!H:H,Forecast!J:J))</f>
        <v>128320</v>
      </c>
      <c r="H277" s="186">
        <f ca="1">+Opex_VE[[#This Row],[MG]]-Opex_VE[[#This Row],[Opex]]</f>
        <v>-93058.966666666674</v>
      </c>
      <c r="I277" s="173" t="str">
        <f>IFERROR(VLOOKUP(Opex_VE[[#This Row],[Fecha]],Historia!A:D,4,0),"Forecast")</f>
        <v>Forecast</v>
      </c>
      <c r="J277" s="161">
        <f t="shared" ca="1" si="20"/>
        <v>553447.41666666663</v>
      </c>
      <c r="K277" s="157">
        <f ca="1">+Opex_VE[[#This Row],[MG]]-Opex_VE[[#This Row],[Opex]]</f>
        <v>0</v>
      </c>
      <c r="L277" s="156">
        <f>+VLOOKUP($A277,Opex!$C:$Z,N$1,1)</f>
        <v>55000</v>
      </c>
      <c r="M277" s="157">
        <f ca="1">+Opex_VE[[#This Row],[Opex]]</f>
        <v>0</v>
      </c>
      <c r="N277" s="156">
        <f t="shared" si="18"/>
        <v>294635</v>
      </c>
      <c r="O277" s="156">
        <f>+VLOOKUP($A277,Opex!$C:$Z,Q$1,1)</f>
        <v>4000</v>
      </c>
      <c r="P277" s="156">
        <f t="shared" si="19"/>
        <v>290635</v>
      </c>
      <c r="Q277" s="156">
        <f>+VLOOKUP($A277,Opex!$C:$Z,R$1,1)</f>
        <v>10635</v>
      </c>
      <c r="R277" s="157">
        <f>+SUM(Opex_VE[[#This Row],[Cajero]:[Domiciliario]])</f>
        <v>140000</v>
      </c>
      <c r="S277" s="156">
        <v>70000</v>
      </c>
      <c r="T277" s="156">
        <v>70000</v>
      </c>
      <c r="U277" s="156">
        <v>0</v>
      </c>
      <c r="V277"/>
    </row>
    <row r="278" spans="1:22" x14ac:dyDescent="0.2">
      <c r="A278" s="153">
        <v>46341</v>
      </c>
      <c r="B278" s="3">
        <f t="shared" si="21"/>
        <v>38</v>
      </c>
      <c r="C278" s="3" t="str">
        <f>+TEXT(Opex_VE[[#This Row],[Fecha]],"ddd")</f>
        <v>dom</v>
      </c>
      <c r="E278" s="14" t="s">
        <v>145</v>
      </c>
      <c r="F278" s="172">
        <f>IFERROR(VLOOKUP(Opex_VE[[#This Row],[Fecha]],Historia!A:B,2,0),_xlfn.XLOOKUP(Opex_VE[[#This Row],[dia]],Forecast!H:H,Forecast!I:I))</f>
        <v>218500</v>
      </c>
      <c r="G278" s="172">
        <f>IFERROR(VLOOKUP(Opex_VE[[#This Row],[Fecha]],Historia!A:C,3,0),_xlfn.XLOOKUP(Opex_VE[[#This Row],[dia]],Forecast!H:H,Forecast!J:J))</f>
        <v>87400</v>
      </c>
      <c r="H278" s="186">
        <f ca="1">+Opex_VE[[#This Row],[MG]]-Opex_VE[[#This Row],[Opex]]</f>
        <v>-136785.13793103449</v>
      </c>
      <c r="I278" s="172" t="str">
        <f>IFERROR(VLOOKUP(Opex_VE[[#This Row],[Fecha]],Historia!A:D,4,0),"Forecast")</f>
        <v>Forecast</v>
      </c>
      <c r="J278" s="161">
        <f t="shared" ca="1" si="20"/>
        <v>560462.8448275862</v>
      </c>
      <c r="K278" s="157">
        <f ca="1">+Opex_VE[[#This Row],[MG]]-Opex_VE[[#This Row],[Opex]]</f>
        <v>0</v>
      </c>
      <c r="L278" s="156">
        <f>+VLOOKUP($A278,Opex!$C:$Z,N$1,1)</f>
        <v>56896.551724137928</v>
      </c>
      <c r="M278" s="157">
        <f ca="1">+Opex_VE[[#This Row],[Opex]]</f>
        <v>0</v>
      </c>
      <c r="N278" s="156">
        <f t="shared" si="18"/>
        <v>295139.6551724138</v>
      </c>
      <c r="O278" s="156">
        <f>+VLOOKUP($A278,Opex!$C:$Z,Q$1,1)</f>
        <v>4137.9310344827591</v>
      </c>
      <c r="P278" s="156">
        <f t="shared" si="19"/>
        <v>291001.72413793101</v>
      </c>
      <c r="Q278" s="156">
        <f>+VLOOKUP($A278,Opex!$C:$Z,R$1,1)</f>
        <v>11001.724137931034</v>
      </c>
      <c r="R278" s="157">
        <f>+SUM(Opex_VE[[#This Row],[Cajero]:[Domiciliario]])</f>
        <v>140000</v>
      </c>
      <c r="S278" s="156">
        <v>70000</v>
      </c>
      <c r="T278" s="156">
        <v>70000</v>
      </c>
      <c r="U278" s="156">
        <v>0</v>
      </c>
      <c r="V278"/>
    </row>
    <row r="279" spans="1:22" x14ac:dyDescent="0.2">
      <c r="A279" s="153">
        <v>46342</v>
      </c>
      <c r="B279" s="3">
        <f t="shared" si="21"/>
        <v>39</v>
      </c>
      <c r="C279" s="3" t="str">
        <f>+TEXT(Opex_VE[[#This Row],[Fecha]],"ddd")</f>
        <v>lun</v>
      </c>
      <c r="E279" s="14" t="s">
        <v>112</v>
      </c>
      <c r="F279" s="172">
        <f>IFERROR(VLOOKUP(Opex_VE[[#This Row],[Fecha]],Historia!A:B,2,0),_xlfn.XLOOKUP(Opex_VE[[#This Row],[dia]],Forecast!H:H,Forecast!I:I))</f>
        <v>179200</v>
      </c>
      <c r="G279" s="172">
        <f>IFERROR(VLOOKUP(Opex_VE[[#This Row],[Fecha]],Historia!A:C,3,0),_xlfn.XLOOKUP(Opex_VE[[#This Row],[dia]],Forecast!H:H,Forecast!J:J))</f>
        <v>71680</v>
      </c>
      <c r="H279" s="186">
        <f ca="1">+Opex_VE[[#This Row],[MG]]-Opex_VE[[#This Row],[Opex]]</f>
        <v>-152505.13793103449</v>
      </c>
      <c r="I279" s="172" t="str">
        <f>IFERROR(VLOOKUP(Opex_VE[[#This Row],[Fecha]],Historia!A:D,4,0),"Forecast")</f>
        <v>Forecast</v>
      </c>
      <c r="J279" s="161">
        <f t="shared" ca="1" si="20"/>
        <v>560462.8448275862</v>
      </c>
      <c r="K279" s="157">
        <f ca="1">+Opex_VE[[#This Row],[MG]]-Opex_VE[[#This Row],[Opex]]</f>
        <v>0</v>
      </c>
      <c r="L279" s="156">
        <f>+VLOOKUP($A279,Opex!$C:$Z,N$1,1)</f>
        <v>56896.551724137928</v>
      </c>
      <c r="M279" s="157">
        <f ca="1">+Opex_VE[[#This Row],[Opex]]</f>
        <v>0</v>
      </c>
      <c r="N279" s="156">
        <f t="shared" si="18"/>
        <v>295139.6551724138</v>
      </c>
      <c r="O279" s="156">
        <f>+VLOOKUP($A279,Opex!$C:$Z,Q$1,1)</f>
        <v>4137.9310344827591</v>
      </c>
      <c r="P279" s="156">
        <f t="shared" si="19"/>
        <v>291001.72413793101</v>
      </c>
      <c r="Q279" s="156">
        <f>+VLOOKUP($A279,Opex!$C:$Z,R$1,1)</f>
        <v>11001.724137931034</v>
      </c>
      <c r="R279" s="157">
        <f>+SUM(Opex_VE[[#This Row],[Cajero]:[Domiciliario]])</f>
        <v>140000</v>
      </c>
      <c r="S279" s="156">
        <v>70000</v>
      </c>
      <c r="T279" s="156">
        <v>70000</v>
      </c>
      <c r="U279" s="156">
        <v>0</v>
      </c>
      <c r="V279"/>
    </row>
    <row r="280" spans="1:22" x14ac:dyDescent="0.2">
      <c r="A280" s="153">
        <v>46343</v>
      </c>
      <c r="B280" s="3">
        <f t="shared" si="21"/>
        <v>39</v>
      </c>
      <c r="C280" s="3" t="str">
        <f>+TEXT(Opex_VE[[#This Row],[Fecha]],"ddd")</f>
        <v>mar</v>
      </c>
      <c r="E280" s="14" t="s">
        <v>112</v>
      </c>
      <c r="F280" s="172">
        <f>IFERROR(VLOOKUP(Opex_VE[[#This Row],[Fecha]],Historia!A:B,2,0),_xlfn.XLOOKUP(Opex_VE[[#This Row],[dia]],Forecast!H:H,Forecast!I:I))</f>
        <v>195000</v>
      </c>
      <c r="G280" s="172">
        <f>IFERROR(VLOOKUP(Opex_VE[[#This Row],[Fecha]],Historia!A:C,3,0),_xlfn.XLOOKUP(Opex_VE[[#This Row],[dia]],Forecast!H:H,Forecast!J:J))</f>
        <v>78000</v>
      </c>
      <c r="H280" s="186">
        <f ca="1">+Opex_VE[[#This Row],[MG]]-Opex_VE[[#This Row],[Opex]]</f>
        <v>-146185.13793103449</v>
      </c>
      <c r="I280" s="172" t="str">
        <f>IFERROR(VLOOKUP(Opex_VE[[#This Row],[Fecha]],Historia!A:D,4,0),"Forecast")</f>
        <v>Forecast</v>
      </c>
      <c r="J280" s="161">
        <f t="shared" ca="1" si="20"/>
        <v>560462.8448275862</v>
      </c>
      <c r="K280" s="157">
        <f ca="1">+Opex_VE[[#This Row],[MG]]-Opex_VE[[#This Row],[Opex]]</f>
        <v>0</v>
      </c>
      <c r="L280" s="156">
        <f>+VLOOKUP($A280,Opex!$C:$Z,N$1,1)</f>
        <v>56896.551724137928</v>
      </c>
      <c r="M280" s="157">
        <f ca="1">+Opex_VE[[#This Row],[Opex]]</f>
        <v>0</v>
      </c>
      <c r="N280" s="156">
        <f t="shared" si="18"/>
        <v>295139.6551724138</v>
      </c>
      <c r="O280" s="156">
        <f>+VLOOKUP($A280,Opex!$C:$Z,Q$1,1)</f>
        <v>4137.9310344827591</v>
      </c>
      <c r="P280" s="156">
        <f t="shared" si="19"/>
        <v>291001.72413793101</v>
      </c>
      <c r="Q280" s="156">
        <f>+VLOOKUP($A280,Opex!$C:$Z,R$1,1)</f>
        <v>11001.724137931034</v>
      </c>
      <c r="R280" s="157">
        <f>+SUM(Opex_VE[[#This Row],[Cajero]:[Domiciliario]])</f>
        <v>140000</v>
      </c>
      <c r="S280" s="156">
        <v>70000</v>
      </c>
      <c r="T280" s="156">
        <v>70000</v>
      </c>
      <c r="U280" s="156">
        <v>0</v>
      </c>
      <c r="V280"/>
    </row>
    <row r="281" spans="1:22" x14ac:dyDescent="0.2">
      <c r="A281" s="153">
        <v>46344</v>
      </c>
      <c r="B281" s="3">
        <f t="shared" si="21"/>
        <v>39</v>
      </c>
      <c r="C281" s="3" t="str">
        <f>+TEXT(Opex_VE[[#This Row],[Fecha]],"ddd")</f>
        <v>mié</v>
      </c>
      <c r="E281" s="14" t="s">
        <v>112</v>
      </c>
      <c r="F281" s="172">
        <f>IFERROR(VLOOKUP(Opex_VE[[#This Row],[Fecha]],Historia!A:B,2,0),_xlfn.XLOOKUP(Opex_VE[[#This Row],[dia]],Forecast!H:H,Forecast!I:I))</f>
        <v>366750</v>
      </c>
      <c r="G281" s="172">
        <f>IFERROR(VLOOKUP(Opex_VE[[#This Row],[Fecha]],Historia!A:C,3,0),_xlfn.XLOOKUP(Opex_VE[[#This Row],[dia]],Forecast!H:H,Forecast!J:J))</f>
        <v>146700</v>
      </c>
      <c r="H281" s="186">
        <f ca="1">+Opex_VE[[#This Row],[MG]]-Opex_VE[[#This Row],[Opex]]</f>
        <v>-77485.137931034493</v>
      </c>
      <c r="I281" s="172" t="str">
        <f>IFERROR(VLOOKUP(Opex_VE[[#This Row],[Fecha]],Historia!A:D,4,0),"Forecast")</f>
        <v>Forecast</v>
      </c>
      <c r="J281" s="161">
        <f t="shared" ca="1" si="20"/>
        <v>560462.8448275862</v>
      </c>
      <c r="K281" s="157">
        <f ca="1">+Opex_VE[[#This Row],[MG]]-Opex_VE[[#This Row],[Opex]]</f>
        <v>0</v>
      </c>
      <c r="L281" s="156">
        <f>+VLOOKUP($A281,Opex!$C:$Z,N$1,1)</f>
        <v>56896.551724137928</v>
      </c>
      <c r="M281" s="157">
        <f ca="1">+Opex_VE[[#This Row],[Opex]]</f>
        <v>0</v>
      </c>
      <c r="N281" s="156">
        <f t="shared" si="18"/>
        <v>295139.6551724138</v>
      </c>
      <c r="O281" s="156">
        <f>+VLOOKUP($A281,Opex!$C:$Z,Q$1,1)</f>
        <v>4137.9310344827591</v>
      </c>
      <c r="P281" s="156">
        <f t="shared" si="19"/>
        <v>291001.72413793101</v>
      </c>
      <c r="Q281" s="156">
        <f>+VLOOKUP($A281,Opex!$C:$Z,R$1,1)</f>
        <v>11001.724137931034</v>
      </c>
      <c r="R281" s="157">
        <f>+SUM(Opex_VE[[#This Row],[Cajero]:[Domiciliario]])</f>
        <v>140000</v>
      </c>
      <c r="S281" s="156">
        <v>70000</v>
      </c>
      <c r="T281" s="156">
        <v>70000</v>
      </c>
      <c r="U281" s="156">
        <v>0</v>
      </c>
      <c r="V281"/>
    </row>
    <row r="282" spans="1:22" x14ac:dyDescent="0.2">
      <c r="A282" s="153">
        <v>46345</v>
      </c>
      <c r="B282" s="3">
        <f t="shared" si="21"/>
        <v>39</v>
      </c>
      <c r="C282" s="3" t="str">
        <f>+TEXT(Opex_VE[[#This Row],[Fecha]],"ddd")</f>
        <v>jue</v>
      </c>
      <c r="E282" s="14" t="s">
        <v>112</v>
      </c>
      <c r="F282" s="172">
        <f>IFERROR(VLOOKUP(Opex_VE[[#This Row],[Fecha]],Historia!A:B,2,0),_xlfn.XLOOKUP(Opex_VE[[#This Row],[dia]],Forecast!H:H,Forecast!I:I))</f>
        <v>234000</v>
      </c>
      <c r="G282" s="172">
        <f>IFERROR(VLOOKUP(Opex_VE[[#This Row],[Fecha]],Historia!A:C,3,0),_xlfn.XLOOKUP(Opex_VE[[#This Row],[dia]],Forecast!H:H,Forecast!J:J))</f>
        <v>93600</v>
      </c>
      <c r="H282" s="186">
        <f ca="1">+Opex_VE[[#This Row],[MG]]-Opex_VE[[#This Row],[Opex]]</f>
        <v>-130585.13793103449</v>
      </c>
      <c r="I282" s="172" t="str">
        <f>IFERROR(VLOOKUP(Opex_VE[[#This Row],[Fecha]],Historia!A:D,4,0),"Forecast")</f>
        <v>Forecast</v>
      </c>
      <c r="J282" s="161">
        <f t="shared" ca="1" si="20"/>
        <v>560462.8448275862</v>
      </c>
      <c r="K282" s="157">
        <f ca="1">+Opex_VE[[#This Row],[MG]]-Opex_VE[[#This Row],[Opex]]</f>
        <v>0</v>
      </c>
      <c r="L282" s="156">
        <f>+VLOOKUP($A282,Opex!$C:$Z,N$1,1)</f>
        <v>56896.551724137928</v>
      </c>
      <c r="M282" s="157">
        <f ca="1">+Opex_VE[[#This Row],[Opex]]</f>
        <v>0</v>
      </c>
      <c r="N282" s="156">
        <f t="shared" si="18"/>
        <v>295139.6551724138</v>
      </c>
      <c r="O282" s="156">
        <f>+VLOOKUP($A282,Opex!$C:$Z,Q$1,1)</f>
        <v>4137.9310344827591</v>
      </c>
      <c r="P282" s="156">
        <f t="shared" si="19"/>
        <v>291001.72413793101</v>
      </c>
      <c r="Q282" s="156">
        <f>+VLOOKUP($A282,Opex!$C:$Z,R$1,1)</f>
        <v>11001.724137931034</v>
      </c>
      <c r="R282" s="157">
        <f>+SUM(Opex_VE[[#This Row],[Cajero]:[Domiciliario]])</f>
        <v>140000</v>
      </c>
      <c r="S282" s="156">
        <v>70000</v>
      </c>
      <c r="T282" s="156">
        <v>70000</v>
      </c>
      <c r="U282" s="156">
        <v>0</v>
      </c>
      <c r="V282"/>
    </row>
    <row r="283" spans="1:22" x14ac:dyDescent="0.2">
      <c r="A283" s="153">
        <v>46346</v>
      </c>
      <c r="B283" s="3">
        <f t="shared" si="21"/>
        <v>39</v>
      </c>
      <c r="C283" s="3" t="str">
        <f>+TEXT(Opex_VE[[#This Row],[Fecha]],"ddd")</f>
        <v>vie</v>
      </c>
      <c r="E283" s="14" t="s">
        <v>217</v>
      </c>
      <c r="F283" s="172">
        <f>IFERROR(VLOOKUP(Opex_VE[[#This Row],[Fecha]],Historia!A:B,2,0),_xlfn.XLOOKUP(Opex_VE[[#This Row],[dia]],Forecast!H:H,Forecast!I:I))</f>
        <v>248000</v>
      </c>
      <c r="G283" s="172">
        <f>IFERROR(VLOOKUP(Opex_VE[[#This Row],[Fecha]],Historia!A:C,3,0),_xlfn.XLOOKUP(Opex_VE[[#This Row],[dia]],Forecast!H:H,Forecast!J:J))</f>
        <v>99200</v>
      </c>
      <c r="H283" s="186">
        <f ca="1">+Opex_VE[[#This Row],[MG]]-Opex_VE[[#This Row],[Opex]]</f>
        <v>-124985.13793103449</v>
      </c>
      <c r="I283" s="172" t="str">
        <f>IFERROR(VLOOKUP(Opex_VE[[#This Row],[Fecha]],Historia!A:D,4,0),"Forecast")</f>
        <v>Forecast</v>
      </c>
      <c r="J283" s="161">
        <f t="shared" ca="1" si="20"/>
        <v>560462.8448275862</v>
      </c>
      <c r="K283" s="157">
        <f ca="1">+Opex_VE[[#This Row],[MG]]-Opex_VE[[#This Row],[Opex]]</f>
        <v>0</v>
      </c>
      <c r="L283" s="156">
        <f>+VLOOKUP($A283,Opex!$C:$Z,N$1,1)</f>
        <v>56896.551724137928</v>
      </c>
      <c r="M283" s="157">
        <f ca="1">+Opex_VE[[#This Row],[Opex]]</f>
        <v>0</v>
      </c>
      <c r="N283" s="156">
        <f t="shared" si="18"/>
        <v>295139.6551724138</v>
      </c>
      <c r="O283" s="156">
        <f>+VLOOKUP($A283,Opex!$C:$Z,Q$1,1)</f>
        <v>4137.9310344827591</v>
      </c>
      <c r="P283" s="156">
        <f t="shared" si="19"/>
        <v>291001.72413793101</v>
      </c>
      <c r="Q283" s="156">
        <f>+VLOOKUP($A283,Opex!$C:$Z,R$1,1)</f>
        <v>11001.724137931034</v>
      </c>
      <c r="R283" s="157">
        <f>+SUM(Opex_VE[[#This Row],[Cajero]:[Domiciliario]])</f>
        <v>140000</v>
      </c>
      <c r="S283" s="156">
        <v>70000</v>
      </c>
      <c r="T283" s="156">
        <v>70000</v>
      </c>
      <c r="U283" s="156">
        <v>0</v>
      </c>
      <c r="V283"/>
    </row>
    <row r="284" spans="1:22" x14ac:dyDescent="0.2">
      <c r="A284" s="153">
        <v>46347</v>
      </c>
      <c r="B284" s="3">
        <f t="shared" si="21"/>
        <v>39</v>
      </c>
      <c r="C284" s="3" t="str">
        <f>+TEXT(Opex_VE[[#This Row],[Fecha]],"ddd")</f>
        <v>sáb</v>
      </c>
      <c r="E284" s="14" t="s">
        <v>113</v>
      </c>
      <c r="F284" s="172">
        <f>IFERROR(VLOOKUP(Opex_VE[[#This Row],[Fecha]],Historia!A:B,2,0),_xlfn.XLOOKUP(Opex_VE[[#This Row],[dia]],Forecast!H:H,Forecast!I:I))</f>
        <v>320800</v>
      </c>
      <c r="G284" s="172">
        <f>IFERROR(VLOOKUP(Opex_VE[[#This Row],[Fecha]],Historia!A:C,3,0),_xlfn.XLOOKUP(Opex_VE[[#This Row],[dia]],Forecast!H:H,Forecast!J:J))</f>
        <v>128320</v>
      </c>
      <c r="H284" s="186">
        <f ca="1">+Opex_VE[[#This Row],[MG]]-Opex_VE[[#This Row],[Opex]]</f>
        <v>-95865.137931034493</v>
      </c>
      <c r="I284" s="173" t="str">
        <f>IFERROR(VLOOKUP(Opex_VE[[#This Row],[Fecha]],Historia!A:D,4,0),"Forecast")</f>
        <v>Forecast</v>
      </c>
      <c r="J284" s="161">
        <f t="shared" ca="1" si="20"/>
        <v>560462.8448275862</v>
      </c>
      <c r="K284" s="157">
        <f ca="1">+Opex_VE[[#This Row],[MG]]-Opex_VE[[#This Row],[Opex]]</f>
        <v>0</v>
      </c>
      <c r="L284" s="156">
        <f>+VLOOKUP($A284,Opex!$C:$Z,N$1,1)</f>
        <v>56896.551724137928</v>
      </c>
      <c r="M284" s="157">
        <f ca="1">+Opex_VE[[#This Row],[Opex]]</f>
        <v>0</v>
      </c>
      <c r="N284" s="156">
        <f t="shared" si="18"/>
        <v>295139.6551724138</v>
      </c>
      <c r="O284" s="156">
        <f>+VLOOKUP($A284,Opex!$C:$Z,Q$1,1)</f>
        <v>4137.9310344827591</v>
      </c>
      <c r="P284" s="156">
        <f t="shared" si="19"/>
        <v>291001.72413793101</v>
      </c>
      <c r="Q284" s="156">
        <f>+VLOOKUP($A284,Opex!$C:$Z,R$1,1)</f>
        <v>11001.724137931034</v>
      </c>
      <c r="R284" s="157">
        <f>+SUM(Opex_VE[[#This Row],[Cajero]:[Domiciliario]])</f>
        <v>140000</v>
      </c>
      <c r="S284" s="156">
        <v>70000</v>
      </c>
      <c r="T284" s="156">
        <v>70000</v>
      </c>
      <c r="U284" s="156">
        <v>0</v>
      </c>
      <c r="V284"/>
    </row>
    <row r="285" spans="1:22" x14ac:dyDescent="0.2">
      <c r="A285" s="153">
        <v>46348</v>
      </c>
      <c r="B285" s="3">
        <f t="shared" si="21"/>
        <v>39</v>
      </c>
      <c r="C285" s="3" t="str">
        <f>+TEXT(Opex_VE[[#This Row],[Fecha]],"ddd")</f>
        <v>dom</v>
      </c>
      <c r="E285" s="14" t="s">
        <v>145</v>
      </c>
      <c r="F285" s="172">
        <f>IFERROR(VLOOKUP(Opex_VE[[#This Row],[Fecha]],Historia!A:B,2,0),_xlfn.XLOOKUP(Opex_VE[[#This Row],[dia]],Forecast!H:H,Forecast!I:I))</f>
        <v>218500</v>
      </c>
      <c r="G285" s="172">
        <f>IFERROR(VLOOKUP(Opex_VE[[#This Row],[Fecha]],Historia!A:C,3,0),_xlfn.XLOOKUP(Opex_VE[[#This Row],[dia]],Forecast!H:H,Forecast!J:J))</f>
        <v>87400</v>
      </c>
      <c r="H285" s="186">
        <f ca="1">+Opex_VE[[#This Row],[MG]]-Opex_VE[[#This Row],[Opex]]</f>
        <v>-136785.13793103449</v>
      </c>
      <c r="I285" s="172" t="str">
        <f>IFERROR(VLOOKUP(Opex_VE[[#This Row],[Fecha]],Historia!A:D,4,0),"Forecast")</f>
        <v>Forecast</v>
      </c>
      <c r="J285" s="161">
        <f t="shared" ca="1" si="20"/>
        <v>560462.8448275862</v>
      </c>
      <c r="K285" s="157">
        <f ca="1">+Opex_VE[[#This Row],[MG]]-Opex_VE[[#This Row],[Opex]]</f>
        <v>0</v>
      </c>
      <c r="L285" s="156">
        <f>+VLOOKUP($A285,Opex!$C:$Z,N$1,1)</f>
        <v>56896.551724137928</v>
      </c>
      <c r="M285" s="157">
        <f ca="1">+Opex_VE[[#This Row],[Opex]]</f>
        <v>0</v>
      </c>
      <c r="N285" s="156">
        <f t="shared" si="18"/>
        <v>295139.6551724138</v>
      </c>
      <c r="O285" s="156">
        <f>+VLOOKUP($A285,Opex!$C:$Z,Q$1,1)</f>
        <v>4137.9310344827591</v>
      </c>
      <c r="P285" s="156">
        <f t="shared" si="19"/>
        <v>291001.72413793101</v>
      </c>
      <c r="Q285" s="156">
        <f>+VLOOKUP($A285,Opex!$C:$Z,R$1,1)</f>
        <v>11001.724137931034</v>
      </c>
      <c r="R285" s="157">
        <f>+SUM(Opex_VE[[#This Row],[Cajero]:[Domiciliario]])</f>
        <v>140000</v>
      </c>
      <c r="S285" s="156">
        <v>70000</v>
      </c>
      <c r="T285" s="156">
        <v>70000</v>
      </c>
      <c r="U285" s="156">
        <v>0</v>
      </c>
      <c r="V285"/>
    </row>
    <row r="286" spans="1:22" x14ac:dyDescent="0.2">
      <c r="A286" s="153">
        <v>46349</v>
      </c>
      <c r="B286" s="3">
        <f t="shared" si="21"/>
        <v>40</v>
      </c>
      <c r="C286" s="3" t="str">
        <f>+TEXT(Opex_VE[[#This Row],[Fecha]],"ddd")</f>
        <v>lun</v>
      </c>
      <c r="E286" s="14" t="s">
        <v>112</v>
      </c>
      <c r="F286" s="172">
        <f>IFERROR(VLOOKUP(Opex_VE[[#This Row],[Fecha]],Historia!A:B,2,0),_xlfn.XLOOKUP(Opex_VE[[#This Row],[dia]],Forecast!H:H,Forecast!I:I))</f>
        <v>179200</v>
      </c>
      <c r="G286" s="172">
        <f>IFERROR(VLOOKUP(Opex_VE[[#This Row],[Fecha]],Historia!A:C,3,0),_xlfn.XLOOKUP(Opex_VE[[#This Row],[dia]],Forecast!H:H,Forecast!J:J))</f>
        <v>71680</v>
      </c>
      <c r="H286" s="186">
        <f ca="1">+Opex_VE[[#This Row],[MG]]-Opex_VE[[#This Row],[Opex]]</f>
        <v>-152505.13793103449</v>
      </c>
      <c r="I286" s="172" t="str">
        <f>IFERROR(VLOOKUP(Opex_VE[[#This Row],[Fecha]],Historia!A:D,4,0),"Forecast")</f>
        <v>Forecast</v>
      </c>
      <c r="J286" s="161">
        <f t="shared" ca="1" si="20"/>
        <v>560462.8448275862</v>
      </c>
      <c r="K286" s="157">
        <f ca="1">+Opex_VE[[#This Row],[MG]]-Opex_VE[[#This Row],[Opex]]</f>
        <v>0</v>
      </c>
      <c r="L286" s="156">
        <f>+VLOOKUP($A286,Opex!$C:$Z,N$1,1)</f>
        <v>56896.551724137928</v>
      </c>
      <c r="M286" s="157">
        <f ca="1">+Opex_VE[[#This Row],[Opex]]</f>
        <v>0</v>
      </c>
      <c r="N286" s="156">
        <f t="shared" si="18"/>
        <v>295139.6551724138</v>
      </c>
      <c r="O286" s="156">
        <f>+VLOOKUP($A286,Opex!$C:$Z,Q$1,1)</f>
        <v>4137.9310344827591</v>
      </c>
      <c r="P286" s="156">
        <f t="shared" si="19"/>
        <v>291001.72413793101</v>
      </c>
      <c r="Q286" s="156">
        <f>+VLOOKUP($A286,Opex!$C:$Z,R$1,1)</f>
        <v>11001.724137931034</v>
      </c>
      <c r="R286" s="157">
        <f>+SUM(Opex_VE[[#This Row],[Cajero]:[Domiciliario]])</f>
        <v>140000</v>
      </c>
      <c r="S286" s="156">
        <v>70000</v>
      </c>
      <c r="T286" s="156">
        <v>70000</v>
      </c>
      <c r="U286" s="156">
        <v>0</v>
      </c>
      <c r="V286"/>
    </row>
    <row r="287" spans="1:22" x14ac:dyDescent="0.2">
      <c r="A287" s="153">
        <v>46350</v>
      </c>
      <c r="B287" s="3">
        <f t="shared" si="21"/>
        <v>40</v>
      </c>
      <c r="C287" s="3" t="str">
        <f>+TEXT(Opex_VE[[#This Row],[Fecha]],"ddd")</f>
        <v>mar</v>
      </c>
      <c r="E287" s="14" t="s">
        <v>112</v>
      </c>
      <c r="F287" s="172">
        <f>IFERROR(VLOOKUP(Opex_VE[[#This Row],[Fecha]],Historia!A:B,2,0),_xlfn.XLOOKUP(Opex_VE[[#This Row],[dia]],Forecast!H:H,Forecast!I:I))</f>
        <v>195000</v>
      </c>
      <c r="G287" s="172">
        <f>IFERROR(VLOOKUP(Opex_VE[[#This Row],[Fecha]],Historia!A:C,3,0),_xlfn.XLOOKUP(Opex_VE[[#This Row],[dia]],Forecast!H:H,Forecast!J:J))</f>
        <v>78000</v>
      </c>
      <c r="H287" s="186">
        <f ca="1">+Opex_VE[[#This Row],[MG]]-Opex_VE[[#This Row],[Opex]]</f>
        <v>-146185.13793103449</v>
      </c>
      <c r="I287" s="172" t="str">
        <f>IFERROR(VLOOKUP(Opex_VE[[#This Row],[Fecha]],Historia!A:D,4,0),"Forecast")</f>
        <v>Forecast</v>
      </c>
      <c r="J287" s="161">
        <f t="shared" ca="1" si="20"/>
        <v>560462.8448275862</v>
      </c>
      <c r="K287" s="157">
        <f ca="1">+Opex_VE[[#This Row],[MG]]-Opex_VE[[#This Row],[Opex]]</f>
        <v>0</v>
      </c>
      <c r="L287" s="156">
        <f>+VLOOKUP($A287,Opex!$C:$Z,N$1,1)</f>
        <v>56896.551724137928</v>
      </c>
      <c r="M287" s="157">
        <f ca="1">+Opex_VE[[#This Row],[Opex]]</f>
        <v>0</v>
      </c>
      <c r="N287" s="156">
        <f t="shared" si="18"/>
        <v>295139.6551724138</v>
      </c>
      <c r="O287" s="156">
        <f>+VLOOKUP($A287,Opex!$C:$Z,Q$1,1)</f>
        <v>4137.9310344827591</v>
      </c>
      <c r="P287" s="156">
        <f t="shared" si="19"/>
        <v>291001.72413793101</v>
      </c>
      <c r="Q287" s="156">
        <f>+VLOOKUP($A287,Opex!$C:$Z,R$1,1)</f>
        <v>11001.724137931034</v>
      </c>
      <c r="R287" s="157">
        <f>+SUM(Opex_VE[[#This Row],[Cajero]:[Domiciliario]])</f>
        <v>140000</v>
      </c>
      <c r="S287" s="156">
        <v>70000</v>
      </c>
      <c r="T287" s="156">
        <v>70000</v>
      </c>
      <c r="U287" s="156">
        <v>0</v>
      </c>
      <c r="V287"/>
    </row>
    <row r="288" spans="1:22" x14ac:dyDescent="0.2">
      <c r="A288" s="153">
        <v>46351</v>
      </c>
      <c r="B288" s="3">
        <f t="shared" si="21"/>
        <v>40</v>
      </c>
      <c r="C288" s="3" t="str">
        <f>+TEXT(Opex_VE[[#This Row],[Fecha]],"ddd")</f>
        <v>mié</v>
      </c>
      <c r="E288" s="14" t="s">
        <v>112</v>
      </c>
      <c r="F288" s="172">
        <f>IFERROR(VLOOKUP(Opex_VE[[#This Row],[Fecha]],Historia!A:B,2,0),_xlfn.XLOOKUP(Opex_VE[[#This Row],[dia]],Forecast!H:H,Forecast!I:I))</f>
        <v>366750</v>
      </c>
      <c r="G288" s="172">
        <f>IFERROR(VLOOKUP(Opex_VE[[#This Row],[Fecha]],Historia!A:C,3,0),_xlfn.XLOOKUP(Opex_VE[[#This Row],[dia]],Forecast!H:H,Forecast!J:J))</f>
        <v>146700</v>
      </c>
      <c r="H288" s="186">
        <f ca="1">+Opex_VE[[#This Row],[MG]]-Opex_VE[[#This Row],[Opex]]</f>
        <v>-77485.137931034493</v>
      </c>
      <c r="I288" s="172" t="str">
        <f>IFERROR(VLOOKUP(Opex_VE[[#This Row],[Fecha]],Historia!A:D,4,0),"Forecast")</f>
        <v>Forecast</v>
      </c>
      <c r="J288" s="161">
        <f t="shared" ca="1" si="20"/>
        <v>560462.8448275862</v>
      </c>
      <c r="K288" s="157">
        <f ca="1">+Opex_VE[[#This Row],[MG]]-Opex_VE[[#This Row],[Opex]]</f>
        <v>0</v>
      </c>
      <c r="L288" s="156">
        <f>+VLOOKUP($A288,Opex!$C:$Z,N$1,1)</f>
        <v>56896.551724137928</v>
      </c>
      <c r="M288" s="157">
        <f ca="1">+Opex_VE[[#This Row],[Opex]]</f>
        <v>0</v>
      </c>
      <c r="N288" s="156">
        <f t="shared" si="18"/>
        <v>295139.6551724138</v>
      </c>
      <c r="O288" s="156">
        <f>+VLOOKUP($A288,Opex!$C:$Z,Q$1,1)</f>
        <v>4137.9310344827591</v>
      </c>
      <c r="P288" s="156">
        <f t="shared" si="19"/>
        <v>291001.72413793101</v>
      </c>
      <c r="Q288" s="156">
        <f>+VLOOKUP($A288,Opex!$C:$Z,R$1,1)</f>
        <v>11001.724137931034</v>
      </c>
      <c r="R288" s="157">
        <f>+SUM(Opex_VE[[#This Row],[Cajero]:[Domiciliario]])</f>
        <v>140000</v>
      </c>
      <c r="S288" s="156">
        <v>70000</v>
      </c>
      <c r="T288" s="156">
        <v>70000</v>
      </c>
      <c r="U288" s="156">
        <v>0</v>
      </c>
      <c r="V288"/>
    </row>
    <row r="289" spans="1:22" x14ac:dyDescent="0.2">
      <c r="A289" s="153">
        <v>46352</v>
      </c>
      <c r="B289" s="3">
        <f t="shared" si="21"/>
        <v>40</v>
      </c>
      <c r="C289" s="3" t="str">
        <f>+TEXT(Opex_VE[[#This Row],[Fecha]],"ddd")</f>
        <v>jue</v>
      </c>
      <c r="E289" s="14" t="s">
        <v>112</v>
      </c>
      <c r="F289" s="172">
        <f>IFERROR(VLOOKUP(Opex_VE[[#This Row],[Fecha]],Historia!A:B,2,0),_xlfn.XLOOKUP(Opex_VE[[#This Row],[dia]],Forecast!H:H,Forecast!I:I))</f>
        <v>234000</v>
      </c>
      <c r="G289" s="172">
        <f>IFERROR(VLOOKUP(Opex_VE[[#This Row],[Fecha]],Historia!A:C,3,0),_xlfn.XLOOKUP(Opex_VE[[#This Row],[dia]],Forecast!H:H,Forecast!J:J))</f>
        <v>93600</v>
      </c>
      <c r="H289" s="186">
        <f ca="1">+Opex_VE[[#This Row],[MG]]-Opex_VE[[#This Row],[Opex]]</f>
        <v>-130585.13793103449</v>
      </c>
      <c r="I289" s="172" t="str">
        <f>IFERROR(VLOOKUP(Opex_VE[[#This Row],[Fecha]],Historia!A:D,4,0),"Forecast")</f>
        <v>Forecast</v>
      </c>
      <c r="J289" s="161">
        <f t="shared" ca="1" si="20"/>
        <v>560462.8448275862</v>
      </c>
      <c r="K289" s="157">
        <f ca="1">+Opex_VE[[#This Row],[MG]]-Opex_VE[[#This Row],[Opex]]</f>
        <v>0</v>
      </c>
      <c r="L289" s="156">
        <f>+VLOOKUP($A289,Opex!$C:$Z,N$1,1)</f>
        <v>56896.551724137928</v>
      </c>
      <c r="M289" s="157">
        <f ca="1">+Opex_VE[[#This Row],[Opex]]</f>
        <v>0</v>
      </c>
      <c r="N289" s="156">
        <f t="shared" si="18"/>
        <v>295139.6551724138</v>
      </c>
      <c r="O289" s="156">
        <f>+VLOOKUP($A289,Opex!$C:$Z,Q$1,1)</f>
        <v>4137.9310344827591</v>
      </c>
      <c r="P289" s="156">
        <f t="shared" si="19"/>
        <v>291001.72413793101</v>
      </c>
      <c r="Q289" s="156">
        <f>+VLOOKUP($A289,Opex!$C:$Z,R$1,1)</f>
        <v>11001.724137931034</v>
      </c>
      <c r="R289" s="157">
        <f>+SUM(Opex_VE[[#This Row],[Cajero]:[Domiciliario]])</f>
        <v>140000</v>
      </c>
      <c r="S289" s="156">
        <v>70000</v>
      </c>
      <c r="T289" s="156">
        <v>70000</v>
      </c>
      <c r="U289" s="156">
        <v>0</v>
      </c>
      <c r="V289"/>
    </row>
    <row r="290" spans="1:22" x14ac:dyDescent="0.2">
      <c r="A290" s="153">
        <v>46353</v>
      </c>
      <c r="B290" s="3">
        <f t="shared" si="21"/>
        <v>40</v>
      </c>
      <c r="C290" s="3" t="str">
        <f>+TEXT(Opex_VE[[#This Row],[Fecha]],"ddd")</f>
        <v>vie</v>
      </c>
      <c r="E290" s="14" t="s">
        <v>217</v>
      </c>
      <c r="F290" s="172">
        <f>IFERROR(VLOOKUP(Opex_VE[[#This Row],[Fecha]],Historia!A:B,2,0),_xlfn.XLOOKUP(Opex_VE[[#This Row],[dia]],Forecast!H:H,Forecast!I:I))</f>
        <v>248000</v>
      </c>
      <c r="G290" s="172">
        <f>IFERROR(VLOOKUP(Opex_VE[[#This Row],[Fecha]],Historia!A:C,3,0),_xlfn.XLOOKUP(Opex_VE[[#This Row],[dia]],Forecast!H:H,Forecast!J:J))</f>
        <v>99200</v>
      </c>
      <c r="H290" s="186">
        <f ca="1">+Opex_VE[[#This Row],[MG]]-Opex_VE[[#This Row],[Opex]]</f>
        <v>-124985.13793103449</v>
      </c>
      <c r="I290" s="172" t="str">
        <f>IFERROR(VLOOKUP(Opex_VE[[#This Row],[Fecha]],Historia!A:D,4,0),"Forecast")</f>
        <v>Forecast</v>
      </c>
      <c r="J290" s="161">
        <f t="shared" ca="1" si="20"/>
        <v>560462.8448275862</v>
      </c>
      <c r="K290" s="157">
        <f ca="1">+Opex_VE[[#This Row],[MG]]-Opex_VE[[#This Row],[Opex]]</f>
        <v>0</v>
      </c>
      <c r="L290" s="156">
        <f>+VLOOKUP($A290,Opex!$C:$Z,N$1,1)</f>
        <v>56896.551724137928</v>
      </c>
      <c r="M290" s="157">
        <f ca="1">+Opex_VE[[#This Row],[Opex]]</f>
        <v>0</v>
      </c>
      <c r="N290" s="156">
        <f t="shared" si="18"/>
        <v>295139.6551724138</v>
      </c>
      <c r="O290" s="156">
        <f>+VLOOKUP($A290,Opex!$C:$Z,Q$1,1)</f>
        <v>4137.9310344827591</v>
      </c>
      <c r="P290" s="156">
        <f t="shared" si="19"/>
        <v>291001.72413793101</v>
      </c>
      <c r="Q290" s="156">
        <f>+VLOOKUP($A290,Opex!$C:$Z,R$1,1)</f>
        <v>11001.724137931034</v>
      </c>
      <c r="R290" s="157">
        <f>+SUM(Opex_VE[[#This Row],[Cajero]:[Domiciliario]])</f>
        <v>140000</v>
      </c>
      <c r="S290" s="156">
        <v>70000</v>
      </c>
      <c r="T290" s="156">
        <v>70000</v>
      </c>
      <c r="U290" s="156">
        <v>0</v>
      </c>
      <c r="V290"/>
    </row>
    <row r="291" spans="1:22" x14ac:dyDescent="0.2">
      <c r="A291" s="153">
        <v>46354</v>
      </c>
      <c r="B291" s="3">
        <f t="shared" si="21"/>
        <v>40</v>
      </c>
      <c r="C291" s="3" t="str">
        <f>+TEXT(Opex_VE[[#This Row],[Fecha]],"ddd")</f>
        <v>sáb</v>
      </c>
      <c r="E291" s="14" t="s">
        <v>113</v>
      </c>
      <c r="F291" s="172">
        <f>IFERROR(VLOOKUP(Opex_VE[[#This Row],[Fecha]],Historia!A:B,2,0),_xlfn.XLOOKUP(Opex_VE[[#This Row],[dia]],Forecast!H:H,Forecast!I:I))</f>
        <v>320800</v>
      </c>
      <c r="G291" s="172">
        <f>IFERROR(VLOOKUP(Opex_VE[[#This Row],[Fecha]],Historia!A:C,3,0),_xlfn.XLOOKUP(Opex_VE[[#This Row],[dia]],Forecast!H:H,Forecast!J:J))</f>
        <v>128320</v>
      </c>
      <c r="H291" s="186">
        <f ca="1">+Opex_VE[[#This Row],[MG]]-Opex_VE[[#This Row],[Opex]]</f>
        <v>-95865.137931034493</v>
      </c>
      <c r="I291" s="173" t="str">
        <f>IFERROR(VLOOKUP(Opex_VE[[#This Row],[Fecha]],Historia!A:D,4,0),"Forecast")</f>
        <v>Forecast</v>
      </c>
      <c r="J291" s="161">
        <f t="shared" ca="1" si="20"/>
        <v>560462.8448275862</v>
      </c>
      <c r="K291" s="157">
        <f ca="1">+Opex_VE[[#This Row],[MG]]-Opex_VE[[#This Row],[Opex]]</f>
        <v>0</v>
      </c>
      <c r="L291" s="156">
        <f>+VLOOKUP($A291,Opex!$C:$Z,N$1,1)</f>
        <v>56896.551724137928</v>
      </c>
      <c r="M291" s="157">
        <f ca="1">+Opex_VE[[#This Row],[Opex]]</f>
        <v>0</v>
      </c>
      <c r="N291" s="156">
        <f t="shared" si="18"/>
        <v>295139.6551724138</v>
      </c>
      <c r="O291" s="156">
        <f>+VLOOKUP($A291,Opex!$C:$Z,Q$1,1)</f>
        <v>4137.9310344827591</v>
      </c>
      <c r="P291" s="156">
        <f t="shared" si="19"/>
        <v>291001.72413793101</v>
      </c>
      <c r="Q291" s="156">
        <f>+VLOOKUP($A291,Opex!$C:$Z,R$1,1)</f>
        <v>11001.724137931034</v>
      </c>
      <c r="R291" s="157">
        <f>+SUM(Opex_VE[[#This Row],[Cajero]:[Domiciliario]])</f>
        <v>140000</v>
      </c>
      <c r="S291" s="156">
        <v>70000</v>
      </c>
      <c r="T291" s="156">
        <v>70000</v>
      </c>
      <c r="U291" s="156">
        <v>0</v>
      </c>
      <c r="V291"/>
    </row>
    <row r="292" spans="1:22" x14ac:dyDescent="0.2">
      <c r="A292" s="153">
        <v>46355</v>
      </c>
      <c r="B292" s="3">
        <f t="shared" si="21"/>
        <v>40</v>
      </c>
      <c r="C292" s="3" t="str">
        <f>+TEXT(Opex_VE[[#This Row],[Fecha]],"ddd")</f>
        <v>dom</v>
      </c>
      <c r="E292" s="14" t="s">
        <v>145</v>
      </c>
      <c r="F292" s="172">
        <f>IFERROR(VLOOKUP(Opex_VE[[#This Row],[Fecha]],Historia!A:B,2,0),_xlfn.XLOOKUP(Opex_VE[[#This Row],[dia]],Forecast!H:H,Forecast!I:I))</f>
        <v>218500</v>
      </c>
      <c r="G292" s="172">
        <f>IFERROR(VLOOKUP(Opex_VE[[#This Row],[Fecha]],Historia!A:C,3,0),_xlfn.XLOOKUP(Opex_VE[[#This Row],[dia]],Forecast!H:H,Forecast!J:J))</f>
        <v>87400</v>
      </c>
      <c r="H292" s="186">
        <f ca="1">+Opex_VE[[#This Row],[MG]]-Opex_VE[[#This Row],[Opex]]</f>
        <v>-136785.13793103449</v>
      </c>
      <c r="I292" s="172" t="str">
        <f>IFERROR(VLOOKUP(Opex_VE[[#This Row],[Fecha]],Historia!A:D,4,0),"Forecast")</f>
        <v>Forecast</v>
      </c>
      <c r="J292" s="161">
        <f t="shared" ca="1" si="20"/>
        <v>560462.8448275862</v>
      </c>
      <c r="K292" s="157">
        <f ca="1">+Opex_VE[[#This Row],[MG]]-Opex_VE[[#This Row],[Opex]]</f>
        <v>0</v>
      </c>
      <c r="L292" s="156">
        <f>+VLOOKUP($A292,Opex!$C:$Z,N$1,1)</f>
        <v>56896.551724137928</v>
      </c>
      <c r="M292" s="157">
        <f ca="1">+Opex_VE[[#This Row],[Opex]]</f>
        <v>0</v>
      </c>
      <c r="N292" s="156">
        <f t="shared" si="18"/>
        <v>295139.6551724138</v>
      </c>
      <c r="O292" s="156">
        <f>+VLOOKUP($A292,Opex!$C:$Z,Q$1,1)</f>
        <v>4137.9310344827591</v>
      </c>
      <c r="P292" s="156">
        <f t="shared" si="19"/>
        <v>291001.72413793101</v>
      </c>
      <c r="Q292" s="156">
        <f>+VLOOKUP($A292,Opex!$C:$Z,R$1,1)</f>
        <v>11001.724137931034</v>
      </c>
      <c r="R292" s="157">
        <f>+SUM(Opex_VE[[#This Row],[Cajero]:[Domiciliario]])</f>
        <v>140000</v>
      </c>
      <c r="S292" s="156">
        <v>70000</v>
      </c>
      <c r="T292" s="156">
        <v>70000</v>
      </c>
      <c r="U292" s="156">
        <v>0</v>
      </c>
      <c r="V292"/>
    </row>
    <row r="293" spans="1:22" x14ac:dyDescent="0.2">
      <c r="A293" s="153">
        <v>46356</v>
      </c>
      <c r="B293" s="3">
        <f t="shared" si="21"/>
        <v>41</v>
      </c>
      <c r="C293" s="3" t="str">
        <f>+TEXT(Opex_VE[[#This Row],[Fecha]],"ddd")</f>
        <v>lun</v>
      </c>
      <c r="E293" s="14" t="s">
        <v>112</v>
      </c>
      <c r="F293" s="172">
        <f>IFERROR(VLOOKUP(Opex_VE[[#This Row],[Fecha]],Historia!A:B,2,0),_xlfn.XLOOKUP(Opex_VE[[#This Row],[dia]],Forecast!H:H,Forecast!I:I))</f>
        <v>179200</v>
      </c>
      <c r="G293" s="172">
        <f>IFERROR(VLOOKUP(Opex_VE[[#This Row],[Fecha]],Historia!A:C,3,0),_xlfn.XLOOKUP(Opex_VE[[#This Row],[dia]],Forecast!H:H,Forecast!J:J))</f>
        <v>71680</v>
      </c>
      <c r="H293" s="186">
        <f ca="1">+Opex_VE[[#This Row],[MG]]-Opex_VE[[#This Row],[Opex]]</f>
        <v>-152505.13793103449</v>
      </c>
      <c r="I293" s="172" t="str">
        <f>IFERROR(VLOOKUP(Opex_VE[[#This Row],[Fecha]],Historia!A:D,4,0),"Forecast")</f>
        <v>Forecast</v>
      </c>
      <c r="J293" s="161">
        <f t="shared" ca="1" si="20"/>
        <v>560462.8448275862</v>
      </c>
      <c r="K293" s="157">
        <f ca="1">+Opex_VE[[#This Row],[MG]]-Opex_VE[[#This Row],[Opex]]</f>
        <v>0</v>
      </c>
      <c r="L293" s="156">
        <f>+VLOOKUP($A293,Opex!$C:$Z,N$1,1)</f>
        <v>56896.551724137928</v>
      </c>
      <c r="M293" s="157">
        <f ca="1">+Opex_VE[[#This Row],[Opex]]</f>
        <v>0</v>
      </c>
      <c r="N293" s="156">
        <f t="shared" si="18"/>
        <v>295139.6551724138</v>
      </c>
      <c r="O293" s="156">
        <f>+VLOOKUP($A293,Opex!$C:$Z,Q$1,1)</f>
        <v>4137.9310344827591</v>
      </c>
      <c r="P293" s="156">
        <f t="shared" si="19"/>
        <v>291001.72413793101</v>
      </c>
      <c r="Q293" s="156">
        <f>+VLOOKUP($A293,Opex!$C:$Z,R$1,1)</f>
        <v>11001.724137931034</v>
      </c>
      <c r="R293" s="157">
        <f>+SUM(Opex_VE[[#This Row],[Cajero]:[Domiciliario]])</f>
        <v>140000</v>
      </c>
      <c r="S293" s="156">
        <v>70000</v>
      </c>
      <c r="T293" s="156">
        <v>70000</v>
      </c>
      <c r="U293" s="156">
        <v>0</v>
      </c>
      <c r="V293"/>
    </row>
    <row r="294" spans="1:22" x14ac:dyDescent="0.2">
      <c r="A294" s="153">
        <v>46357</v>
      </c>
      <c r="B294" s="3">
        <f t="shared" si="21"/>
        <v>41</v>
      </c>
      <c r="C294" s="3" t="str">
        <f>+TEXT(Opex_VE[[#This Row],[Fecha]],"ddd")</f>
        <v>mar</v>
      </c>
      <c r="E294" s="14" t="s">
        <v>112</v>
      </c>
      <c r="F294" s="172">
        <f>IFERROR(VLOOKUP(Opex_VE[[#This Row],[Fecha]],Historia!A:B,2,0),_xlfn.XLOOKUP(Opex_VE[[#This Row],[dia]],Forecast!H:H,Forecast!I:I))</f>
        <v>195000</v>
      </c>
      <c r="G294" s="172">
        <f>IFERROR(VLOOKUP(Opex_VE[[#This Row],[Fecha]],Historia!A:C,3,0),_xlfn.XLOOKUP(Opex_VE[[#This Row],[dia]],Forecast!H:H,Forecast!J:J))</f>
        <v>78000</v>
      </c>
      <c r="H294" s="186">
        <f ca="1">+Opex_VE[[#This Row],[MG]]-Opex_VE[[#This Row],[Opex]]</f>
        <v>-146185.13793103449</v>
      </c>
      <c r="I294" s="172" t="str">
        <f>IFERROR(VLOOKUP(Opex_VE[[#This Row],[Fecha]],Historia!A:D,4,0),"Forecast")</f>
        <v>Forecast</v>
      </c>
      <c r="J294" s="161">
        <f t="shared" ca="1" si="20"/>
        <v>560462.8448275862</v>
      </c>
      <c r="K294" s="157">
        <f ca="1">+Opex_VE[[#This Row],[MG]]-Opex_VE[[#This Row],[Opex]]</f>
        <v>0</v>
      </c>
      <c r="L294" s="156">
        <f>+VLOOKUP($A294,Opex!$C:$Z,N$1,1)</f>
        <v>56896.551724137928</v>
      </c>
      <c r="M294" s="157">
        <f ca="1">+Opex_VE[[#This Row],[Opex]]</f>
        <v>0</v>
      </c>
      <c r="N294" s="156">
        <f t="shared" si="18"/>
        <v>295139.6551724138</v>
      </c>
      <c r="O294" s="156">
        <f>+VLOOKUP($A294,Opex!$C:$Z,Q$1,1)</f>
        <v>4137.9310344827591</v>
      </c>
      <c r="P294" s="156">
        <f t="shared" si="19"/>
        <v>291001.72413793101</v>
      </c>
      <c r="Q294" s="156">
        <f>+VLOOKUP($A294,Opex!$C:$Z,R$1,1)</f>
        <v>11001.724137931034</v>
      </c>
      <c r="R294" s="157">
        <f>+SUM(Opex_VE[[#This Row],[Cajero]:[Domiciliario]])</f>
        <v>140000</v>
      </c>
      <c r="S294" s="156">
        <v>70000</v>
      </c>
      <c r="T294" s="156">
        <v>70000</v>
      </c>
      <c r="U294" s="156">
        <v>0</v>
      </c>
      <c r="V294"/>
    </row>
    <row r="295" spans="1:22" x14ac:dyDescent="0.2">
      <c r="A295" s="153">
        <v>46358</v>
      </c>
      <c r="B295" s="3">
        <f t="shared" si="21"/>
        <v>41</v>
      </c>
      <c r="C295" s="3" t="str">
        <f>+TEXT(Opex_VE[[#This Row],[Fecha]],"ddd")</f>
        <v>mié</v>
      </c>
      <c r="E295" s="14" t="s">
        <v>112</v>
      </c>
      <c r="F295" s="172">
        <f>IFERROR(VLOOKUP(Opex_VE[[#This Row],[Fecha]],Historia!A:B,2,0),_xlfn.XLOOKUP(Opex_VE[[#This Row],[dia]],Forecast!H:H,Forecast!I:I))</f>
        <v>366750</v>
      </c>
      <c r="G295" s="172">
        <f>IFERROR(VLOOKUP(Opex_VE[[#This Row],[Fecha]],Historia!A:C,3,0),_xlfn.XLOOKUP(Opex_VE[[#This Row],[dia]],Forecast!H:H,Forecast!J:J))</f>
        <v>146700</v>
      </c>
      <c r="H295" s="186">
        <f ca="1">+Opex_VE[[#This Row],[MG]]-Opex_VE[[#This Row],[Opex]]</f>
        <v>-77485.137931034493</v>
      </c>
      <c r="I295" s="172" t="str">
        <f>IFERROR(VLOOKUP(Opex_VE[[#This Row],[Fecha]],Historia!A:D,4,0),"Forecast")</f>
        <v>Forecast</v>
      </c>
      <c r="J295" s="161">
        <f t="shared" ca="1" si="20"/>
        <v>560462.8448275862</v>
      </c>
      <c r="K295" s="157">
        <f ca="1">+Opex_VE[[#This Row],[MG]]-Opex_VE[[#This Row],[Opex]]</f>
        <v>0</v>
      </c>
      <c r="L295" s="156">
        <f>+VLOOKUP($A295,Opex!$C:$Z,N$1,1)</f>
        <v>56896.551724137928</v>
      </c>
      <c r="M295" s="157">
        <f ca="1">+Opex_VE[[#This Row],[Opex]]</f>
        <v>0</v>
      </c>
      <c r="N295" s="156">
        <f t="shared" si="18"/>
        <v>295139.6551724138</v>
      </c>
      <c r="O295" s="156">
        <f>+VLOOKUP($A295,Opex!$C:$Z,Q$1,1)</f>
        <v>4137.9310344827591</v>
      </c>
      <c r="P295" s="156">
        <f t="shared" si="19"/>
        <v>291001.72413793101</v>
      </c>
      <c r="Q295" s="156">
        <f>+VLOOKUP($A295,Opex!$C:$Z,R$1,1)</f>
        <v>11001.724137931034</v>
      </c>
      <c r="R295" s="157">
        <f>+SUM(Opex_VE[[#This Row],[Cajero]:[Domiciliario]])</f>
        <v>140000</v>
      </c>
      <c r="S295" s="156">
        <v>70000</v>
      </c>
      <c r="T295" s="156">
        <v>70000</v>
      </c>
      <c r="U295" s="156">
        <v>0</v>
      </c>
      <c r="V295"/>
    </row>
    <row r="296" spans="1:22" x14ac:dyDescent="0.2">
      <c r="A296" s="153">
        <v>46359</v>
      </c>
      <c r="B296" s="3">
        <f t="shared" si="21"/>
        <v>41</v>
      </c>
      <c r="C296" s="3" t="str">
        <f>+TEXT(Opex_VE[[#This Row],[Fecha]],"ddd")</f>
        <v>jue</v>
      </c>
      <c r="E296" s="14" t="s">
        <v>112</v>
      </c>
      <c r="F296" s="172">
        <f>IFERROR(VLOOKUP(Opex_VE[[#This Row],[Fecha]],Historia!A:B,2,0),_xlfn.XLOOKUP(Opex_VE[[#This Row],[dia]],Forecast!H:H,Forecast!I:I))</f>
        <v>234000</v>
      </c>
      <c r="G296" s="172">
        <f>IFERROR(VLOOKUP(Opex_VE[[#This Row],[Fecha]],Historia!A:C,3,0),_xlfn.XLOOKUP(Opex_VE[[#This Row],[dia]],Forecast!H:H,Forecast!J:J))</f>
        <v>93600</v>
      </c>
      <c r="H296" s="186">
        <f ca="1">+Opex_VE[[#This Row],[MG]]-Opex_VE[[#This Row],[Opex]]</f>
        <v>-130585.13793103449</v>
      </c>
      <c r="I296" s="172" t="str">
        <f>IFERROR(VLOOKUP(Opex_VE[[#This Row],[Fecha]],Historia!A:D,4,0),"Forecast")</f>
        <v>Forecast</v>
      </c>
      <c r="J296" s="161">
        <f t="shared" ca="1" si="20"/>
        <v>560462.8448275862</v>
      </c>
      <c r="K296" s="157">
        <f ca="1">+Opex_VE[[#This Row],[MG]]-Opex_VE[[#This Row],[Opex]]</f>
        <v>0</v>
      </c>
      <c r="L296" s="156">
        <f>+VLOOKUP($A296,Opex!$C:$Z,N$1,1)</f>
        <v>56896.551724137928</v>
      </c>
      <c r="M296" s="157">
        <f ca="1">+Opex_VE[[#This Row],[Opex]]</f>
        <v>0</v>
      </c>
      <c r="N296" s="156">
        <f t="shared" si="18"/>
        <v>295139.6551724138</v>
      </c>
      <c r="O296" s="156">
        <f>+VLOOKUP($A296,Opex!$C:$Z,Q$1,1)</f>
        <v>4137.9310344827591</v>
      </c>
      <c r="P296" s="156">
        <f t="shared" si="19"/>
        <v>291001.72413793101</v>
      </c>
      <c r="Q296" s="156">
        <f>+VLOOKUP($A296,Opex!$C:$Z,R$1,1)</f>
        <v>11001.724137931034</v>
      </c>
      <c r="R296" s="157">
        <f>+SUM(Opex_VE[[#This Row],[Cajero]:[Domiciliario]])</f>
        <v>140000</v>
      </c>
      <c r="S296" s="156">
        <v>70000</v>
      </c>
      <c r="T296" s="156">
        <v>70000</v>
      </c>
      <c r="U296" s="156">
        <v>0</v>
      </c>
      <c r="V296"/>
    </row>
    <row r="297" spans="1:22" x14ac:dyDescent="0.2">
      <c r="A297" s="153">
        <v>46360</v>
      </c>
      <c r="B297" s="3">
        <f t="shared" si="21"/>
        <v>41</v>
      </c>
      <c r="C297" s="3" t="str">
        <f>+TEXT(Opex_VE[[#This Row],[Fecha]],"ddd")</f>
        <v>vie</v>
      </c>
      <c r="E297" s="14" t="s">
        <v>217</v>
      </c>
      <c r="F297" s="172">
        <f>IFERROR(VLOOKUP(Opex_VE[[#This Row],[Fecha]],Historia!A:B,2,0),_xlfn.XLOOKUP(Opex_VE[[#This Row],[dia]],Forecast!H:H,Forecast!I:I))</f>
        <v>248000</v>
      </c>
      <c r="G297" s="172">
        <f>IFERROR(VLOOKUP(Opex_VE[[#This Row],[Fecha]],Historia!A:C,3,0),_xlfn.XLOOKUP(Opex_VE[[#This Row],[dia]],Forecast!H:H,Forecast!J:J))</f>
        <v>99200</v>
      </c>
      <c r="H297" s="186">
        <f ca="1">+Opex_VE[[#This Row],[MG]]-Opex_VE[[#This Row],[Opex]]</f>
        <v>-124985.13793103449</v>
      </c>
      <c r="I297" s="172" t="str">
        <f>IFERROR(VLOOKUP(Opex_VE[[#This Row],[Fecha]],Historia!A:D,4,0),"Forecast")</f>
        <v>Forecast</v>
      </c>
      <c r="J297" s="161">
        <f t="shared" ca="1" si="20"/>
        <v>560462.8448275862</v>
      </c>
      <c r="K297" s="157">
        <f ca="1">+Opex_VE[[#This Row],[MG]]-Opex_VE[[#This Row],[Opex]]</f>
        <v>0</v>
      </c>
      <c r="L297" s="156">
        <f>+VLOOKUP($A297,Opex!$C:$Z,N$1,1)</f>
        <v>56896.551724137928</v>
      </c>
      <c r="M297" s="157">
        <f ca="1">+Opex_VE[[#This Row],[Opex]]</f>
        <v>0</v>
      </c>
      <c r="N297" s="156">
        <f t="shared" si="18"/>
        <v>295139.6551724138</v>
      </c>
      <c r="O297" s="156">
        <f>+VLOOKUP($A297,Opex!$C:$Z,Q$1,1)</f>
        <v>4137.9310344827591</v>
      </c>
      <c r="P297" s="156">
        <f t="shared" si="19"/>
        <v>291001.72413793101</v>
      </c>
      <c r="Q297" s="156">
        <f>+VLOOKUP($A297,Opex!$C:$Z,R$1,1)</f>
        <v>11001.724137931034</v>
      </c>
      <c r="R297" s="157">
        <f>+SUM(Opex_VE[[#This Row],[Cajero]:[Domiciliario]])</f>
        <v>140000</v>
      </c>
      <c r="S297" s="156">
        <v>70000</v>
      </c>
      <c r="T297" s="156">
        <v>70000</v>
      </c>
      <c r="U297" s="156">
        <v>0</v>
      </c>
      <c r="V297"/>
    </row>
    <row r="298" spans="1:22" x14ac:dyDescent="0.2">
      <c r="A298" s="153">
        <v>46361</v>
      </c>
      <c r="B298" s="3">
        <f t="shared" si="21"/>
        <v>41</v>
      </c>
      <c r="C298" s="3" t="str">
        <f>+TEXT(Opex_VE[[#This Row],[Fecha]],"ddd")</f>
        <v>sáb</v>
      </c>
      <c r="E298" s="14" t="s">
        <v>113</v>
      </c>
      <c r="F298" s="172">
        <f>IFERROR(VLOOKUP(Opex_VE[[#This Row],[Fecha]],Historia!A:B,2,0),_xlfn.XLOOKUP(Opex_VE[[#This Row],[dia]],Forecast!H:H,Forecast!I:I))</f>
        <v>320800</v>
      </c>
      <c r="G298" s="172">
        <f>IFERROR(VLOOKUP(Opex_VE[[#This Row],[Fecha]],Historia!A:C,3,0),_xlfn.XLOOKUP(Opex_VE[[#This Row],[dia]],Forecast!H:H,Forecast!J:J))</f>
        <v>128320</v>
      </c>
      <c r="H298" s="186">
        <f ca="1">+Opex_VE[[#This Row],[MG]]-Opex_VE[[#This Row],[Opex]]</f>
        <v>-95865.137931034493</v>
      </c>
      <c r="I298" s="173" t="str">
        <f>IFERROR(VLOOKUP(Opex_VE[[#This Row],[Fecha]],Historia!A:D,4,0),"Forecast")</f>
        <v>Forecast</v>
      </c>
      <c r="J298" s="161">
        <f t="shared" ca="1" si="20"/>
        <v>560462.8448275862</v>
      </c>
      <c r="K298" s="157">
        <f ca="1">+Opex_VE[[#This Row],[MG]]-Opex_VE[[#This Row],[Opex]]</f>
        <v>0</v>
      </c>
      <c r="L298" s="156">
        <f>+VLOOKUP($A298,Opex!$C:$Z,N$1,1)</f>
        <v>56896.551724137928</v>
      </c>
      <c r="M298" s="157">
        <f ca="1">+Opex_VE[[#This Row],[Opex]]</f>
        <v>0</v>
      </c>
      <c r="N298" s="156">
        <f t="shared" si="18"/>
        <v>295139.6551724138</v>
      </c>
      <c r="O298" s="156">
        <f>+VLOOKUP($A298,Opex!$C:$Z,Q$1,1)</f>
        <v>4137.9310344827591</v>
      </c>
      <c r="P298" s="156">
        <f t="shared" si="19"/>
        <v>291001.72413793101</v>
      </c>
      <c r="Q298" s="156">
        <f>+VLOOKUP($A298,Opex!$C:$Z,R$1,1)</f>
        <v>11001.724137931034</v>
      </c>
      <c r="R298" s="157">
        <f>+SUM(Opex_VE[[#This Row],[Cajero]:[Domiciliario]])</f>
        <v>140000</v>
      </c>
      <c r="S298" s="156">
        <v>70000</v>
      </c>
      <c r="T298" s="156">
        <v>70000</v>
      </c>
      <c r="U298" s="156">
        <v>0</v>
      </c>
      <c r="V298"/>
    </row>
    <row r="299" spans="1:22" x14ac:dyDescent="0.2">
      <c r="A299" s="153">
        <v>46362</v>
      </c>
      <c r="B299" s="3">
        <f t="shared" si="21"/>
        <v>41</v>
      </c>
      <c r="C299" s="3" t="str">
        <f>+TEXT(Opex_VE[[#This Row],[Fecha]],"ddd")</f>
        <v>dom</v>
      </c>
      <c r="E299" s="14" t="s">
        <v>145</v>
      </c>
      <c r="F299" s="172">
        <f>IFERROR(VLOOKUP(Opex_VE[[#This Row],[Fecha]],Historia!A:B,2,0),_xlfn.XLOOKUP(Opex_VE[[#This Row],[dia]],Forecast!H:H,Forecast!I:I))</f>
        <v>218500</v>
      </c>
      <c r="G299" s="172">
        <f>IFERROR(VLOOKUP(Opex_VE[[#This Row],[Fecha]],Historia!A:C,3,0),_xlfn.XLOOKUP(Opex_VE[[#This Row],[dia]],Forecast!H:H,Forecast!J:J))</f>
        <v>87400</v>
      </c>
      <c r="H299" s="186">
        <f ca="1">+Opex_VE[[#This Row],[MG]]-Opex_VE[[#This Row],[Opex]]</f>
        <v>-136785.13793103449</v>
      </c>
      <c r="I299" s="172" t="str">
        <f>IFERROR(VLOOKUP(Opex_VE[[#This Row],[Fecha]],Historia!A:D,4,0),"Forecast")</f>
        <v>Forecast</v>
      </c>
      <c r="J299" s="161">
        <f t="shared" ca="1" si="20"/>
        <v>560462.8448275862</v>
      </c>
      <c r="K299" s="157">
        <f ca="1">+Opex_VE[[#This Row],[MG]]-Opex_VE[[#This Row],[Opex]]</f>
        <v>0</v>
      </c>
      <c r="L299" s="156">
        <f>+VLOOKUP($A299,Opex!$C:$Z,N$1,1)</f>
        <v>56896.551724137928</v>
      </c>
      <c r="M299" s="157">
        <f ca="1">+Opex_VE[[#This Row],[Opex]]</f>
        <v>0</v>
      </c>
      <c r="N299" s="156">
        <f t="shared" si="18"/>
        <v>295139.6551724138</v>
      </c>
      <c r="O299" s="156">
        <f>+VLOOKUP($A299,Opex!$C:$Z,Q$1,1)</f>
        <v>4137.9310344827591</v>
      </c>
      <c r="P299" s="156">
        <f t="shared" si="19"/>
        <v>291001.72413793101</v>
      </c>
      <c r="Q299" s="156">
        <f>+VLOOKUP($A299,Opex!$C:$Z,R$1,1)</f>
        <v>11001.724137931034</v>
      </c>
      <c r="R299" s="157">
        <f>+SUM(Opex_VE[[#This Row],[Cajero]:[Domiciliario]])</f>
        <v>140000</v>
      </c>
      <c r="S299" s="156">
        <v>70000</v>
      </c>
      <c r="T299" s="156">
        <v>70000</v>
      </c>
      <c r="U299" s="156">
        <v>0</v>
      </c>
      <c r="V299"/>
    </row>
    <row r="300" spans="1:22" x14ac:dyDescent="0.2">
      <c r="A300" s="153">
        <v>46363</v>
      </c>
      <c r="B300" s="3">
        <f t="shared" si="21"/>
        <v>42</v>
      </c>
      <c r="C300" s="3" t="str">
        <f>+TEXT(Opex_VE[[#This Row],[Fecha]],"ddd")</f>
        <v>lun</v>
      </c>
      <c r="E300" s="14" t="s">
        <v>112</v>
      </c>
      <c r="F300" s="172">
        <f>IFERROR(VLOOKUP(Opex_VE[[#This Row],[Fecha]],Historia!A:B,2,0),_xlfn.XLOOKUP(Opex_VE[[#This Row],[dia]],Forecast!H:H,Forecast!I:I))</f>
        <v>179200</v>
      </c>
      <c r="G300" s="172">
        <f>IFERROR(VLOOKUP(Opex_VE[[#This Row],[Fecha]],Historia!A:C,3,0),_xlfn.XLOOKUP(Opex_VE[[#This Row],[dia]],Forecast!H:H,Forecast!J:J))</f>
        <v>71680</v>
      </c>
      <c r="H300" s="186">
        <f ca="1">+Opex_VE[[#This Row],[MG]]-Opex_VE[[#This Row],[Opex]]</f>
        <v>-152505.13793103449</v>
      </c>
      <c r="I300" s="172" t="str">
        <f>IFERROR(VLOOKUP(Opex_VE[[#This Row],[Fecha]],Historia!A:D,4,0),"Forecast")</f>
        <v>Forecast</v>
      </c>
      <c r="J300" s="161">
        <f t="shared" ca="1" si="20"/>
        <v>560462.8448275862</v>
      </c>
      <c r="K300" s="157">
        <f ca="1">+Opex_VE[[#This Row],[MG]]-Opex_VE[[#This Row],[Opex]]</f>
        <v>0</v>
      </c>
      <c r="L300" s="156">
        <f>+VLOOKUP($A300,Opex!$C:$Z,N$1,1)</f>
        <v>56896.551724137928</v>
      </c>
      <c r="M300" s="157">
        <f ca="1">+Opex_VE[[#This Row],[Opex]]</f>
        <v>0</v>
      </c>
      <c r="N300" s="156">
        <f t="shared" si="18"/>
        <v>295139.6551724138</v>
      </c>
      <c r="O300" s="156">
        <f>+VLOOKUP($A300,Opex!$C:$Z,Q$1,1)</f>
        <v>4137.9310344827591</v>
      </c>
      <c r="P300" s="156">
        <f t="shared" si="19"/>
        <v>291001.72413793101</v>
      </c>
      <c r="Q300" s="156">
        <f>+VLOOKUP($A300,Opex!$C:$Z,R$1,1)</f>
        <v>11001.724137931034</v>
      </c>
      <c r="R300" s="157">
        <f>+SUM(Opex_VE[[#This Row],[Cajero]:[Domiciliario]])</f>
        <v>140000</v>
      </c>
      <c r="S300" s="156">
        <v>70000</v>
      </c>
      <c r="T300" s="156">
        <v>70000</v>
      </c>
      <c r="U300" s="156">
        <v>0</v>
      </c>
      <c r="V300"/>
    </row>
    <row r="301" spans="1:22" x14ac:dyDescent="0.2">
      <c r="A301" s="153">
        <v>46364</v>
      </c>
      <c r="B301" s="3">
        <f t="shared" si="21"/>
        <v>42</v>
      </c>
      <c r="C301" s="3" t="str">
        <f>+TEXT(Opex_VE[[#This Row],[Fecha]],"ddd")</f>
        <v>mar</v>
      </c>
      <c r="E301" s="14" t="s">
        <v>112</v>
      </c>
      <c r="F301" s="172">
        <f>IFERROR(VLOOKUP(Opex_VE[[#This Row],[Fecha]],Historia!A:B,2,0),_xlfn.XLOOKUP(Opex_VE[[#This Row],[dia]],Forecast!H:H,Forecast!I:I))</f>
        <v>195000</v>
      </c>
      <c r="G301" s="172">
        <f>IFERROR(VLOOKUP(Opex_VE[[#This Row],[Fecha]],Historia!A:C,3,0),_xlfn.XLOOKUP(Opex_VE[[#This Row],[dia]],Forecast!H:H,Forecast!J:J))</f>
        <v>78000</v>
      </c>
      <c r="H301" s="186">
        <f ca="1">+Opex_VE[[#This Row],[MG]]-Opex_VE[[#This Row],[Opex]]</f>
        <v>-146185.13793103449</v>
      </c>
      <c r="I301" s="172" t="str">
        <f>IFERROR(VLOOKUP(Opex_VE[[#This Row],[Fecha]],Historia!A:D,4,0),"Forecast")</f>
        <v>Forecast</v>
      </c>
      <c r="J301" s="161">
        <f t="shared" ca="1" si="20"/>
        <v>560462.8448275862</v>
      </c>
      <c r="K301" s="157">
        <f ca="1">+Opex_VE[[#This Row],[MG]]-Opex_VE[[#This Row],[Opex]]</f>
        <v>0</v>
      </c>
      <c r="L301" s="156">
        <f>+VLOOKUP($A301,Opex!$C:$Z,N$1,1)</f>
        <v>56896.551724137928</v>
      </c>
      <c r="M301" s="157">
        <f ca="1">+Opex_VE[[#This Row],[Opex]]</f>
        <v>0</v>
      </c>
      <c r="N301" s="156">
        <f t="shared" si="18"/>
        <v>295139.6551724138</v>
      </c>
      <c r="O301" s="156">
        <f>+VLOOKUP($A301,Opex!$C:$Z,Q$1,1)</f>
        <v>4137.9310344827591</v>
      </c>
      <c r="P301" s="156">
        <f t="shared" si="19"/>
        <v>291001.72413793101</v>
      </c>
      <c r="Q301" s="156">
        <f>+VLOOKUP($A301,Opex!$C:$Z,R$1,1)</f>
        <v>11001.724137931034</v>
      </c>
      <c r="R301" s="157">
        <f>+SUM(Opex_VE[[#This Row],[Cajero]:[Domiciliario]])</f>
        <v>140000</v>
      </c>
      <c r="S301" s="156">
        <v>70000</v>
      </c>
      <c r="T301" s="156">
        <v>70000</v>
      </c>
      <c r="U301" s="156">
        <v>0</v>
      </c>
      <c r="V301"/>
    </row>
    <row r="302" spans="1:22" x14ac:dyDescent="0.2">
      <c r="A302" s="153">
        <v>46365</v>
      </c>
      <c r="B302" s="3">
        <f t="shared" si="21"/>
        <v>42</v>
      </c>
      <c r="C302" s="3" t="str">
        <f>+TEXT(Opex_VE[[#This Row],[Fecha]],"ddd")</f>
        <v>mié</v>
      </c>
      <c r="E302" s="14" t="s">
        <v>112</v>
      </c>
      <c r="F302" s="172">
        <f>IFERROR(VLOOKUP(Opex_VE[[#This Row],[Fecha]],Historia!A:B,2,0),_xlfn.XLOOKUP(Opex_VE[[#This Row],[dia]],Forecast!H:H,Forecast!I:I))</f>
        <v>366750</v>
      </c>
      <c r="G302" s="172">
        <f>IFERROR(VLOOKUP(Opex_VE[[#This Row],[Fecha]],Historia!A:C,3,0),_xlfn.XLOOKUP(Opex_VE[[#This Row],[dia]],Forecast!H:H,Forecast!J:J))</f>
        <v>146700</v>
      </c>
      <c r="H302" s="186">
        <f ca="1">+Opex_VE[[#This Row],[MG]]-Opex_VE[[#This Row],[Opex]]</f>
        <v>-77485.137931034493</v>
      </c>
      <c r="I302" s="172" t="str">
        <f>IFERROR(VLOOKUP(Opex_VE[[#This Row],[Fecha]],Historia!A:D,4,0),"Forecast")</f>
        <v>Forecast</v>
      </c>
      <c r="J302" s="161">
        <f t="shared" ca="1" si="20"/>
        <v>560462.8448275862</v>
      </c>
      <c r="K302" s="157">
        <f ca="1">+Opex_VE[[#This Row],[MG]]-Opex_VE[[#This Row],[Opex]]</f>
        <v>0</v>
      </c>
      <c r="L302" s="156">
        <f>+VLOOKUP($A302,Opex!$C:$Z,N$1,1)</f>
        <v>56896.551724137928</v>
      </c>
      <c r="M302" s="157">
        <f ca="1">+Opex_VE[[#This Row],[Opex]]</f>
        <v>0</v>
      </c>
      <c r="N302" s="156">
        <f t="shared" si="18"/>
        <v>295139.6551724138</v>
      </c>
      <c r="O302" s="156">
        <f>+VLOOKUP($A302,Opex!$C:$Z,Q$1,1)</f>
        <v>4137.9310344827591</v>
      </c>
      <c r="P302" s="156">
        <f t="shared" si="19"/>
        <v>291001.72413793101</v>
      </c>
      <c r="Q302" s="156">
        <f>+VLOOKUP($A302,Opex!$C:$Z,R$1,1)</f>
        <v>11001.724137931034</v>
      </c>
      <c r="R302" s="157">
        <f>+SUM(Opex_VE[[#This Row],[Cajero]:[Domiciliario]])</f>
        <v>140000</v>
      </c>
      <c r="S302" s="156">
        <v>70000</v>
      </c>
      <c r="T302" s="156">
        <v>70000</v>
      </c>
      <c r="U302" s="156">
        <v>0</v>
      </c>
      <c r="V302"/>
    </row>
    <row r="303" spans="1:22" x14ac:dyDescent="0.2">
      <c r="A303" s="153">
        <v>46366</v>
      </c>
      <c r="B303" s="3">
        <f t="shared" si="21"/>
        <v>42</v>
      </c>
      <c r="C303" s="3" t="str">
        <f>+TEXT(Opex_VE[[#This Row],[Fecha]],"ddd")</f>
        <v>jue</v>
      </c>
      <c r="E303" s="14" t="s">
        <v>112</v>
      </c>
      <c r="F303" s="172">
        <f>IFERROR(VLOOKUP(Opex_VE[[#This Row],[Fecha]],Historia!A:B,2,0),_xlfn.XLOOKUP(Opex_VE[[#This Row],[dia]],Forecast!H:H,Forecast!I:I))</f>
        <v>234000</v>
      </c>
      <c r="G303" s="172">
        <f>IFERROR(VLOOKUP(Opex_VE[[#This Row],[Fecha]],Historia!A:C,3,0),_xlfn.XLOOKUP(Opex_VE[[#This Row],[dia]],Forecast!H:H,Forecast!J:J))</f>
        <v>93600</v>
      </c>
      <c r="H303" s="186">
        <f ca="1">+Opex_VE[[#This Row],[MG]]-Opex_VE[[#This Row],[Opex]]</f>
        <v>-130585.13793103449</v>
      </c>
      <c r="I303" s="172" t="str">
        <f>IFERROR(VLOOKUP(Opex_VE[[#This Row],[Fecha]],Historia!A:D,4,0),"Forecast")</f>
        <v>Forecast</v>
      </c>
      <c r="J303" s="161">
        <f t="shared" ca="1" si="20"/>
        <v>560462.8448275862</v>
      </c>
      <c r="K303" s="157">
        <f ca="1">+Opex_VE[[#This Row],[MG]]-Opex_VE[[#This Row],[Opex]]</f>
        <v>0</v>
      </c>
      <c r="L303" s="156">
        <f>+VLOOKUP($A303,Opex!$C:$Z,N$1,1)</f>
        <v>56896.551724137928</v>
      </c>
      <c r="M303" s="157">
        <f ca="1">+Opex_VE[[#This Row],[Opex]]</f>
        <v>0</v>
      </c>
      <c r="N303" s="156">
        <f t="shared" si="18"/>
        <v>295139.6551724138</v>
      </c>
      <c r="O303" s="156">
        <f>+VLOOKUP($A303,Opex!$C:$Z,Q$1,1)</f>
        <v>4137.9310344827591</v>
      </c>
      <c r="P303" s="156">
        <f t="shared" si="19"/>
        <v>291001.72413793101</v>
      </c>
      <c r="Q303" s="156">
        <f>+VLOOKUP($A303,Opex!$C:$Z,R$1,1)</f>
        <v>11001.724137931034</v>
      </c>
      <c r="R303" s="157">
        <f>+SUM(Opex_VE[[#This Row],[Cajero]:[Domiciliario]])</f>
        <v>140000</v>
      </c>
      <c r="S303" s="156">
        <v>70000</v>
      </c>
      <c r="T303" s="156">
        <v>70000</v>
      </c>
      <c r="U303" s="156">
        <v>0</v>
      </c>
      <c r="V303"/>
    </row>
    <row r="304" spans="1:22" x14ac:dyDescent="0.2">
      <c r="A304" s="153">
        <v>46367</v>
      </c>
      <c r="B304" s="3">
        <f t="shared" si="21"/>
        <v>42</v>
      </c>
      <c r="C304" s="3" t="str">
        <f>+TEXT(Opex_VE[[#This Row],[Fecha]],"ddd")</f>
        <v>vie</v>
      </c>
      <c r="E304" s="14" t="s">
        <v>217</v>
      </c>
      <c r="F304" s="172">
        <f>IFERROR(VLOOKUP(Opex_VE[[#This Row],[Fecha]],Historia!A:B,2,0),_xlfn.XLOOKUP(Opex_VE[[#This Row],[dia]],Forecast!H:H,Forecast!I:I))</f>
        <v>248000</v>
      </c>
      <c r="G304" s="172">
        <f>IFERROR(VLOOKUP(Opex_VE[[#This Row],[Fecha]],Historia!A:C,3,0),_xlfn.XLOOKUP(Opex_VE[[#This Row],[dia]],Forecast!H:H,Forecast!J:J))</f>
        <v>99200</v>
      </c>
      <c r="H304" s="186">
        <f ca="1">+Opex_VE[[#This Row],[MG]]-Opex_VE[[#This Row],[Opex]]</f>
        <v>-124985.13793103449</v>
      </c>
      <c r="I304" s="172" t="str">
        <f>IFERROR(VLOOKUP(Opex_VE[[#This Row],[Fecha]],Historia!A:D,4,0),"Forecast")</f>
        <v>Forecast</v>
      </c>
      <c r="J304" s="161">
        <f t="shared" ca="1" si="20"/>
        <v>560462.8448275862</v>
      </c>
      <c r="K304" s="157">
        <f ca="1">+Opex_VE[[#This Row],[MG]]-Opex_VE[[#This Row],[Opex]]</f>
        <v>0</v>
      </c>
      <c r="L304" s="156">
        <f>+VLOOKUP($A304,Opex!$C:$Z,N$1,1)</f>
        <v>56896.551724137928</v>
      </c>
      <c r="M304" s="157">
        <f ca="1">+Opex_VE[[#This Row],[Opex]]</f>
        <v>0</v>
      </c>
      <c r="N304" s="156">
        <f t="shared" si="18"/>
        <v>295139.6551724138</v>
      </c>
      <c r="O304" s="156">
        <f>+VLOOKUP($A304,Opex!$C:$Z,Q$1,1)</f>
        <v>4137.9310344827591</v>
      </c>
      <c r="P304" s="156">
        <f t="shared" si="19"/>
        <v>291001.72413793101</v>
      </c>
      <c r="Q304" s="156">
        <f>+VLOOKUP($A304,Opex!$C:$Z,R$1,1)</f>
        <v>11001.724137931034</v>
      </c>
      <c r="R304" s="157">
        <f>+SUM(Opex_VE[[#This Row],[Cajero]:[Domiciliario]])</f>
        <v>140000</v>
      </c>
      <c r="S304" s="156">
        <v>70000</v>
      </c>
      <c r="T304" s="156">
        <v>70000</v>
      </c>
      <c r="U304" s="156">
        <v>0</v>
      </c>
      <c r="V304"/>
    </row>
    <row r="305" spans="1:22" x14ac:dyDescent="0.2">
      <c r="A305" s="153">
        <v>46368</v>
      </c>
      <c r="B305" s="3">
        <f t="shared" si="21"/>
        <v>42</v>
      </c>
      <c r="C305" s="3" t="str">
        <f>+TEXT(Opex_VE[[#This Row],[Fecha]],"ddd")</f>
        <v>sáb</v>
      </c>
      <c r="E305" s="14" t="s">
        <v>113</v>
      </c>
      <c r="F305" s="172">
        <f>IFERROR(VLOOKUP(Opex_VE[[#This Row],[Fecha]],Historia!A:B,2,0),_xlfn.XLOOKUP(Opex_VE[[#This Row],[dia]],Forecast!H:H,Forecast!I:I))</f>
        <v>320800</v>
      </c>
      <c r="G305" s="172">
        <f>IFERROR(VLOOKUP(Opex_VE[[#This Row],[Fecha]],Historia!A:C,3,0),_xlfn.XLOOKUP(Opex_VE[[#This Row],[dia]],Forecast!H:H,Forecast!J:J))</f>
        <v>128320</v>
      </c>
      <c r="H305" s="186">
        <f ca="1">+Opex_VE[[#This Row],[MG]]-Opex_VE[[#This Row],[Opex]]</f>
        <v>-95865.137931034493</v>
      </c>
      <c r="I305" s="173" t="str">
        <f>IFERROR(VLOOKUP(Opex_VE[[#This Row],[Fecha]],Historia!A:D,4,0),"Forecast")</f>
        <v>Forecast</v>
      </c>
      <c r="J305" s="161">
        <f t="shared" ca="1" si="20"/>
        <v>560462.8448275862</v>
      </c>
      <c r="K305" s="157">
        <f ca="1">+Opex_VE[[#This Row],[MG]]-Opex_VE[[#This Row],[Opex]]</f>
        <v>0</v>
      </c>
      <c r="L305" s="156">
        <f>+VLOOKUP($A305,Opex!$C:$Z,N$1,1)</f>
        <v>56896.551724137928</v>
      </c>
      <c r="M305" s="157">
        <f ca="1">+Opex_VE[[#This Row],[Opex]]</f>
        <v>0</v>
      </c>
      <c r="N305" s="156">
        <f t="shared" si="18"/>
        <v>295139.6551724138</v>
      </c>
      <c r="O305" s="156">
        <f>+VLOOKUP($A305,Opex!$C:$Z,Q$1,1)</f>
        <v>4137.9310344827591</v>
      </c>
      <c r="P305" s="156">
        <f t="shared" si="19"/>
        <v>291001.72413793101</v>
      </c>
      <c r="Q305" s="156">
        <f>+VLOOKUP($A305,Opex!$C:$Z,R$1,1)</f>
        <v>11001.724137931034</v>
      </c>
      <c r="R305" s="157">
        <f>+SUM(Opex_VE[[#This Row],[Cajero]:[Domiciliario]])</f>
        <v>140000</v>
      </c>
      <c r="S305" s="156">
        <v>70000</v>
      </c>
      <c r="T305" s="156">
        <v>70000</v>
      </c>
      <c r="U305" s="156">
        <v>0</v>
      </c>
      <c r="V305"/>
    </row>
    <row r="306" spans="1:22" x14ac:dyDescent="0.2">
      <c r="A306" s="153">
        <v>46369</v>
      </c>
      <c r="B306" s="3">
        <f t="shared" si="21"/>
        <v>42</v>
      </c>
      <c r="C306" s="3" t="str">
        <f>+TEXT(Opex_VE[[#This Row],[Fecha]],"ddd")</f>
        <v>dom</v>
      </c>
      <c r="E306" s="14" t="s">
        <v>145</v>
      </c>
      <c r="F306" s="172">
        <f>IFERROR(VLOOKUP(Opex_VE[[#This Row],[Fecha]],Historia!A:B,2,0),_xlfn.XLOOKUP(Opex_VE[[#This Row],[dia]],Forecast!H:H,Forecast!I:I))</f>
        <v>218500</v>
      </c>
      <c r="G306" s="172">
        <f>IFERROR(VLOOKUP(Opex_VE[[#This Row],[Fecha]],Historia!A:C,3,0),_xlfn.XLOOKUP(Opex_VE[[#This Row],[dia]],Forecast!H:H,Forecast!J:J))</f>
        <v>87400</v>
      </c>
      <c r="H306" s="186">
        <f ca="1">+Opex_VE[[#This Row],[MG]]-Opex_VE[[#This Row],[Opex]]</f>
        <v>-136785.13793103449</v>
      </c>
      <c r="I306" s="172" t="str">
        <f>IFERROR(VLOOKUP(Opex_VE[[#This Row],[Fecha]],Historia!A:D,4,0),"Forecast")</f>
        <v>Forecast</v>
      </c>
      <c r="J306" s="161">
        <f t="shared" ca="1" si="20"/>
        <v>560462.8448275862</v>
      </c>
      <c r="K306" s="157">
        <f ca="1">+Opex_VE[[#This Row],[MG]]-Opex_VE[[#This Row],[Opex]]</f>
        <v>0</v>
      </c>
      <c r="L306" s="156">
        <f>+VLOOKUP($A306,Opex!$C:$Z,N$1,1)</f>
        <v>56896.551724137928</v>
      </c>
      <c r="M306" s="157">
        <f ca="1">+Opex_VE[[#This Row],[Opex]]</f>
        <v>0</v>
      </c>
      <c r="N306" s="156">
        <f t="shared" si="18"/>
        <v>295139.6551724138</v>
      </c>
      <c r="O306" s="156">
        <f>+VLOOKUP($A306,Opex!$C:$Z,Q$1,1)</f>
        <v>4137.9310344827591</v>
      </c>
      <c r="P306" s="156">
        <f t="shared" si="19"/>
        <v>291001.72413793101</v>
      </c>
      <c r="Q306" s="156">
        <f>+VLOOKUP($A306,Opex!$C:$Z,R$1,1)</f>
        <v>11001.724137931034</v>
      </c>
      <c r="R306" s="157">
        <f>+SUM(Opex_VE[[#This Row],[Cajero]:[Domiciliario]])</f>
        <v>140000</v>
      </c>
      <c r="S306" s="156">
        <v>70000</v>
      </c>
      <c r="T306" s="156">
        <v>70000</v>
      </c>
      <c r="U306" s="156">
        <v>0</v>
      </c>
      <c r="V306"/>
    </row>
    <row r="307" spans="1:22" x14ac:dyDescent="0.2">
      <c r="A307" s="153">
        <v>46370</v>
      </c>
      <c r="B307" s="3">
        <f t="shared" si="21"/>
        <v>43</v>
      </c>
      <c r="C307" s="3" t="str">
        <f>+TEXT(Opex_VE[[#This Row],[Fecha]],"ddd")</f>
        <v>lun</v>
      </c>
      <c r="E307" s="14" t="s">
        <v>112</v>
      </c>
      <c r="F307" s="172">
        <f>IFERROR(VLOOKUP(Opex_VE[[#This Row],[Fecha]],Historia!A:B,2,0),_xlfn.XLOOKUP(Opex_VE[[#This Row],[dia]],Forecast!H:H,Forecast!I:I))</f>
        <v>179200</v>
      </c>
      <c r="G307" s="172">
        <f>IFERROR(VLOOKUP(Opex_VE[[#This Row],[Fecha]],Historia!A:C,3,0),_xlfn.XLOOKUP(Opex_VE[[#This Row],[dia]],Forecast!H:H,Forecast!J:J))</f>
        <v>71680</v>
      </c>
      <c r="H307" s="186">
        <f ca="1">+Opex_VE[[#This Row],[MG]]-Opex_VE[[#This Row],[Opex]]</f>
        <v>-152505.13793103449</v>
      </c>
      <c r="I307" s="172" t="str">
        <f>IFERROR(VLOOKUP(Opex_VE[[#This Row],[Fecha]],Historia!A:D,4,0),"Forecast")</f>
        <v>Forecast</v>
      </c>
      <c r="J307" s="161">
        <f t="shared" ca="1" si="20"/>
        <v>560462.8448275862</v>
      </c>
      <c r="K307" s="157">
        <f ca="1">+Opex_VE[[#This Row],[MG]]-Opex_VE[[#This Row],[Opex]]</f>
        <v>0</v>
      </c>
      <c r="L307" s="156">
        <f>+VLOOKUP($A307,Opex!$C:$Z,N$1,1)</f>
        <v>56896.551724137928</v>
      </c>
      <c r="M307" s="157">
        <f ca="1">+Opex_VE[[#This Row],[Opex]]</f>
        <v>0</v>
      </c>
      <c r="N307" s="156">
        <f t="shared" si="18"/>
        <v>295139.6551724138</v>
      </c>
      <c r="O307" s="156">
        <f>+VLOOKUP($A307,Opex!$C:$Z,Q$1,1)</f>
        <v>4137.9310344827591</v>
      </c>
      <c r="P307" s="156">
        <f t="shared" si="19"/>
        <v>291001.72413793101</v>
      </c>
      <c r="Q307" s="156">
        <f>+VLOOKUP($A307,Opex!$C:$Z,R$1,1)</f>
        <v>11001.724137931034</v>
      </c>
      <c r="R307" s="157">
        <f>+SUM(Opex_VE[[#This Row],[Cajero]:[Domiciliario]])</f>
        <v>140000</v>
      </c>
      <c r="S307" s="156">
        <v>70000</v>
      </c>
      <c r="T307" s="156">
        <v>70000</v>
      </c>
      <c r="U307" s="156">
        <v>0</v>
      </c>
      <c r="V307"/>
    </row>
    <row r="308" spans="1:22" x14ac:dyDescent="0.2">
      <c r="A308" s="153">
        <v>46371</v>
      </c>
      <c r="B308" s="3">
        <f t="shared" si="21"/>
        <v>43</v>
      </c>
      <c r="C308" s="3" t="str">
        <f>+TEXT(Opex_VE[[#This Row],[Fecha]],"ddd")</f>
        <v>mar</v>
      </c>
      <c r="E308" s="14" t="s">
        <v>112</v>
      </c>
      <c r="F308" s="172">
        <f>IFERROR(VLOOKUP(Opex_VE[[#This Row],[Fecha]],Historia!A:B,2,0),_xlfn.XLOOKUP(Opex_VE[[#This Row],[dia]],Forecast!H:H,Forecast!I:I))</f>
        <v>195000</v>
      </c>
      <c r="G308" s="172">
        <f>IFERROR(VLOOKUP(Opex_VE[[#This Row],[Fecha]],Historia!A:C,3,0),_xlfn.XLOOKUP(Opex_VE[[#This Row],[dia]],Forecast!H:H,Forecast!J:J))</f>
        <v>78000</v>
      </c>
      <c r="H308" s="186">
        <f ca="1">+Opex_VE[[#This Row],[MG]]-Opex_VE[[#This Row],[Opex]]</f>
        <v>-143378.96666666667</v>
      </c>
      <c r="I308" s="172" t="str">
        <f>IFERROR(VLOOKUP(Opex_VE[[#This Row],[Fecha]],Historia!A:D,4,0),"Forecast")</f>
        <v>Forecast</v>
      </c>
      <c r="J308" s="161">
        <f t="shared" ca="1" si="20"/>
        <v>553447.41666666663</v>
      </c>
      <c r="K308" s="157">
        <f ca="1">+Opex_VE[[#This Row],[MG]]-Opex_VE[[#This Row],[Opex]]</f>
        <v>0</v>
      </c>
      <c r="L308" s="156">
        <f>+VLOOKUP($A308,Opex!$C:$Z,N$1,1)</f>
        <v>55000</v>
      </c>
      <c r="M308" s="157">
        <f ca="1">+Opex_VE[[#This Row],[Opex]]</f>
        <v>0</v>
      </c>
      <c r="N308" s="156">
        <f t="shared" si="18"/>
        <v>294635</v>
      </c>
      <c r="O308" s="156">
        <f>+VLOOKUP($A308,Opex!$C:$Z,Q$1,1)</f>
        <v>4000</v>
      </c>
      <c r="P308" s="156">
        <f t="shared" si="19"/>
        <v>290635</v>
      </c>
      <c r="Q308" s="156">
        <f>+VLOOKUP($A308,Opex!$C:$Z,R$1,1)</f>
        <v>10635</v>
      </c>
      <c r="R308" s="157">
        <f>+SUM(Opex_VE[[#This Row],[Cajero]:[Domiciliario]])</f>
        <v>140000</v>
      </c>
      <c r="S308" s="156">
        <v>70000</v>
      </c>
      <c r="T308" s="156">
        <v>70000</v>
      </c>
      <c r="U308" s="156">
        <v>0</v>
      </c>
      <c r="V308"/>
    </row>
    <row r="309" spans="1:22" x14ac:dyDescent="0.2">
      <c r="A309" s="153">
        <v>46372</v>
      </c>
      <c r="B309" s="3">
        <f t="shared" si="21"/>
        <v>43</v>
      </c>
      <c r="C309" s="3" t="str">
        <f>+TEXT(Opex_VE[[#This Row],[Fecha]],"ddd")</f>
        <v>mié</v>
      </c>
      <c r="E309" s="14" t="s">
        <v>112</v>
      </c>
      <c r="F309" s="172">
        <f>IFERROR(VLOOKUP(Opex_VE[[#This Row],[Fecha]],Historia!A:B,2,0),_xlfn.XLOOKUP(Opex_VE[[#This Row],[dia]],Forecast!H:H,Forecast!I:I))</f>
        <v>366750</v>
      </c>
      <c r="G309" s="172">
        <f>IFERROR(VLOOKUP(Opex_VE[[#This Row],[Fecha]],Historia!A:C,3,0),_xlfn.XLOOKUP(Opex_VE[[#This Row],[dia]],Forecast!H:H,Forecast!J:J))</f>
        <v>146700</v>
      </c>
      <c r="H309" s="186">
        <f ca="1">+Opex_VE[[#This Row],[MG]]-Opex_VE[[#This Row],[Opex]]</f>
        <v>-74678.966666666674</v>
      </c>
      <c r="I309" s="172" t="str">
        <f>IFERROR(VLOOKUP(Opex_VE[[#This Row],[Fecha]],Historia!A:D,4,0),"Forecast")</f>
        <v>Forecast</v>
      </c>
      <c r="J309" s="161">
        <f t="shared" ca="1" si="20"/>
        <v>553447.41666666663</v>
      </c>
      <c r="K309" s="157">
        <f ca="1">+Opex_VE[[#This Row],[MG]]-Opex_VE[[#This Row],[Opex]]</f>
        <v>0</v>
      </c>
      <c r="L309" s="156">
        <f>+VLOOKUP($A309,Opex!$C:$Z,N$1,1)</f>
        <v>55000</v>
      </c>
      <c r="M309" s="157">
        <f ca="1">+Opex_VE[[#This Row],[Opex]]</f>
        <v>0</v>
      </c>
      <c r="N309" s="156">
        <f t="shared" si="18"/>
        <v>294635</v>
      </c>
      <c r="O309" s="156">
        <f>+VLOOKUP($A309,Opex!$C:$Z,Q$1,1)</f>
        <v>4000</v>
      </c>
      <c r="P309" s="156">
        <f t="shared" si="19"/>
        <v>290635</v>
      </c>
      <c r="Q309" s="156">
        <f>+VLOOKUP($A309,Opex!$C:$Z,R$1,1)</f>
        <v>10635</v>
      </c>
      <c r="R309" s="157">
        <f>+SUM(Opex_VE[[#This Row],[Cajero]:[Domiciliario]])</f>
        <v>140000</v>
      </c>
      <c r="S309" s="156">
        <v>70000</v>
      </c>
      <c r="T309" s="156">
        <v>70000</v>
      </c>
      <c r="U309" s="156">
        <v>0</v>
      </c>
      <c r="V309"/>
    </row>
    <row r="310" spans="1:22" x14ac:dyDescent="0.2">
      <c r="A310" s="153">
        <v>46373</v>
      </c>
      <c r="B310" s="3">
        <f t="shared" si="21"/>
        <v>43</v>
      </c>
      <c r="C310" s="3" t="str">
        <f>+TEXT(Opex_VE[[#This Row],[Fecha]],"ddd")</f>
        <v>jue</v>
      </c>
      <c r="E310" s="14" t="s">
        <v>112</v>
      </c>
      <c r="F310" s="172">
        <f>IFERROR(VLOOKUP(Opex_VE[[#This Row],[Fecha]],Historia!A:B,2,0),_xlfn.XLOOKUP(Opex_VE[[#This Row],[dia]],Forecast!H:H,Forecast!I:I))</f>
        <v>234000</v>
      </c>
      <c r="G310" s="172">
        <f>IFERROR(VLOOKUP(Opex_VE[[#This Row],[Fecha]],Historia!A:C,3,0),_xlfn.XLOOKUP(Opex_VE[[#This Row],[dia]],Forecast!H:H,Forecast!J:J))</f>
        <v>93600</v>
      </c>
      <c r="H310" s="186">
        <f ca="1">+Opex_VE[[#This Row],[MG]]-Opex_VE[[#This Row],[Opex]]</f>
        <v>-127778.96666666667</v>
      </c>
      <c r="I310" s="172" t="str">
        <f>IFERROR(VLOOKUP(Opex_VE[[#This Row],[Fecha]],Historia!A:D,4,0),"Forecast")</f>
        <v>Forecast</v>
      </c>
      <c r="J310" s="161">
        <f t="shared" ca="1" si="20"/>
        <v>553447.41666666663</v>
      </c>
      <c r="K310" s="157">
        <f ca="1">+Opex_VE[[#This Row],[MG]]-Opex_VE[[#This Row],[Opex]]</f>
        <v>0</v>
      </c>
      <c r="L310" s="156">
        <f>+VLOOKUP($A310,Opex!$C:$Z,N$1,1)</f>
        <v>55000</v>
      </c>
      <c r="M310" s="157">
        <f ca="1">+Opex_VE[[#This Row],[Opex]]</f>
        <v>0</v>
      </c>
      <c r="N310" s="156">
        <f t="shared" si="18"/>
        <v>294635</v>
      </c>
      <c r="O310" s="156">
        <f>+VLOOKUP($A310,Opex!$C:$Z,Q$1,1)</f>
        <v>4000</v>
      </c>
      <c r="P310" s="156">
        <f t="shared" si="19"/>
        <v>290635</v>
      </c>
      <c r="Q310" s="156">
        <f>+VLOOKUP($A310,Opex!$C:$Z,R$1,1)</f>
        <v>10635</v>
      </c>
      <c r="R310" s="157">
        <f>+SUM(Opex_VE[[#This Row],[Cajero]:[Domiciliario]])</f>
        <v>140000</v>
      </c>
      <c r="S310" s="156">
        <v>70000</v>
      </c>
      <c r="T310" s="156">
        <v>70000</v>
      </c>
      <c r="U310" s="156">
        <v>0</v>
      </c>
      <c r="V310"/>
    </row>
    <row r="311" spans="1:22" x14ac:dyDescent="0.2">
      <c r="A311" s="153">
        <v>46374</v>
      </c>
      <c r="B311" s="3">
        <f t="shared" si="21"/>
        <v>43</v>
      </c>
      <c r="C311" s="3" t="str">
        <f>+TEXT(Opex_VE[[#This Row],[Fecha]],"ddd")</f>
        <v>vie</v>
      </c>
      <c r="E311" s="14" t="s">
        <v>217</v>
      </c>
      <c r="F311" s="172">
        <f>IFERROR(VLOOKUP(Opex_VE[[#This Row],[Fecha]],Historia!A:B,2,0),_xlfn.XLOOKUP(Opex_VE[[#This Row],[dia]],Forecast!H:H,Forecast!I:I))</f>
        <v>248000</v>
      </c>
      <c r="G311" s="172">
        <f>IFERROR(VLOOKUP(Opex_VE[[#This Row],[Fecha]],Historia!A:C,3,0),_xlfn.XLOOKUP(Opex_VE[[#This Row],[dia]],Forecast!H:H,Forecast!J:J))</f>
        <v>99200</v>
      </c>
      <c r="H311" s="186">
        <f ca="1">+Opex_VE[[#This Row],[MG]]-Opex_VE[[#This Row],[Opex]]</f>
        <v>-122178.96666666667</v>
      </c>
      <c r="I311" s="172" t="str">
        <f>IFERROR(VLOOKUP(Opex_VE[[#This Row],[Fecha]],Historia!A:D,4,0),"Forecast")</f>
        <v>Forecast</v>
      </c>
      <c r="J311" s="161">
        <f t="shared" ca="1" si="20"/>
        <v>553447.41666666663</v>
      </c>
      <c r="K311" s="157">
        <f ca="1">+Opex_VE[[#This Row],[MG]]-Opex_VE[[#This Row],[Opex]]</f>
        <v>0</v>
      </c>
      <c r="L311" s="156">
        <f>+VLOOKUP($A311,Opex!$C:$Z,N$1,1)</f>
        <v>55000</v>
      </c>
      <c r="M311" s="157">
        <f ca="1">+Opex_VE[[#This Row],[Opex]]</f>
        <v>0</v>
      </c>
      <c r="N311" s="156">
        <f t="shared" si="18"/>
        <v>294635</v>
      </c>
      <c r="O311" s="156">
        <f>+VLOOKUP($A311,Opex!$C:$Z,Q$1,1)</f>
        <v>4000</v>
      </c>
      <c r="P311" s="156">
        <f t="shared" si="19"/>
        <v>290635</v>
      </c>
      <c r="Q311" s="156">
        <f>+VLOOKUP($A311,Opex!$C:$Z,R$1,1)</f>
        <v>10635</v>
      </c>
      <c r="R311" s="157">
        <f>+SUM(Opex_VE[[#This Row],[Cajero]:[Domiciliario]])</f>
        <v>140000</v>
      </c>
      <c r="S311" s="156">
        <v>70000</v>
      </c>
      <c r="T311" s="156">
        <v>70000</v>
      </c>
      <c r="U311" s="156">
        <v>0</v>
      </c>
      <c r="V311"/>
    </row>
    <row r="312" spans="1:22" x14ac:dyDescent="0.2">
      <c r="A312" s="153">
        <v>46375</v>
      </c>
      <c r="B312" s="3">
        <f t="shared" si="21"/>
        <v>43</v>
      </c>
      <c r="C312" s="3" t="str">
        <f>+TEXT(Opex_VE[[#This Row],[Fecha]],"ddd")</f>
        <v>sáb</v>
      </c>
      <c r="E312" s="14" t="s">
        <v>113</v>
      </c>
      <c r="F312" s="172">
        <f>IFERROR(VLOOKUP(Opex_VE[[#This Row],[Fecha]],Historia!A:B,2,0),_xlfn.XLOOKUP(Opex_VE[[#This Row],[dia]],Forecast!H:H,Forecast!I:I))</f>
        <v>320800</v>
      </c>
      <c r="G312" s="172">
        <f>IFERROR(VLOOKUP(Opex_VE[[#This Row],[Fecha]],Historia!A:C,3,0),_xlfn.XLOOKUP(Opex_VE[[#This Row],[dia]],Forecast!H:H,Forecast!J:J))</f>
        <v>128320</v>
      </c>
      <c r="H312" s="186">
        <f ca="1">+Opex_VE[[#This Row],[MG]]-Opex_VE[[#This Row],[Opex]]</f>
        <v>-93058.966666666674</v>
      </c>
      <c r="I312" s="173" t="str">
        <f>IFERROR(VLOOKUP(Opex_VE[[#This Row],[Fecha]],Historia!A:D,4,0),"Forecast")</f>
        <v>Forecast</v>
      </c>
      <c r="J312" s="161">
        <f t="shared" ca="1" si="20"/>
        <v>553447.41666666663</v>
      </c>
      <c r="K312" s="157">
        <f ca="1">+Opex_VE[[#This Row],[MG]]-Opex_VE[[#This Row],[Opex]]</f>
        <v>0</v>
      </c>
      <c r="L312" s="156">
        <f>+VLOOKUP($A312,Opex!$C:$Z,N$1,1)</f>
        <v>55000</v>
      </c>
      <c r="M312" s="157">
        <f ca="1">+Opex_VE[[#This Row],[Opex]]</f>
        <v>0</v>
      </c>
      <c r="N312" s="156">
        <f t="shared" si="18"/>
        <v>294635</v>
      </c>
      <c r="O312" s="156">
        <f>+VLOOKUP($A312,Opex!$C:$Z,Q$1,1)</f>
        <v>4000</v>
      </c>
      <c r="P312" s="156">
        <f t="shared" si="19"/>
        <v>290635</v>
      </c>
      <c r="Q312" s="156">
        <f>+VLOOKUP($A312,Opex!$C:$Z,R$1,1)</f>
        <v>10635</v>
      </c>
      <c r="R312" s="157">
        <f>+SUM(Opex_VE[[#This Row],[Cajero]:[Domiciliario]])</f>
        <v>140000</v>
      </c>
      <c r="S312" s="156">
        <v>70000</v>
      </c>
      <c r="T312" s="156">
        <v>70000</v>
      </c>
      <c r="U312" s="156">
        <v>0</v>
      </c>
      <c r="V312"/>
    </row>
    <row r="313" spans="1:22" x14ac:dyDescent="0.2">
      <c r="A313" s="153">
        <v>46376</v>
      </c>
      <c r="B313" s="3">
        <f t="shared" si="21"/>
        <v>43</v>
      </c>
      <c r="C313" s="3" t="str">
        <f>+TEXT(Opex_VE[[#This Row],[Fecha]],"ddd")</f>
        <v>dom</v>
      </c>
      <c r="E313" s="14" t="s">
        <v>145</v>
      </c>
      <c r="F313" s="172">
        <f>IFERROR(VLOOKUP(Opex_VE[[#This Row],[Fecha]],Historia!A:B,2,0),_xlfn.XLOOKUP(Opex_VE[[#This Row],[dia]],Forecast!H:H,Forecast!I:I))</f>
        <v>218500</v>
      </c>
      <c r="G313" s="172">
        <f>IFERROR(VLOOKUP(Opex_VE[[#This Row],[Fecha]],Historia!A:C,3,0),_xlfn.XLOOKUP(Opex_VE[[#This Row],[dia]],Forecast!H:H,Forecast!J:J))</f>
        <v>87400</v>
      </c>
      <c r="H313" s="186">
        <f ca="1">+Opex_VE[[#This Row],[MG]]-Opex_VE[[#This Row],[Opex]]</f>
        <v>-133978.96666666667</v>
      </c>
      <c r="I313" s="172" t="str">
        <f>IFERROR(VLOOKUP(Opex_VE[[#This Row],[Fecha]],Historia!A:D,4,0),"Forecast")</f>
        <v>Forecast</v>
      </c>
      <c r="J313" s="161">
        <f t="shared" ca="1" si="20"/>
        <v>553447.41666666663</v>
      </c>
      <c r="K313" s="157">
        <f ca="1">+Opex_VE[[#This Row],[MG]]-Opex_VE[[#This Row],[Opex]]</f>
        <v>0</v>
      </c>
      <c r="L313" s="156">
        <f>+VLOOKUP($A313,Opex!$C:$Z,N$1,1)</f>
        <v>55000</v>
      </c>
      <c r="M313" s="157">
        <f ca="1">+Opex_VE[[#This Row],[Opex]]</f>
        <v>0</v>
      </c>
      <c r="N313" s="156">
        <f t="shared" si="18"/>
        <v>294635</v>
      </c>
      <c r="O313" s="156">
        <f>+VLOOKUP($A313,Opex!$C:$Z,Q$1,1)</f>
        <v>4000</v>
      </c>
      <c r="P313" s="156">
        <f t="shared" si="19"/>
        <v>290635</v>
      </c>
      <c r="Q313" s="156">
        <f>+VLOOKUP($A313,Opex!$C:$Z,R$1,1)</f>
        <v>10635</v>
      </c>
      <c r="R313" s="157">
        <f>+SUM(Opex_VE[[#This Row],[Cajero]:[Domiciliario]])</f>
        <v>140000</v>
      </c>
      <c r="S313" s="156">
        <v>70000</v>
      </c>
      <c r="T313" s="156">
        <v>70000</v>
      </c>
      <c r="U313" s="156">
        <v>0</v>
      </c>
      <c r="V313"/>
    </row>
    <row r="314" spans="1:22" x14ac:dyDescent="0.2">
      <c r="A314" s="153">
        <v>46377</v>
      </c>
      <c r="B314" s="3">
        <f t="shared" si="21"/>
        <v>44</v>
      </c>
      <c r="C314" s="3" t="str">
        <f>+TEXT(Opex_VE[[#This Row],[Fecha]],"ddd")</f>
        <v>lun</v>
      </c>
      <c r="E314" s="14" t="s">
        <v>112</v>
      </c>
      <c r="F314" s="172">
        <f>IFERROR(VLOOKUP(Opex_VE[[#This Row],[Fecha]],Historia!A:B,2,0),_xlfn.XLOOKUP(Opex_VE[[#This Row],[dia]],Forecast!H:H,Forecast!I:I))</f>
        <v>179200</v>
      </c>
      <c r="G314" s="172">
        <f>IFERROR(VLOOKUP(Opex_VE[[#This Row],[Fecha]],Historia!A:C,3,0),_xlfn.XLOOKUP(Opex_VE[[#This Row],[dia]],Forecast!H:H,Forecast!J:J))</f>
        <v>71680</v>
      </c>
      <c r="H314" s="186">
        <f ca="1">+Opex_VE[[#This Row],[MG]]-Opex_VE[[#This Row],[Opex]]</f>
        <v>-149698.96666666667</v>
      </c>
      <c r="I314" s="172" t="str">
        <f>IFERROR(VLOOKUP(Opex_VE[[#This Row],[Fecha]],Historia!A:D,4,0),"Forecast")</f>
        <v>Forecast</v>
      </c>
      <c r="J314" s="161">
        <f t="shared" ca="1" si="20"/>
        <v>553447.41666666663</v>
      </c>
      <c r="K314" s="157">
        <f ca="1">+Opex_VE[[#This Row],[MG]]-Opex_VE[[#This Row],[Opex]]</f>
        <v>0</v>
      </c>
      <c r="L314" s="156">
        <f>+VLOOKUP($A314,Opex!$C:$Z,N$1,1)</f>
        <v>55000</v>
      </c>
      <c r="M314" s="157">
        <f ca="1">+Opex_VE[[#This Row],[Opex]]</f>
        <v>0</v>
      </c>
      <c r="N314" s="156">
        <f t="shared" si="18"/>
        <v>294635</v>
      </c>
      <c r="O314" s="156">
        <f>+VLOOKUP($A314,Opex!$C:$Z,Q$1,1)</f>
        <v>4000</v>
      </c>
      <c r="P314" s="156">
        <f t="shared" si="19"/>
        <v>290635</v>
      </c>
      <c r="Q314" s="156">
        <f>+VLOOKUP($A314,Opex!$C:$Z,R$1,1)</f>
        <v>10635</v>
      </c>
      <c r="R314" s="157">
        <f>+SUM(Opex_VE[[#This Row],[Cajero]:[Domiciliario]])</f>
        <v>140000</v>
      </c>
      <c r="S314" s="156">
        <v>70000</v>
      </c>
      <c r="T314" s="156">
        <v>70000</v>
      </c>
      <c r="U314" s="156">
        <v>0</v>
      </c>
      <c r="V314"/>
    </row>
    <row r="315" spans="1:22" x14ac:dyDescent="0.2">
      <c r="A315" s="153">
        <v>46378</v>
      </c>
      <c r="B315" s="3">
        <f t="shared" si="21"/>
        <v>44</v>
      </c>
      <c r="C315" s="3" t="str">
        <f>+TEXT(Opex_VE[[#This Row],[Fecha]],"ddd")</f>
        <v>mar</v>
      </c>
      <c r="E315" s="14" t="s">
        <v>112</v>
      </c>
      <c r="F315" s="172">
        <f>IFERROR(VLOOKUP(Opex_VE[[#This Row],[Fecha]],Historia!A:B,2,0),_xlfn.XLOOKUP(Opex_VE[[#This Row],[dia]],Forecast!H:H,Forecast!I:I))</f>
        <v>195000</v>
      </c>
      <c r="G315" s="172">
        <f>IFERROR(VLOOKUP(Opex_VE[[#This Row],[Fecha]],Historia!A:C,3,0),_xlfn.XLOOKUP(Opex_VE[[#This Row],[dia]],Forecast!H:H,Forecast!J:J))</f>
        <v>78000</v>
      </c>
      <c r="H315" s="186">
        <f ca="1">+Opex_VE[[#This Row],[MG]]-Opex_VE[[#This Row],[Opex]]</f>
        <v>-143378.96666666667</v>
      </c>
      <c r="I315" s="172" t="str">
        <f>IFERROR(VLOOKUP(Opex_VE[[#This Row],[Fecha]],Historia!A:D,4,0),"Forecast")</f>
        <v>Forecast</v>
      </c>
      <c r="J315" s="161">
        <f t="shared" ca="1" si="20"/>
        <v>553447.41666666663</v>
      </c>
      <c r="K315" s="157">
        <f ca="1">+Opex_VE[[#This Row],[MG]]-Opex_VE[[#This Row],[Opex]]</f>
        <v>0</v>
      </c>
      <c r="L315" s="156">
        <f>+VLOOKUP($A315,Opex!$C:$Z,N$1,1)</f>
        <v>55000</v>
      </c>
      <c r="M315" s="157">
        <f ca="1">+Opex_VE[[#This Row],[Opex]]</f>
        <v>0</v>
      </c>
      <c r="N315" s="156">
        <f t="shared" si="18"/>
        <v>294635</v>
      </c>
      <c r="O315" s="156">
        <f>+VLOOKUP($A315,Opex!$C:$Z,Q$1,1)</f>
        <v>4000</v>
      </c>
      <c r="P315" s="156">
        <f t="shared" si="19"/>
        <v>290635</v>
      </c>
      <c r="Q315" s="156">
        <f>+VLOOKUP($A315,Opex!$C:$Z,R$1,1)</f>
        <v>10635</v>
      </c>
      <c r="R315" s="157">
        <f>+SUM(Opex_VE[[#This Row],[Cajero]:[Domiciliario]])</f>
        <v>140000</v>
      </c>
      <c r="S315" s="156">
        <v>70000</v>
      </c>
      <c r="T315" s="156">
        <v>70000</v>
      </c>
      <c r="U315" s="156">
        <v>0</v>
      </c>
      <c r="V315"/>
    </row>
    <row r="316" spans="1:22" x14ac:dyDescent="0.2">
      <c r="A316" s="153">
        <v>46379</v>
      </c>
      <c r="B316" s="3">
        <f t="shared" si="21"/>
        <v>44</v>
      </c>
      <c r="C316" s="3" t="str">
        <f>+TEXT(Opex_VE[[#This Row],[Fecha]],"ddd")</f>
        <v>mié</v>
      </c>
      <c r="E316" s="14" t="s">
        <v>112</v>
      </c>
      <c r="F316" s="172">
        <f>IFERROR(VLOOKUP(Opex_VE[[#This Row],[Fecha]],Historia!A:B,2,0),_xlfn.XLOOKUP(Opex_VE[[#This Row],[dia]],Forecast!H:H,Forecast!I:I))</f>
        <v>366750</v>
      </c>
      <c r="G316" s="172">
        <f>IFERROR(VLOOKUP(Opex_VE[[#This Row],[Fecha]],Historia!A:C,3,0),_xlfn.XLOOKUP(Opex_VE[[#This Row],[dia]],Forecast!H:H,Forecast!J:J))</f>
        <v>146700</v>
      </c>
      <c r="H316" s="186">
        <f ca="1">+Opex_VE[[#This Row],[MG]]-Opex_VE[[#This Row],[Opex]]</f>
        <v>-74678.966666666674</v>
      </c>
      <c r="I316" s="172" t="str">
        <f>IFERROR(VLOOKUP(Opex_VE[[#This Row],[Fecha]],Historia!A:D,4,0),"Forecast")</f>
        <v>Forecast</v>
      </c>
      <c r="J316" s="161">
        <f t="shared" ca="1" si="20"/>
        <v>553447.41666666663</v>
      </c>
      <c r="K316" s="157">
        <f ca="1">+Opex_VE[[#This Row],[MG]]-Opex_VE[[#This Row],[Opex]]</f>
        <v>0</v>
      </c>
      <c r="L316" s="156">
        <f>+VLOOKUP($A316,Opex!$C:$Z,N$1,1)</f>
        <v>55000</v>
      </c>
      <c r="M316" s="157">
        <f ca="1">+Opex_VE[[#This Row],[Opex]]</f>
        <v>0</v>
      </c>
      <c r="N316" s="156">
        <f t="shared" si="18"/>
        <v>294635</v>
      </c>
      <c r="O316" s="156">
        <f>+VLOOKUP($A316,Opex!$C:$Z,Q$1,1)</f>
        <v>4000</v>
      </c>
      <c r="P316" s="156">
        <f t="shared" si="19"/>
        <v>290635</v>
      </c>
      <c r="Q316" s="156">
        <f>+VLOOKUP($A316,Opex!$C:$Z,R$1,1)</f>
        <v>10635</v>
      </c>
      <c r="R316" s="157">
        <f>+SUM(Opex_VE[[#This Row],[Cajero]:[Domiciliario]])</f>
        <v>140000</v>
      </c>
      <c r="S316" s="156">
        <v>70000</v>
      </c>
      <c r="T316" s="156">
        <v>70000</v>
      </c>
      <c r="U316" s="156">
        <v>0</v>
      </c>
      <c r="V316"/>
    </row>
    <row r="317" spans="1:22" x14ac:dyDescent="0.2">
      <c r="A317" s="153">
        <v>46380</v>
      </c>
      <c r="B317" s="3">
        <f t="shared" si="21"/>
        <v>44</v>
      </c>
      <c r="C317" s="3" t="str">
        <f>+TEXT(Opex_VE[[#This Row],[Fecha]],"ddd")</f>
        <v>jue</v>
      </c>
      <c r="E317" s="14" t="s">
        <v>112</v>
      </c>
      <c r="F317" s="172">
        <f>IFERROR(VLOOKUP(Opex_VE[[#This Row],[Fecha]],Historia!A:B,2,0),_xlfn.XLOOKUP(Opex_VE[[#This Row],[dia]],Forecast!H:H,Forecast!I:I))</f>
        <v>234000</v>
      </c>
      <c r="G317" s="172">
        <f>IFERROR(VLOOKUP(Opex_VE[[#This Row],[Fecha]],Historia!A:C,3,0),_xlfn.XLOOKUP(Opex_VE[[#This Row],[dia]],Forecast!H:H,Forecast!J:J))</f>
        <v>93600</v>
      </c>
      <c r="H317" s="186">
        <f ca="1">+Opex_VE[[#This Row],[MG]]-Opex_VE[[#This Row],[Opex]]</f>
        <v>-127778.96666666667</v>
      </c>
      <c r="I317" s="172" t="str">
        <f>IFERROR(VLOOKUP(Opex_VE[[#This Row],[Fecha]],Historia!A:D,4,0),"Forecast")</f>
        <v>Forecast</v>
      </c>
      <c r="J317" s="161">
        <f t="shared" ca="1" si="20"/>
        <v>553447.41666666663</v>
      </c>
      <c r="K317" s="157">
        <f ca="1">+Opex_VE[[#This Row],[MG]]-Opex_VE[[#This Row],[Opex]]</f>
        <v>0</v>
      </c>
      <c r="L317" s="156">
        <f>+VLOOKUP($A317,Opex!$C:$Z,N$1,1)</f>
        <v>55000</v>
      </c>
      <c r="M317" s="157">
        <f ca="1">+Opex_VE[[#This Row],[Opex]]</f>
        <v>0</v>
      </c>
      <c r="N317" s="156">
        <f t="shared" si="18"/>
        <v>294635</v>
      </c>
      <c r="O317" s="156">
        <f>+VLOOKUP($A317,Opex!$C:$Z,Q$1,1)</f>
        <v>4000</v>
      </c>
      <c r="P317" s="156">
        <f t="shared" si="19"/>
        <v>290635</v>
      </c>
      <c r="Q317" s="156">
        <f>+VLOOKUP($A317,Opex!$C:$Z,R$1,1)</f>
        <v>10635</v>
      </c>
      <c r="R317" s="157">
        <f>+SUM(Opex_VE[[#This Row],[Cajero]:[Domiciliario]])</f>
        <v>140000</v>
      </c>
      <c r="S317" s="156">
        <v>70000</v>
      </c>
      <c r="T317" s="156">
        <v>70000</v>
      </c>
      <c r="U317" s="156">
        <v>0</v>
      </c>
      <c r="V317"/>
    </row>
    <row r="318" spans="1:22" x14ac:dyDescent="0.2">
      <c r="A318" s="153">
        <v>46381</v>
      </c>
      <c r="B318" s="3">
        <f t="shared" si="21"/>
        <v>44</v>
      </c>
      <c r="C318" s="3" t="str">
        <f>+TEXT(Opex_VE[[#This Row],[Fecha]],"ddd")</f>
        <v>vie</v>
      </c>
      <c r="E318" s="14" t="s">
        <v>217</v>
      </c>
      <c r="F318" s="172">
        <f>IFERROR(VLOOKUP(Opex_VE[[#This Row],[Fecha]],Historia!A:B,2,0),_xlfn.XLOOKUP(Opex_VE[[#This Row],[dia]],Forecast!H:H,Forecast!I:I))</f>
        <v>248000</v>
      </c>
      <c r="G318" s="172">
        <f>IFERROR(VLOOKUP(Opex_VE[[#This Row],[Fecha]],Historia!A:C,3,0),_xlfn.XLOOKUP(Opex_VE[[#This Row],[dia]],Forecast!H:H,Forecast!J:J))</f>
        <v>99200</v>
      </c>
      <c r="H318" s="186">
        <f ca="1">+Opex_VE[[#This Row],[MG]]-Opex_VE[[#This Row],[Opex]]</f>
        <v>-122178.96666666667</v>
      </c>
      <c r="I318" s="172" t="str">
        <f>IFERROR(VLOOKUP(Opex_VE[[#This Row],[Fecha]],Historia!A:D,4,0),"Forecast")</f>
        <v>Forecast</v>
      </c>
      <c r="J318" s="161">
        <f t="shared" ca="1" si="20"/>
        <v>553447.41666666663</v>
      </c>
      <c r="K318" s="157">
        <f ca="1">+Opex_VE[[#This Row],[MG]]-Opex_VE[[#This Row],[Opex]]</f>
        <v>0</v>
      </c>
      <c r="L318" s="156">
        <f>+VLOOKUP($A318,Opex!$C:$Z,N$1,1)</f>
        <v>55000</v>
      </c>
      <c r="M318" s="157">
        <f ca="1">+Opex_VE[[#This Row],[Opex]]</f>
        <v>0</v>
      </c>
      <c r="N318" s="156">
        <f t="shared" si="18"/>
        <v>294635</v>
      </c>
      <c r="O318" s="156">
        <f>+VLOOKUP($A318,Opex!$C:$Z,Q$1,1)</f>
        <v>4000</v>
      </c>
      <c r="P318" s="156">
        <f t="shared" si="19"/>
        <v>290635</v>
      </c>
      <c r="Q318" s="156">
        <f>+VLOOKUP($A318,Opex!$C:$Z,R$1,1)</f>
        <v>10635</v>
      </c>
      <c r="R318" s="157">
        <f>+SUM(Opex_VE[[#This Row],[Cajero]:[Domiciliario]])</f>
        <v>140000</v>
      </c>
      <c r="S318" s="156">
        <v>70000</v>
      </c>
      <c r="T318" s="156">
        <v>70000</v>
      </c>
      <c r="U318" s="156">
        <v>0</v>
      </c>
      <c r="V318"/>
    </row>
    <row r="319" spans="1:22" x14ac:dyDescent="0.2">
      <c r="A319" s="153">
        <v>46382</v>
      </c>
      <c r="B319" s="3">
        <f t="shared" si="21"/>
        <v>44</v>
      </c>
      <c r="C319" s="3" t="str">
        <f>+TEXT(Opex_VE[[#This Row],[Fecha]],"ddd")</f>
        <v>sáb</v>
      </c>
      <c r="E319" s="14" t="s">
        <v>113</v>
      </c>
      <c r="F319" s="172">
        <f>IFERROR(VLOOKUP(Opex_VE[[#This Row],[Fecha]],Historia!A:B,2,0),_xlfn.XLOOKUP(Opex_VE[[#This Row],[dia]],Forecast!H:H,Forecast!I:I))</f>
        <v>320800</v>
      </c>
      <c r="G319" s="172">
        <f>IFERROR(VLOOKUP(Opex_VE[[#This Row],[Fecha]],Historia!A:C,3,0),_xlfn.XLOOKUP(Opex_VE[[#This Row],[dia]],Forecast!H:H,Forecast!J:J))</f>
        <v>128320</v>
      </c>
      <c r="H319" s="186">
        <f ca="1">+Opex_VE[[#This Row],[MG]]-Opex_VE[[#This Row],[Opex]]</f>
        <v>-93058.966666666674</v>
      </c>
      <c r="I319" s="173" t="str">
        <f>IFERROR(VLOOKUP(Opex_VE[[#This Row],[Fecha]],Historia!A:D,4,0),"Forecast")</f>
        <v>Forecast</v>
      </c>
      <c r="J319" s="161">
        <f t="shared" ca="1" si="20"/>
        <v>553447.41666666663</v>
      </c>
      <c r="K319" s="157">
        <f ca="1">+Opex_VE[[#This Row],[MG]]-Opex_VE[[#This Row],[Opex]]</f>
        <v>0</v>
      </c>
      <c r="L319" s="156">
        <f>+VLOOKUP($A319,Opex!$C:$Z,N$1,1)</f>
        <v>55000</v>
      </c>
      <c r="M319" s="157">
        <f ca="1">+Opex_VE[[#This Row],[Opex]]</f>
        <v>0</v>
      </c>
      <c r="N319" s="156">
        <f t="shared" si="18"/>
        <v>294635</v>
      </c>
      <c r="O319" s="156">
        <f>+VLOOKUP($A319,Opex!$C:$Z,Q$1,1)</f>
        <v>4000</v>
      </c>
      <c r="P319" s="156">
        <f t="shared" si="19"/>
        <v>290635</v>
      </c>
      <c r="Q319" s="156">
        <f>+VLOOKUP($A319,Opex!$C:$Z,R$1,1)</f>
        <v>10635</v>
      </c>
      <c r="R319" s="157">
        <f>+SUM(Opex_VE[[#This Row],[Cajero]:[Domiciliario]])</f>
        <v>140000</v>
      </c>
      <c r="S319" s="156">
        <v>70000</v>
      </c>
      <c r="T319" s="156">
        <v>70000</v>
      </c>
      <c r="U319" s="156">
        <v>0</v>
      </c>
      <c r="V319"/>
    </row>
    <row r="320" spans="1:22" x14ac:dyDescent="0.2">
      <c r="A320" s="153">
        <v>46383</v>
      </c>
      <c r="B320" s="3">
        <f t="shared" si="21"/>
        <v>44</v>
      </c>
      <c r="C320" s="3" t="str">
        <f>+TEXT(Opex_VE[[#This Row],[Fecha]],"ddd")</f>
        <v>dom</v>
      </c>
      <c r="E320" s="14" t="s">
        <v>145</v>
      </c>
      <c r="F320" s="172">
        <f>IFERROR(VLOOKUP(Opex_VE[[#This Row],[Fecha]],Historia!A:B,2,0),_xlfn.XLOOKUP(Opex_VE[[#This Row],[dia]],Forecast!H:H,Forecast!I:I))</f>
        <v>218500</v>
      </c>
      <c r="G320" s="172">
        <f>IFERROR(VLOOKUP(Opex_VE[[#This Row],[Fecha]],Historia!A:C,3,0),_xlfn.XLOOKUP(Opex_VE[[#This Row],[dia]],Forecast!H:H,Forecast!J:J))</f>
        <v>87400</v>
      </c>
      <c r="H320" s="186">
        <f ca="1">+Opex_VE[[#This Row],[MG]]-Opex_VE[[#This Row],[Opex]]</f>
        <v>-133978.96666666667</v>
      </c>
      <c r="I320" s="172" t="str">
        <f>IFERROR(VLOOKUP(Opex_VE[[#This Row],[Fecha]],Historia!A:D,4,0),"Forecast")</f>
        <v>Forecast</v>
      </c>
      <c r="J320" s="161">
        <f t="shared" ca="1" si="20"/>
        <v>553447.41666666663</v>
      </c>
      <c r="K320" s="157">
        <f ca="1">+Opex_VE[[#This Row],[MG]]-Opex_VE[[#This Row],[Opex]]</f>
        <v>0</v>
      </c>
      <c r="L320" s="156">
        <f>+VLOOKUP($A320,Opex!$C:$Z,N$1,1)</f>
        <v>55000</v>
      </c>
      <c r="M320" s="157">
        <f ca="1">+Opex_VE[[#This Row],[Opex]]</f>
        <v>0</v>
      </c>
      <c r="N320" s="156">
        <f t="shared" si="18"/>
        <v>294635</v>
      </c>
      <c r="O320" s="156">
        <f>+VLOOKUP($A320,Opex!$C:$Z,Q$1,1)</f>
        <v>4000</v>
      </c>
      <c r="P320" s="156">
        <f t="shared" si="19"/>
        <v>290635</v>
      </c>
      <c r="Q320" s="156">
        <f>+VLOOKUP($A320,Opex!$C:$Z,R$1,1)</f>
        <v>10635</v>
      </c>
      <c r="R320" s="157">
        <f>+SUM(Opex_VE[[#This Row],[Cajero]:[Domiciliario]])</f>
        <v>140000</v>
      </c>
      <c r="S320" s="156">
        <v>70000</v>
      </c>
      <c r="T320" s="156">
        <v>70000</v>
      </c>
      <c r="U320" s="156">
        <v>0</v>
      </c>
      <c r="V320"/>
    </row>
    <row r="321" spans="1:22" x14ac:dyDescent="0.2">
      <c r="A321" s="153">
        <v>46384</v>
      </c>
      <c r="B321" s="3">
        <f t="shared" si="21"/>
        <v>45</v>
      </c>
      <c r="C321" s="3" t="str">
        <f>+TEXT(Opex_VE[[#This Row],[Fecha]],"ddd")</f>
        <v>lun</v>
      </c>
      <c r="E321" s="14" t="s">
        <v>112</v>
      </c>
      <c r="F321" s="172">
        <f>IFERROR(VLOOKUP(Opex_VE[[#This Row],[Fecha]],Historia!A:B,2,0),_xlfn.XLOOKUP(Opex_VE[[#This Row],[dia]],Forecast!H:H,Forecast!I:I))</f>
        <v>179200</v>
      </c>
      <c r="G321" s="172">
        <f>IFERROR(VLOOKUP(Opex_VE[[#This Row],[Fecha]],Historia!A:C,3,0),_xlfn.XLOOKUP(Opex_VE[[#This Row],[dia]],Forecast!H:H,Forecast!J:J))</f>
        <v>71680</v>
      </c>
      <c r="H321" s="186">
        <f ca="1">+Opex_VE[[#This Row],[MG]]-Opex_VE[[#This Row],[Opex]]</f>
        <v>-149698.96666666667</v>
      </c>
      <c r="I321" s="172" t="str">
        <f>IFERROR(VLOOKUP(Opex_VE[[#This Row],[Fecha]],Historia!A:D,4,0),"Forecast")</f>
        <v>Forecast</v>
      </c>
      <c r="J321" s="161">
        <f t="shared" ca="1" si="20"/>
        <v>553447.41666666663</v>
      </c>
      <c r="K321" s="157">
        <f ca="1">+Opex_VE[[#This Row],[MG]]-Opex_VE[[#This Row],[Opex]]</f>
        <v>0</v>
      </c>
      <c r="L321" s="156">
        <f>+VLOOKUP($A321,Opex!$C:$Z,N$1,1)</f>
        <v>55000</v>
      </c>
      <c r="M321" s="157">
        <f ca="1">+Opex_VE[[#This Row],[Opex]]</f>
        <v>0</v>
      </c>
      <c r="N321" s="156">
        <f t="shared" si="18"/>
        <v>294635</v>
      </c>
      <c r="O321" s="156">
        <f>+VLOOKUP($A321,Opex!$C:$Z,Q$1,1)</f>
        <v>4000</v>
      </c>
      <c r="P321" s="156">
        <f t="shared" si="19"/>
        <v>290635</v>
      </c>
      <c r="Q321" s="156">
        <f>+VLOOKUP($A321,Opex!$C:$Z,R$1,1)</f>
        <v>10635</v>
      </c>
      <c r="R321" s="157">
        <f>+SUM(Opex_VE[[#This Row],[Cajero]:[Domiciliario]])</f>
        <v>140000</v>
      </c>
      <c r="S321" s="156">
        <v>70000</v>
      </c>
      <c r="T321" s="156">
        <v>70000</v>
      </c>
      <c r="U321" s="156">
        <v>0</v>
      </c>
      <c r="V321"/>
    </row>
    <row r="322" spans="1:22" x14ac:dyDescent="0.2">
      <c r="A322" s="153">
        <v>46385</v>
      </c>
      <c r="B322" s="3">
        <f t="shared" si="21"/>
        <v>45</v>
      </c>
      <c r="C322" s="3" t="str">
        <f>+TEXT(Opex_VE[[#This Row],[Fecha]],"ddd")</f>
        <v>mar</v>
      </c>
      <c r="E322" s="14" t="s">
        <v>112</v>
      </c>
      <c r="F322" s="172">
        <f>IFERROR(VLOOKUP(Opex_VE[[#This Row],[Fecha]],Historia!A:B,2,0),_xlfn.XLOOKUP(Opex_VE[[#This Row],[dia]],Forecast!H:H,Forecast!I:I))</f>
        <v>195000</v>
      </c>
      <c r="G322" s="172">
        <f>IFERROR(VLOOKUP(Opex_VE[[#This Row],[Fecha]],Historia!A:C,3,0),_xlfn.XLOOKUP(Opex_VE[[#This Row],[dia]],Forecast!H:H,Forecast!J:J))</f>
        <v>78000</v>
      </c>
      <c r="H322" s="186">
        <f ca="1">+Opex_VE[[#This Row],[MG]]-Opex_VE[[#This Row],[Opex]]</f>
        <v>-143378.96666666667</v>
      </c>
      <c r="I322" s="172" t="str">
        <f>IFERROR(VLOOKUP(Opex_VE[[#This Row],[Fecha]],Historia!A:D,4,0),"Forecast")</f>
        <v>Forecast</v>
      </c>
      <c r="J322" s="161">
        <f t="shared" ca="1" si="20"/>
        <v>553447.41666666663</v>
      </c>
      <c r="K322" s="157">
        <f ca="1">+Opex_VE[[#This Row],[MG]]-Opex_VE[[#This Row],[Opex]]</f>
        <v>0</v>
      </c>
      <c r="L322" s="156">
        <f>+VLOOKUP($A322,Opex!$C:$Z,N$1,1)</f>
        <v>55000</v>
      </c>
      <c r="M322" s="157">
        <f ca="1">+Opex_VE[[#This Row],[Opex]]</f>
        <v>0</v>
      </c>
      <c r="N322" s="156">
        <f t="shared" si="18"/>
        <v>294635</v>
      </c>
      <c r="O322" s="156">
        <f>+VLOOKUP($A322,Opex!$C:$Z,Q$1,1)</f>
        <v>4000</v>
      </c>
      <c r="P322" s="156">
        <f t="shared" si="19"/>
        <v>290635</v>
      </c>
      <c r="Q322" s="156">
        <f>+VLOOKUP($A322,Opex!$C:$Z,R$1,1)</f>
        <v>10635</v>
      </c>
      <c r="R322" s="157">
        <f>+SUM(Opex_VE[[#This Row],[Cajero]:[Domiciliario]])</f>
        <v>140000</v>
      </c>
      <c r="S322" s="156">
        <v>70000</v>
      </c>
      <c r="T322" s="156">
        <v>70000</v>
      </c>
      <c r="U322" s="156">
        <v>0</v>
      </c>
      <c r="V322"/>
    </row>
    <row r="323" spans="1:22" x14ac:dyDescent="0.2">
      <c r="A323" s="153">
        <v>46386</v>
      </c>
      <c r="B323" s="3">
        <f t="shared" si="21"/>
        <v>45</v>
      </c>
      <c r="C323" s="3" t="str">
        <f>+TEXT(Opex_VE[[#This Row],[Fecha]],"ddd")</f>
        <v>mié</v>
      </c>
      <c r="E323" s="14" t="s">
        <v>112</v>
      </c>
      <c r="F323" s="172">
        <f>IFERROR(VLOOKUP(Opex_VE[[#This Row],[Fecha]],Historia!A:B,2,0),_xlfn.XLOOKUP(Opex_VE[[#This Row],[dia]],Forecast!H:H,Forecast!I:I))</f>
        <v>366750</v>
      </c>
      <c r="G323" s="172">
        <f>IFERROR(VLOOKUP(Opex_VE[[#This Row],[Fecha]],Historia!A:C,3,0),_xlfn.XLOOKUP(Opex_VE[[#This Row],[dia]],Forecast!H:H,Forecast!J:J))</f>
        <v>146700</v>
      </c>
      <c r="H323" s="186">
        <f ca="1">+Opex_VE[[#This Row],[MG]]-Opex_VE[[#This Row],[Opex]]</f>
        <v>-74678.966666666674</v>
      </c>
      <c r="I323" s="172" t="str">
        <f>IFERROR(VLOOKUP(Opex_VE[[#This Row],[Fecha]],Historia!A:D,4,0),"Forecast")</f>
        <v>Forecast</v>
      </c>
      <c r="J323" s="161">
        <f t="shared" ca="1" si="20"/>
        <v>553447.41666666663</v>
      </c>
      <c r="K323" s="157">
        <f ca="1">+Opex_VE[[#This Row],[MG]]-Opex_VE[[#This Row],[Opex]]</f>
        <v>0</v>
      </c>
      <c r="L323" s="156">
        <f>+VLOOKUP($A323,Opex!$C:$Z,N$1,1)</f>
        <v>55000</v>
      </c>
      <c r="M323" s="157">
        <f ca="1">+Opex_VE[[#This Row],[Opex]]</f>
        <v>0</v>
      </c>
      <c r="N323" s="156">
        <f t="shared" ref="N323:N386" si="22">+SUM(O323,P323,U323)</f>
        <v>294635</v>
      </c>
      <c r="O323" s="156">
        <f>+VLOOKUP($A323,Opex!$C:$Z,Q$1,1)</f>
        <v>4000</v>
      </c>
      <c r="P323" s="156">
        <f t="shared" ref="P323:P386" si="23">+SUM(Q323:T323)</f>
        <v>290635</v>
      </c>
      <c r="Q323" s="156">
        <f>+VLOOKUP($A323,Opex!$C:$Z,R$1,1)</f>
        <v>10635</v>
      </c>
      <c r="R323" s="157">
        <f>+SUM(Opex_VE[[#This Row],[Cajero]:[Domiciliario]])</f>
        <v>140000</v>
      </c>
      <c r="S323" s="156">
        <v>70000</v>
      </c>
      <c r="T323" s="156">
        <v>70000</v>
      </c>
      <c r="U323" s="156">
        <v>0</v>
      </c>
      <c r="V323"/>
    </row>
    <row r="324" spans="1:22" x14ac:dyDescent="0.2">
      <c r="A324" s="153">
        <v>46387</v>
      </c>
      <c r="B324" s="3">
        <f t="shared" si="21"/>
        <v>45</v>
      </c>
      <c r="C324" s="3" t="str">
        <f>+TEXT(Opex_VE[[#This Row],[Fecha]],"ddd")</f>
        <v>jue</v>
      </c>
      <c r="E324" s="14" t="s">
        <v>112</v>
      </c>
      <c r="F324" s="172">
        <f>IFERROR(VLOOKUP(Opex_VE[[#This Row],[Fecha]],Historia!A:B,2,0),_xlfn.XLOOKUP(Opex_VE[[#This Row],[dia]],Forecast!H:H,Forecast!I:I))</f>
        <v>234000</v>
      </c>
      <c r="G324" s="172">
        <f>IFERROR(VLOOKUP(Opex_VE[[#This Row],[Fecha]],Historia!A:C,3,0),_xlfn.XLOOKUP(Opex_VE[[#This Row],[dia]],Forecast!H:H,Forecast!J:J))</f>
        <v>93600</v>
      </c>
      <c r="H324" s="186">
        <f ca="1">+Opex_VE[[#This Row],[MG]]-Opex_VE[[#This Row],[Opex]]</f>
        <v>-127778.96666666667</v>
      </c>
      <c r="I324" s="172" t="str">
        <f>IFERROR(VLOOKUP(Opex_VE[[#This Row],[Fecha]],Historia!A:D,4,0),"Forecast")</f>
        <v>Forecast</v>
      </c>
      <c r="J324" s="161">
        <f t="shared" ca="1" si="20"/>
        <v>553447.41666666663</v>
      </c>
      <c r="K324" s="157">
        <f ca="1">+Opex_VE[[#This Row],[MG]]-Opex_VE[[#This Row],[Opex]]</f>
        <v>0</v>
      </c>
      <c r="L324" s="156">
        <f>+VLOOKUP($A324,Opex!$C:$Z,N$1,1)</f>
        <v>55000</v>
      </c>
      <c r="M324" s="157">
        <f ca="1">+Opex_VE[[#This Row],[Opex]]</f>
        <v>0</v>
      </c>
      <c r="N324" s="156">
        <f t="shared" si="22"/>
        <v>294635</v>
      </c>
      <c r="O324" s="156">
        <f>+VLOOKUP($A324,Opex!$C:$Z,Q$1,1)</f>
        <v>4000</v>
      </c>
      <c r="P324" s="156">
        <f t="shared" si="23"/>
        <v>290635</v>
      </c>
      <c r="Q324" s="156">
        <f>+VLOOKUP($A324,Opex!$C:$Z,R$1,1)</f>
        <v>10635</v>
      </c>
      <c r="R324" s="157">
        <f>+SUM(Opex_VE[[#This Row],[Cajero]:[Domiciliario]])</f>
        <v>140000</v>
      </c>
      <c r="S324" s="156">
        <v>70000</v>
      </c>
      <c r="T324" s="156">
        <v>70000</v>
      </c>
      <c r="U324" s="156">
        <v>0</v>
      </c>
      <c r="V324"/>
    </row>
    <row r="325" spans="1:22" x14ac:dyDescent="0.2">
      <c r="A325" s="153">
        <v>46388</v>
      </c>
      <c r="B325" s="3">
        <f t="shared" si="21"/>
        <v>45</v>
      </c>
      <c r="C325" s="3" t="str">
        <f>+TEXT(Opex_VE[[#This Row],[Fecha]],"ddd")</f>
        <v>vie</v>
      </c>
      <c r="E325" s="14" t="s">
        <v>217</v>
      </c>
      <c r="F325" s="172">
        <f>IFERROR(VLOOKUP(Opex_VE[[#This Row],[Fecha]],Historia!A:B,2,0),_xlfn.XLOOKUP(Opex_VE[[#This Row],[dia]],Forecast!H:H,Forecast!I:I))</f>
        <v>248000</v>
      </c>
      <c r="G325" s="172">
        <f>IFERROR(VLOOKUP(Opex_VE[[#This Row],[Fecha]],Historia!A:C,3,0),_xlfn.XLOOKUP(Opex_VE[[#This Row],[dia]],Forecast!H:H,Forecast!J:J))</f>
        <v>99200</v>
      </c>
      <c r="H325" s="186">
        <f ca="1">+Opex_VE[[#This Row],[MG]]-Opex_VE[[#This Row],[Opex]]</f>
        <v>-122178.96666666667</v>
      </c>
      <c r="I325" s="172" t="str">
        <f>IFERROR(VLOOKUP(Opex_VE[[#This Row],[Fecha]],Historia!A:D,4,0),"Forecast")</f>
        <v>Forecast</v>
      </c>
      <c r="J325" s="161">
        <f t="shared" ca="1" si="20"/>
        <v>553447.41666666663</v>
      </c>
      <c r="K325" s="157">
        <f ca="1">+Opex_VE[[#This Row],[MG]]-Opex_VE[[#This Row],[Opex]]</f>
        <v>0</v>
      </c>
      <c r="L325" s="156">
        <f>+VLOOKUP($A325,Opex!$C:$Z,N$1,1)</f>
        <v>55000</v>
      </c>
      <c r="M325" s="157">
        <f ca="1">+Opex_VE[[#This Row],[Opex]]</f>
        <v>0</v>
      </c>
      <c r="N325" s="156">
        <f t="shared" si="22"/>
        <v>294635</v>
      </c>
      <c r="O325" s="156">
        <f>+VLOOKUP($A325,Opex!$C:$Z,Q$1,1)</f>
        <v>4000</v>
      </c>
      <c r="P325" s="156">
        <f t="shared" si="23"/>
        <v>290635</v>
      </c>
      <c r="Q325" s="156">
        <f>+VLOOKUP($A325,Opex!$C:$Z,R$1,1)</f>
        <v>10635</v>
      </c>
      <c r="R325" s="157">
        <f>+SUM(Opex_VE[[#This Row],[Cajero]:[Domiciliario]])</f>
        <v>140000</v>
      </c>
      <c r="S325" s="156">
        <v>70000</v>
      </c>
      <c r="T325" s="156">
        <v>70000</v>
      </c>
      <c r="U325" s="156">
        <v>0</v>
      </c>
      <c r="V325"/>
    </row>
    <row r="326" spans="1:22" x14ac:dyDescent="0.2">
      <c r="A326" s="153">
        <v>46389</v>
      </c>
      <c r="B326" s="3">
        <f t="shared" si="21"/>
        <v>45</v>
      </c>
      <c r="C326" s="3" t="str">
        <f>+TEXT(Opex_VE[[#This Row],[Fecha]],"ddd")</f>
        <v>sáb</v>
      </c>
      <c r="E326" s="14" t="s">
        <v>113</v>
      </c>
      <c r="F326" s="172">
        <f>IFERROR(VLOOKUP(Opex_VE[[#This Row],[Fecha]],Historia!A:B,2,0),_xlfn.XLOOKUP(Opex_VE[[#This Row],[dia]],Forecast!H:H,Forecast!I:I))</f>
        <v>320800</v>
      </c>
      <c r="G326" s="172">
        <f>IFERROR(VLOOKUP(Opex_VE[[#This Row],[Fecha]],Historia!A:C,3,0),_xlfn.XLOOKUP(Opex_VE[[#This Row],[dia]],Forecast!H:H,Forecast!J:J))</f>
        <v>128320</v>
      </c>
      <c r="H326" s="186">
        <f ca="1">+Opex_VE[[#This Row],[MG]]-Opex_VE[[#This Row],[Opex]]</f>
        <v>-93058.966666666674</v>
      </c>
      <c r="I326" s="172" t="str">
        <f>IFERROR(VLOOKUP(Opex_VE[[#This Row],[Fecha]],Historia!A:D,4,0),"Forecast")</f>
        <v>Forecast</v>
      </c>
      <c r="J326" s="161">
        <f t="shared" ca="1" si="20"/>
        <v>553447.41666666663</v>
      </c>
      <c r="K326" s="157">
        <f ca="1">+Opex_VE[[#This Row],[MG]]-Opex_VE[[#This Row],[Opex]]</f>
        <v>0</v>
      </c>
      <c r="L326" s="156">
        <f>+VLOOKUP($A326,Opex!$C:$Z,N$1,1)</f>
        <v>55000</v>
      </c>
      <c r="M326" s="157">
        <f ca="1">+Opex_VE[[#This Row],[Opex]]</f>
        <v>0</v>
      </c>
      <c r="N326" s="156">
        <f t="shared" si="22"/>
        <v>294635</v>
      </c>
      <c r="O326" s="156">
        <f>+VLOOKUP($A326,Opex!$C:$Z,Q$1,1)</f>
        <v>4000</v>
      </c>
      <c r="P326" s="156">
        <f t="shared" si="23"/>
        <v>290635</v>
      </c>
      <c r="Q326" s="156">
        <f>+VLOOKUP($A326,Opex!$C:$Z,R$1,1)</f>
        <v>10635</v>
      </c>
      <c r="R326" s="157">
        <f>+SUM(Opex_VE[[#This Row],[Cajero]:[Domiciliario]])</f>
        <v>140000</v>
      </c>
      <c r="S326" s="156">
        <v>70000</v>
      </c>
      <c r="T326" s="156">
        <v>70000</v>
      </c>
      <c r="U326" s="156">
        <v>0</v>
      </c>
      <c r="V326"/>
    </row>
    <row r="327" spans="1:22" x14ac:dyDescent="0.2">
      <c r="A327" s="153">
        <v>46390</v>
      </c>
      <c r="B327" s="3">
        <f t="shared" si="21"/>
        <v>45</v>
      </c>
      <c r="C327" s="3" t="str">
        <f>+TEXT(Opex_VE[[#This Row],[Fecha]],"ddd")</f>
        <v>dom</v>
      </c>
      <c r="E327" s="14" t="s">
        <v>145</v>
      </c>
      <c r="F327" s="172">
        <f>IFERROR(VLOOKUP(Opex_VE[[#This Row],[Fecha]],Historia!A:B,2,0),_xlfn.XLOOKUP(Opex_VE[[#This Row],[dia]],Forecast!H:H,Forecast!I:I))</f>
        <v>218500</v>
      </c>
      <c r="G327" s="172">
        <f>IFERROR(VLOOKUP(Opex_VE[[#This Row],[Fecha]],Historia!A:C,3,0),_xlfn.XLOOKUP(Opex_VE[[#This Row],[dia]],Forecast!H:H,Forecast!J:J))</f>
        <v>87400</v>
      </c>
      <c r="H327" s="186">
        <f ca="1">+Opex_VE[[#This Row],[MG]]-Opex_VE[[#This Row],[Opex]]</f>
        <v>-133978.96666666667</v>
      </c>
      <c r="I327" s="172" t="str">
        <f>IFERROR(VLOOKUP(Opex_VE[[#This Row],[Fecha]],Historia!A:D,4,0),"Forecast")</f>
        <v>Forecast</v>
      </c>
      <c r="J327" s="161">
        <f t="shared" ca="1" si="20"/>
        <v>553447.41666666663</v>
      </c>
      <c r="K327" s="157">
        <f ca="1">+Opex_VE[[#This Row],[MG]]-Opex_VE[[#This Row],[Opex]]</f>
        <v>0</v>
      </c>
      <c r="L327" s="156">
        <f>+VLOOKUP($A327,Opex!$C:$Z,N$1,1)</f>
        <v>55000</v>
      </c>
      <c r="M327" s="157">
        <f ca="1">+Opex_VE[[#This Row],[Opex]]</f>
        <v>0</v>
      </c>
      <c r="N327" s="156">
        <f t="shared" si="22"/>
        <v>294635</v>
      </c>
      <c r="O327" s="156">
        <f>+VLOOKUP($A327,Opex!$C:$Z,Q$1,1)</f>
        <v>4000</v>
      </c>
      <c r="P327" s="156">
        <f t="shared" si="23"/>
        <v>290635</v>
      </c>
      <c r="Q327" s="156">
        <f>+VLOOKUP($A327,Opex!$C:$Z,R$1,1)</f>
        <v>10635</v>
      </c>
      <c r="R327" s="157">
        <f>+SUM(Opex_VE[[#This Row],[Cajero]:[Domiciliario]])</f>
        <v>140000</v>
      </c>
      <c r="S327" s="156">
        <v>70000</v>
      </c>
      <c r="T327" s="156">
        <v>70000</v>
      </c>
      <c r="U327" s="156">
        <v>0</v>
      </c>
      <c r="V327"/>
    </row>
    <row r="328" spans="1:22" x14ac:dyDescent="0.2">
      <c r="A328" s="153">
        <v>46391</v>
      </c>
      <c r="B328" s="3">
        <f t="shared" si="21"/>
        <v>46</v>
      </c>
      <c r="C328" s="3" t="str">
        <f>+TEXT(Opex_VE[[#This Row],[Fecha]],"ddd")</f>
        <v>lun</v>
      </c>
      <c r="E328" s="14" t="s">
        <v>112</v>
      </c>
      <c r="F328" s="172">
        <f>IFERROR(VLOOKUP(Opex_VE[[#This Row],[Fecha]],Historia!A:B,2,0),_xlfn.XLOOKUP(Opex_VE[[#This Row],[dia]],Forecast!H:H,Forecast!I:I))</f>
        <v>179200</v>
      </c>
      <c r="G328" s="172">
        <f>IFERROR(VLOOKUP(Opex_VE[[#This Row],[Fecha]],Historia!A:C,3,0),_xlfn.XLOOKUP(Opex_VE[[#This Row],[dia]],Forecast!H:H,Forecast!J:J))</f>
        <v>71680</v>
      </c>
      <c r="H328" s="186">
        <f ca="1">+Opex_VE[[#This Row],[MG]]-Opex_VE[[#This Row],[Opex]]</f>
        <v>-149698.96666666667</v>
      </c>
      <c r="I328" s="172" t="str">
        <f>IFERROR(VLOOKUP(Opex_VE[[#This Row],[Fecha]],Historia!A:D,4,0),"Forecast")</f>
        <v>Forecast</v>
      </c>
      <c r="J328" s="161">
        <f t="shared" ca="1" si="20"/>
        <v>553447.41666666663</v>
      </c>
      <c r="K328" s="157">
        <f ca="1">+Opex_VE[[#This Row],[MG]]-Opex_VE[[#This Row],[Opex]]</f>
        <v>0</v>
      </c>
      <c r="L328" s="156">
        <f>+VLOOKUP($A328,Opex!$C:$Z,N$1,1)</f>
        <v>55000</v>
      </c>
      <c r="M328" s="157">
        <f ca="1">+Opex_VE[[#This Row],[Opex]]</f>
        <v>0</v>
      </c>
      <c r="N328" s="156">
        <f t="shared" si="22"/>
        <v>294635</v>
      </c>
      <c r="O328" s="156">
        <f>+VLOOKUP($A328,Opex!$C:$Z,Q$1,1)</f>
        <v>4000</v>
      </c>
      <c r="P328" s="156">
        <f t="shared" si="23"/>
        <v>290635</v>
      </c>
      <c r="Q328" s="156">
        <f>+VLOOKUP($A328,Opex!$C:$Z,R$1,1)</f>
        <v>10635</v>
      </c>
      <c r="R328" s="157">
        <f>+SUM(Opex_VE[[#This Row],[Cajero]:[Domiciliario]])</f>
        <v>140000</v>
      </c>
      <c r="S328" s="156">
        <v>70000</v>
      </c>
      <c r="T328" s="156">
        <v>70000</v>
      </c>
      <c r="U328" s="156">
        <v>0</v>
      </c>
      <c r="V328"/>
    </row>
    <row r="329" spans="1:22" x14ac:dyDescent="0.2">
      <c r="A329" s="153">
        <v>46392</v>
      </c>
      <c r="B329" s="3">
        <f t="shared" si="21"/>
        <v>46</v>
      </c>
      <c r="C329" s="3" t="str">
        <f>+TEXT(Opex_VE[[#This Row],[Fecha]],"ddd")</f>
        <v>mar</v>
      </c>
      <c r="E329" s="14" t="s">
        <v>112</v>
      </c>
      <c r="F329" s="172">
        <f>IFERROR(VLOOKUP(Opex_VE[[#This Row],[Fecha]],Historia!A:B,2,0),_xlfn.XLOOKUP(Opex_VE[[#This Row],[dia]],Forecast!H:H,Forecast!I:I))</f>
        <v>195000</v>
      </c>
      <c r="G329" s="172">
        <f>IFERROR(VLOOKUP(Opex_VE[[#This Row],[Fecha]],Historia!A:C,3,0),_xlfn.XLOOKUP(Opex_VE[[#This Row],[dia]],Forecast!H:H,Forecast!J:J))</f>
        <v>78000</v>
      </c>
      <c r="H329" s="186">
        <f ca="1">+Opex_VE[[#This Row],[MG]]-Opex_VE[[#This Row],[Opex]]</f>
        <v>-143378.96666666667</v>
      </c>
      <c r="I329" s="172" t="str">
        <f>IFERROR(VLOOKUP(Opex_VE[[#This Row],[Fecha]],Historia!A:D,4,0),"Forecast")</f>
        <v>Forecast</v>
      </c>
      <c r="J329" s="161">
        <f t="shared" ca="1" si="20"/>
        <v>553447.41666666663</v>
      </c>
      <c r="K329" s="157">
        <f ca="1">+Opex_VE[[#This Row],[MG]]-Opex_VE[[#This Row],[Opex]]</f>
        <v>0</v>
      </c>
      <c r="L329" s="156">
        <f>+VLOOKUP($A329,Opex!$C:$Z,N$1,1)</f>
        <v>55000</v>
      </c>
      <c r="M329" s="157">
        <f ca="1">+Opex_VE[[#This Row],[Opex]]</f>
        <v>0</v>
      </c>
      <c r="N329" s="156">
        <f t="shared" si="22"/>
        <v>294635</v>
      </c>
      <c r="O329" s="156">
        <f>+VLOOKUP($A329,Opex!$C:$Z,Q$1,1)</f>
        <v>4000</v>
      </c>
      <c r="P329" s="156">
        <f t="shared" si="23"/>
        <v>290635</v>
      </c>
      <c r="Q329" s="156">
        <f>+VLOOKUP($A329,Opex!$C:$Z,R$1,1)</f>
        <v>10635</v>
      </c>
      <c r="R329" s="157">
        <f>+SUM(Opex_VE[[#This Row],[Cajero]:[Domiciliario]])</f>
        <v>140000</v>
      </c>
      <c r="S329" s="156">
        <v>70000</v>
      </c>
      <c r="T329" s="156">
        <v>70000</v>
      </c>
      <c r="U329" s="156">
        <v>0</v>
      </c>
      <c r="V329"/>
    </row>
    <row r="330" spans="1:22" x14ac:dyDescent="0.2">
      <c r="A330" s="153">
        <v>46393</v>
      </c>
      <c r="B330" s="3">
        <f t="shared" si="21"/>
        <v>46</v>
      </c>
      <c r="C330" s="3" t="str">
        <f>+TEXT(Opex_VE[[#This Row],[Fecha]],"ddd")</f>
        <v>mié</v>
      </c>
      <c r="E330" s="14" t="s">
        <v>112</v>
      </c>
      <c r="F330" s="172">
        <f>IFERROR(VLOOKUP(Opex_VE[[#This Row],[Fecha]],Historia!A:B,2,0),_xlfn.XLOOKUP(Opex_VE[[#This Row],[dia]],Forecast!H:H,Forecast!I:I))</f>
        <v>366750</v>
      </c>
      <c r="G330" s="172">
        <f>IFERROR(VLOOKUP(Opex_VE[[#This Row],[Fecha]],Historia!A:C,3,0),_xlfn.XLOOKUP(Opex_VE[[#This Row],[dia]],Forecast!H:H,Forecast!J:J))</f>
        <v>146700</v>
      </c>
      <c r="H330" s="186">
        <f ca="1">+Opex_VE[[#This Row],[MG]]-Opex_VE[[#This Row],[Opex]]</f>
        <v>-74678.966666666674</v>
      </c>
      <c r="I330" s="172" t="str">
        <f>IFERROR(VLOOKUP(Opex_VE[[#This Row],[Fecha]],Historia!A:D,4,0),"Forecast")</f>
        <v>Forecast</v>
      </c>
      <c r="J330" s="161">
        <f t="shared" ca="1" si="20"/>
        <v>553447.41666666663</v>
      </c>
      <c r="K330" s="157">
        <f ca="1">+Opex_VE[[#This Row],[MG]]-Opex_VE[[#This Row],[Opex]]</f>
        <v>0</v>
      </c>
      <c r="L330" s="156">
        <f>+VLOOKUP($A330,Opex!$C:$Z,N$1,1)</f>
        <v>55000</v>
      </c>
      <c r="M330" s="157">
        <f ca="1">+Opex_VE[[#This Row],[Opex]]</f>
        <v>0</v>
      </c>
      <c r="N330" s="156">
        <f t="shared" si="22"/>
        <v>294635</v>
      </c>
      <c r="O330" s="156">
        <f>+VLOOKUP($A330,Opex!$C:$Z,Q$1,1)</f>
        <v>4000</v>
      </c>
      <c r="P330" s="156">
        <f t="shared" si="23"/>
        <v>290635</v>
      </c>
      <c r="Q330" s="156">
        <f>+VLOOKUP($A330,Opex!$C:$Z,R$1,1)</f>
        <v>10635</v>
      </c>
      <c r="R330" s="157">
        <f>+SUM(Opex_VE[[#This Row],[Cajero]:[Domiciliario]])</f>
        <v>140000</v>
      </c>
      <c r="S330" s="156">
        <v>70000</v>
      </c>
      <c r="T330" s="156">
        <v>70000</v>
      </c>
      <c r="U330" s="156">
        <v>0</v>
      </c>
      <c r="V330"/>
    </row>
    <row r="331" spans="1:22" x14ac:dyDescent="0.2">
      <c r="A331" s="153">
        <v>46394</v>
      </c>
      <c r="B331" s="3">
        <f t="shared" si="21"/>
        <v>46</v>
      </c>
      <c r="C331" s="3" t="str">
        <f>+TEXT(Opex_VE[[#This Row],[Fecha]],"ddd")</f>
        <v>jue</v>
      </c>
      <c r="E331" s="14" t="s">
        <v>112</v>
      </c>
      <c r="F331" s="172">
        <f>IFERROR(VLOOKUP(Opex_VE[[#This Row],[Fecha]],Historia!A:B,2,0),_xlfn.XLOOKUP(Opex_VE[[#This Row],[dia]],Forecast!H:H,Forecast!I:I))</f>
        <v>234000</v>
      </c>
      <c r="G331" s="172">
        <f>IFERROR(VLOOKUP(Opex_VE[[#This Row],[Fecha]],Historia!A:C,3,0),_xlfn.XLOOKUP(Opex_VE[[#This Row],[dia]],Forecast!H:H,Forecast!J:J))</f>
        <v>93600</v>
      </c>
      <c r="H331" s="186">
        <f ca="1">+Opex_VE[[#This Row],[MG]]-Opex_VE[[#This Row],[Opex]]</f>
        <v>-127778.96666666667</v>
      </c>
      <c r="I331" s="172" t="str">
        <f>IFERROR(VLOOKUP(Opex_VE[[#This Row],[Fecha]],Historia!A:D,4,0),"Forecast")</f>
        <v>Forecast</v>
      </c>
      <c r="J331" s="161">
        <f t="shared" ca="1" si="20"/>
        <v>553447.41666666663</v>
      </c>
      <c r="K331" s="157">
        <f ca="1">+Opex_VE[[#This Row],[MG]]-Opex_VE[[#This Row],[Opex]]</f>
        <v>0</v>
      </c>
      <c r="L331" s="156">
        <f>+VLOOKUP($A331,Opex!$C:$Z,N$1,1)</f>
        <v>55000</v>
      </c>
      <c r="M331" s="157">
        <f ca="1">+Opex_VE[[#This Row],[Opex]]</f>
        <v>0</v>
      </c>
      <c r="N331" s="156">
        <f t="shared" si="22"/>
        <v>294635</v>
      </c>
      <c r="O331" s="156">
        <f>+VLOOKUP($A331,Opex!$C:$Z,Q$1,1)</f>
        <v>4000</v>
      </c>
      <c r="P331" s="156">
        <f t="shared" si="23"/>
        <v>290635</v>
      </c>
      <c r="Q331" s="156">
        <f>+VLOOKUP($A331,Opex!$C:$Z,R$1,1)</f>
        <v>10635</v>
      </c>
      <c r="R331" s="157">
        <f>+SUM(Opex_VE[[#This Row],[Cajero]:[Domiciliario]])</f>
        <v>140000</v>
      </c>
      <c r="S331" s="156">
        <v>70000</v>
      </c>
      <c r="T331" s="156">
        <v>70000</v>
      </c>
      <c r="U331" s="156">
        <v>0</v>
      </c>
      <c r="V331"/>
    </row>
    <row r="332" spans="1:22" x14ac:dyDescent="0.2">
      <c r="A332" s="153">
        <v>46395</v>
      </c>
      <c r="B332" s="3">
        <f t="shared" si="21"/>
        <v>46</v>
      </c>
      <c r="C332" s="3" t="str">
        <f>+TEXT(Opex_VE[[#This Row],[Fecha]],"ddd")</f>
        <v>vie</v>
      </c>
      <c r="E332" s="14" t="s">
        <v>217</v>
      </c>
      <c r="F332" s="172">
        <f>IFERROR(VLOOKUP(Opex_VE[[#This Row],[Fecha]],Historia!A:B,2,0),_xlfn.XLOOKUP(Opex_VE[[#This Row],[dia]],Forecast!H:H,Forecast!I:I))</f>
        <v>248000</v>
      </c>
      <c r="G332" s="172">
        <f>IFERROR(VLOOKUP(Opex_VE[[#This Row],[Fecha]],Historia!A:C,3,0),_xlfn.XLOOKUP(Opex_VE[[#This Row],[dia]],Forecast!H:H,Forecast!J:J))</f>
        <v>99200</v>
      </c>
      <c r="H332" s="186">
        <f ca="1">+Opex_VE[[#This Row],[MG]]-Opex_VE[[#This Row],[Opex]]</f>
        <v>-122178.96666666667</v>
      </c>
      <c r="I332" s="172" t="str">
        <f>IFERROR(VLOOKUP(Opex_VE[[#This Row],[Fecha]],Historia!A:D,4,0),"Forecast")</f>
        <v>Forecast</v>
      </c>
      <c r="J332" s="161">
        <f t="shared" ca="1" si="20"/>
        <v>553447.41666666663</v>
      </c>
      <c r="K332" s="157">
        <f ca="1">+Opex_VE[[#This Row],[MG]]-Opex_VE[[#This Row],[Opex]]</f>
        <v>0</v>
      </c>
      <c r="L332" s="156">
        <f>+VLOOKUP($A332,Opex!$C:$Z,N$1,1)</f>
        <v>55000</v>
      </c>
      <c r="M332" s="157">
        <f ca="1">+Opex_VE[[#This Row],[Opex]]</f>
        <v>0</v>
      </c>
      <c r="N332" s="156">
        <f t="shared" si="22"/>
        <v>294635</v>
      </c>
      <c r="O332" s="156">
        <f>+VLOOKUP($A332,Opex!$C:$Z,Q$1,1)</f>
        <v>4000</v>
      </c>
      <c r="P332" s="156">
        <f t="shared" si="23"/>
        <v>290635</v>
      </c>
      <c r="Q332" s="156">
        <f>+VLOOKUP($A332,Opex!$C:$Z,R$1,1)</f>
        <v>10635</v>
      </c>
      <c r="R332" s="157">
        <f>+SUM(Opex_VE[[#This Row],[Cajero]:[Domiciliario]])</f>
        <v>140000</v>
      </c>
      <c r="S332" s="156">
        <v>70000</v>
      </c>
      <c r="T332" s="156">
        <v>70000</v>
      </c>
      <c r="U332" s="156">
        <v>0</v>
      </c>
      <c r="V332"/>
    </row>
    <row r="333" spans="1:22" x14ac:dyDescent="0.2">
      <c r="A333" s="153">
        <v>46396</v>
      </c>
      <c r="B333" s="3">
        <f t="shared" si="21"/>
        <v>46</v>
      </c>
      <c r="C333" s="3" t="str">
        <f>+TEXT(Opex_VE[[#This Row],[Fecha]],"ddd")</f>
        <v>sáb</v>
      </c>
      <c r="E333" s="14" t="s">
        <v>113</v>
      </c>
      <c r="F333" s="172">
        <f>IFERROR(VLOOKUP(Opex_VE[[#This Row],[Fecha]],Historia!A:B,2,0),_xlfn.XLOOKUP(Opex_VE[[#This Row],[dia]],Forecast!H:H,Forecast!I:I))</f>
        <v>320800</v>
      </c>
      <c r="G333" s="172">
        <f>IFERROR(VLOOKUP(Opex_VE[[#This Row],[Fecha]],Historia!A:C,3,0),_xlfn.XLOOKUP(Opex_VE[[#This Row],[dia]],Forecast!H:H,Forecast!J:J))</f>
        <v>128320</v>
      </c>
      <c r="H333" s="186">
        <f ca="1">+Opex_VE[[#This Row],[MG]]-Opex_VE[[#This Row],[Opex]]</f>
        <v>-93058.966666666674</v>
      </c>
      <c r="I333" s="172" t="str">
        <f>IFERROR(VLOOKUP(Opex_VE[[#This Row],[Fecha]],Historia!A:D,4,0),"Forecast")</f>
        <v>Forecast</v>
      </c>
      <c r="J333" s="161">
        <f t="shared" ref="J333:J369" ca="1" si="24">+K333/0.4</f>
        <v>553447.41666666663</v>
      </c>
      <c r="K333" s="157">
        <f ca="1">+Opex_VE[[#This Row],[MG]]-Opex_VE[[#This Row],[Opex]]</f>
        <v>0</v>
      </c>
      <c r="L333" s="156">
        <f>+VLOOKUP($A333,Opex!$C:$Z,N$1,1)</f>
        <v>55000</v>
      </c>
      <c r="M333" s="157">
        <f ca="1">+Opex_VE[[#This Row],[Opex]]</f>
        <v>0</v>
      </c>
      <c r="N333" s="156">
        <f t="shared" si="22"/>
        <v>294635</v>
      </c>
      <c r="O333" s="156">
        <f>+VLOOKUP($A333,Opex!$C:$Z,Q$1,1)</f>
        <v>4000</v>
      </c>
      <c r="P333" s="156">
        <f t="shared" si="23"/>
        <v>290635</v>
      </c>
      <c r="Q333" s="156">
        <f>+VLOOKUP($A333,Opex!$C:$Z,R$1,1)</f>
        <v>10635</v>
      </c>
      <c r="R333" s="157">
        <f>+SUM(Opex_VE[[#This Row],[Cajero]:[Domiciliario]])</f>
        <v>140000</v>
      </c>
      <c r="S333" s="156">
        <v>70000</v>
      </c>
      <c r="T333" s="156">
        <v>70000</v>
      </c>
      <c r="U333" s="156">
        <v>0</v>
      </c>
      <c r="V333"/>
    </row>
    <row r="334" spans="1:22" x14ac:dyDescent="0.2">
      <c r="A334" s="153">
        <v>46397</v>
      </c>
      <c r="B334" s="3">
        <f t="shared" si="21"/>
        <v>46</v>
      </c>
      <c r="C334" s="3" t="str">
        <f>+TEXT(Opex_VE[[#This Row],[Fecha]],"ddd")</f>
        <v>dom</v>
      </c>
      <c r="E334" s="14" t="s">
        <v>145</v>
      </c>
      <c r="F334" s="172">
        <f>IFERROR(VLOOKUP(Opex_VE[[#This Row],[Fecha]],Historia!A:B,2,0),_xlfn.XLOOKUP(Opex_VE[[#This Row],[dia]],Forecast!H:H,Forecast!I:I))</f>
        <v>218500</v>
      </c>
      <c r="G334" s="172">
        <f>IFERROR(VLOOKUP(Opex_VE[[#This Row],[Fecha]],Historia!A:C,3,0),_xlfn.XLOOKUP(Opex_VE[[#This Row],[dia]],Forecast!H:H,Forecast!J:J))</f>
        <v>87400</v>
      </c>
      <c r="H334" s="186">
        <f ca="1">+Opex_VE[[#This Row],[MG]]-Opex_VE[[#This Row],[Opex]]</f>
        <v>-133978.96666666667</v>
      </c>
      <c r="I334" s="172" t="str">
        <f>IFERROR(VLOOKUP(Opex_VE[[#This Row],[Fecha]],Historia!A:D,4,0),"Forecast")</f>
        <v>Forecast</v>
      </c>
      <c r="J334" s="161">
        <f t="shared" ca="1" si="24"/>
        <v>553447.41666666663</v>
      </c>
      <c r="K334" s="157">
        <f ca="1">+Opex_VE[[#This Row],[MG]]-Opex_VE[[#This Row],[Opex]]</f>
        <v>0</v>
      </c>
      <c r="L334" s="156">
        <f>+VLOOKUP($A334,Opex!$C:$Z,N$1,1)</f>
        <v>55000</v>
      </c>
      <c r="M334" s="157">
        <f ca="1">+Opex_VE[[#This Row],[Opex]]</f>
        <v>0</v>
      </c>
      <c r="N334" s="156">
        <f t="shared" si="22"/>
        <v>294635</v>
      </c>
      <c r="O334" s="156">
        <f>+VLOOKUP($A334,Opex!$C:$Z,Q$1,1)</f>
        <v>4000</v>
      </c>
      <c r="P334" s="156">
        <f t="shared" si="23"/>
        <v>290635</v>
      </c>
      <c r="Q334" s="156">
        <f>+VLOOKUP($A334,Opex!$C:$Z,R$1,1)</f>
        <v>10635</v>
      </c>
      <c r="R334" s="157">
        <f>+SUM(Opex_VE[[#This Row],[Cajero]:[Domiciliario]])</f>
        <v>140000</v>
      </c>
      <c r="S334" s="156">
        <v>70000</v>
      </c>
      <c r="T334" s="156">
        <v>70000</v>
      </c>
      <c r="U334" s="156">
        <v>0</v>
      </c>
      <c r="V334"/>
    </row>
    <row r="335" spans="1:22" x14ac:dyDescent="0.2">
      <c r="A335" s="153">
        <v>46398</v>
      </c>
      <c r="B335" s="3">
        <f t="shared" si="21"/>
        <v>47</v>
      </c>
      <c r="C335" s="3" t="str">
        <f>+TEXT(Opex_VE[[#This Row],[Fecha]],"ddd")</f>
        <v>lun</v>
      </c>
      <c r="E335" s="14" t="s">
        <v>112</v>
      </c>
      <c r="F335" s="172">
        <f>IFERROR(VLOOKUP(Opex_VE[[#This Row],[Fecha]],Historia!A:B,2,0),_xlfn.XLOOKUP(Opex_VE[[#This Row],[dia]],Forecast!H:H,Forecast!I:I))</f>
        <v>179200</v>
      </c>
      <c r="G335" s="172">
        <f>IFERROR(VLOOKUP(Opex_VE[[#This Row],[Fecha]],Historia!A:C,3,0),_xlfn.XLOOKUP(Opex_VE[[#This Row],[dia]],Forecast!H:H,Forecast!J:J))</f>
        <v>71680</v>
      </c>
      <c r="H335" s="186">
        <f ca="1">+Opex_VE[[#This Row],[MG]]-Opex_VE[[#This Row],[Opex]]</f>
        <v>-149698.96666666667</v>
      </c>
      <c r="I335" s="172" t="str">
        <f>IFERROR(VLOOKUP(Opex_VE[[#This Row],[Fecha]],Historia!A:D,4,0),"Forecast")</f>
        <v>Forecast</v>
      </c>
      <c r="J335" s="161">
        <f t="shared" ca="1" si="24"/>
        <v>553447.41666666663</v>
      </c>
      <c r="K335" s="157">
        <f ca="1">+Opex_VE[[#This Row],[MG]]-Opex_VE[[#This Row],[Opex]]</f>
        <v>0</v>
      </c>
      <c r="L335" s="156">
        <f>+VLOOKUP($A335,Opex!$C:$Z,N$1,1)</f>
        <v>55000</v>
      </c>
      <c r="M335" s="157">
        <f ca="1">+Opex_VE[[#This Row],[Opex]]</f>
        <v>0</v>
      </c>
      <c r="N335" s="156">
        <f t="shared" si="22"/>
        <v>294635</v>
      </c>
      <c r="O335" s="156">
        <f>+VLOOKUP($A335,Opex!$C:$Z,Q$1,1)</f>
        <v>4000</v>
      </c>
      <c r="P335" s="156">
        <f t="shared" si="23"/>
        <v>290635</v>
      </c>
      <c r="Q335" s="156">
        <f>+VLOOKUP($A335,Opex!$C:$Z,R$1,1)</f>
        <v>10635</v>
      </c>
      <c r="R335" s="157">
        <f>+SUM(Opex_VE[[#This Row],[Cajero]:[Domiciliario]])</f>
        <v>140000</v>
      </c>
      <c r="S335" s="156">
        <v>70000</v>
      </c>
      <c r="T335" s="156">
        <v>70000</v>
      </c>
      <c r="U335" s="156">
        <v>0</v>
      </c>
      <c r="V335"/>
    </row>
    <row r="336" spans="1:22" x14ac:dyDescent="0.2">
      <c r="A336" s="153">
        <v>46399</v>
      </c>
      <c r="B336" s="3">
        <f t="shared" si="21"/>
        <v>47</v>
      </c>
      <c r="C336" s="3" t="str">
        <f>+TEXT(Opex_VE[[#This Row],[Fecha]],"ddd")</f>
        <v>mar</v>
      </c>
      <c r="E336" s="14" t="s">
        <v>112</v>
      </c>
      <c r="F336" s="172">
        <f>IFERROR(VLOOKUP(Opex_VE[[#This Row],[Fecha]],Historia!A:B,2,0),_xlfn.XLOOKUP(Opex_VE[[#This Row],[dia]],Forecast!H:H,Forecast!I:I))</f>
        <v>195000</v>
      </c>
      <c r="G336" s="172">
        <f>IFERROR(VLOOKUP(Opex_VE[[#This Row],[Fecha]],Historia!A:C,3,0),_xlfn.XLOOKUP(Opex_VE[[#This Row],[dia]],Forecast!H:H,Forecast!J:J))</f>
        <v>78000</v>
      </c>
      <c r="H336" s="186">
        <f ca="1">+Opex_VE[[#This Row],[MG]]-Opex_VE[[#This Row],[Opex]]</f>
        <v>-143378.96666666667</v>
      </c>
      <c r="I336" s="172" t="str">
        <f>IFERROR(VLOOKUP(Opex_VE[[#This Row],[Fecha]],Historia!A:D,4,0),"Forecast")</f>
        <v>Forecast</v>
      </c>
      <c r="J336" s="161">
        <f t="shared" ca="1" si="24"/>
        <v>553447.41666666663</v>
      </c>
      <c r="K336" s="157">
        <f ca="1">+Opex_VE[[#This Row],[MG]]-Opex_VE[[#This Row],[Opex]]</f>
        <v>0</v>
      </c>
      <c r="L336" s="156">
        <f>+VLOOKUP($A336,Opex!$C:$Z,N$1,1)</f>
        <v>55000</v>
      </c>
      <c r="M336" s="157">
        <f ca="1">+Opex_VE[[#This Row],[Opex]]</f>
        <v>0</v>
      </c>
      <c r="N336" s="156">
        <f t="shared" si="22"/>
        <v>294635</v>
      </c>
      <c r="O336" s="156">
        <f>+VLOOKUP($A336,Opex!$C:$Z,Q$1,1)</f>
        <v>4000</v>
      </c>
      <c r="P336" s="156">
        <f t="shared" si="23"/>
        <v>290635</v>
      </c>
      <c r="Q336" s="156">
        <f>+VLOOKUP($A336,Opex!$C:$Z,R$1,1)</f>
        <v>10635</v>
      </c>
      <c r="R336" s="157">
        <f>+SUM(Opex_VE[[#This Row],[Cajero]:[Domiciliario]])</f>
        <v>140000</v>
      </c>
      <c r="S336" s="156">
        <v>70000</v>
      </c>
      <c r="T336" s="156">
        <v>70000</v>
      </c>
      <c r="U336" s="156">
        <v>0</v>
      </c>
      <c r="V336"/>
    </row>
    <row r="337" spans="1:22" x14ac:dyDescent="0.2">
      <c r="A337" s="153">
        <v>46400</v>
      </c>
      <c r="B337" s="3">
        <f t="shared" si="21"/>
        <v>47</v>
      </c>
      <c r="C337" s="3" t="str">
        <f>+TEXT(Opex_VE[[#This Row],[Fecha]],"ddd")</f>
        <v>mié</v>
      </c>
      <c r="E337" s="14" t="s">
        <v>112</v>
      </c>
      <c r="F337" s="172">
        <f>IFERROR(VLOOKUP(Opex_VE[[#This Row],[Fecha]],Historia!A:B,2,0),_xlfn.XLOOKUP(Opex_VE[[#This Row],[dia]],Forecast!H:H,Forecast!I:I))</f>
        <v>366750</v>
      </c>
      <c r="G337" s="172">
        <f>IFERROR(VLOOKUP(Opex_VE[[#This Row],[Fecha]],Historia!A:C,3,0),_xlfn.XLOOKUP(Opex_VE[[#This Row],[dia]],Forecast!H:H,Forecast!J:J))</f>
        <v>146700</v>
      </c>
      <c r="H337" s="186">
        <f ca="1">+Opex_VE[[#This Row],[MG]]-Opex_VE[[#This Row],[Opex]]</f>
        <v>-74678.966666666674</v>
      </c>
      <c r="I337" s="172" t="str">
        <f>IFERROR(VLOOKUP(Opex_VE[[#This Row],[Fecha]],Historia!A:D,4,0),"Forecast")</f>
        <v>Forecast</v>
      </c>
      <c r="J337" s="161">
        <f t="shared" ca="1" si="24"/>
        <v>553447.41666666663</v>
      </c>
      <c r="K337" s="157">
        <f ca="1">+Opex_VE[[#This Row],[MG]]-Opex_VE[[#This Row],[Opex]]</f>
        <v>0</v>
      </c>
      <c r="L337" s="156">
        <f>+VLOOKUP($A337,Opex!$C:$Z,N$1,1)</f>
        <v>55000</v>
      </c>
      <c r="M337" s="157">
        <f ca="1">+Opex_VE[[#This Row],[Opex]]</f>
        <v>0</v>
      </c>
      <c r="N337" s="156">
        <f t="shared" si="22"/>
        <v>294635</v>
      </c>
      <c r="O337" s="156">
        <f>+VLOOKUP($A337,Opex!$C:$Z,Q$1,1)</f>
        <v>4000</v>
      </c>
      <c r="P337" s="156">
        <f t="shared" si="23"/>
        <v>290635</v>
      </c>
      <c r="Q337" s="156">
        <f>+VLOOKUP($A337,Opex!$C:$Z,R$1,1)</f>
        <v>10635</v>
      </c>
      <c r="R337" s="157">
        <f>+SUM(Opex_VE[[#This Row],[Cajero]:[Domiciliario]])</f>
        <v>140000</v>
      </c>
      <c r="S337" s="156">
        <v>70000</v>
      </c>
      <c r="T337" s="156">
        <v>70000</v>
      </c>
      <c r="U337" s="156">
        <v>0</v>
      </c>
      <c r="V337"/>
    </row>
    <row r="338" spans="1:22" x14ac:dyDescent="0.2">
      <c r="A338" s="153">
        <v>46401</v>
      </c>
      <c r="B338" s="3">
        <f t="shared" si="21"/>
        <v>47</v>
      </c>
      <c r="C338" s="3" t="str">
        <f>+TEXT(Opex_VE[[#This Row],[Fecha]],"ddd")</f>
        <v>jue</v>
      </c>
      <c r="E338" s="14" t="s">
        <v>112</v>
      </c>
      <c r="F338" s="172">
        <f>IFERROR(VLOOKUP(Opex_VE[[#This Row],[Fecha]],Historia!A:B,2,0),_xlfn.XLOOKUP(Opex_VE[[#This Row],[dia]],Forecast!H:H,Forecast!I:I))</f>
        <v>234000</v>
      </c>
      <c r="G338" s="172">
        <f>IFERROR(VLOOKUP(Opex_VE[[#This Row],[Fecha]],Historia!A:C,3,0),_xlfn.XLOOKUP(Opex_VE[[#This Row],[dia]],Forecast!H:H,Forecast!J:J))</f>
        <v>93600</v>
      </c>
      <c r="H338" s="186">
        <f ca="1">+Opex_VE[[#This Row],[MG]]-Opex_VE[[#This Row],[Opex]]</f>
        <v>-127778.96666666667</v>
      </c>
      <c r="I338" s="172" t="str">
        <f>IFERROR(VLOOKUP(Opex_VE[[#This Row],[Fecha]],Historia!A:D,4,0),"Forecast")</f>
        <v>Forecast</v>
      </c>
      <c r="J338" s="161">
        <f t="shared" ca="1" si="24"/>
        <v>553447.41666666663</v>
      </c>
      <c r="K338" s="157">
        <f ca="1">+Opex_VE[[#This Row],[MG]]-Opex_VE[[#This Row],[Opex]]</f>
        <v>0</v>
      </c>
      <c r="L338" s="156">
        <f>+VLOOKUP($A338,Opex!$C:$Z,N$1,1)</f>
        <v>55000</v>
      </c>
      <c r="M338" s="157">
        <f ca="1">+Opex_VE[[#This Row],[Opex]]</f>
        <v>0</v>
      </c>
      <c r="N338" s="156">
        <f t="shared" si="22"/>
        <v>294635</v>
      </c>
      <c r="O338" s="156">
        <f>+VLOOKUP($A338,Opex!$C:$Z,Q$1,1)</f>
        <v>4000</v>
      </c>
      <c r="P338" s="156">
        <f t="shared" si="23"/>
        <v>290635</v>
      </c>
      <c r="Q338" s="156">
        <f>+VLOOKUP($A338,Opex!$C:$Z,R$1,1)</f>
        <v>10635</v>
      </c>
      <c r="R338" s="157">
        <f>+SUM(Opex_VE[[#This Row],[Cajero]:[Domiciliario]])</f>
        <v>140000</v>
      </c>
      <c r="S338" s="156">
        <v>70000</v>
      </c>
      <c r="T338" s="156">
        <v>70000</v>
      </c>
      <c r="U338" s="156">
        <v>0</v>
      </c>
      <c r="V338"/>
    </row>
    <row r="339" spans="1:22" x14ac:dyDescent="0.2">
      <c r="A339" s="153">
        <v>46402</v>
      </c>
      <c r="B339" s="3">
        <f t="shared" si="21"/>
        <v>47</v>
      </c>
      <c r="C339" s="3" t="str">
        <f>+TEXT(Opex_VE[[#This Row],[Fecha]],"ddd")</f>
        <v>vie</v>
      </c>
      <c r="E339" s="14" t="s">
        <v>217</v>
      </c>
      <c r="F339" s="172">
        <f>IFERROR(VLOOKUP(Opex_VE[[#This Row],[Fecha]],Historia!A:B,2,0),_xlfn.XLOOKUP(Opex_VE[[#This Row],[dia]],Forecast!H:H,Forecast!I:I))</f>
        <v>248000</v>
      </c>
      <c r="G339" s="172">
        <f>IFERROR(VLOOKUP(Opex_VE[[#This Row],[Fecha]],Historia!A:C,3,0),_xlfn.XLOOKUP(Opex_VE[[#This Row],[dia]],Forecast!H:H,Forecast!J:J))</f>
        <v>99200</v>
      </c>
      <c r="H339" s="186">
        <f ca="1">+Opex_VE[[#This Row],[MG]]-Opex_VE[[#This Row],[Opex]]</f>
        <v>-122178.96666666667</v>
      </c>
      <c r="I339" s="172" t="str">
        <f>IFERROR(VLOOKUP(Opex_VE[[#This Row],[Fecha]],Historia!A:D,4,0),"Forecast")</f>
        <v>Forecast</v>
      </c>
      <c r="J339" s="161">
        <f t="shared" ca="1" si="24"/>
        <v>553447.41666666663</v>
      </c>
      <c r="K339" s="157">
        <f ca="1">+Opex_VE[[#This Row],[MG]]-Opex_VE[[#This Row],[Opex]]</f>
        <v>0</v>
      </c>
      <c r="L339" s="156">
        <f>+VLOOKUP($A339,Opex!$C:$Z,N$1,1)</f>
        <v>55000</v>
      </c>
      <c r="M339" s="157">
        <f ca="1">+Opex_VE[[#This Row],[Opex]]</f>
        <v>0</v>
      </c>
      <c r="N339" s="156">
        <f t="shared" si="22"/>
        <v>294635</v>
      </c>
      <c r="O339" s="156">
        <f>+VLOOKUP($A339,Opex!$C:$Z,Q$1,1)</f>
        <v>4000</v>
      </c>
      <c r="P339" s="156">
        <f t="shared" si="23"/>
        <v>290635</v>
      </c>
      <c r="Q339" s="156">
        <f>+VLOOKUP($A339,Opex!$C:$Z,R$1,1)</f>
        <v>10635</v>
      </c>
      <c r="R339" s="157">
        <f>+SUM(Opex_VE[[#This Row],[Cajero]:[Domiciliario]])</f>
        <v>140000</v>
      </c>
      <c r="S339" s="156">
        <v>70000</v>
      </c>
      <c r="T339" s="156">
        <v>70000</v>
      </c>
      <c r="U339" s="156">
        <v>0</v>
      </c>
      <c r="V339"/>
    </row>
    <row r="340" spans="1:22" x14ac:dyDescent="0.2">
      <c r="A340" s="153">
        <v>46403</v>
      </c>
      <c r="B340" s="3">
        <f t="shared" si="21"/>
        <v>47</v>
      </c>
      <c r="C340" s="3" t="str">
        <f>+TEXT(Opex_VE[[#This Row],[Fecha]],"ddd")</f>
        <v>sáb</v>
      </c>
      <c r="E340" s="14" t="s">
        <v>113</v>
      </c>
      <c r="F340" s="172">
        <f>IFERROR(VLOOKUP(Opex_VE[[#This Row],[Fecha]],Historia!A:B,2,0),_xlfn.XLOOKUP(Opex_VE[[#This Row],[dia]],Forecast!H:H,Forecast!I:I))</f>
        <v>320800</v>
      </c>
      <c r="G340" s="172">
        <f>IFERROR(VLOOKUP(Opex_VE[[#This Row],[Fecha]],Historia!A:C,3,0),_xlfn.XLOOKUP(Opex_VE[[#This Row],[dia]],Forecast!H:H,Forecast!J:J))</f>
        <v>128320</v>
      </c>
      <c r="H340" s="186">
        <f ca="1">+Opex_VE[[#This Row],[MG]]-Opex_VE[[#This Row],[Opex]]</f>
        <v>-93058.966666666674</v>
      </c>
      <c r="I340" s="172" t="str">
        <f>IFERROR(VLOOKUP(Opex_VE[[#This Row],[Fecha]],Historia!A:D,4,0),"Forecast")</f>
        <v>Forecast</v>
      </c>
      <c r="J340" s="161">
        <f t="shared" ca="1" si="24"/>
        <v>553447.41666666663</v>
      </c>
      <c r="K340" s="157">
        <f ca="1">+Opex_VE[[#This Row],[MG]]-Opex_VE[[#This Row],[Opex]]</f>
        <v>0</v>
      </c>
      <c r="L340" s="156">
        <f>+VLOOKUP($A340,Opex!$C:$Z,N$1,1)</f>
        <v>55000</v>
      </c>
      <c r="M340" s="157">
        <f ca="1">+Opex_VE[[#This Row],[Opex]]</f>
        <v>0</v>
      </c>
      <c r="N340" s="156">
        <f t="shared" si="22"/>
        <v>294635</v>
      </c>
      <c r="O340" s="156">
        <f>+VLOOKUP($A340,Opex!$C:$Z,Q$1,1)</f>
        <v>4000</v>
      </c>
      <c r="P340" s="156">
        <f t="shared" si="23"/>
        <v>290635</v>
      </c>
      <c r="Q340" s="156">
        <f>+VLOOKUP($A340,Opex!$C:$Z,R$1,1)</f>
        <v>10635</v>
      </c>
      <c r="R340" s="157">
        <f>+SUM(Opex_VE[[#This Row],[Cajero]:[Domiciliario]])</f>
        <v>140000</v>
      </c>
      <c r="S340" s="156">
        <v>70000</v>
      </c>
      <c r="T340" s="156">
        <v>70000</v>
      </c>
      <c r="U340" s="156">
        <v>0</v>
      </c>
      <c r="V340"/>
    </row>
    <row r="341" spans="1:22" x14ac:dyDescent="0.2">
      <c r="A341" s="153">
        <v>46404</v>
      </c>
      <c r="B341" s="3">
        <f t="shared" ref="B341:B362" si="25">+B334+1</f>
        <v>47</v>
      </c>
      <c r="C341" s="3" t="str">
        <f>+TEXT(Opex_VE[[#This Row],[Fecha]],"ddd")</f>
        <v>dom</v>
      </c>
      <c r="E341" s="14" t="s">
        <v>145</v>
      </c>
      <c r="F341" s="172">
        <f>IFERROR(VLOOKUP(Opex_VE[[#This Row],[Fecha]],Historia!A:B,2,0),_xlfn.XLOOKUP(Opex_VE[[#This Row],[dia]],Forecast!H:H,Forecast!I:I))</f>
        <v>218500</v>
      </c>
      <c r="G341" s="172">
        <f>IFERROR(VLOOKUP(Opex_VE[[#This Row],[Fecha]],Historia!A:C,3,0),_xlfn.XLOOKUP(Opex_VE[[#This Row],[dia]],Forecast!H:H,Forecast!J:J))</f>
        <v>87400</v>
      </c>
      <c r="H341" s="186">
        <f ca="1">+Opex_VE[[#This Row],[MG]]-Opex_VE[[#This Row],[Opex]]</f>
        <v>-133978.96666666667</v>
      </c>
      <c r="I341" s="172" t="str">
        <f>IFERROR(VLOOKUP(Opex_VE[[#This Row],[Fecha]],Historia!A:D,4,0),"Forecast")</f>
        <v>Forecast</v>
      </c>
      <c r="J341" s="161">
        <f t="shared" ca="1" si="24"/>
        <v>553447.41666666663</v>
      </c>
      <c r="K341" s="157">
        <f ca="1">+Opex_VE[[#This Row],[MG]]-Opex_VE[[#This Row],[Opex]]</f>
        <v>0</v>
      </c>
      <c r="L341" s="156">
        <f>+VLOOKUP($A341,Opex!$C:$Z,N$1,1)</f>
        <v>55000</v>
      </c>
      <c r="M341" s="157">
        <f ca="1">+Opex_VE[[#This Row],[Opex]]</f>
        <v>0</v>
      </c>
      <c r="N341" s="156">
        <f t="shared" si="22"/>
        <v>294635</v>
      </c>
      <c r="O341" s="156">
        <f>+VLOOKUP($A341,Opex!$C:$Z,Q$1,1)</f>
        <v>4000</v>
      </c>
      <c r="P341" s="156">
        <f t="shared" si="23"/>
        <v>290635</v>
      </c>
      <c r="Q341" s="156">
        <f>+VLOOKUP($A341,Opex!$C:$Z,R$1,1)</f>
        <v>10635</v>
      </c>
      <c r="R341" s="157">
        <f>+SUM(Opex_VE[[#This Row],[Cajero]:[Domiciliario]])</f>
        <v>140000</v>
      </c>
      <c r="S341" s="156">
        <v>70000</v>
      </c>
      <c r="T341" s="156">
        <v>70000</v>
      </c>
      <c r="U341" s="156">
        <v>0</v>
      </c>
      <c r="V341"/>
    </row>
    <row r="342" spans="1:22" x14ac:dyDescent="0.2">
      <c r="A342" s="153">
        <v>46405</v>
      </c>
      <c r="B342" s="3">
        <f t="shared" si="25"/>
        <v>48</v>
      </c>
      <c r="C342" s="3" t="str">
        <f>+TEXT(Opex_VE[[#This Row],[Fecha]],"ddd")</f>
        <v>lun</v>
      </c>
      <c r="E342" s="14" t="s">
        <v>112</v>
      </c>
      <c r="F342" s="172">
        <f>IFERROR(VLOOKUP(Opex_VE[[#This Row],[Fecha]],Historia!A:B,2,0),_xlfn.XLOOKUP(Opex_VE[[#This Row],[dia]],Forecast!H:H,Forecast!I:I))</f>
        <v>179200</v>
      </c>
      <c r="G342" s="172">
        <f>IFERROR(VLOOKUP(Opex_VE[[#This Row],[Fecha]],Historia!A:C,3,0),_xlfn.XLOOKUP(Opex_VE[[#This Row],[dia]],Forecast!H:H,Forecast!J:J))</f>
        <v>71680</v>
      </c>
      <c r="H342" s="186">
        <f ca="1">+Opex_VE[[#This Row],[MG]]-Opex_VE[[#This Row],[Opex]]</f>
        <v>-149698.96666666667</v>
      </c>
      <c r="I342" s="172" t="str">
        <f>IFERROR(VLOOKUP(Opex_VE[[#This Row],[Fecha]],Historia!A:D,4,0),"Forecast")</f>
        <v>Forecast</v>
      </c>
      <c r="J342" s="161">
        <f t="shared" ca="1" si="24"/>
        <v>553447.41666666663</v>
      </c>
      <c r="K342" s="157">
        <f ca="1">+Opex_VE[[#This Row],[MG]]-Opex_VE[[#This Row],[Opex]]</f>
        <v>0</v>
      </c>
      <c r="L342" s="156">
        <f>+VLOOKUP($A342,Opex!$C:$Z,N$1,1)</f>
        <v>55000</v>
      </c>
      <c r="M342" s="157">
        <f ca="1">+Opex_VE[[#This Row],[Opex]]</f>
        <v>0</v>
      </c>
      <c r="N342" s="156">
        <f t="shared" si="22"/>
        <v>294635</v>
      </c>
      <c r="O342" s="156">
        <f>+VLOOKUP($A342,Opex!$C:$Z,Q$1,1)</f>
        <v>4000</v>
      </c>
      <c r="P342" s="156">
        <f t="shared" si="23"/>
        <v>290635</v>
      </c>
      <c r="Q342" s="156">
        <f>+VLOOKUP($A342,Opex!$C:$Z,R$1,1)</f>
        <v>10635</v>
      </c>
      <c r="R342" s="157">
        <f>+SUM(Opex_VE[[#This Row],[Cajero]:[Domiciliario]])</f>
        <v>140000</v>
      </c>
      <c r="S342" s="156">
        <v>70000</v>
      </c>
      <c r="T342" s="156">
        <v>70000</v>
      </c>
      <c r="U342" s="156">
        <v>0</v>
      </c>
      <c r="V342"/>
    </row>
    <row r="343" spans="1:22" x14ac:dyDescent="0.2">
      <c r="A343" s="153">
        <v>46406</v>
      </c>
      <c r="B343" s="3">
        <f t="shared" si="25"/>
        <v>48</v>
      </c>
      <c r="C343" s="3" t="str">
        <f>+TEXT(Opex_VE[[#This Row],[Fecha]],"ddd")</f>
        <v>mar</v>
      </c>
      <c r="E343" s="14" t="s">
        <v>112</v>
      </c>
      <c r="F343" s="172">
        <f>IFERROR(VLOOKUP(Opex_VE[[#This Row],[Fecha]],Historia!A:B,2,0),_xlfn.XLOOKUP(Opex_VE[[#This Row],[dia]],Forecast!H:H,Forecast!I:I))</f>
        <v>195000</v>
      </c>
      <c r="G343" s="172">
        <f>IFERROR(VLOOKUP(Opex_VE[[#This Row],[Fecha]],Historia!A:C,3,0),_xlfn.XLOOKUP(Opex_VE[[#This Row],[dia]],Forecast!H:H,Forecast!J:J))</f>
        <v>78000</v>
      </c>
      <c r="H343" s="186">
        <f ca="1">+Opex_VE[[#This Row],[MG]]-Opex_VE[[#This Row],[Opex]]</f>
        <v>-143378.96666666667</v>
      </c>
      <c r="I343" s="172" t="str">
        <f>IFERROR(VLOOKUP(Opex_VE[[#This Row],[Fecha]],Historia!A:D,4,0),"Forecast")</f>
        <v>Forecast</v>
      </c>
      <c r="J343" s="161">
        <f t="shared" ca="1" si="24"/>
        <v>553447.41666666663</v>
      </c>
      <c r="K343" s="157">
        <f ca="1">+Opex_VE[[#This Row],[MG]]-Opex_VE[[#This Row],[Opex]]</f>
        <v>0</v>
      </c>
      <c r="L343" s="156">
        <f>+VLOOKUP($A343,Opex!$C:$Z,N$1,1)</f>
        <v>55000</v>
      </c>
      <c r="M343" s="157">
        <f ca="1">+Opex_VE[[#This Row],[Opex]]</f>
        <v>0</v>
      </c>
      <c r="N343" s="156">
        <f t="shared" si="22"/>
        <v>294635</v>
      </c>
      <c r="O343" s="156">
        <f>+VLOOKUP($A343,Opex!$C:$Z,Q$1,1)</f>
        <v>4000</v>
      </c>
      <c r="P343" s="156">
        <f t="shared" si="23"/>
        <v>290635</v>
      </c>
      <c r="Q343" s="156">
        <f>+VLOOKUP($A343,Opex!$C:$Z,R$1,1)</f>
        <v>10635</v>
      </c>
      <c r="R343" s="157">
        <f>+SUM(Opex_VE[[#This Row],[Cajero]:[Domiciliario]])</f>
        <v>140000</v>
      </c>
      <c r="S343" s="156">
        <v>70000</v>
      </c>
      <c r="T343" s="156">
        <v>70000</v>
      </c>
      <c r="U343" s="156">
        <v>0</v>
      </c>
      <c r="V343"/>
    </row>
    <row r="344" spans="1:22" x14ac:dyDescent="0.2">
      <c r="A344" s="153">
        <v>46407</v>
      </c>
      <c r="B344" s="3">
        <f t="shared" si="25"/>
        <v>48</v>
      </c>
      <c r="C344" s="3" t="str">
        <f>+TEXT(Opex_VE[[#This Row],[Fecha]],"ddd")</f>
        <v>mié</v>
      </c>
      <c r="E344" s="14" t="s">
        <v>112</v>
      </c>
      <c r="F344" s="172">
        <f>IFERROR(VLOOKUP(Opex_VE[[#This Row],[Fecha]],Historia!A:B,2,0),_xlfn.XLOOKUP(Opex_VE[[#This Row],[dia]],Forecast!H:H,Forecast!I:I))</f>
        <v>366750</v>
      </c>
      <c r="G344" s="172">
        <f>IFERROR(VLOOKUP(Opex_VE[[#This Row],[Fecha]],Historia!A:C,3,0),_xlfn.XLOOKUP(Opex_VE[[#This Row],[dia]],Forecast!H:H,Forecast!J:J))</f>
        <v>146700</v>
      </c>
      <c r="H344" s="186">
        <f ca="1">+Opex_VE[[#This Row],[MG]]-Opex_VE[[#This Row],[Opex]]</f>
        <v>-74678.966666666674</v>
      </c>
      <c r="I344" s="172" t="str">
        <f>IFERROR(VLOOKUP(Opex_VE[[#This Row],[Fecha]],Historia!A:D,4,0),"Forecast")</f>
        <v>Forecast</v>
      </c>
      <c r="J344" s="161">
        <f t="shared" ca="1" si="24"/>
        <v>553447.41666666663</v>
      </c>
      <c r="K344" s="157">
        <f ca="1">+Opex_VE[[#This Row],[MG]]-Opex_VE[[#This Row],[Opex]]</f>
        <v>0</v>
      </c>
      <c r="L344" s="156">
        <f>+VLOOKUP($A344,Opex!$C:$Z,N$1,1)</f>
        <v>55000</v>
      </c>
      <c r="M344" s="157">
        <f ca="1">+Opex_VE[[#This Row],[Opex]]</f>
        <v>0</v>
      </c>
      <c r="N344" s="156">
        <f t="shared" si="22"/>
        <v>294635</v>
      </c>
      <c r="O344" s="156">
        <f>+VLOOKUP($A344,Opex!$C:$Z,Q$1,1)</f>
        <v>4000</v>
      </c>
      <c r="P344" s="156">
        <f t="shared" si="23"/>
        <v>290635</v>
      </c>
      <c r="Q344" s="156">
        <f>+VLOOKUP($A344,Opex!$C:$Z,R$1,1)</f>
        <v>10635</v>
      </c>
      <c r="R344" s="157">
        <f>+SUM(Opex_VE[[#This Row],[Cajero]:[Domiciliario]])</f>
        <v>140000</v>
      </c>
      <c r="S344" s="156">
        <v>70000</v>
      </c>
      <c r="T344" s="156">
        <v>70000</v>
      </c>
      <c r="U344" s="156">
        <v>0</v>
      </c>
      <c r="V344"/>
    </row>
    <row r="345" spans="1:22" x14ac:dyDescent="0.2">
      <c r="A345" s="153">
        <v>46408</v>
      </c>
      <c r="B345" s="3">
        <f t="shared" si="25"/>
        <v>48</v>
      </c>
      <c r="C345" s="3" t="str">
        <f>+TEXT(Opex_VE[[#This Row],[Fecha]],"ddd")</f>
        <v>jue</v>
      </c>
      <c r="E345" s="14" t="s">
        <v>112</v>
      </c>
      <c r="F345" s="172">
        <f>IFERROR(VLOOKUP(Opex_VE[[#This Row],[Fecha]],Historia!A:B,2,0),_xlfn.XLOOKUP(Opex_VE[[#This Row],[dia]],Forecast!H:H,Forecast!I:I))</f>
        <v>234000</v>
      </c>
      <c r="G345" s="172">
        <f>IFERROR(VLOOKUP(Opex_VE[[#This Row],[Fecha]],Historia!A:C,3,0),_xlfn.XLOOKUP(Opex_VE[[#This Row],[dia]],Forecast!H:H,Forecast!J:J))</f>
        <v>93600</v>
      </c>
      <c r="H345" s="186">
        <f ca="1">+Opex_VE[[#This Row],[MG]]-Opex_VE[[#This Row],[Opex]]</f>
        <v>-127778.96666666667</v>
      </c>
      <c r="I345" s="172" t="str">
        <f>IFERROR(VLOOKUP(Opex_VE[[#This Row],[Fecha]],Historia!A:D,4,0),"Forecast")</f>
        <v>Forecast</v>
      </c>
      <c r="J345" s="161">
        <f t="shared" ca="1" si="24"/>
        <v>553447.41666666663</v>
      </c>
      <c r="K345" s="157">
        <f ca="1">+Opex_VE[[#This Row],[MG]]-Opex_VE[[#This Row],[Opex]]</f>
        <v>0</v>
      </c>
      <c r="L345" s="156">
        <f>+VLOOKUP($A345,Opex!$C:$Z,N$1,1)</f>
        <v>55000</v>
      </c>
      <c r="M345" s="157">
        <f ca="1">+Opex_VE[[#This Row],[Opex]]</f>
        <v>0</v>
      </c>
      <c r="N345" s="156">
        <f t="shared" si="22"/>
        <v>294635</v>
      </c>
      <c r="O345" s="156">
        <f>+VLOOKUP($A345,Opex!$C:$Z,Q$1,1)</f>
        <v>4000</v>
      </c>
      <c r="P345" s="156">
        <f t="shared" si="23"/>
        <v>290635</v>
      </c>
      <c r="Q345" s="156">
        <f>+VLOOKUP($A345,Opex!$C:$Z,R$1,1)</f>
        <v>10635</v>
      </c>
      <c r="R345" s="157">
        <f>+SUM(Opex_VE[[#This Row],[Cajero]:[Domiciliario]])</f>
        <v>140000</v>
      </c>
      <c r="S345" s="156">
        <v>70000</v>
      </c>
      <c r="T345" s="156">
        <v>70000</v>
      </c>
      <c r="U345" s="156">
        <v>0</v>
      </c>
      <c r="V345"/>
    </row>
    <row r="346" spans="1:22" x14ac:dyDescent="0.2">
      <c r="A346" s="153">
        <v>46409</v>
      </c>
      <c r="B346" s="3">
        <f t="shared" si="25"/>
        <v>48</v>
      </c>
      <c r="C346" s="3" t="str">
        <f>+TEXT(Opex_VE[[#This Row],[Fecha]],"ddd")</f>
        <v>vie</v>
      </c>
      <c r="E346" s="14" t="s">
        <v>217</v>
      </c>
      <c r="F346" s="172">
        <f>IFERROR(VLOOKUP(Opex_VE[[#This Row],[Fecha]],Historia!A:B,2,0),_xlfn.XLOOKUP(Opex_VE[[#This Row],[dia]],Forecast!H:H,Forecast!I:I))</f>
        <v>248000</v>
      </c>
      <c r="G346" s="172">
        <f>IFERROR(VLOOKUP(Opex_VE[[#This Row],[Fecha]],Historia!A:C,3,0),_xlfn.XLOOKUP(Opex_VE[[#This Row],[dia]],Forecast!H:H,Forecast!J:J))</f>
        <v>99200</v>
      </c>
      <c r="H346" s="186">
        <f ca="1">+Opex_VE[[#This Row],[MG]]-Opex_VE[[#This Row],[Opex]]</f>
        <v>-122178.96666666667</v>
      </c>
      <c r="I346" s="172" t="str">
        <f>IFERROR(VLOOKUP(Opex_VE[[#This Row],[Fecha]],Historia!A:D,4,0),"Forecast")</f>
        <v>Forecast</v>
      </c>
      <c r="J346" s="161">
        <f t="shared" ca="1" si="24"/>
        <v>553447.41666666663</v>
      </c>
      <c r="K346" s="157">
        <f ca="1">+Opex_VE[[#This Row],[MG]]-Opex_VE[[#This Row],[Opex]]</f>
        <v>0</v>
      </c>
      <c r="L346" s="156">
        <f>+VLOOKUP($A346,Opex!$C:$Z,N$1,1)</f>
        <v>55000</v>
      </c>
      <c r="M346" s="157">
        <f ca="1">+Opex_VE[[#This Row],[Opex]]</f>
        <v>0</v>
      </c>
      <c r="N346" s="156">
        <f t="shared" si="22"/>
        <v>294635</v>
      </c>
      <c r="O346" s="156">
        <f>+VLOOKUP($A346,Opex!$C:$Z,Q$1,1)</f>
        <v>4000</v>
      </c>
      <c r="P346" s="156">
        <f t="shared" si="23"/>
        <v>290635</v>
      </c>
      <c r="Q346" s="156">
        <f>+VLOOKUP($A346,Opex!$C:$Z,R$1,1)</f>
        <v>10635</v>
      </c>
      <c r="R346" s="157">
        <f>+SUM(Opex_VE[[#This Row],[Cajero]:[Domiciliario]])</f>
        <v>140000</v>
      </c>
      <c r="S346" s="156">
        <v>70000</v>
      </c>
      <c r="T346" s="156">
        <v>70000</v>
      </c>
      <c r="U346" s="156">
        <v>0</v>
      </c>
      <c r="V346"/>
    </row>
    <row r="347" spans="1:22" x14ac:dyDescent="0.2">
      <c r="A347" s="153">
        <v>46410</v>
      </c>
      <c r="B347" s="3">
        <f t="shared" si="25"/>
        <v>48</v>
      </c>
      <c r="C347" s="3" t="str">
        <f>+TEXT(Opex_VE[[#This Row],[Fecha]],"ddd")</f>
        <v>sáb</v>
      </c>
      <c r="E347" s="14" t="s">
        <v>113</v>
      </c>
      <c r="F347" s="172">
        <f>IFERROR(VLOOKUP(Opex_VE[[#This Row],[Fecha]],Historia!A:B,2,0),_xlfn.XLOOKUP(Opex_VE[[#This Row],[dia]],Forecast!H:H,Forecast!I:I))</f>
        <v>320800</v>
      </c>
      <c r="G347" s="172">
        <f>IFERROR(VLOOKUP(Opex_VE[[#This Row],[Fecha]],Historia!A:C,3,0),_xlfn.XLOOKUP(Opex_VE[[#This Row],[dia]],Forecast!H:H,Forecast!J:J))</f>
        <v>128320</v>
      </c>
      <c r="H347" s="186">
        <f ca="1">+Opex_VE[[#This Row],[MG]]-Opex_VE[[#This Row],[Opex]]</f>
        <v>-93058.966666666674</v>
      </c>
      <c r="I347" s="172" t="str">
        <f>IFERROR(VLOOKUP(Opex_VE[[#This Row],[Fecha]],Historia!A:D,4,0),"Forecast")</f>
        <v>Forecast</v>
      </c>
      <c r="J347" s="161">
        <f t="shared" ca="1" si="24"/>
        <v>553447.41666666663</v>
      </c>
      <c r="K347" s="157">
        <f ca="1">+Opex_VE[[#This Row],[MG]]-Opex_VE[[#This Row],[Opex]]</f>
        <v>0</v>
      </c>
      <c r="L347" s="156">
        <f>+VLOOKUP($A347,Opex!$C:$Z,N$1,1)</f>
        <v>55000</v>
      </c>
      <c r="M347" s="157">
        <f ca="1">+Opex_VE[[#This Row],[Opex]]</f>
        <v>0</v>
      </c>
      <c r="N347" s="156">
        <f t="shared" si="22"/>
        <v>294635</v>
      </c>
      <c r="O347" s="156">
        <f>+VLOOKUP($A347,Opex!$C:$Z,Q$1,1)</f>
        <v>4000</v>
      </c>
      <c r="P347" s="156">
        <f t="shared" si="23"/>
        <v>290635</v>
      </c>
      <c r="Q347" s="156">
        <f>+VLOOKUP($A347,Opex!$C:$Z,R$1,1)</f>
        <v>10635</v>
      </c>
      <c r="R347" s="157">
        <f>+SUM(Opex_VE[[#This Row],[Cajero]:[Domiciliario]])</f>
        <v>140000</v>
      </c>
      <c r="S347" s="156">
        <v>70000</v>
      </c>
      <c r="T347" s="156">
        <v>70000</v>
      </c>
      <c r="U347" s="156">
        <v>0</v>
      </c>
      <c r="V347"/>
    </row>
    <row r="348" spans="1:22" x14ac:dyDescent="0.2">
      <c r="A348" s="153">
        <v>46411</v>
      </c>
      <c r="B348" s="3">
        <f t="shared" si="25"/>
        <v>48</v>
      </c>
      <c r="C348" s="3" t="str">
        <f>+TEXT(Opex_VE[[#This Row],[Fecha]],"ddd")</f>
        <v>dom</v>
      </c>
      <c r="E348" s="14" t="s">
        <v>145</v>
      </c>
      <c r="F348" s="172">
        <f>IFERROR(VLOOKUP(Opex_VE[[#This Row],[Fecha]],Historia!A:B,2,0),_xlfn.XLOOKUP(Opex_VE[[#This Row],[dia]],Forecast!H:H,Forecast!I:I))</f>
        <v>218500</v>
      </c>
      <c r="G348" s="172">
        <f>IFERROR(VLOOKUP(Opex_VE[[#This Row],[Fecha]],Historia!A:C,3,0),_xlfn.XLOOKUP(Opex_VE[[#This Row],[dia]],Forecast!H:H,Forecast!J:J))</f>
        <v>87400</v>
      </c>
      <c r="H348" s="186">
        <f ca="1">+Opex_VE[[#This Row],[MG]]-Opex_VE[[#This Row],[Opex]]</f>
        <v>-133978.96666666667</v>
      </c>
      <c r="I348" s="172" t="str">
        <f>IFERROR(VLOOKUP(Opex_VE[[#This Row],[Fecha]],Historia!A:D,4,0),"Forecast")</f>
        <v>Forecast</v>
      </c>
      <c r="J348" s="161">
        <f t="shared" ca="1" si="24"/>
        <v>553447.41666666663</v>
      </c>
      <c r="K348" s="157">
        <f ca="1">+Opex_VE[[#This Row],[MG]]-Opex_VE[[#This Row],[Opex]]</f>
        <v>0</v>
      </c>
      <c r="L348" s="156">
        <f>+VLOOKUP($A348,Opex!$C:$Z,N$1,1)</f>
        <v>55000</v>
      </c>
      <c r="M348" s="157">
        <f ca="1">+Opex_VE[[#This Row],[Opex]]</f>
        <v>0</v>
      </c>
      <c r="N348" s="156">
        <f t="shared" si="22"/>
        <v>294635</v>
      </c>
      <c r="O348" s="156">
        <f>+VLOOKUP($A348,Opex!$C:$Z,Q$1,1)</f>
        <v>4000</v>
      </c>
      <c r="P348" s="156">
        <f t="shared" si="23"/>
        <v>290635</v>
      </c>
      <c r="Q348" s="156">
        <f>+VLOOKUP($A348,Opex!$C:$Z,R$1,1)</f>
        <v>10635</v>
      </c>
      <c r="R348" s="157">
        <f>+SUM(Opex_VE[[#This Row],[Cajero]:[Domiciliario]])</f>
        <v>140000</v>
      </c>
      <c r="S348" s="156">
        <v>70000</v>
      </c>
      <c r="T348" s="156">
        <v>70000</v>
      </c>
      <c r="U348" s="156">
        <v>0</v>
      </c>
      <c r="V348"/>
    </row>
    <row r="349" spans="1:22" x14ac:dyDescent="0.2">
      <c r="A349" s="153">
        <v>46412</v>
      </c>
      <c r="B349" s="3">
        <f t="shared" si="25"/>
        <v>49</v>
      </c>
      <c r="C349" s="3" t="str">
        <f>+TEXT(Opex_VE[[#This Row],[Fecha]],"ddd")</f>
        <v>lun</v>
      </c>
      <c r="E349" s="14" t="s">
        <v>112</v>
      </c>
      <c r="F349" s="172">
        <f>IFERROR(VLOOKUP(Opex_VE[[#This Row],[Fecha]],Historia!A:B,2,0),_xlfn.XLOOKUP(Opex_VE[[#This Row],[dia]],Forecast!H:H,Forecast!I:I))</f>
        <v>179200</v>
      </c>
      <c r="G349" s="172">
        <f>IFERROR(VLOOKUP(Opex_VE[[#This Row],[Fecha]],Historia!A:C,3,0),_xlfn.XLOOKUP(Opex_VE[[#This Row],[dia]],Forecast!H:H,Forecast!J:J))</f>
        <v>71680</v>
      </c>
      <c r="H349" s="186">
        <f ca="1">+Opex_VE[[#This Row],[MG]]-Opex_VE[[#This Row],[Opex]]</f>
        <v>-149698.96666666667</v>
      </c>
      <c r="I349" s="172" t="str">
        <f>IFERROR(VLOOKUP(Opex_VE[[#This Row],[Fecha]],Historia!A:D,4,0),"Forecast")</f>
        <v>Forecast</v>
      </c>
      <c r="J349" s="161">
        <f t="shared" ca="1" si="24"/>
        <v>553447.41666666663</v>
      </c>
      <c r="K349" s="157">
        <f ca="1">+Opex_VE[[#This Row],[MG]]-Opex_VE[[#This Row],[Opex]]</f>
        <v>0</v>
      </c>
      <c r="L349" s="156">
        <f>+VLOOKUP($A349,Opex!$C:$Z,N$1,1)</f>
        <v>55000</v>
      </c>
      <c r="M349" s="157">
        <f ca="1">+Opex_VE[[#This Row],[Opex]]</f>
        <v>0</v>
      </c>
      <c r="N349" s="156">
        <f t="shared" si="22"/>
        <v>294635</v>
      </c>
      <c r="O349" s="156">
        <f>+VLOOKUP($A349,Opex!$C:$Z,Q$1,1)</f>
        <v>4000</v>
      </c>
      <c r="P349" s="156">
        <f t="shared" si="23"/>
        <v>290635</v>
      </c>
      <c r="Q349" s="156">
        <f>+VLOOKUP($A349,Opex!$C:$Z,R$1,1)</f>
        <v>10635</v>
      </c>
      <c r="R349" s="157">
        <f>+SUM(Opex_VE[[#This Row],[Cajero]:[Domiciliario]])</f>
        <v>140000</v>
      </c>
      <c r="S349" s="156">
        <v>70000</v>
      </c>
      <c r="T349" s="156">
        <v>70000</v>
      </c>
      <c r="U349" s="156">
        <v>0</v>
      </c>
      <c r="V349"/>
    </row>
    <row r="350" spans="1:22" x14ac:dyDescent="0.2">
      <c r="A350" s="153">
        <v>46413</v>
      </c>
      <c r="B350" s="3">
        <f t="shared" si="25"/>
        <v>49</v>
      </c>
      <c r="C350" s="3" t="str">
        <f>+TEXT(Opex_VE[[#This Row],[Fecha]],"ddd")</f>
        <v>mar</v>
      </c>
      <c r="E350" s="14" t="s">
        <v>112</v>
      </c>
      <c r="F350" s="172">
        <f>IFERROR(VLOOKUP(Opex_VE[[#This Row],[Fecha]],Historia!A:B,2,0),_xlfn.XLOOKUP(Opex_VE[[#This Row],[dia]],Forecast!H:H,Forecast!I:I))</f>
        <v>195000</v>
      </c>
      <c r="G350" s="172">
        <f>IFERROR(VLOOKUP(Opex_VE[[#This Row],[Fecha]],Historia!A:C,3,0),_xlfn.XLOOKUP(Opex_VE[[#This Row],[dia]],Forecast!H:H,Forecast!J:J))</f>
        <v>78000</v>
      </c>
      <c r="H350" s="186">
        <f ca="1">+Opex_VE[[#This Row],[MG]]-Opex_VE[[#This Row],[Opex]]</f>
        <v>-143378.96666666667</v>
      </c>
      <c r="I350" s="172" t="str">
        <f>IFERROR(VLOOKUP(Opex_VE[[#This Row],[Fecha]],Historia!A:D,4,0),"Forecast")</f>
        <v>Forecast</v>
      </c>
      <c r="J350" s="161">
        <f t="shared" ca="1" si="24"/>
        <v>553447.41666666663</v>
      </c>
      <c r="K350" s="157">
        <f ca="1">+Opex_VE[[#This Row],[MG]]-Opex_VE[[#This Row],[Opex]]</f>
        <v>0</v>
      </c>
      <c r="L350" s="156">
        <f>+VLOOKUP($A350,Opex!$C:$Z,N$1,1)</f>
        <v>55000</v>
      </c>
      <c r="M350" s="157">
        <f ca="1">+Opex_VE[[#This Row],[Opex]]</f>
        <v>0</v>
      </c>
      <c r="N350" s="156">
        <f t="shared" si="22"/>
        <v>294635</v>
      </c>
      <c r="O350" s="156">
        <f>+VLOOKUP($A350,Opex!$C:$Z,Q$1,1)</f>
        <v>4000</v>
      </c>
      <c r="P350" s="156">
        <f t="shared" si="23"/>
        <v>290635</v>
      </c>
      <c r="Q350" s="156">
        <f>+VLOOKUP($A350,Opex!$C:$Z,R$1,1)</f>
        <v>10635</v>
      </c>
      <c r="R350" s="157">
        <f>+SUM(Opex_VE[[#This Row],[Cajero]:[Domiciliario]])</f>
        <v>140000</v>
      </c>
      <c r="S350" s="156">
        <v>70000</v>
      </c>
      <c r="T350" s="156">
        <v>70000</v>
      </c>
      <c r="U350" s="156">
        <v>0</v>
      </c>
      <c r="V350"/>
    </row>
    <row r="351" spans="1:22" x14ac:dyDescent="0.2">
      <c r="A351" s="153">
        <v>46414</v>
      </c>
      <c r="B351" s="3">
        <f t="shared" si="25"/>
        <v>49</v>
      </c>
      <c r="C351" s="3" t="str">
        <f>+TEXT(Opex_VE[[#This Row],[Fecha]],"ddd")</f>
        <v>mié</v>
      </c>
      <c r="E351" s="14" t="s">
        <v>112</v>
      </c>
      <c r="F351" s="172">
        <f>IFERROR(VLOOKUP(Opex_VE[[#This Row],[Fecha]],Historia!A:B,2,0),_xlfn.XLOOKUP(Opex_VE[[#This Row],[dia]],Forecast!H:H,Forecast!I:I))</f>
        <v>366750</v>
      </c>
      <c r="G351" s="172">
        <f>IFERROR(VLOOKUP(Opex_VE[[#This Row],[Fecha]],Historia!A:C,3,0),_xlfn.XLOOKUP(Opex_VE[[#This Row],[dia]],Forecast!H:H,Forecast!J:J))</f>
        <v>146700</v>
      </c>
      <c r="H351" s="186">
        <f ca="1">+Opex_VE[[#This Row],[MG]]-Opex_VE[[#This Row],[Opex]]</f>
        <v>-74678.966666666674</v>
      </c>
      <c r="I351" s="172" t="str">
        <f>IFERROR(VLOOKUP(Opex_VE[[#This Row],[Fecha]],Historia!A:D,4,0),"Forecast")</f>
        <v>Forecast</v>
      </c>
      <c r="J351" s="161">
        <f t="shared" ca="1" si="24"/>
        <v>553447.41666666663</v>
      </c>
      <c r="K351" s="157">
        <f ca="1">+Opex_VE[[#This Row],[MG]]-Opex_VE[[#This Row],[Opex]]</f>
        <v>0</v>
      </c>
      <c r="L351" s="156">
        <f>+VLOOKUP($A351,Opex!$C:$Z,N$1,1)</f>
        <v>55000</v>
      </c>
      <c r="M351" s="157">
        <f ca="1">+Opex_VE[[#This Row],[Opex]]</f>
        <v>0</v>
      </c>
      <c r="N351" s="156">
        <f t="shared" si="22"/>
        <v>294635</v>
      </c>
      <c r="O351" s="156">
        <f>+VLOOKUP($A351,Opex!$C:$Z,Q$1,1)</f>
        <v>4000</v>
      </c>
      <c r="P351" s="156">
        <f t="shared" si="23"/>
        <v>290635</v>
      </c>
      <c r="Q351" s="156">
        <f>+VLOOKUP($A351,Opex!$C:$Z,R$1,1)</f>
        <v>10635</v>
      </c>
      <c r="R351" s="157">
        <f>+SUM(Opex_VE[[#This Row],[Cajero]:[Domiciliario]])</f>
        <v>140000</v>
      </c>
      <c r="S351" s="156">
        <v>70000</v>
      </c>
      <c r="T351" s="156">
        <v>70000</v>
      </c>
      <c r="U351" s="156">
        <v>0</v>
      </c>
      <c r="V351"/>
    </row>
    <row r="352" spans="1:22" x14ac:dyDescent="0.2">
      <c r="A352" s="153">
        <v>46415</v>
      </c>
      <c r="B352" s="3">
        <f t="shared" si="25"/>
        <v>49</v>
      </c>
      <c r="C352" s="3" t="str">
        <f>+TEXT(Opex_VE[[#This Row],[Fecha]],"ddd")</f>
        <v>jue</v>
      </c>
      <c r="E352" s="14" t="s">
        <v>112</v>
      </c>
      <c r="F352" s="172">
        <f>IFERROR(VLOOKUP(Opex_VE[[#This Row],[Fecha]],Historia!A:B,2,0),_xlfn.XLOOKUP(Opex_VE[[#This Row],[dia]],Forecast!H:H,Forecast!I:I))</f>
        <v>234000</v>
      </c>
      <c r="G352" s="172">
        <f>IFERROR(VLOOKUP(Opex_VE[[#This Row],[Fecha]],Historia!A:C,3,0),_xlfn.XLOOKUP(Opex_VE[[#This Row],[dia]],Forecast!H:H,Forecast!J:J))</f>
        <v>93600</v>
      </c>
      <c r="H352" s="186">
        <f ca="1">+Opex_VE[[#This Row],[MG]]-Opex_VE[[#This Row],[Opex]]</f>
        <v>-127778.96666666667</v>
      </c>
      <c r="I352" s="172" t="str">
        <f>IFERROR(VLOOKUP(Opex_VE[[#This Row],[Fecha]],Historia!A:D,4,0),"Forecast")</f>
        <v>Forecast</v>
      </c>
      <c r="J352" s="161">
        <f t="shared" ca="1" si="24"/>
        <v>553447.41666666663</v>
      </c>
      <c r="K352" s="157">
        <f ca="1">+Opex_VE[[#This Row],[MG]]-Opex_VE[[#This Row],[Opex]]</f>
        <v>0</v>
      </c>
      <c r="L352" s="156">
        <f>+VLOOKUP($A352,Opex!$C:$Z,N$1,1)</f>
        <v>55000</v>
      </c>
      <c r="M352" s="157">
        <f ca="1">+Opex_VE[[#This Row],[Opex]]</f>
        <v>0</v>
      </c>
      <c r="N352" s="156">
        <f t="shared" si="22"/>
        <v>294635</v>
      </c>
      <c r="O352" s="156">
        <f>+VLOOKUP($A352,Opex!$C:$Z,Q$1,1)</f>
        <v>4000</v>
      </c>
      <c r="P352" s="156">
        <f t="shared" si="23"/>
        <v>290635</v>
      </c>
      <c r="Q352" s="156">
        <f>+VLOOKUP($A352,Opex!$C:$Z,R$1,1)</f>
        <v>10635</v>
      </c>
      <c r="R352" s="157">
        <f>+SUM(Opex_VE[[#This Row],[Cajero]:[Domiciliario]])</f>
        <v>140000</v>
      </c>
      <c r="S352" s="156">
        <v>70000</v>
      </c>
      <c r="T352" s="156">
        <v>70000</v>
      </c>
      <c r="U352" s="156">
        <v>0</v>
      </c>
      <c r="V352"/>
    </row>
    <row r="353" spans="1:22" x14ac:dyDescent="0.2">
      <c r="A353" s="153">
        <v>46416</v>
      </c>
      <c r="B353" s="3">
        <f t="shared" si="25"/>
        <v>49</v>
      </c>
      <c r="C353" s="3" t="str">
        <f>+TEXT(Opex_VE[[#This Row],[Fecha]],"ddd")</f>
        <v>vie</v>
      </c>
      <c r="E353" s="14" t="s">
        <v>217</v>
      </c>
      <c r="F353" s="172">
        <f>IFERROR(VLOOKUP(Opex_VE[[#This Row],[Fecha]],Historia!A:B,2,0),_xlfn.XLOOKUP(Opex_VE[[#This Row],[dia]],Forecast!H:H,Forecast!I:I))</f>
        <v>248000</v>
      </c>
      <c r="G353" s="172">
        <f>IFERROR(VLOOKUP(Opex_VE[[#This Row],[Fecha]],Historia!A:C,3,0),_xlfn.XLOOKUP(Opex_VE[[#This Row],[dia]],Forecast!H:H,Forecast!J:J))</f>
        <v>99200</v>
      </c>
      <c r="H353" s="186">
        <f ca="1">+Opex_VE[[#This Row],[MG]]-Opex_VE[[#This Row],[Opex]]</f>
        <v>-122178.96666666667</v>
      </c>
      <c r="I353" s="172" t="str">
        <f>IFERROR(VLOOKUP(Opex_VE[[#This Row],[Fecha]],Historia!A:D,4,0),"Forecast")</f>
        <v>Forecast</v>
      </c>
      <c r="J353" s="161">
        <f t="shared" ca="1" si="24"/>
        <v>553447.41666666663</v>
      </c>
      <c r="K353" s="157">
        <f ca="1">+Opex_VE[[#This Row],[MG]]-Opex_VE[[#This Row],[Opex]]</f>
        <v>0</v>
      </c>
      <c r="L353" s="156">
        <f>+VLOOKUP($A353,Opex!$C:$Z,N$1,1)</f>
        <v>55000</v>
      </c>
      <c r="M353" s="157">
        <f ca="1">+Opex_VE[[#This Row],[Opex]]</f>
        <v>0</v>
      </c>
      <c r="N353" s="156">
        <f t="shared" si="22"/>
        <v>294635</v>
      </c>
      <c r="O353" s="156">
        <f>+VLOOKUP($A353,Opex!$C:$Z,Q$1,1)</f>
        <v>4000</v>
      </c>
      <c r="P353" s="156">
        <f t="shared" si="23"/>
        <v>290635</v>
      </c>
      <c r="Q353" s="156">
        <f>+VLOOKUP($A353,Opex!$C:$Z,R$1,1)</f>
        <v>10635</v>
      </c>
      <c r="R353" s="157">
        <f>+SUM(Opex_VE[[#This Row],[Cajero]:[Domiciliario]])</f>
        <v>140000</v>
      </c>
      <c r="S353" s="156">
        <v>70000</v>
      </c>
      <c r="T353" s="156">
        <v>70000</v>
      </c>
      <c r="U353" s="156">
        <v>0</v>
      </c>
      <c r="V353"/>
    </row>
    <row r="354" spans="1:22" x14ac:dyDescent="0.2">
      <c r="A354" s="153">
        <v>46417</v>
      </c>
      <c r="B354" s="3">
        <f t="shared" si="25"/>
        <v>49</v>
      </c>
      <c r="C354" s="3" t="str">
        <f>+TEXT(Opex_VE[[#This Row],[Fecha]],"ddd")</f>
        <v>sáb</v>
      </c>
      <c r="E354" s="14" t="s">
        <v>113</v>
      </c>
      <c r="F354" s="172">
        <f>IFERROR(VLOOKUP(Opex_VE[[#This Row],[Fecha]],Historia!A:B,2,0),_xlfn.XLOOKUP(Opex_VE[[#This Row],[dia]],Forecast!H:H,Forecast!I:I))</f>
        <v>320800</v>
      </c>
      <c r="G354" s="172">
        <f>IFERROR(VLOOKUP(Opex_VE[[#This Row],[Fecha]],Historia!A:C,3,0),_xlfn.XLOOKUP(Opex_VE[[#This Row],[dia]],Forecast!H:H,Forecast!J:J))</f>
        <v>128320</v>
      </c>
      <c r="H354" s="186">
        <f ca="1">+Opex_VE[[#This Row],[MG]]-Opex_VE[[#This Row],[Opex]]</f>
        <v>-93058.966666666674</v>
      </c>
      <c r="I354" s="172" t="str">
        <f>IFERROR(VLOOKUP(Opex_VE[[#This Row],[Fecha]],Historia!A:D,4,0),"Forecast")</f>
        <v>Forecast</v>
      </c>
      <c r="J354" s="161">
        <f t="shared" ca="1" si="24"/>
        <v>553447.41666666663</v>
      </c>
      <c r="K354" s="157">
        <f ca="1">+Opex_VE[[#This Row],[MG]]-Opex_VE[[#This Row],[Opex]]</f>
        <v>0</v>
      </c>
      <c r="L354" s="156">
        <f>+VLOOKUP($A354,Opex!$C:$Z,N$1,1)</f>
        <v>55000</v>
      </c>
      <c r="M354" s="157">
        <f ca="1">+Opex_VE[[#This Row],[Opex]]</f>
        <v>0</v>
      </c>
      <c r="N354" s="156">
        <f t="shared" si="22"/>
        <v>294635</v>
      </c>
      <c r="O354" s="156">
        <f>+VLOOKUP($A354,Opex!$C:$Z,Q$1,1)</f>
        <v>4000</v>
      </c>
      <c r="P354" s="156">
        <f t="shared" si="23"/>
        <v>290635</v>
      </c>
      <c r="Q354" s="156">
        <f>+VLOOKUP($A354,Opex!$C:$Z,R$1,1)</f>
        <v>10635</v>
      </c>
      <c r="R354" s="157">
        <f>+SUM(Opex_VE[[#This Row],[Cajero]:[Domiciliario]])</f>
        <v>140000</v>
      </c>
      <c r="S354" s="156">
        <v>70000</v>
      </c>
      <c r="T354" s="156">
        <v>70000</v>
      </c>
      <c r="U354" s="156">
        <v>0</v>
      </c>
      <c r="V354"/>
    </row>
    <row r="355" spans="1:22" x14ac:dyDescent="0.2">
      <c r="A355" s="153">
        <v>46418</v>
      </c>
      <c r="B355" s="3">
        <f t="shared" si="25"/>
        <v>49</v>
      </c>
      <c r="C355" s="3" t="str">
        <f>+TEXT(Opex_VE[[#This Row],[Fecha]],"ddd")</f>
        <v>dom</v>
      </c>
      <c r="E355" s="14" t="s">
        <v>145</v>
      </c>
      <c r="F355" s="172">
        <f>IFERROR(VLOOKUP(Opex_VE[[#This Row],[Fecha]],Historia!A:B,2,0),_xlfn.XLOOKUP(Opex_VE[[#This Row],[dia]],Forecast!H:H,Forecast!I:I))</f>
        <v>218500</v>
      </c>
      <c r="G355" s="172">
        <f>IFERROR(VLOOKUP(Opex_VE[[#This Row],[Fecha]],Historia!A:C,3,0),_xlfn.XLOOKUP(Opex_VE[[#This Row],[dia]],Forecast!H:H,Forecast!J:J))</f>
        <v>87400</v>
      </c>
      <c r="H355" s="186">
        <f ca="1">+Opex_VE[[#This Row],[MG]]-Opex_VE[[#This Row],[Opex]]</f>
        <v>-133978.96666666667</v>
      </c>
      <c r="I355" s="172" t="str">
        <f>IFERROR(VLOOKUP(Opex_VE[[#This Row],[Fecha]],Historia!A:D,4,0),"Forecast")</f>
        <v>Forecast</v>
      </c>
      <c r="J355" s="161">
        <f t="shared" ca="1" si="24"/>
        <v>553447.41666666663</v>
      </c>
      <c r="K355" s="157">
        <f ca="1">+Opex_VE[[#This Row],[MG]]-Opex_VE[[#This Row],[Opex]]</f>
        <v>0</v>
      </c>
      <c r="L355" s="156">
        <f>+VLOOKUP($A355,Opex!$C:$Z,N$1,1)</f>
        <v>55000</v>
      </c>
      <c r="M355" s="157">
        <f ca="1">+Opex_VE[[#This Row],[Opex]]</f>
        <v>0</v>
      </c>
      <c r="N355" s="156">
        <f t="shared" si="22"/>
        <v>294635</v>
      </c>
      <c r="O355" s="156">
        <f>+VLOOKUP($A355,Opex!$C:$Z,Q$1,1)</f>
        <v>4000</v>
      </c>
      <c r="P355" s="156">
        <f t="shared" si="23"/>
        <v>290635</v>
      </c>
      <c r="Q355" s="156">
        <f>+VLOOKUP($A355,Opex!$C:$Z,R$1,1)</f>
        <v>10635</v>
      </c>
      <c r="R355" s="157">
        <f>+SUM(Opex_VE[[#This Row],[Cajero]:[Domiciliario]])</f>
        <v>140000</v>
      </c>
      <c r="S355" s="156">
        <v>70000</v>
      </c>
      <c r="T355" s="156">
        <v>70000</v>
      </c>
      <c r="U355" s="156">
        <v>0</v>
      </c>
      <c r="V355"/>
    </row>
    <row r="356" spans="1:22" x14ac:dyDescent="0.2">
      <c r="A356" s="153">
        <v>46419</v>
      </c>
      <c r="B356" s="3">
        <f t="shared" si="25"/>
        <v>50</v>
      </c>
      <c r="C356" s="3" t="str">
        <f>+TEXT(Opex_VE[[#This Row],[Fecha]],"ddd")</f>
        <v>lun</v>
      </c>
      <c r="E356" s="14" t="s">
        <v>112</v>
      </c>
      <c r="F356" s="172">
        <f>IFERROR(VLOOKUP(Opex_VE[[#This Row],[Fecha]],Historia!A:B,2,0),_xlfn.XLOOKUP(Opex_VE[[#This Row],[dia]],Forecast!H:H,Forecast!I:I))</f>
        <v>179200</v>
      </c>
      <c r="G356" s="172">
        <f>IFERROR(VLOOKUP(Opex_VE[[#This Row],[Fecha]],Historia!A:C,3,0),_xlfn.XLOOKUP(Opex_VE[[#This Row],[dia]],Forecast!H:H,Forecast!J:J))</f>
        <v>71680</v>
      </c>
      <c r="H356" s="186">
        <f ca="1">+Opex_VE[[#This Row],[MG]]-Opex_VE[[#This Row],[Opex]]</f>
        <v>-149698.96666666667</v>
      </c>
      <c r="I356" s="172" t="str">
        <f>IFERROR(VLOOKUP(Opex_VE[[#This Row],[Fecha]],Historia!A:D,4,0),"Forecast")</f>
        <v>Forecast</v>
      </c>
      <c r="J356" s="161">
        <f t="shared" ca="1" si="24"/>
        <v>553447.41666666663</v>
      </c>
      <c r="K356" s="157">
        <f ca="1">+Opex_VE[[#This Row],[MG]]-Opex_VE[[#This Row],[Opex]]</f>
        <v>0</v>
      </c>
      <c r="L356" s="156">
        <f>+VLOOKUP($A356,Opex!$C:$Z,N$1,1)</f>
        <v>55000</v>
      </c>
      <c r="M356" s="157">
        <f ca="1">+Opex_VE[[#This Row],[Opex]]</f>
        <v>0</v>
      </c>
      <c r="N356" s="156">
        <f t="shared" si="22"/>
        <v>294635</v>
      </c>
      <c r="O356" s="156">
        <f>+VLOOKUP($A356,Opex!$C:$Z,Q$1,1)</f>
        <v>4000</v>
      </c>
      <c r="P356" s="156">
        <f t="shared" si="23"/>
        <v>290635</v>
      </c>
      <c r="Q356" s="156">
        <f>+VLOOKUP($A356,Opex!$C:$Z,R$1,1)</f>
        <v>10635</v>
      </c>
      <c r="R356" s="157">
        <f>+SUM(Opex_VE[[#This Row],[Cajero]:[Domiciliario]])</f>
        <v>140000</v>
      </c>
      <c r="S356" s="156">
        <v>70000</v>
      </c>
      <c r="T356" s="156">
        <v>70000</v>
      </c>
      <c r="U356" s="156">
        <v>0</v>
      </c>
      <c r="V356"/>
    </row>
    <row r="357" spans="1:22" x14ac:dyDescent="0.2">
      <c r="A357" s="153">
        <v>46420</v>
      </c>
      <c r="B357" s="3">
        <f t="shared" si="25"/>
        <v>50</v>
      </c>
      <c r="C357" s="3" t="str">
        <f>+TEXT(Opex_VE[[#This Row],[Fecha]],"ddd")</f>
        <v>mar</v>
      </c>
      <c r="E357" s="14" t="s">
        <v>112</v>
      </c>
      <c r="F357" s="172">
        <f>IFERROR(VLOOKUP(Opex_VE[[#This Row],[Fecha]],Historia!A:B,2,0),_xlfn.XLOOKUP(Opex_VE[[#This Row],[dia]],Forecast!H:H,Forecast!I:I))</f>
        <v>195000</v>
      </c>
      <c r="G357" s="172">
        <f>IFERROR(VLOOKUP(Opex_VE[[#This Row],[Fecha]],Historia!A:C,3,0),_xlfn.XLOOKUP(Opex_VE[[#This Row],[dia]],Forecast!H:H,Forecast!J:J))</f>
        <v>78000</v>
      </c>
      <c r="H357" s="186">
        <f ca="1">+Opex_VE[[#This Row],[MG]]-Opex_VE[[#This Row],[Opex]]</f>
        <v>-143378.96666666667</v>
      </c>
      <c r="I357" s="172" t="str">
        <f>IFERROR(VLOOKUP(Opex_VE[[#This Row],[Fecha]],Historia!A:D,4,0),"Forecast")</f>
        <v>Forecast</v>
      </c>
      <c r="J357" s="161">
        <f t="shared" ca="1" si="24"/>
        <v>553447.41666666663</v>
      </c>
      <c r="K357" s="157">
        <f ca="1">+Opex_VE[[#This Row],[MG]]-Opex_VE[[#This Row],[Opex]]</f>
        <v>0</v>
      </c>
      <c r="L357" s="156">
        <f>+VLOOKUP($A357,Opex!$C:$Z,N$1,1)</f>
        <v>55000</v>
      </c>
      <c r="M357" s="157">
        <f ca="1">+Opex_VE[[#This Row],[Opex]]</f>
        <v>0</v>
      </c>
      <c r="N357" s="156">
        <f t="shared" si="22"/>
        <v>294635</v>
      </c>
      <c r="O357" s="156">
        <f>+VLOOKUP($A357,Opex!$C:$Z,Q$1,1)</f>
        <v>4000</v>
      </c>
      <c r="P357" s="156">
        <f t="shared" si="23"/>
        <v>290635</v>
      </c>
      <c r="Q357" s="156">
        <f>+VLOOKUP($A357,Opex!$C:$Z,R$1,1)</f>
        <v>10635</v>
      </c>
      <c r="R357" s="157">
        <f>+SUM(Opex_VE[[#This Row],[Cajero]:[Domiciliario]])</f>
        <v>140000</v>
      </c>
      <c r="S357" s="156">
        <v>70000</v>
      </c>
      <c r="T357" s="156">
        <v>70000</v>
      </c>
      <c r="U357" s="156">
        <v>0</v>
      </c>
      <c r="V357"/>
    </row>
    <row r="358" spans="1:22" x14ac:dyDescent="0.2">
      <c r="A358" s="153">
        <v>46421</v>
      </c>
      <c r="B358" s="3">
        <f t="shared" si="25"/>
        <v>50</v>
      </c>
      <c r="C358" s="3" t="str">
        <f>+TEXT(Opex_VE[[#This Row],[Fecha]],"ddd")</f>
        <v>mié</v>
      </c>
      <c r="E358" s="14" t="s">
        <v>112</v>
      </c>
      <c r="F358" s="172">
        <f>IFERROR(VLOOKUP(Opex_VE[[#This Row],[Fecha]],Historia!A:B,2,0),_xlfn.XLOOKUP(Opex_VE[[#This Row],[dia]],Forecast!H:H,Forecast!I:I))</f>
        <v>366750</v>
      </c>
      <c r="G358" s="172">
        <f>IFERROR(VLOOKUP(Opex_VE[[#This Row],[Fecha]],Historia!A:C,3,0),_xlfn.XLOOKUP(Opex_VE[[#This Row],[dia]],Forecast!H:H,Forecast!J:J))</f>
        <v>146700</v>
      </c>
      <c r="H358" s="186">
        <f ca="1">+Opex_VE[[#This Row],[MG]]-Opex_VE[[#This Row],[Opex]]</f>
        <v>-74678.966666666674</v>
      </c>
      <c r="I358" s="172" t="str">
        <f>IFERROR(VLOOKUP(Opex_VE[[#This Row],[Fecha]],Historia!A:D,4,0),"Forecast")</f>
        <v>Forecast</v>
      </c>
      <c r="J358" s="161">
        <f t="shared" ca="1" si="24"/>
        <v>553447.41666666663</v>
      </c>
      <c r="K358" s="157">
        <f ca="1">+Opex_VE[[#This Row],[MG]]-Opex_VE[[#This Row],[Opex]]</f>
        <v>0</v>
      </c>
      <c r="L358" s="156">
        <f>+VLOOKUP($A358,Opex!$C:$Z,N$1,1)</f>
        <v>55000</v>
      </c>
      <c r="M358" s="157">
        <f ca="1">+Opex_VE[[#This Row],[Opex]]</f>
        <v>0</v>
      </c>
      <c r="N358" s="156">
        <f t="shared" si="22"/>
        <v>294635</v>
      </c>
      <c r="O358" s="156">
        <f>+VLOOKUP($A358,Opex!$C:$Z,Q$1,1)</f>
        <v>4000</v>
      </c>
      <c r="P358" s="156">
        <f t="shared" si="23"/>
        <v>290635</v>
      </c>
      <c r="Q358" s="156">
        <f>+VLOOKUP($A358,Opex!$C:$Z,R$1,1)</f>
        <v>10635</v>
      </c>
      <c r="R358" s="157">
        <f>+SUM(Opex_VE[[#This Row],[Cajero]:[Domiciliario]])</f>
        <v>140000</v>
      </c>
      <c r="S358" s="156">
        <v>70000</v>
      </c>
      <c r="T358" s="156">
        <v>70000</v>
      </c>
      <c r="U358" s="156">
        <v>0</v>
      </c>
      <c r="V358"/>
    </row>
    <row r="359" spans="1:22" x14ac:dyDescent="0.2">
      <c r="A359" s="153">
        <v>46422</v>
      </c>
      <c r="B359" s="3">
        <f t="shared" si="25"/>
        <v>50</v>
      </c>
      <c r="C359" s="3" t="str">
        <f>+TEXT(Opex_VE[[#This Row],[Fecha]],"ddd")</f>
        <v>jue</v>
      </c>
      <c r="E359" s="14" t="s">
        <v>112</v>
      </c>
      <c r="F359" s="172">
        <f>IFERROR(VLOOKUP(Opex_VE[[#This Row],[Fecha]],Historia!A:B,2,0),_xlfn.XLOOKUP(Opex_VE[[#This Row],[dia]],Forecast!H:H,Forecast!I:I))</f>
        <v>234000</v>
      </c>
      <c r="G359" s="172">
        <f>IFERROR(VLOOKUP(Opex_VE[[#This Row],[Fecha]],Historia!A:C,3,0),_xlfn.XLOOKUP(Opex_VE[[#This Row],[dia]],Forecast!H:H,Forecast!J:J))</f>
        <v>93600</v>
      </c>
      <c r="H359" s="186">
        <f ca="1">+Opex_VE[[#This Row],[MG]]-Opex_VE[[#This Row],[Opex]]</f>
        <v>-127778.96666666667</v>
      </c>
      <c r="I359" s="172" t="str">
        <f>IFERROR(VLOOKUP(Opex_VE[[#This Row],[Fecha]],Historia!A:D,4,0),"Forecast")</f>
        <v>Forecast</v>
      </c>
      <c r="J359" s="161">
        <f t="shared" ca="1" si="24"/>
        <v>553447.41666666663</v>
      </c>
      <c r="K359" s="157">
        <f ca="1">+Opex_VE[[#This Row],[MG]]-Opex_VE[[#This Row],[Opex]]</f>
        <v>0</v>
      </c>
      <c r="L359" s="156">
        <f>+VLOOKUP($A359,Opex!$C:$Z,N$1,1)</f>
        <v>55000</v>
      </c>
      <c r="M359" s="157">
        <f ca="1">+Opex_VE[[#This Row],[Opex]]</f>
        <v>0</v>
      </c>
      <c r="N359" s="156">
        <f t="shared" si="22"/>
        <v>294635</v>
      </c>
      <c r="O359" s="156">
        <f>+VLOOKUP($A359,Opex!$C:$Z,Q$1,1)</f>
        <v>4000</v>
      </c>
      <c r="P359" s="156">
        <f t="shared" si="23"/>
        <v>290635</v>
      </c>
      <c r="Q359" s="156">
        <f>+VLOOKUP($A359,Opex!$C:$Z,R$1,1)</f>
        <v>10635</v>
      </c>
      <c r="R359" s="157">
        <f>+SUM(Opex_VE[[#This Row],[Cajero]:[Domiciliario]])</f>
        <v>140000</v>
      </c>
      <c r="S359" s="156">
        <v>70000</v>
      </c>
      <c r="T359" s="156">
        <v>70000</v>
      </c>
      <c r="U359" s="156">
        <v>0</v>
      </c>
      <c r="V359"/>
    </row>
    <row r="360" spans="1:22" x14ac:dyDescent="0.2">
      <c r="A360" s="153">
        <v>46423</v>
      </c>
      <c r="B360" s="3">
        <f t="shared" si="25"/>
        <v>50</v>
      </c>
      <c r="C360" s="3" t="str">
        <f>+TEXT(Opex_VE[[#This Row],[Fecha]],"ddd")</f>
        <v>vie</v>
      </c>
      <c r="E360" s="14" t="s">
        <v>217</v>
      </c>
      <c r="F360" s="172">
        <f>IFERROR(VLOOKUP(Opex_VE[[#This Row],[Fecha]],Historia!A:B,2,0),_xlfn.XLOOKUP(Opex_VE[[#This Row],[dia]],Forecast!H:H,Forecast!I:I))</f>
        <v>248000</v>
      </c>
      <c r="G360" s="172">
        <f>IFERROR(VLOOKUP(Opex_VE[[#This Row],[Fecha]],Historia!A:C,3,0),_xlfn.XLOOKUP(Opex_VE[[#This Row],[dia]],Forecast!H:H,Forecast!J:J))</f>
        <v>99200</v>
      </c>
      <c r="H360" s="186">
        <f ca="1">+Opex_VE[[#This Row],[MG]]-Opex_VE[[#This Row],[Opex]]</f>
        <v>-122178.96666666667</v>
      </c>
      <c r="I360" s="172" t="str">
        <f>IFERROR(VLOOKUP(Opex_VE[[#This Row],[Fecha]],Historia!A:D,4,0),"Forecast")</f>
        <v>Forecast</v>
      </c>
      <c r="J360" s="161">
        <f t="shared" ca="1" si="24"/>
        <v>553447.41666666663</v>
      </c>
      <c r="K360" s="157">
        <f ca="1">+Opex_VE[[#This Row],[MG]]-Opex_VE[[#This Row],[Opex]]</f>
        <v>0</v>
      </c>
      <c r="L360" s="156">
        <f>+VLOOKUP($A360,Opex!$C:$Z,N$1,1)</f>
        <v>55000</v>
      </c>
      <c r="M360" s="157">
        <f ca="1">+Opex_VE[[#This Row],[Opex]]</f>
        <v>0</v>
      </c>
      <c r="N360" s="156">
        <f t="shared" si="22"/>
        <v>294635</v>
      </c>
      <c r="O360" s="156">
        <f>+VLOOKUP($A360,Opex!$C:$Z,Q$1,1)</f>
        <v>4000</v>
      </c>
      <c r="P360" s="156">
        <f t="shared" si="23"/>
        <v>290635</v>
      </c>
      <c r="Q360" s="156">
        <f>+VLOOKUP($A360,Opex!$C:$Z,R$1,1)</f>
        <v>10635</v>
      </c>
      <c r="R360" s="157">
        <f>+SUM(Opex_VE[[#This Row],[Cajero]:[Domiciliario]])</f>
        <v>140000</v>
      </c>
      <c r="S360" s="156">
        <v>70000</v>
      </c>
      <c r="T360" s="156">
        <v>70000</v>
      </c>
      <c r="U360" s="156">
        <v>0</v>
      </c>
      <c r="V360"/>
    </row>
    <row r="361" spans="1:22" x14ac:dyDescent="0.2">
      <c r="A361" s="153">
        <v>46424</v>
      </c>
      <c r="B361" s="3">
        <f t="shared" si="25"/>
        <v>50</v>
      </c>
      <c r="C361" s="3" t="str">
        <f>+TEXT(Opex_VE[[#This Row],[Fecha]],"ddd")</f>
        <v>sáb</v>
      </c>
      <c r="E361" s="14" t="s">
        <v>113</v>
      </c>
      <c r="F361" s="172">
        <f>IFERROR(VLOOKUP(Opex_VE[[#This Row],[Fecha]],Historia!A:B,2,0),_xlfn.XLOOKUP(Opex_VE[[#This Row],[dia]],Forecast!H:H,Forecast!I:I))</f>
        <v>320800</v>
      </c>
      <c r="G361" s="172">
        <f>IFERROR(VLOOKUP(Opex_VE[[#This Row],[Fecha]],Historia!A:C,3,0),_xlfn.XLOOKUP(Opex_VE[[#This Row],[dia]],Forecast!H:H,Forecast!J:J))</f>
        <v>128320</v>
      </c>
      <c r="H361" s="186">
        <f ca="1">+Opex_VE[[#This Row],[MG]]-Opex_VE[[#This Row],[Opex]]</f>
        <v>-93058.966666666674</v>
      </c>
      <c r="I361" s="172" t="str">
        <f>IFERROR(VLOOKUP(Opex_VE[[#This Row],[Fecha]],Historia!A:D,4,0),"Forecast")</f>
        <v>Forecast</v>
      </c>
      <c r="J361" s="161">
        <f t="shared" ca="1" si="24"/>
        <v>553447.41666666663</v>
      </c>
      <c r="K361" s="157">
        <f ca="1">+Opex_VE[[#This Row],[MG]]-Opex_VE[[#This Row],[Opex]]</f>
        <v>0</v>
      </c>
      <c r="L361" s="156">
        <f>+VLOOKUP($A361,Opex!$C:$Z,N$1,1)</f>
        <v>55000</v>
      </c>
      <c r="M361" s="157">
        <f ca="1">+Opex_VE[[#This Row],[Opex]]</f>
        <v>0</v>
      </c>
      <c r="N361" s="156">
        <f t="shared" si="22"/>
        <v>294635</v>
      </c>
      <c r="O361" s="156">
        <f>+VLOOKUP($A361,Opex!$C:$Z,Q$1,1)</f>
        <v>4000</v>
      </c>
      <c r="P361" s="156">
        <f t="shared" si="23"/>
        <v>290635</v>
      </c>
      <c r="Q361" s="156">
        <f>+VLOOKUP($A361,Opex!$C:$Z,R$1,1)</f>
        <v>10635</v>
      </c>
      <c r="R361" s="157">
        <f>+SUM(Opex_VE[[#This Row],[Cajero]:[Domiciliario]])</f>
        <v>140000</v>
      </c>
      <c r="S361" s="156">
        <v>70000</v>
      </c>
      <c r="T361" s="156">
        <v>70000</v>
      </c>
      <c r="U361" s="156">
        <v>0</v>
      </c>
      <c r="V361"/>
    </row>
    <row r="362" spans="1:22" x14ac:dyDescent="0.2">
      <c r="A362" s="153">
        <v>46425</v>
      </c>
      <c r="B362" s="3">
        <f t="shared" si="25"/>
        <v>50</v>
      </c>
      <c r="C362" s="3" t="str">
        <f>+TEXT(Opex_VE[[#This Row],[Fecha]],"ddd")</f>
        <v>dom</v>
      </c>
      <c r="E362" s="14" t="s">
        <v>145</v>
      </c>
      <c r="F362" s="172">
        <f>IFERROR(VLOOKUP(Opex_VE[[#This Row],[Fecha]],Historia!A:B,2,0),_xlfn.XLOOKUP(Opex_VE[[#This Row],[dia]],Forecast!H:H,Forecast!I:I))</f>
        <v>218500</v>
      </c>
      <c r="G362" s="172">
        <f>IFERROR(VLOOKUP(Opex_VE[[#This Row],[Fecha]],Historia!A:C,3,0),_xlfn.XLOOKUP(Opex_VE[[#This Row],[dia]],Forecast!H:H,Forecast!J:J))</f>
        <v>87400</v>
      </c>
      <c r="H362" s="186">
        <f ca="1">+Opex_VE[[#This Row],[MG]]-Opex_VE[[#This Row],[Opex]]</f>
        <v>-133978.96666666667</v>
      </c>
      <c r="I362" s="172" t="str">
        <f>IFERROR(VLOOKUP(Opex_VE[[#This Row],[Fecha]],Historia!A:D,4,0),"Forecast")</f>
        <v>Forecast</v>
      </c>
      <c r="J362" s="161">
        <f t="shared" ca="1" si="24"/>
        <v>553447.41666666663</v>
      </c>
      <c r="K362" s="157">
        <f ca="1">+Opex_VE[[#This Row],[MG]]-Opex_VE[[#This Row],[Opex]]</f>
        <v>0</v>
      </c>
      <c r="L362" s="156">
        <f>+VLOOKUP($A362,Opex!$C:$Z,N$1,1)</f>
        <v>55000</v>
      </c>
      <c r="M362" s="157">
        <f ca="1">+Opex_VE[[#This Row],[Opex]]</f>
        <v>0</v>
      </c>
      <c r="N362" s="156">
        <f t="shared" si="22"/>
        <v>294635</v>
      </c>
      <c r="O362" s="156">
        <f>+VLOOKUP($A362,Opex!$C:$Z,Q$1,1)</f>
        <v>4000</v>
      </c>
      <c r="P362" s="156">
        <f t="shared" si="23"/>
        <v>290635</v>
      </c>
      <c r="Q362" s="156">
        <f>+VLOOKUP($A362,Opex!$C:$Z,R$1,1)</f>
        <v>10635</v>
      </c>
      <c r="R362" s="157">
        <f>+SUM(Opex_VE[[#This Row],[Cajero]:[Domiciliario]])</f>
        <v>140000</v>
      </c>
      <c r="S362" s="156">
        <v>70000</v>
      </c>
      <c r="T362" s="156">
        <v>70000</v>
      </c>
      <c r="U362" s="156">
        <v>0</v>
      </c>
      <c r="V362"/>
    </row>
    <row r="363" spans="1:22" x14ac:dyDescent="0.2">
      <c r="A363" s="153">
        <v>46426</v>
      </c>
      <c r="B363" s="3">
        <f t="shared" ref="B363:B369" si="26">+B356+1</f>
        <v>51</v>
      </c>
      <c r="C363" s="3" t="str">
        <f>+TEXT(Opex_VE[[#This Row],[Fecha]],"ddd")</f>
        <v>lun</v>
      </c>
      <c r="E363" s="14" t="s">
        <v>112</v>
      </c>
      <c r="F363" s="172">
        <f>IFERROR(VLOOKUP(Opex_VE[[#This Row],[Fecha]],Historia!A:B,2,0),_xlfn.XLOOKUP(Opex_VE[[#This Row],[dia]],Forecast!H:H,Forecast!I:I))</f>
        <v>179200</v>
      </c>
      <c r="G363" s="172">
        <f>IFERROR(VLOOKUP(Opex_VE[[#This Row],[Fecha]],Historia!A:C,3,0),_xlfn.XLOOKUP(Opex_VE[[#This Row],[dia]],Forecast!H:H,Forecast!J:J))</f>
        <v>71680</v>
      </c>
      <c r="H363" s="186">
        <f ca="1">+Opex_VE[[#This Row],[MG]]-Opex_VE[[#This Row],[Opex]]</f>
        <v>-149698.96666666667</v>
      </c>
      <c r="I363" s="172" t="str">
        <f>IFERROR(VLOOKUP(Opex_VE[[#This Row],[Fecha]],Historia!A:D,4,0),"Forecast")</f>
        <v>Forecast</v>
      </c>
      <c r="J363" s="161">
        <f t="shared" ca="1" si="24"/>
        <v>553447.41666666663</v>
      </c>
      <c r="K363" s="157">
        <f ca="1">+Opex_VE[[#This Row],[MG]]-Opex_VE[[#This Row],[Opex]]</f>
        <v>0</v>
      </c>
      <c r="L363" s="156">
        <f>+VLOOKUP($A363,Opex!$C:$Z,N$1,1)</f>
        <v>55000</v>
      </c>
      <c r="M363" s="157">
        <f ca="1">+Opex_VE[[#This Row],[Opex]]</f>
        <v>0</v>
      </c>
      <c r="N363" s="156">
        <f t="shared" si="22"/>
        <v>294635</v>
      </c>
      <c r="O363" s="156">
        <f>+VLOOKUP($A363,Opex!$C:$Z,Q$1,1)</f>
        <v>4000</v>
      </c>
      <c r="P363" s="156">
        <f t="shared" si="23"/>
        <v>290635</v>
      </c>
      <c r="Q363" s="156">
        <f>+VLOOKUP($A363,Opex!$C:$Z,R$1,1)</f>
        <v>10635</v>
      </c>
      <c r="R363" s="157">
        <f>+SUM(Opex_VE[[#This Row],[Cajero]:[Domiciliario]])</f>
        <v>140000</v>
      </c>
      <c r="S363" s="156">
        <v>70000</v>
      </c>
      <c r="T363" s="156">
        <v>70000</v>
      </c>
      <c r="U363" s="156">
        <v>0</v>
      </c>
      <c r="V363"/>
    </row>
    <row r="364" spans="1:22" x14ac:dyDescent="0.2">
      <c r="A364" s="153">
        <v>46427</v>
      </c>
      <c r="B364" s="3">
        <f t="shared" si="26"/>
        <v>51</v>
      </c>
      <c r="C364" s="3" t="str">
        <f>+TEXT(Opex_VE[[#This Row],[Fecha]],"ddd")</f>
        <v>mar</v>
      </c>
      <c r="E364" s="14" t="s">
        <v>112</v>
      </c>
      <c r="F364" s="172">
        <f>IFERROR(VLOOKUP(Opex_VE[[#This Row],[Fecha]],Historia!A:B,2,0),_xlfn.XLOOKUP(Opex_VE[[#This Row],[dia]],Forecast!H:H,Forecast!I:I))</f>
        <v>195000</v>
      </c>
      <c r="G364" s="172">
        <f>IFERROR(VLOOKUP(Opex_VE[[#This Row],[Fecha]],Historia!A:C,3,0),_xlfn.XLOOKUP(Opex_VE[[#This Row],[dia]],Forecast!H:H,Forecast!J:J))</f>
        <v>78000</v>
      </c>
      <c r="H364" s="186">
        <f ca="1">+Opex_VE[[#This Row],[MG]]-Opex_VE[[#This Row],[Opex]]</f>
        <v>-143378.96666666667</v>
      </c>
      <c r="I364" s="172" t="str">
        <f>IFERROR(VLOOKUP(Opex_VE[[#This Row],[Fecha]],Historia!A:D,4,0),"Forecast")</f>
        <v>Forecast</v>
      </c>
      <c r="J364" s="161">
        <f t="shared" ca="1" si="24"/>
        <v>553447.41666666663</v>
      </c>
      <c r="K364" s="157">
        <f ca="1">+Opex_VE[[#This Row],[MG]]-Opex_VE[[#This Row],[Opex]]</f>
        <v>0</v>
      </c>
      <c r="L364" s="156">
        <f>+VLOOKUP($A364,Opex!$C:$Z,N$1,1)</f>
        <v>55000</v>
      </c>
      <c r="M364" s="157">
        <f ca="1">+Opex_VE[[#This Row],[Opex]]</f>
        <v>0</v>
      </c>
      <c r="N364" s="156">
        <f t="shared" si="22"/>
        <v>294635</v>
      </c>
      <c r="O364" s="156">
        <f>+VLOOKUP($A364,Opex!$C:$Z,Q$1,1)</f>
        <v>4000</v>
      </c>
      <c r="P364" s="156">
        <f t="shared" si="23"/>
        <v>290635</v>
      </c>
      <c r="Q364" s="156">
        <f>+VLOOKUP($A364,Opex!$C:$Z,R$1,1)</f>
        <v>10635</v>
      </c>
      <c r="R364" s="157">
        <f>+SUM(Opex_VE[[#This Row],[Cajero]:[Domiciliario]])</f>
        <v>140000</v>
      </c>
      <c r="S364" s="156">
        <v>70000</v>
      </c>
      <c r="T364" s="156">
        <v>70000</v>
      </c>
      <c r="U364" s="156">
        <v>0</v>
      </c>
      <c r="V364"/>
    </row>
    <row r="365" spans="1:22" x14ac:dyDescent="0.2">
      <c r="A365" s="153">
        <v>46428</v>
      </c>
      <c r="B365" s="3">
        <f t="shared" si="26"/>
        <v>51</v>
      </c>
      <c r="C365" s="3" t="str">
        <f>+TEXT(Opex_VE[[#This Row],[Fecha]],"ddd")</f>
        <v>mié</v>
      </c>
      <c r="E365" s="14" t="s">
        <v>112</v>
      </c>
      <c r="F365" s="172">
        <f>IFERROR(VLOOKUP(Opex_VE[[#This Row],[Fecha]],Historia!A:B,2,0),_xlfn.XLOOKUP(Opex_VE[[#This Row],[dia]],Forecast!H:H,Forecast!I:I))</f>
        <v>366750</v>
      </c>
      <c r="G365" s="172">
        <f>IFERROR(VLOOKUP(Opex_VE[[#This Row],[Fecha]],Historia!A:C,3,0),_xlfn.XLOOKUP(Opex_VE[[#This Row],[dia]],Forecast!H:H,Forecast!J:J))</f>
        <v>146700</v>
      </c>
      <c r="H365" s="186">
        <f ca="1">+Opex_VE[[#This Row],[MG]]-Opex_VE[[#This Row],[Opex]]</f>
        <v>-74678.966666666674</v>
      </c>
      <c r="I365" s="172" t="str">
        <f>IFERROR(VLOOKUP(Opex_VE[[#This Row],[Fecha]],Historia!A:D,4,0),"Forecast")</f>
        <v>Forecast</v>
      </c>
      <c r="J365" s="161">
        <f t="shared" ca="1" si="24"/>
        <v>553447.41666666663</v>
      </c>
      <c r="K365" s="157">
        <f ca="1">+Opex_VE[[#This Row],[MG]]-Opex_VE[[#This Row],[Opex]]</f>
        <v>0</v>
      </c>
      <c r="L365" s="156">
        <f>+VLOOKUP($A365,Opex!$C:$Z,N$1,1)</f>
        <v>55000</v>
      </c>
      <c r="M365" s="157">
        <f ca="1">+Opex_VE[[#This Row],[Opex]]</f>
        <v>0</v>
      </c>
      <c r="N365" s="156">
        <f t="shared" si="22"/>
        <v>294635</v>
      </c>
      <c r="O365" s="156">
        <f>+VLOOKUP($A365,Opex!$C:$Z,Q$1,1)</f>
        <v>4000</v>
      </c>
      <c r="P365" s="156">
        <f t="shared" si="23"/>
        <v>290635</v>
      </c>
      <c r="Q365" s="156">
        <f>+VLOOKUP($A365,Opex!$C:$Z,R$1,1)</f>
        <v>10635</v>
      </c>
      <c r="R365" s="157">
        <f>+SUM(Opex_VE[[#This Row],[Cajero]:[Domiciliario]])</f>
        <v>140000</v>
      </c>
      <c r="S365" s="156">
        <v>70000</v>
      </c>
      <c r="T365" s="156">
        <v>70000</v>
      </c>
      <c r="U365" s="156">
        <v>0</v>
      </c>
      <c r="V365"/>
    </row>
    <row r="366" spans="1:22" x14ac:dyDescent="0.2">
      <c r="A366" s="153">
        <v>46429</v>
      </c>
      <c r="B366" s="3">
        <f t="shared" si="26"/>
        <v>51</v>
      </c>
      <c r="C366" s="3" t="str">
        <f>+TEXT(Opex_VE[[#This Row],[Fecha]],"ddd")</f>
        <v>jue</v>
      </c>
      <c r="E366" s="14" t="s">
        <v>112</v>
      </c>
      <c r="F366" s="172">
        <f>IFERROR(VLOOKUP(Opex_VE[[#This Row],[Fecha]],Historia!A:B,2,0),_xlfn.XLOOKUP(Opex_VE[[#This Row],[dia]],Forecast!H:H,Forecast!I:I))</f>
        <v>234000</v>
      </c>
      <c r="G366" s="172">
        <f>IFERROR(VLOOKUP(Opex_VE[[#This Row],[Fecha]],Historia!A:C,3,0),_xlfn.XLOOKUP(Opex_VE[[#This Row],[dia]],Forecast!H:H,Forecast!J:J))</f>
        <v>93600</v>
      </c>
      <c r="H366" s="186">
        <f ca="1">+Opex_VE[[#This Row],[MG]]-Opex_VE[[#This Row],[Opex]]</f>
        <v>-127778.96666666667</v>
      </c>
      <c r="I366" s="172" t="str">
        <f>IFERROR(VLOOKUP(Opex_VE[[#This Row],[Fecha]],Historia!A:D,4,0),"Forecast")</f>
        <v>Forecast</v>
      </c>
      <c r="J366" s="161">
        <f t="shared" ca="1" si="24"/>
        <v>553447.41666666663</v>
      </c>
      <c r="K366" s="157">
        <f ca="1">+Opex_VE[[#This Row],[MG]]-Opex_VE[[#This Row],[Opex]]</f>
        <v>0</v>
      </c>
      <c r="L366" s="156">
        <f>+VLOOKUP($A366,Opex!$C:$Z,N$1,1)</f>
        <v>55000</v>
      </c>
      <c r="M366" s="157">
        <f ca="1">+Opex_VE[[#This Row],[Opex]]</f>
        <v>0</v>
      </c>
      <c r="N366" s="156">
        <f t="shared" si="22"/>
        <v>294635</v>
      </c>
      <c r="O366" s="156">
        <f>+VLOOKUP($A366,Opex!$C:$Z,Q$1,1)</f>
        <v>4000</v>
      </c>
      <c r="P366" s="156">
        <f t="shared" si="23"/>
        <v>290635</v>
      </c>
      <c r="Q366" s="156">
        <f>+VLOOKUP($A366,Opex!$C:$Z,R$1,1)</f>
        <v>10635</v>
      </c>
      <c r="R366" s="157">
        <f>+SUM(Opex_VE[[#This Row],[Cajero]:[Domiciliario]])</f>
        <v>140000</v>
      </c>
      <c r="S366" s="156">
        <v>70000</v>
      </c>
      <c r="T366" s="156">
        <v>70000</v>
      </c>
      <c r="U366" s="156">
        <v>0</v>
      </c>
      <c r="V366"/>
    </row>
    <row r="367" spans="1:22" x14ac:dyDescent="0.2">
      <c r="A367" s="153">
        <v>46430</v>
      </c>
      <c r="B367" s="3">
        <f t="shared" si="26"/>
        <v>51</v>
      </c>
      <c r="C367" s="3" t="str">
        <f>+TEXT(Opex_VE[[#This Row],[Fecha]],"ddd")</f>
        <v>vie</v>
      </c>
      <c r="E367" s="14" t="s">
        <v>217</v>
      </c>
      <c r="F367" s="172">
        <f>IFERROR(VLOOKUP(Opex_VE[[#This Row],[Fecha]],Historia!A:B,2,0),_xlfn.XLOOKUP(Opex_VE[[#This Row],[dia]],Forecast!H:H,Forecast!I:I))</f>
        <v>248000</v>
      </c>
      <c r="G367" s="172">
        <f>IFERROR(VLOOKUP(Opex_VE[[#This Row],[Fecha]],Historia!A:C,3,0),_xlfn.XLOOKUP(Opex_VE[[#This Row],[dia]],Forecast!H:H,Forecast!J:J))</f>
        <v>99200</v>
      </c>
      <c r="H367" s="186">
        <f ca="1">+Opex_VE[[#This Row],[MG]]-Opex_VE[[#This Row],[Opex]]</f>
        <v>-122178.96666666667</v>
      </c>
      <c r="I367" s="172" t="str">
        <f>IFERROR(VLOOKUP(Opex_VE[[#This Row],[Fecha]],Historia!A:D,4,0),"Forecast")</f>
        <v>Forecast</v>
      </c>
      <c r="J367" s="161">
        <f t="shared" ca="1" si="24"/>
        <v>553447.41666666663</v>
      </c>
      <c r="K367" s="157">
        <f ca="1">+Opex_VE[[#This Row],[MG]]-Opex_VE[[#This Row],[Opex]]</f>
        <v>0</v>
      </c>
      <c r="L367" s="156">
        <f>+VLOOKUP($A367,Opex!$C:$Z,N$1,1)</f>
        <v>55000</v>
      </c>
      <c r="M367" s="157">
        <f ca="1">+Opex_VE[[#This Row],[Opex]]</f>
        <v>0</v>
      </c>
      <c r="N367" s="156">
        <f t="shared" si="22"/>
        <v>294635</v>
      </c>
      <c r="O367" s="156">
        <f>+VLOOKUP($A367,Opex!$C:$Z,Q$1,1)</f>
        <v>4000</v>
      </c>
      <c r="P367" s="156">
        <f t="shared" si="23"/>
        <v>290635</v>
      </c>
      <c r="Q367" s="156">
        <f>+VLOOKUP($A367,Opex!$C:$Z,R$1,1)</f>
        <v>10635</v>
      </c>
      <c r="R367" s="157">
        <f>+SUM(Opex_VE[[#This Row],[Cajero]:[Domiciliario]])</f>
        <v>140000</v>
      </c>
      <c r="S367" s="156">
        <v>70000</v>
      </c>
      <c r="T367" s="156">
        <v>70000</v>
      </c>
      <c r="U367" s="156">
        <v>0</v>
      </c>
      <c r="V367"/>
    </row>
    <row r="368" spans="1:22" x14ac:dyDescent="0.2">
      <c r="A368" s="153">
        <v>46431</v>
      </c>
      <c r="B368" s="3">
        <f t="shared" si="26"/>
        <v>51</v>
      </c>
      <c r="C368" s="3" t="str">
        <f>+TEXT(Opex_VE[[#This Row],[Fecha]],"ddd")</f>
        <v>sáb</v>
      </c>
      <c r="E368" s="14" t="s">
        <v>113</v>
      </c>
      <c r="F368" s="172">
        <f>IFERROR(VLOOKUP(Opex_VE[[#This Row],[Fecha]],Historia!A:B,2,0),_xlfn.XLOOKUP(Opex_VE[[#This Row],[dia]],Forecast!H:H,Forecast!I:I))</f>
        <v>320800</v>
      </c>
      <c r="G368" s="172">
        <f>IFERROR(VLOOKUP(Opex_VE[[#This Row],[Fecha]],Historia!A:C,3,0),_xlfn.XLOOKUP(Opex_VE[[#This Row],[dia]],Forecast!H:H,Forecast!J:J))</f>
        <v>128320</v>
      </c>
      <c r="H368" s="186">
        <f ca="1">+Opex_VE[[#This Row],[MG]]-Opex_VE[[#This Row],[Opex]]</f>
        <v>-93058.966666666674</v>
      </c>
      <c r="I368" s="172" t="str">
        <f>IFERROR(VLOOKUP(Opex_VE[[#This Row],[Fecha]],Historia!A:D,4,0),"Forecast")</f>
        <v>Forecast</v>
      </c>
      <c r="J368" s="161">
        <f t="shared" ca="1" si="24"/>
        <v>553447.41666666663</v>
      </c>
      <c r="K368" s="157">
        <f ca="1">+Opex_VE[[#This Row],[MG]]-Opex_VE[[#This Row],[Opex]]</f>
        <v>0</v>
      </c>
      <c r="L368" s="156">
        <f>+VLOOKUP($A368,Opex!$C:$Z,N$1,1)</f>
        <v>55000</v>
      </c>
      <c r="M368" s="157">
        <f ca="1">+Opex_VE[[#This Row],[Opex]]</f>
        <v>0</v>
      </c>
      <c r="N368" s="156">
        <f t="shared" si="22"/>
        <v>294635</v>
      </c>
      <c r="O368" s="156">
        <f>+VLOOKUP($A368,Opex!$C:$Z,Q$1,1)</f>
        <v>4000</v>
      </c>
      <c r="P368" s="156">
        <f t="shared" si="23"/>
        <v>290635</v>
      </c>
      <c r="Q368" s="156">
        <f>+VLOOKUP($A368,Opex!$C:$Z,R$1,1)</f>
        <v>10635</v>
      </c>
      <c r="R368" s="157">
        <f>+SUM(Opex_VE[[#This Row],[Cajero]:[Domiciliario]])</f>
        <v>140000</v>
      </c>
      <c r="S368" s="156">
        <v>70000</v>
      </c>
      <c r="T368" s="156">
        <v>70000</v>
      </c>
      <c r="U368" s="156">
        <v>0</v>
      </c>
      <c r="V368"/>
    </row>
    <row r="369" spans="1:22" x14ac:dyDescent="0.2">
      <c r="A369" s="153">
        <v>46432</v>
      </c>
      <c r="B369" s="3">
        <f t="shared" si="26"/>
        <v>51</v>
      </c>
      <c r="C369" s="3" t="str">
        <f>+TEXT(Opex_VE[[#This Row],[Fecha]],"ddd")</f>
        <v>dom</v>
      </c>
      <c r="E369" s="14" t="s">
        <v>145</v>
      </c>
      <c r="F369" s="172">
        <f>IFERROR(VLOOKUP(Opex_VE[[#This Row],[Fecha]],Historia!A:B,2,0),_xlfn.XLOOKUP(Opex_VE[[#This Row],[dia]],Forecast!H:H,Forecast!I:I))</f>
        <v>218500</v>
      </c>
      <c r="G369" s="172">
        <f>IFERROR(VLOOKUP(Opex_VE[[#This Row],[Fecha]],Historia!A:C,3,0),_xlfn.XLOOKUP(Opex_VE[[#This Row],[dia]],Forecast!H:H,Forecast!J:J))</f>
        <v>87400</v>
      </c>
      <c r="H369" s="186">
        <f ca="1">+Opex_VE[[#This Row],[MG]]-Opex_VE[[#This Row],[Opex]]</f>
        <v>-133978.96666666667</v>
      </c>
      <c r="I369" s="172" t="str">
        <f>IFERROR(VLOOKUP(Opex_VE[[#This Row],[Fecha]],Historia!A:D,4,0),"Forecast")</f>
        <v>Forecast</v>
      </c>
      <c r="J369" s="161">
        <f t="shared" ca="1" si="24"/>
        <v>553447.41666666663</v>
      </c>
      <c r="K369" s="157">
        <f ca="1">+Opex_VE[[#This Row],[MG]]-Opex_VE[[#This Row],[Opex]]</f>
        <v>0</v>
      </c>
      <c r="L369" s="156">
        <f>+VLOOKUP($A369,Opex!$C:$Z,N$1,1)</f>
        <v>55000</v>
      </c>
      <c r="M369" s="157">
        <f ca="1">+Opex_VE[[#This Row],[Opex]]</f>
        <v>0</v>
      </c>
      <c r="N369" s="156">
        <f t="shared" si="22"/>
        <v>294635</v>
      </c>
      <c r="O369" s="156">
        <f>+VLOOKUP($A369,Opex!$C:$Z,Q$1,1)</f>
        <v>4000</v>
      </c>
      <c r="P369" s="156">
        <f t="shared" si="23"/>
        <v>290635</v>
      </c>
      <c r="Q369" s="156">
        <f>+VLOOKUP($A369,Opex!$C:$Z,R$1,1)</f>
        <v>10635</v>
      </c>
      <c r="R369" s="157">
        <f>+SUM(Opex_VE[[#This Row],[Cajero]:[Domiciliario]])</f>
        <v>140000</v>
      </c>
      <c r="S369" s="156">
        <v>70000</v>
      </c>
      <c r="T369" s="156">
        <v>70000</v>
      </c>
      <c r="U369" s="156">
        <v>0</v>
      </c>
      <c r="V369"/>
    </row>
  </sheetData>
  <phoneticPr fontId="15" type="noConversion"/>
  <conditionalFormatting sqref="E3:E369">
    <cfRule type="containsText" dxfId="82" priority="5" operator="containsText" text="E) Festivo">
      <formula>NOT(ISERROR(SEARCH("E) Festivo",E3)))</formula>
    </cfRule>
    <cfRule type="containsText" dxfId="81" priority="6" operator="containsText" text="B) Viernes">
      <formula>NOT(ISERROR(SEARCH("B) Viernes",E3)))</formula>
    </cfRule>
    <cfRule type="containsText" dxfId="80" priority="7" operator="containsText" text="D) Domingo">
      <formula>NOT(ISERROR(SEARCH("D) Domingo",E3)))</formula>
    </cfRule>
    <cfRule type="containsText" dxfId="79" priority="8" operator="containsText" text="C) Sábado">
      <formula>NOT(ISERROR(SEARCH("C) Sábado",E3)))</formula>
    </cfRule>
  </conditionalFormatting>
  <dataValidations count="1">
    <dataValidation type="list" allowBlank="1" showInputMessage="1" showErrorMessage="1" sqref="E3:E369" xr:uid="{00D7D4B4-CD90-4CA9-919A-E73CD5865402}">
      <formula1>"A) Día hábil,B) Viernes,C) Sábado,D) Domingo,E) Festivo"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42D73-6CF5-4CA1-8E00-F8FEBA11727B}">
  <sheetPr>
    <tabColor rgb="FFFFFFA3"/>
  </sheetPr>
  <dimension ref="A1:D150"/>
  <sheetViews>
    <sheetView workbookViewId="0">
      <selection activeCell="C5" sqref="C5"/>
    </sheetView>
  </sheetViews>
  <sheetFormatPr baseColWidth="10" defaultRowHeight="14.25" x14ac:dyDescent="0.2"/>
  <cols>
    <col min="1" max="1" width="15.375" bestFit="1" customWidth="1"/>
    <col min="2" max="2" width="12.75" bestFit="1" customWidth="1"/>
    <col min="3" max="3" width="10.875" bestFit="1" customWidth="1"/>
    <col min="4" max="4" width="17" bestFit="1" customWidth="1"/>
  </cols>
  <sheetData>
    <row r="1" spans="1:4" x14ac:dyDescent="0.2">
      <c r="A1" s="15" t="s">
        <v>202</v>
      </c>
      <c r="B1" t="s">
        <v>170</v>
      </c>
      <c r="C1" t="s">
        <v>225</v>
      </c>
    </row>
    <row r="2" spans="1:4" x14ac:dyDescent="0.2">
      <c r="A2" s="174">
        <v>46068</v>
      </c>
      <c r="B2" s="1">
        <v>0</v>
      </c>
      <c r="C2" s="1">
        <v>0</v>
      </c>
      <c r="D2" s="53" t="s">
        <v>134</v>
      </c>
    </row>
    <row r="3" spans="1:4" x14ac:dyDescent="0.2">
      <c r="A3" s="174">
        <v>46069</v>
      </c>
      <c r="B3" s="1">
        <v>0</v>
      </c>
      <c r="C3" s="1">
        <v>0</v>
      </c>
      <c r="D3" s="53" t="s">
        <v>134</v>
      </c>
    </row>
    <row r="4" spans="1:4" x14ac:dyDescent="0.2">
      <c r="A4" s="174">
        <v>46070</v>
      </c>
      <c r="B4" s="1">
        <v>0</v>
      </c>
      <c r="C4" s="1">
        <v>0</v>
      </c>
      <c r="D4" s="53" t="s">
        <v>134</v>
      </c>
    </row>
    <row r="5" spans="1:4" x14ac:dyDescent="0.2">
      <c r="A5" s="174">
        <v>46071</v>
      </c>
      <c r="B5" s="1">
        <v>0</v>
      </c>
      <c r="C5" s="1">
        <v>0</v>
      </c>
      <c r="D5" s="53" t="s">
        <v>134</v>
      </c>
    </row>
    <row r="6" spans="1:4" x14ac:dyDescent="0.2">
      <c r="A6" s="174">
        <v>46072</v>
      </c>
      <c r="B6" s="1">
        <v>0</v>
      </c>
      <c r="C6" s="1">
        <v>0</v>
      </c>
      <c r="D6" s="53" t="s">
        <v>134</v>
      </c>
    </row>
    <row r="7" spans="1:4" x14ac:dyDescent="0.2">
      <c r="A7" s="174">
        <v>46073</v>
      </c>
      <c r="B7" s="1">
        <v>0</v>
      </c>
      <c r="C7" s="1">
        <v>0</v>
      </c>
      <c r="D7" s="53" t="s">
        <v>134</v>
      </c>
    </row>
    <row r="8" spans="1:4" x14ac:dyDescent="0.2">
      <c r="A8" s="174">
        <v>46074</v>
      </c>
      <c r="B8" s="1">
        <v>0</v>
      </c>
      <c r="C8" s="1">
        <v>0</v>
      </c>
      <c r="D8" s="53" t="s">
        <v>134</v>
      </c>
    </row>
    <row r="9" spans="1:4" x14ac:dyDescent="0.2">
      <c r="A9" s="174">
        <v>46075</v>
      </c>
      <c r="B9" s="1">
        <v>0</v>
      </c>
      <c r="C9" s="1">
        <v>0</v>
      </c>
      <c r="D9" s="53" t="s">
        <v>134</v>
      </c>
    </row>
    <row r="10" spans="1:4" x14ac:dyDescent="0.2">
      <c r="A10" s="174">
        <v>46076</v>
      </c>
      <c r="B10" s="1">
        <v>224000</v>
      </c>
      <c r="C10" s="1">
        <v>89600</v>
      </c>
      <c r="D10" s="53" t="s">
        <v>134</v>
      </c>
    </row>
    <row r="11" spans="1:4" x14ac:dyDescent="0.2">
      <c r="A11" s="174">
        <v>46077</v>
      </c>
      <c r="B11" s="1">
        <v>221000</v>
      </c>
      <c r="C11" s="1">
        <v>88400</v>
      </c>
      <c r="D11" s="53" t="s">
        <v>134</v>
      </c>
    </row>
    <row r="12" spans="1:4" x14ac:dyDescent="0.2">
      <c r="A12" s="174">
        <v>46078</v>
      </c>
      <c r="B12" s="1">
        <v>390500</v>
      </c>
      <c r="C12" s="1">
        <v>156200</v>
      </c>
      <c r="D12" s="53" t="s">
        <v>134</v>
      </c>
    </row>
    <row r="13" spans="1:4" x14ac:dyDescent="0.2">
      <c r="A13" s="174">
        <v>46079</v>
      </c>
      <c r="B13" s="1">
        <v>209000</v>
      </c>
      <c r="C13" s="1">
        <v>83600</v>
      </c>
      <c r="D13" s="53" t="s">
        <v>134</v>
      </c>
    </row>
    <row r="14" spans="1:4" x14ac:dyDescent="0.2">
      <c r="A14" s="174">
        <v>46080</v>
      </c>
      <c r="B14" s="1">
        <v>248000</v>
      </c>
      <c r="C14" s="1">
        <v>99200</v>
      </c>
      <c r="D14" s="53" t="s">
        <v>134</v>
      </c>
    </row>
    <row r="15" spans="1:4" x14ac:dyDescent="0.2">
      <c r="A15" s="174">
        <v>46081</v>
      </c>
      <c r="B15" s="1">
        <v>503500</v>
      </c>
      <c r="C15" s="1">
        <v>201400</v>
      </c>
      <c r="D15" s="53" t="s">
        <v>134</v>
      </c>
    </row>
    <row r="16" spans="1:4" x14ac:dyDescent="0.2">
      <c r="A16" s="174">
        <v>46082</v>
      </c>
      <c r="B16" s="1">
        <v>0</v>
      </c>
      <c r="C16" s="1">
        <v>0</v>
      </c>
      <c r="D16" s="53" t="s">
        <v>134</v>
      </c>
    </row>
    <row r="17" spans="1:4" x14ac:dyDescent="0.2">
      <c r="A17" s="174">
        <v>46083</v>
      </c>
      <c r="B17" s="1">
        <v>60000</v>
      </c>
      <c r="C17" s="1">
        <v>24000</v>
      </c>
      <c r="D17" s="53" t="s">
        <v>134</v>
      </c>
    </row>
    <row r="18" spans="1:4" x14ac:dyDescent="0.2">
      <c r="A18" s="174">
        <v>46084</v>
      </c>
      <c r="B18" s="1">
        <v>169000</v>
      </c>
      <c r="C18" s="1">
        <v>67600</v>
      </c>
      <c r="D18" s="53" t="s">
        <v>134</v>
      </c>
    </row>
    <row r="19" spans="1:4" x14ac:dyDescent="0.2">
      <c r="A19" s="174">
        <v>46085</v>
      </c>
      <c r="B19" s="1">
        <v>343000</v>
      </c>
      <c r="C19" s="1">
        <v>137200</v>
      </c>
      <c r="D19" s="53" t="s">
        <v>134</v>
      </c>
    </row>
    <row r="20" spans="1:4" x14ac:dyDescent="0.2">
      <c r="A20" s="174">
        <v>46086</v>
      </c>
      <c r="B20" s="1">
        <v>259000</v>
      </c>
      <c r="C20" s="1">
        <v>103600</v>
      </c>
      <c r="D20" s="53" t="s">
        <v>134</v>
      </c>
    </row>
    <row r="21" spans="1:4" x14ac:dyDescent="0.2">
      <c r="A21" s="174">
        <v>46087</v>
      </c>
      <c r="B21" s="1">
        <v>0</v>
      </c>
      <c r="C21" s="1">
        <v>0</v>
      </c>
      <c r="D21" s="53" t="s">
        <v>134</v>
      </c>
    </row>
    <row r="22" spans="1:4" x14ac:dyDescent="0.2">
      <c r="A22" s="174">
        <v>46088</v>
      </c>
      <c r="B22" s="1">
        <v>298500</v>
      </c>
      <c r="C22" s="1">
        <v>119400</v>
      </c>
      <c r="D22" s="53" t="s">
        <v>134</v>
      </c>
    </row>
    <row r="23" spans="1:4" x14ac:dyDescent="0.2">
      <c r="A23" s="174">
        <v>46089</v>
      </c>
      <c r="B23" s="1">
        <v>218500</v>
      </c>
      <c r="C23" s="1">
        <v>87400</v>
      </c>
      <c r="D23" s="53" t="s">
        <v>134</v>
      </c>
    </row>
    <row r="24" spans="1:4" x14ac:dyDescent="0.2">
      <c r="D24" s="53" t="s">
        <v>134</v>
      </c>
    </row>
    <row r="25" spans="1:4" x14ac:dyDescent="0.2">
      <c r="D25" s="53" t="s">
        <v>134</v>
      </c>
    </row>
    <row r="26" spans="1:4" x14ac:dyDescent="0.2">
      <c r="D26" s="53" t="s">
        <v>134</v>
      </c>
    </row>
    <row r="27" spans="1:4" x14ac:dyDescent="0.2">
      <c r="D27" s="53" t="s">
        <v>134</v>
      </c>
    </row>
    <row r="28" spans="1:4" x14ac:dyDescent="0.2">
      <c r="D28" s="53" t="s">
        <v>134</v>
      </c>
    </row>
    <row r="29" spans="1:4" x14ac:dyDescent="0.2">
      <c r="D29" s="53" t="s">
        <v>134</v>
      </c>
    </row>
    <row r="30" spans="1:4" x14ac:dyDescent="0.2">
      <c r="D30" s="53" t="s">
        <v>134</v>
      </c>
    </row>
    <row r="31" spans="1:4" x14ac:dyDescent="0.2">
      <c r="D31" s="53" t="s">
        <v>134</v>
      </c>
    </row>
    <row r="32" spans="1:4" x14ac:dyDescent="0.2">
      <c r="D32" s="53" t="s">
        <v>134</v>
      </c>
    </row>
    <row r="33" spans="4:4" x14ac:dyDescent="0.2">
      <c r="D33" s="53" t="s">
        <v>134</v>
      </c>
    </row>
    <row r="34" spans="4:4" x14ac:dyDescent="0.2">
      <c r="D34" s="53" t="s">
        <v>134</v>
      </c>
    </row>
    <row r="35" spans="4:4" x14ac:dyDescent="0.2">
      <c r="D35" s="53" t="s">
        <v>134</v>
      </c>
    </row>
    <row r="36" spans="4:4" x14ac:dyDescent="0.2">
      <c r="D36" s="53" t="s">
        <v>134</v>
      </c>
    </row>
    <row r="37" spans="4:4" x14ac:dyDescent="0.2">
      <c r="D37" s="53" t="s">
        <v>134</v>
      </c>
    </row>
    <row r="38" spans="4:4" x14ac:dyDescent="0.2">
      <c r="D38" s="53" t="s">
        <v>134</v>
      </c>
    </row>
    <row r="39" spans="4:4" x14ac:dyDescent="0.2">
      <c r="D39" s="53" t="s">
        <v>134</v>
      </c>
    </row>
    <row r="40" spans="4:4" x14ac:dyDescent="0.2">
      <c r="D40" s="53" t="s">
        <v>134</v>
      </c>
    </row>
    <row r="41" spans="4:4" x14ac:dyDescent="0.2">
      <c r="D41" s="53" t="s">
        <v>134</v>
      </c>
    </row>
    <row r="42" spans="4:4" x14ac:dyDescent="0.2">
      <c r="D42" s="53" t="s">
        <v>134</v>
      </c>
    </row>
    <row r="43" spans="4:4" x14ac:dyDescent="0.2">
      <c r="D43" s="53" t="s">
        <v>134</v>
      </c>
    </row>
    <row r="44" spans="4:4" x14ac:dyDescent="0.2">
      <c r="D44" s="53" t="s">
        <v>134</v>
      </c>
    </row>
    <row r="45" spans="4:4" x14ac:dyDescent="0.2">
      <c r="D45" s="53" t="s">
        <v>134</v>
      </c>
    </row>
    <row r="46" spans="4:4" x14ac:dyDescent="0.2">
      <c r="D46" s="53" t="s">
        <v>134</v>
      </c>
    </row>
    <row r="47" spans="4:4" x14ac:dyDescent="0.2">
      <c r="D47" s="53" t="s">
        <v>134</v>
      </c>
    </row>
    <row r="48" spans="4:4" x14ac:dyDescent="0.2">
      <c r="D48" s="53" t="s">
        <v>134</v>
      </c>
    </row>
    <row r="49" spans="4:4" x14ac:dyDescent="0.2">
      <c r="D49" s="53" t="s">
        <v>134</v>
      </c>
    </row>
    <row r="50" spans="4:4" x14ac:dyDescent="0.2">
      <c r="D50" s="53" t="s">
        <v>134</v>
      </c>
    </row>
    <row r="51" spans="4:4" x14ac:dyDescent="0.2">
      <c r="D51" s="53" t="s">
        <v>134</v>
      </c>
    </row>
    <row r="52" spans="4:4" x14ac:dyDescent="0.2">
      <c r="D52" s="53" t="s">
        <v>134</v>
      </c>
    </row>
    <row r="53" spans="4:4" x14ac:dyDescent="0.2">
      <c r="D53" s="53" t="s">
        <v>134</v>
      </c>
    </row>
    <row r="54" spans="4:4" x14ac:dyDescent="0.2">
      <c r="D54" s="53" t="s">
        <v>134</v>
      </c>
    </row>
    <row r="55" spans="4:4" x14ac:dyDescent="0.2">
      <c r="D55" s="53" t="s">
        <v>134</v>
      </c>
    </row>
    <row r="56" spans="4:4" x14ac:dyDescent="0.2">
      <c r="D56" s="53" t="s">
        <v>134</v>
      </c>
    </row>
    <row r="57" spans="4:4" x14ac:dyDescent="0.2">
      <c r="D57" s="53" t="s">
        <v>134</v>
      </c>
    </row>
    <row r="58" spans="4:4" x14ac:dyDescent="0.2">
      <c r="D58" s="53" t="s">
        <v>134</v>
      </c>
    </row>
    <row r="59" spans="4:4" x14ac:dyDescent="0.2">
      <c r="D59" s="53" t="s">
        <v>134</v>
      </c>
    </row>
    <row r="60" spans="4:4" x14ac:dyDescent="0.2">
      <c r="D60" s="53" t="s">
        <v>134</v>
      </c>
    </row>
    <row r="61" spans="4:4" x14ac:dyDescent="0.2">
      <c r="D61" s="53" t="s">
        <v>134</v>
      </c>
    </row>
    <row r="62" spans="4:4" x14ac:dyDescent="0.2">
      <c r="D62" s="53" t="s">
        <v>134</v>
      </c>
    </row>
    <row r="63" spans="4:4" x14ac:dyDescent="0.2">
      <c r="D63" s="53" t="s">
        <v>134</v>
      </c>
    </row>
    <row r="64" spans="4:4" x14ac:dyDescent="0.2">
      <c r="D64" s="53" t="s">
        <v>134</v>
      </c>
    </row>
    <row r="65" spans="4:4" x14ac:dyDescent="0.2">
      <c r="D65" s="53" t="s">
        <v>134</v>
      </c>
    </row>
    <row r="66" spans="4:4" x14ac:dyDescent="0.2">
      <c r="D66" s="53" t="s">
        <v>134</v>
      </c>
    </row>
    <row r="67" spans="4:4" x14ac:dyDescent="0.2">
      <c r="D67" s="53" t="s">
        <v>134</v>
      </c>
    </row>
    <row r="68" spans="4:4" x14ac:dyDescent="0.2">
      <c r="D68" s="53" t="s">
        <v>134</v>
      </c>
    </row>
    <row r="69" spans="4:4" x14ac:dyDescent="0.2">
      <c r="D69" s="53" t="s">
        <v>134</v>
      </c>
    </row>
    <row r="70" spans="4:4" x14ac:dyDescent="0.2">
      <c r="D70" s="53" t="s">
        <v>134</v>
      </c>
    </row>
    <row r="71" spans="4:4" x14ac:dyDescent="0.2">
      <c r="D71" s="53" t="s">
        <v>134</v>
      </c>
    </row>
    <row r="72" spans="4:4" x14ac:dyDescent="0.2">
      <c r="D72" s="53" t="s">
        <v>134</v>
      </c>
    </row>
    <row r="73" spans="4:4" x14ac:dyDescent="0.2">
      <c r="D73" s="53" t="s">
        <v>134</v>
      </c>
    </row>
    <row r="74" spans="4:4" x14ac:dyDescent="0.2">
      <c r="D74" s="53" t="s">
        <v>134</v>
      </c>
    </row>
    <row r="75" spans="4:4" x14ac:dyDescent="0.2">
      <c r="D75" s="53" t="s">
        <v>134</v>
      </c>
    </row>
    <row r="76" spans="4:4" x14ac:dyDescent="0.2">
      <c r="D76" s="53" t="s">
        <v>134</v>
      </c>
    </row>
    <row r="77" spans="4:4" x14ac:dyDescent="0.2">
      <c r="D77" s="53" t="s">
        <v>134</v>
      </c>
    </row>
    <row r="78" spans="4:4" x14ac:dyDescent="0.2">
      <c r="D78" s="53" t="s">
        <v>134</v>
      </c>
    </row>
    <row r="79" spans="4:4" x14ac:dyDescent="0.2">
      <c r="D79" s="53" t="s">
        <v>134</v>
      </c>
    </row>
    <row r="80" spans="4:4" x14ac:dyDescent="0.2">
      <c r="D80" s="53" t="s">
        <v>134</v>
      </c>
    </row>
    <row r="81" spans="4:4" x14ac:dyDescent="0.2">
      <c r="D81" s="53" t="s">
        <v>134</v>
      </c>
    </row>
    <row r="82" spans="4:4" x14ac:dyDescent="0.2">
      <c r="D82" s="53" t="s">
        <v>134</v>
      </c>
    </row>
    <row r="83" spans="4:4" x14ac:dyDescent="0.2">
      <c r="D83" s="53" t="s">
        <v>134</v>
      </c>
    </row>
    <row r="84" spans="4:4" x14ac:dyDescent="0.2">
      <c r="D84" s="53" t="s">
        <v>134</v>
      </c>
    </row>
    <row r="85" spans="4:4" x14ac:dyDescent="0.2">
      <c r="D85" s="53" t="s">
        <v>134</v>
      </c>
    </row>
    <row r="86" spans="4:4" x14ac:dyDescent="0.2">
      <c r="D86" s="53" t="s">
        <v>134</v>
      </c>
    </row>
    <row r="87" spans="4:4" x14ac:dyDescent="0.2">
      <c r="D87" s="53" t="s">
        <v>134</v>
      </c>
    </row>
    <row r="88" spans="4:4" x14ac:dyDescent="0.2">
      <c r="D88" s="53" t="s">
        <v>134</v>
      </c>
    </row>
    <row r="89" spans="4:4" x14ac:dyDescent="0.2">
      <c r="D89" s="53" t="s">
        <v>134</v>
      </c>
    </row>
    <row r="90" spans="4:4" x14ac:dyDescent="0.2">
      <c r="D90" s="53" t="s">
        <v>134</v>
      </c>
    </row>
    <row r="91" spans="4:4" x14ac:dyDescent="0.2">
      <c r="D91" s="53" t="s">
        <v>134</v>
      </c>
    </row>
    <row r="92" spans="4:4" x14ac:dyDescent="0.2">
      <c r="D92" s="53" t="s">
        <v>134</v>
      </c>
    </row>
    <row r="93" spans="4:4" x14ac:dyDescent="0.2">
      <c r="D93" s="53" t="s">
        <v>134</v>
      </c>
    </row>
    <row r="94" spans="4:4" x14ac:dyDescent="0.2">
      <c r="D94" s="53" t="s">
        <v>134</v>
      </c>
    </row>
    <row r="95" spans="4:4" x14ac:dyDescent="0.2">
      <c r="D95" s="53" t="s">
        <v>134</v>
      </c>
    </row>
    <row r="96" spans="4:4" x14ac:dyDescent="0.2">
      <c r="D96" s="53" t="s">
        <v>134</v>
      </c>
    </row>
    <row r="97" spans="4:4" x14ac:dyDescent="0.2">
      <c r="D97" s="53" t="s">
        <v>134</v>
      </c>
    </row>
    <row r="98" spans="4:4" x14ac:dyDescent="0.2">
      <c r="D98" s="53" t="s">
        <v>134</v>
      </c>
    </row>
    <row r="99" spans="4:4" x14ac:dyDescent="0.2">
      <c r="D99" s="53" t="s">
        <v>134</v>
      </c>
    </row>
    <row r="100" spans="4:4" x14ac:dyDescent="0.2">
      <c r="D100" s="53" t="s">
        <v>134</v>
      </c>
    </row>
    <row r="101" spans="4:4" x14ac:dyDescent="0.2">
      <c r="D101" s="53" t="s">
        <v>134</v>
      </c>
    </row>
    <row r="102" spans="4:4" x14ac:dyDescent="0.2">
      <c r="D102" s="53" t="s">
        <v>134</v>
      </c>
    </row>
    <row r="103" spans="4:4" x14ac:dyDescent="0.2">
      <c r="D103" s="53" t="s">
        <v>134</v>
      </c>
    </row>
    <row r="104" spans="4:4" x14ac:dyDescent="0.2">
      <c r="D104" s="53" t="s">
        <v>134</v>
      </c>
    </row>
    <row r="105" spans="4:4" x14ac:dyDescent="0.2">
      <c r="D105" s="53" t="s">
        <v>134</v>
      </c>
    </row>
    <row r="106" spans="4:4" x14ac:dyDescent="0.2">
      <c r="D106" s="53" t="s">
        <v>134</v>
      </c>
    </row>
    <row r="107" spans="4:4" x14ac:dyDescent="0.2">
      <c r="D107" s="53" t="s">
        <v>134</v>
      </c>
    </row>
    <row r="108" spans="4:4" x14ac:dyDescent="0.2">
      <c r="D108" s="53" t="s">
        <v>134</v>
      </c>
    </row>
    <row r="109" spans="4:4" x14ac:dyDescent="0.2">
      <c r="D109" s="53" t="s">
        <v>134</v>
      </c>
    </row>
    <row r="110" spans="4:4" x14ac:dyDescent="0.2">
      <c r="D110" s="53" t="s">
        <v>134</v>
      </c>
    </row>
    <row r="111" spans="4:4" x14ac:dyDescent="0.2">
      <c r="D111" s="53" t="s">
        <v>134</v>
      </c>
    </row>
    <row r="112" spans="4:4" x14ac:dyDescent="0.2">
      <c r="D112" s="53" t="s">
        <v>134</v>
      </c>
    </row>
    <row r="113" spans="4:4" x14ac:dyDescent="0.2">
      <c r="D113" s="53" t="s">
        <v>134</v>
      </c>
    </row>
    <row r="114" spans="4:4" x14ac:dyDescent="0.2">
      <c r="D114" s="53" t="s">
        <v>134</v>
      </c>
    </row>
    <row r="115" spans="4:4" x14ac:dyDescent="0.2">
      <c r="D115" s="53" t="s">
        <v>134</v>
      </c>
    </row>
    <row r="116" spans="4:4" x14ac:dyDescent="0.2">
      <c r="D116" s="53" t="s">
        <v>134</v>
      </c>
    </row>
    <row r="117" spans="4:4" x14ac:dyDescent="0.2">
      <c r="D117" s="53" t="s">
        <v>134</v>
      </c>
    </row>
    <row r="118" spans="4:4" x14ac:dyDescent="0.2">
      <c r="D118" s="53" t="s">
        <v>134</v>
      </c>
    </row>
    <row r="119" spans="4:4" x14ac:dyDescent="0.2">
      <c r="D119" s="53" t="s">
        <v>134</v>
      </c>
    </row>
    <row r="120" spans="4:4" x14ac:dyDescent="0.2">
      <c r="D120" s="53" t="s">
        <v>134</v>
      </c>
    </row>
    <row r="121" spans="4:4" x14ac:dyDescent="0.2">
      <c r="D121" s="53" t="s">
        <v>134</v>
      </c>
    </row>
    <row r="122" spans="4:4" x14ac:dyDescent="0.2">
      <c r="D122" s="53" t="s">
        <v>134</v>
      </c>
    </row>
    <row r="123" spans="4:4" x14ac:dyDescent="0.2">
      <c r="D123" s="53" t="s">
        <v>134</v>
      </c>
    </row>
    <row r="124" spans="4:4" x14ac:dyDescent="0.2">
      <c r="D124" s="53" t="s">
        <v>134</v>
      </c>
    </row>
    <row r="125" spans="4:4" x14ac:dyDescent="0.2">
      <c r="D125" s="53" t="s">
        <v>134</v>
      </c>
    </row>
    <row r="126" spans="4:4" x14ac:dyDescent="0.2">
      <c r="D126" s="53" t="s">
        <v>134</v>
      </c>
    </row>
    <row r="127" spans="4:4" x14ac:dyDescent="0.2">
      <c r="D127" s="53" t="s">
        <v>134</v>
      </c>
    </row>
    <row r="128" spans="4:4" x14ac:dyDescent="0.2">
      <c r="D128" s="53" t="s">
        <v>134</v>
      </c>
    </row>
    <row r="129" spans="4:4" x14ac:dyDescent="0.2">
      <c r="D129" s="53" t="s">
        <v>134</v>
      </c>
    </row>
    <row r="130" spans="4:4" x14ac:dyDescent="0.2">
      <c r="D130" s="53" t="s">
        <v>134</v>
      </c>
    </row>
    <row r="131" spans="4:4" x14ac:dyDescent="0.2">
      <c r="D131" s="53" t="s">
        <v>134</v>
      </c>
    </row>
    <row r="132" spans="4:4" x14ac:dyDescent="0.2">
      <c r="D132" s="53" t="s">
        <v>134</v>
      </c>
    </row>
    <row r="133" spans="4:4" x14ac:dyDescent="0.2">
      <c r="D133" s="53" t="s">
        <v>134</v>
      </c>
    </row>
    <row r="134" spans="4:4" x14ac:dyDescent="0.2">
      <c r="D134" s="53" t="s">
        <v>134</v>
      </c>
    </row>
    <row r="135" spans="4:4" x14ac:dyDescent="0.2">
      <c r="D135" s="53" t="s">
        <v>134</v>
      </c>
    </row>
    <row r="136" spans="4:4" x14ac:dyDescent="0.2">
      <c r="D136" s="53" t="s">
        <v>134</v>
      </c>
    </row>
    <row r="137" spans="4:4" x14ac:dyDescent="0.2">
      <c r="D137" s="53" t="s">
        <v>134</v>
      </c>
    </row>
    <row r="138" spans="4:4" x14ac:dyDescent="0.2">
      <c r="D138" s="53" t="s">
        <v>134</v>
      </c>
    </row>
    <row r="139" spans="4:4" x14ac:dyDescent="0.2">
      <c r="D139" s="53" t="s">
        <v>134</v>
      </c>
    </row>
    <row r="140" spans="4:4" x14ac:dyDescent="0.2">
      <c r="D140" s="53" t="s">
        <v>134</v>
      </c>
    </row>
    <row r="141" spans="4:4" x14ac:dyDescent="0.2">
      <c r="D141" s="53" t="s">
        <v>134</v>
      </c>
    </row>
    <row r="142" spans="4:4" x14ac:dyDescent="0.2">
      <c r="D142" s="53" t="s">
        <v>134</v>
      </c>
    </row>
    <row r="143" spans="4:4" x14ac:dyDescent="0.2">
      <c r="D143" s="53" t="s">
        <v>134</v>
      </c>
    </row>
    <row r="144" spans="4:4" x14ac:dyDescent="0.2">
      <c r="D144" s="53" t="s">
        <v>134</v>
      </c>
    </row>
    <row r="145" spans="4:4" x14ac:dyDescent="0.2">
      <c r="D145" s="53" t="s">
        <v>134</v>
      </c>
    </row>
    <row r="146" spans="4:4" x14ac:dyDescent="0.2">
      <c r="D146" s="53" t="s">
        <v>134</v>
      </c>
    </row>
    <row r="147" spans="4:4" x14ac:dyDescent="0.2">
      <c r="D147" s="53" t="s">
        <v>134</v>
      </c>
    </row>
    <row r="148" spans="4:4" x14ac:dyDescent="0.2">
      <c r="D148" s="53" t="s">
        <v>134</v>
      </c>
    </row>
    <row r="149" spans="4:4" x14ac:dyDescent="0.2">
      <c r="D149" s="53" t="s">
        <v>134</v>
      </c>
    </row>
    <row r="150" spans="4:4" x14ac:dyDescent="0.2">
      <c r="D150" s="53" t="s">
        <v>134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34"/>
  <sheetViews>
    <sheetView showGridLines="0"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8" sqref="C8"/>
    </sheetView>
  </sheetViews>
  <sheetFormatPr baseColWidth="10" defaultRowHeight="14.25" x14ac:dyDescent="0.2"/>
  <cols>
    <col min="1" max="1" width="12.75" bestFit="1" customWidth="1"/>
    <col min="2" max="2" width="9" bestFit="1" customWidth="1"/>
    <col min="3" max="3" width="2.75" bestFit="1" customWidth="1"/>
    <col min="4" max="5" width="10.125" bestFit="1" customWidth="1"/>
    <col min="6" max="6" width="11" bestFit="1" customWidth="1"/>
    <col min="7" max="7" width="11.125" customWidth="1"/>
    <col min="9" max="9" width="10.125" bestFit="1" customWidth="1"/>
    <col min="10" max="10" width="10.125" customWidth="1"/>
    <col min="11" max="11" width="7.75" customWidth="1"/>
    <col min="13" max="13" width="11.125" bestFit="1" customWidth="1"/>
    <col min="14" max="14" width="17" bestFit="1" customWidth="1"/>
    <col min="15" max="15" width="6.875" customWidth="1"/>
    <col min="16" max="16" width="19.375" bestFit="1" customWidth="1"/>
    <col min="17" max="17" width="10" bestFit="1" customWidth="1"/>
    <col min="18" max="18" width="12.25" bestFit="1" customWidth="1"/>
  </cols>
  <sheetData>
    <row r="1" spans="1:34" ht="18.75" x14ac:dyDescent="0.3">
      <c r="D1" s="4" t="s">
        <v>36</v>
      </c>
      <c r="H1" s="193" t="s">
        <v>72</v>
      </c>
      <c r="I1" s="193"/>
      <c r="J1" s="193"/>
      <c r="K1" s="193"/>
      <c r="M1" s="195" t="s">
        <v>176</v>
      </c>
      <c r="N1" s="195"/>
      <c r="O1" s="195"/>
    </row>
    <row r="3" spans="1:34" x14ac:dyDescent="0.2">
      <c r="A3" s="15" t="s">
        <v>170</v>
      </c>
      <c r="B3" s="15" t="s">
        <v>172</v>
      </c>
      <c r="I3" s="112">
        <f>+AVERAGE(I5:I11)</f>
        <v>251750</v>
      </c>
      <c r="J3" s="112"/>
      <c r="N3" s="112" t="e">
        <f>+AVERAGE(N5:N11)</f>
        <v>#DIV/0!</v>
      </c>
    </row>
    <row r="4" spans="1:34" s="3" customFormat="1" ht="15" x14ac:dyDescent="0.25">
      <c r="A4" s="138" t="s">
        <v>39</v>
      </c>
      <c r="B4" s="3">
        <v>0</v>
      </c>
      <c r="C4" s="3">
        <v>1</v>
      </c>
      <c r="D4" s="3">
        <v>2</v>
      </c>
      <c r="E4" s="3">
        <v>3</v>
      </c>
      <c r="F4"/>
      <c r="G4"/>
      <c r="H4" s="113" t="s">
        <v>39</v>
      </c>
      <c r="I4" s="113" t="s">
        <v>72</v>
      </c>
      <c r="J4" s="113" t="s">
        <v>226</v>
      </c>
      <c r="K4" s="140" t="s">
        <v>173</v>
      </c>
      <c r="M4" s="138" t="s">
        <v>39</v>
      </c>
      <c r="N4"/>
      <c r="O4" s="140" t="s">
        <v>173</v>
      </c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</row>
    <row r="5" spans="1:34" x14ac:dyDescent="0.2">
      <c r="A5" s="129" t="s">
        <v>164</v>
      </c>
      <c r="B5" s="112"/>
      <c r="C5" s="112">
        <v>0</v>
      </c>
      <c r="D5" s="112">
        <v>224000</v>
      </c>
      <c r="E5" s="112">
        <v>60000</v>
      </c>
      <c r="H5" s="120" t="s">
        <v>164</v>
      </c>
      <c r="I5" s="114">
        <f>+D5*0.8</f>
        <v>179200</v>
      </c>
      <c r="J5" s="114">
        <f>+I5*0.4</f>
        <v>71680</v>
      </c>
      <c r="K5" s="117">
        <f>+I5/E5-1</f>
        <v>1.9866666666666668</v>
      </c>
      <c r="M5" s="129" t="s">
        <v>164</v>
      </c>
      <c r="O5" s="117">
        <f>+N5/I5-1</f>
        <v>-1</v>
      </c>
    </row>
    <row r="6" spans="1:34" x14ac:dyDescent="0.2">
      <c r="A6" s="129" t="s">
        <v>165</v>
      </c>
      <c r="B6" s="112"/>
      <c r="C6" s="112">
        <v>0</v>
      </c>
      <c r="D6" s="112">
        <v>221000</v>
      </c>
      <c r="E6" s="112">
        <v>169000</v>
      </c>
      <c r="H6" s="120" t="s">
        <v>165</v>
      </c>
      <c r="I6" s="114">
        <f>AVERAGE(D6:E6)</f>
        <v>195000</v>
      </c>
      <c r="J6" s="114">
        <f t="shared" ref="J6:J12" si="0">+I6*0.4</f>
        <v>78000</v>
      </c>
      <c r="K6" s="117">
        <f t="shared" ref="K6:K12" si="1">+I6/E6-1</f>
        <v>0.15384615384615374</v>
      </c>
      <c r="M6" s="129" t="s">
        <v>165</v>
      </c>
      <c r="O6" s="117">
        <f t="shared" ref="O6:O11" si="2">+N6/I6-1</f>
        <v>-1</v>
      </c>
    </row>
    <row r="7" spans="1:34" x14ac:dyDescent="0.2">
      <c r="A7" s="129" t="s">
        <v>166</v>
      </c>
      <c r="B7" s="112"/>
      <c r="C7" s="112">
        <v>0</v>
      </c>
      <c r="D7" s="112">
        <v>390500</v>
      </c>
      <c r="E7" s="112">
        <v>343000</v>
      </c>
      <c r="H7" s="120" t="s">
        <v>166</v>
      </c>
      <c r="I7" s="114">
        <f>AVERAGE(D7:E7)</f>
        <v>366750</v>
      </c>
      <c r="J7" s="114">
        <f t="shared" si="0"/>
        <v>146700</v>
      </c>
      <c r="K7" s="117">
        <f t="shared" si="1"/>
        <v>6.9241982507288524E-2</v>
      </c>
      <c r="M7" s="129" t="s">
        <v>166</v>
      </c>
      <c r="O7" s="117">
        <f t="shared" si="2"/>
        <v>-1</v>
      </c>
    </row>
    <row r="8" spans="1:34" x14ac:dyDescent="0.2">
      <c r="A8" s="129" t="s">
        <v>167</v>
      </c>
      <c r="B8" s="112"/>
      <c r="C8" s="112">
        <v>0</v>
      </c>
      <c r="D8" s="112">
        <v>209000</v>
      </c>
      <c r="E8" s="112">
        <v>259000</v>
      </c>
      <c r="H8" s="120" t="s">
        <v>167</v>
      </c>
      <c r="I8" s="114">
        <f>AVERAGE(D8:E8)</f>
        <v>234000</v>
      </c>
      <c r="J8" s="114">
        <f t="shared" si="0"/>
        <v>93600</v>
      </c>
      <c r="K8" s="117">
        <f t="shared" si="1"/>
        <v>-9.6525096525096554E-2</v>
      </c>
      <c r="M8" s="129" t="s">
        <v>167</v>
      </c>
      <c r="O8" s="117">
        <f t="shared" si="2"/>
        <v>-1</v>
      </c>
    </row>
    <row r="9" spans="1:34" ht="16.5" x14ac:dyDescent="0.35">
      <c r="A9" s="143" t="s">
        <v>168</v>
      </c>
      <c r="B9" s="188"/>
      <c r="C9" s="126">
        <v>0</v>
      </c>
      <c r="D9" s="126">
        <v>248000</v>
      </c>
      <c r="E9" s="126">
        <v>0</v>
      </c>
      <c r="H9" s="121" t="s">
        <v>168</v>
      </c>
      <c r="I9" s="139">
        <f>+D9</f>
        <v>248000</v>
      </c>
      <c r="J9" s="114">
        <f t="shared" si="0"/>
        <v>99200</v>
      </c>
      <c r="K9" s="117" t="e">
        <f t="shared" si="1"/>
        <v>#DIV/0!</v>
      </c>
      <c r="M9" s="143" t="s">
        <v>168</v>
      </c>
      <c r="O9" s="117">
        <f t="shared" si="2"/>
        <v>-1</v>
      </c>
    </row>
    <row r="10" spans="1:34" ht="16.5" x14ac:dyDescent="0.35">
      <c r="A10" s="129" t="s">
        <v>169</v>
      </c>
      <c r="B10" s="188"/>
      <c r="C10" s="126">
        <v>0</v>
      </c>
      <c r="D10" s="126">
        <v>503500</v>
      </c>
      <c r="E10" s="126">
        <v>298500</v>
      </c>
      <c r="H10" s="122" t="s">
        <v>169</v>
      </c>
      <c r="I10" s="139">
        <f>+AVERAGE(D10:E10)*0.8</f>
        <v>320800</v>
      </c>
      <c r="J10" s="114">
        <f t="shared" si="0"/>
        <v>128320</v>
      </c>
      <c r="K10" s="117">
        <f t="shared" si="1"/>
        <v>7.4706867671691768E-2</v>
      </c>
      <c r="M10" s="129" t="s">
        <v>169</v>
      </c>
      <c r="O10" s="117">
        <f>+N10/I10-1</f>
        <v>-1</v>
      </c>
    </row>
    <row r="11" spans="1:34" ht="17.25" thickBot="1" x14ac:dyDescent="0.4">
      <c r="A11" s="187" t="s">
        <v>163</v>
      </c>
      <c r="B11" s="188">
        <v>0</v>
      </c>
      <c r="C11" s="126">
        <v>0</v>
      </c>
      <c r="D11" s="126"/>
      <c r="E11" s="126">
        <v>218500</v>
      </c>
      <c r="H11" s="123" t="s">
        <v>163</v>
      </c>
      <c r="I11" s="139">
        <f>+E11</f>
        <v>218500</v>
      </c>
      <c r="J11" s="114">
        <f t="shared" si="0"/>
        <v>87400</v>
      </c>
      <c r="K11" s="117">
        <f t="shared" si="1"/>
        <v>0</v>
      </c>
      <c r="M11" s="187" t="s">
        <v>163</v>
      </c>
      <c r="O11" s="142">
        <f t="shared" si="2"/>
        <v>-1</v>
      </c>
    </row>
    <row r="12" spans="1:34" ht="15" thickTop="1" x14ac:dyDescent="0.2">
      <c r="A12" s="111" t="s">
        <v>83</v>
      </c>
      <c r="B12" s="112">
        <v>0</v>
      </c>
      <c r="C12" s="112">
        <v>0</v>
      </c>
      <c r="D12" s="112">
        <v>1796000</v>
      </c>
      <c r="E12" s="112">
        <v>1348000</v>
      </c>
      <c r="H12" s="116" t="s">
        <v>83</v>
      </c>
      <c r="I12" s="115" t="e">
        <f>+AVERAGE(#REF!)</f>
        <v>#REF!</v>
      </c>
      <c r="J12" s="114" t="e">
        <f t="shared" si="0"/>
        <v>#REF!</v>
      </c>
      <c r="K12" s="117" t="e">
        <f t="shared" si="1"/>
        <v>#REF!</v>
      </c>
      <c r="M12" s="111" t="s">
        <v>83</v>
      </c>
      <c r="O12" s="141" t="e">
        <f>+N12/I12-1</f>
        <v>#REF!</v>
      </c>
    </row>
    <row r="13" spans="1:34" x14ac:dyDescent="0.2">
      <c r="D13" s="117" t="e">
        <f>+D12/C12-1</f>
        <v>#DIV/0!</v>
      </c>
      <c r="E13" s="117">
        <f>+E12/D12-1</f>
        <v>-0.24944320712694878</v>
      </c>
    </row>
    <row r="16" spans="1:34" x14ac:dyDescent="0.2">
      <c r="A16" s="113" t="s">
        <v>39</v>
      </c>
      <c r="B16" s="119">
        <v>0</v>
      </c>
      <c r="C16" s="119">
        <v>1</v>
      </c>
      <c r="D16" s="119">
        <v>2</v>
      </c>
      <c r="E16" s="119">
        <v>3</v>
      </c>
    </row>
    <row r="17" spans="1:5" x14ac:dyDescent="0.2">
      <c r="A17" s="120" t="s">
        <v>164</v>
      </c>
      <c r="B17" s="114"/>
      <c r="C17" s="114">
        <v>0</v>
      </c>
      <c r="D17" s="114">
        <v>0</v>
      </c>
      <c r="E17" s="117">
        <f>+E5/D5-1</f>
        <v>-0.73214285714285721</v>
      </c>
    </row>
    <row r="18" spans="1:5" x14ac:dyDescent="0.2">
      <c r="A18" s="120" t="s">
        <v>165</v>
      </c>
      <c r="B18" s="114"/>
      <c r="C18" s="114">
        <v>0</v>
      </c>
      <c r="D18" s="114">
        <v>0</v>
      </c>
      <c r="E18" s="117">
        <f t="shared" ref="E18:E24" si="3">+E6/D6-1</f>
        <v>-0.23529411764705888</v>
      </c>
    </row>
    <row r="19" spans="1:5" x14ac:dyDescent="0.2">
      <c r="A19" s="120" t="s">
        <v>166</v>
      </c>
      <c r="B19" s="114"/>
      <c r="C19" s="114">
        <v>0</v>
      </c>
      <c r="D19" s="114">
        <v>0</v>
      </c>
      <c r="E19" s="117">
        <f t="shared" si="3"/>
        <v>-0.12163892445582591</v>
      </c>
    </row>
    <row r="20" spans="1:5" x14ac:dyDescent="0.2">
      <c r="A20" s="133" t="s">
        <v>167</v>
      </c>
      <c r="B20" s="134"/>
      <c r="C20" s="134">
        <v>0</v>
      </c>
      <c r="D20" s="134">
        <v>0</v>
      </c>
      <c r="E20" s="135">
        <f t="shared" si="3"/>
        <v>0.23923444976076547</v>
      </c>
    </row>
    <row r="21" spans="1:5" x14ac:dyDescent="0.2">
      <c r="A21" s="130" t="s">
        <v>168</v>
      </c>
      <c r="B21" s="131"/>
      <c r="C21" s="131">
        <v>0</v>
      </c>
      <c r="D21" s="131">
        <v>0</v>
      </c>
      <c r="E21" s="132">
        <f>+E9/D9-1</f>
        <v>-1</v>
      </c>
    </row>
    <row r="22" spans="1:5" x14ac:dyDescent="0.2">
      <c r="A22" s="122" t="s">
        <v>169</v>
      </c>
      <c r="B22" s="124"/>
      <c r="C22" s="124">
        <v>0</v>
      </c>
      <c r="D22" s="125" t="e">
        <f>+D10/C10-1</f>
        <v>#DIV/0!</v>
      </c>
      <c r="E22" s="125">
        <f t="shared" si="3"/>
        <v>-0.40714995034756707</v>
      </c>
    </row>
    <row r="23" spans="1:5" ht="15" thickBot="1" x14ac:dyDescent="0.25">
      <c r="A23" s="123" t="s">
        <v>163</v>
      </c>
      <c r="B23" s="124">
        <v>0</v>
      </c>
      <c r="C23" s="124">
        <v>0</v>
      </c>
      <c r="D23" s="125" t="e">
        <f>+D11/C11-1</f>
        <v>#DIV/0!</v>
      </c>
      <c r="E23" s="125" t="e">
        <f t="shared" si="3"/>
        <v>#DIV/0!</v>
      </c>
    </row>
    <row r="24" spans="1:5" ht="15" thickTop="1" x14ac:dyDescent="0.2">
      <c r="A24" s="116" t="s">
        <v>83</v>
      </c>
      <c r="B24" s="115">
        <v>0</v>
      </c>
      <c r="C24" s="115">
        <v>142857.14285714287</v>
      </c>
      <c r="D24" s="118" t="e">
        <f>+D12/C12-1</f>
        <v>#DIV/0!</v>
      </c>
      <c r="E24" s="118">
        <f t="shared" si="3"/>
        <v>-0.24944320712694878</v>
      </c>
    </row>
    <row r="26" spans="1:5" x14ac:dyDescent="0.2">
      <c r="A26" s="113" t="s">
        <v>39</v>
      </c>
      <c r="B26" s="119">
        <v>0</v>
      </c>
      <c r="C26" s="119">
        <v>1</v>
      </c>
      <c r="D26" s="119">
        <v>2</v>
      </c>
      <c r="E26" s="119">
        <v>3</v>
      </c>
    </row>
    <row r="27" spans="1:5" x14ac:dyDescent="0.2">
      <c r="A27" s="120" t="s">
        <v>164</v>
      </c>
      <c r="B27" s="114"/>
      <c r="C27" s="114">
        <v>0</v>
      </c>
      <c r="D27" s="114">
        <v>0</v>
      </c>
      <c r="E27" s="127">
        <f>+E5-D5</f>
        <v>-164000</v>
      </c>
    </row>
    <row r="28" spans="1:5" x14ac:dyDescent="0.2">
      <c r="A28" s="120" t="s">
        <v>165</v>
      </c>
      <c r="B28" s="114"/>
      <c r="C28" s="114">
        <v>0</v>
      </c>
      <c r="D28" s="114">
        <v>0</v>
      </c>
      <c r="E28" s="127">
        <f t="shared" ref="E28" si="4">+E6-D6</f>
        <v>-52000</v>
      </c>
    </row>
    <row r="29" spans="1:5" x14ac:dyDescent="0.2">
      <c r="A29" s="120" t="s">
        <v>166</v>
      </c>
      <c r="B29" s="114"/>
      <c r="C29" s="114">
        <v>0</v>
      </c>
      <c r="D29" s="114">
        <v>0</v>
      </c>
      <c r="E29" s="127">
        <f t="shared" ref="E29" si="5">+E7-D7</f>
        <v>-47500</v>
      </c>
    </row>
    <row r="30" spans="1:5" x14ac:dyDescent="0.2">
      <c r="A30" s="120" t="s">
        <v>167</v>
      </c>
      <c r="B30" s="114"/>
      <c r="C30" s="114">
        <v>0</v>
      </c>
      <c r="D30" s="114">
        <v>0</v>
      </c>
      <c r="E30" s="127">
        <f t="shared" ref="E30" si="6">+E8-D8</f>
        <v>50000</v>
      </c>
    </row>
    <row r="31" spans="1:5" x14ac:dyDescent="0.2">
      <c r="A31" s="121" t="s">
        <v>168</v>
      </c>
      <c r="B31" s="124"/>
      <c r="C31" s="124">
        <v>0</v>
      </c>
      <c r="D31" s="124">
        <v>0</v>
      </c>
      <c r="E31" s="128">
        <f t="shared" ref="E31" si="7">+E9-D9</f>
        <v>-248000</v>
      </c>
    </row>
    <row r="32" spans="1:5" x14ac:dyDescent="0.2">
      <c r="A32" s="122" t="s">
        <v>169</v>
      </c>
      <c r="B32" s="124"/>
      <c r="C32" s="124">
        <v>0</v>
      </c>
      <c r="D32" s="128">
        <f>+D10-C10</f>
        <v>503500</v>
      </c>
      <c r="E32" s="128">
        <f t="shared" ref="E32" si="8">+E10-D10</f>
        <v>-205000</v>
      </c>
    </row>
    <row r="33" spans="1:5" ht="15" thickBot="1" x14ac:dyDescent="0.25">
      <c r="A33" s="123" t="s">
        <v>163</v>
      </c>
      <c r="B33" s="124">
        <v>0</v>
      </c>
      <c r="C33" s="124">
        <v>0</v>
      </c>
      <c r="D33" s="128">
        <f t="shared" ref="D33:D34" si="9">+D11-C11</f>
        <v>0</v>
      </c>
      <c r="E33" s="128">
        <f t="shared" ref="E33" si="10">+E11-D11</f>
        <v>218500</v>
      </c>
    </row>
    <row r="34" spans="1:5" ht="15" thickTop="1" x14ac:dyDescent="0.2">
      <c r="A34" s="116" t="s">
        <v>83</v>
      </c>
      <c r="B34" s="136">
        <v>0</v>
      </c>
      <c r="C34" s="136">
        <v>142857.14285714287</v>
      </c>
      <c r="D34" s="137">
        <f t="shared" si="9"/>
        <v>1796000</v>
      </c>
      <c r="E34" s="137">
        <f>+E12-D12</f>
        <v>-448000</v>
      </c>
    </row>
  </sheetData>
  <mergeCells count="1">
    <mergeCell ref="M1:O1"/>
  </mergeCells>
  <conditionalFormatting sqref="B17:F20">
    <cfRule type="cellIs" dxfId="78" priority="11" operator="greaterThan">
      <formula>0.5</formula>
    </cfRule>
    <cfRule type="cellIs" dxfId="77" priority="14" operator="lessThan">
      <formula>-0.5</formula>
    </cfRule>
  </conditionalFormatting>
  <conditionalFormatting sqref="B21:F23">
    <cfRule type="cellIs" dxfId="76" priority="12" operator="greaterThan">
      <formula>0.4</formula>
    </cfRule>
    <cfRule type="cellIs" dxfId="75" priority="13" operator="lessThan">
      <formula>-0.4</formula>
    </cfRule>
  </conditionalFormatting>
  <conditionalFormatting sqref="B27:F30">
    <cfRule type="cellIs" dxfId="74" priority="3" operator="greaterThan">
      <formula>0.5</formula>
    </cfRule>
    <cfRule type="cellIs" dxfId="73" priority="6" operator="lessThan">
      <formula>-0.5</formula>
    </cfRule>
  </conditionalFormatting>
  <conditionalFormatting sqref="B31:F33">
    <cfRule type="cellIs" dxfId="72" priority="4" operator="greaterThan">
      <formula>0.4</formula>
    </cfRule>
    <cfRule type="cellIs" dxfId="71" priority="5" operator="lessThan">
      <formula>-0.4</formula>
    </cfRule>
  </conditionalFormatting>
  <conditionalFormatting sqref="D13:F13">
    <cfRule type="cellIs" dxfId="70" priority="35" operator="greaterThan">
      <formula>0.5</formula>
    </cfRule>
    <cfRule type="cellIs" dxfId="69" priority="36" operator="lessThan">
      <formula>-0.5</formula>
    </cfRule>
  </conditionalFormatting>
  <conditionalFormatting sqref="K5:K12">
    <cfRule type="cellIs" dxfId="68" priority="1" operator="greaterThan">
      <formula>0.5</formula>
    </cfRule>
    <cfRule type="cellIs" dxfId="67" priority="2" operator="lessThan">
      <formula>-0.5</formula>
    </cfRule>
  </conditionalFormatting>
  <conditionalFormatting sqref="O5:O12">
    <cfRule type="cellIs" dxfId="66" priority="27" operator="greaterThan">
      <formula>0.5</formula>
    </cfRule>
    <cfRule type="cellIs" dxfId="65" priority="28" operator="lessThan">
      <formula>-0.5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A3"/>
  </sheetPr>
  <dimension ref="A1:I13"/>
  <sheetViews>
    <sheetView workbookViewId="0">
      <selection activeCell="I13" sqref="I13"/>
    </sheetView>
  </sheetViews>
  <sheetFormatPr baseColWidth="10" defaultRowHeight="14.25" x14ac:dyDescent="0.2"/>
  <cols>
    <col min="1" max="1" width="14.75" bestFit="1" customWidth="1"/>
    <col min="2" max="2" width="13.5" bestFit="1" customWidth="1"/>
    <col min="3" max="3" width="14" bestFit="1" customWidth="1"/>
  </cols>
  <sheetData>
    <row r="1" spans="1:9" x14ac:dyDescent="0.2">
      <c r="A1" s="110" t="s">
        <v>189</v>
      </c>
      <c r="B1" s="110" t="s">
        <v>204</v>
      </c>
      <c r="C1" s="175" t="s">
        <v>205</v>
      </c>
    </row>
    <row r="2" spans="1:9" x14ac:dyDescent="0.2">
      <c r="A2" s="153" t="s">
        <v>193</v>
      </c>
      <c r="B2" s="176">
        <v>8000</v>
      </c>
      <c r="C2" s="177">
        <f>3500+8000</f>
        <v>11500</v>
      </c>
    </row>
    <row r="3" spans="1:9" x14ac:dyDescent="0.2">
      <c r="A3" s="154" t="s">
        <v>206</v>
      </c>
      <c r="B3" s="176">
        <v>4500</v>
      </c>
      <c r="C3" s="177">
        <v>2416.6666666666665</v>
      </c>
    </row>
    <row r="4" spans="1:9" x14ac:dyDescent="0.2">
      <c r="A4" s="153" t="s">
        <v>207</v>
      </c>
      <c r="B4" s="176">
        <v>3000</v>
      </c>
      <c r="C4" s="177">
        <v>1200</v>
      </c>
    </row>
    <row r="5" spans="1:9" x14ac:dyDescent="0.2">
      <c r="A5" s="154" t="s">
        <v>140</v>
      </c>
      <c r="B5" s="176">
        <v>3000</v>
      </c>
      <c r="C5" s="177">
        <v>1200</v>
      </c>
    </row>
    <row r="6" spans="1:9" x14ac:dyDescent="0.2">
      <c r="A6" s="153" t="s">
        <v>208</v>
      </c>
      <c r="B6" s="176">
        <v>3000</v>
      </c>
      <c r="C6" s="177">
        <v>1166.6666666666667</v>
      </c>
      <c r="F6" t="s">
        <v>195</v>
      </c>
      <c r="G6" s="156">
        <v>33000</v>
      </c>
      <c r="H6">
        <v>24</v>
      </c>
      <c r="I6" s="156">
        <f t="shared" ref="I6:I8" si="0">+G6/H6</f>
        <v>1375</v>
      </c>
    </row>
    <row r="7" spans="1:9" x14ac:dyDescent="0.2">
      <c r="A7" s="154" t="s">
        <v>209</v>
      </c>
      <c r="B7" s="176">
        <v>4500</v>
      </c>
      <c r="C7" s="177">
        <v>3500</v>
      </c>
      <c r="F7" t="s">
        <v>194</v>
      </c>
      <c r="G7" s="156">
        <v>29000</v>
      </c>
      <c r="H7">
        <v>12</v>
      </c>
      <c r="I7" s="156">
        <f t="shared" si="0"/>
        <v>2416.6666666666665</v>
      </c>
    </row>
    <row r="8" spans="1:9" x14ac:dyDescent="0.2">
      <c r="A8" s="153" t="s">
        <v>210</v>
      </c>
      <c r="B8" s="176">
        <v>35000</v>
      </c>
      <c r="C8" s="2">
        <v>25000</v>
      </c>
      <c r="F8" t="s">
        <v>196</v>
      </c>
      <c r="G8" s="156">
        <v>35000</v>
      </c>
      <c r="H8">
        <v>30</v>
      </c>
      <c r="I8" s="156">
        <f t="shared" si="0"/>
        <v>1166.6666666666667</v>
      </c>
    </row>
    <row r="9" spans="1:9" x14ac:dyDescent="0.2">
      <c r="A9" s="154" t="s">
        <v>211</v>
      </c>
      <c r="B9" s="176">
        <v>25000</v>
      </c>
      <c r="C9" s="2">
        <v>15000</v>
      </c>
      <c r="F9" t="s">
        <v>197</v>
      </c>
      <c r="G9" s="156">
        <v>36000</v>
      </c>
      <c r="H9">
        <v>30</v>
      </c>
      <c r="I9" s="156">
        <f>+G9/H9</f>
        <v>1200</v>
      </c>
    </row>
    <row r="10" spans="1:9" x14ac:dyDescent="0.2">
      <c r="A10" s="153" t="s">
        <v>212</v>
      </c>
      <c r="B10" s="176">
        <v>2000</v>
      </c>
      <c r="C10" s="2">
        <v>800</v>
      </c>
    </row>
    <row r="11" spans="1:9" x14ac:dyDescent="0.2">
      <c r="A11" s="154" t="s">
        <v>213</v>
      </c>
      <c r="B11" s="176">
        <v>48000</v>
      </c>
      <c r="C11" s="2">
        <v>30000</v>
      </c>
    </row>
    <row r="12" spans="1:9" x14ac:dyDescent="0.2">
      <c r="A12" s="153" t="s">
        <v>214</v>
      </c>
      <c r="B12" s="176">
        <v>70000</v>
      </c>
      <c r="C12" s="2">
        <v>45000</v>
      </c>
    </row>
    <row r="13" spans="1:9" x14ac:dyDescent="0.2">
      <c r="A13" s="154" t="s">
        <v>215</v>
      </c>
      <c r="B13" s="176">
        <v>40000</v>
      </c>
      <c r="C13" s="2">
        <v>25000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A3"/>
  </sheetPr>
  <dimension ref="A1:U227"/>
  <sheetViews>
    <sheetView showGridLines="0" zoomScaleNormal="100" workbookViewId="0">
      <pane ySplit="1" topLeftCell="A2" activePane="bottomLeft" state="frozen"/>
      <selection pane="bottomLeft" activeCell="A2" sqref="A2"/>
    </sheetView>
  </sheetViews>
  <sheetFormatPr baseColWidth="10" defaultRowHeight="14.25" x14ac:dyDescent="0.2"/>
  <cols>
    <col min="1" max="2" width="11" customWidth="1"/>
    <col min="3" max="3" width="9.25" bestFit="1" customWidth="1"/>
    <col min="4" max="4" width="16.75" bestFit="1" customWidth="1"/>
    <col min="5" max="11" width="12.375" customWidth="1"/>
    <col min="12" max="12" width="9.625" customWidth="1"/>
    <col min="13" max="13" width="10" customWidth="1"/>
    <col min="14" max="15" width="11" customWidth="1"/>
    <col min="16" max="16" width="8.375" customWidth="1"/>
    <col min="17" max="17" width="14.25" customWidth="1"/>
    <col min="18" max="20" width="12.25" customWidth="1"/>
    <col min="21" max="21" width="12.25" bestFit="1" customWidth="1"/>
    <col min="25" max="25" width="15.75" bestFit="1" customWidth="1"/>
    <col min="26" max="26" width="13.25" bestFit="1" customWidth="1"/>
    <col min="27" max="27" width="13.25" customWidth="1"/>
  </cols>
  <sheetData>
    <row r="1" spans="1:12" x14ac:dyDescent="0.2">
      <c r="A1" s="4" t="s">
        <v>38</v>
      </c>
      <c r="B1" s="4" t="s">
        <v>187</v>
      </c>
      <c r="C1" s="4" t="s">
        <v>47</v>
      </c>
      <c r="D1" t="s">
        <v>189</v>
      </c>
      <c r="E1" s="151" t="s">
        <v>171</v>
      </c>
      <c r="F1" s="4" t="s">
        <v>110</v>
      </c>
      <c r="G1" s="4" t="s">
        <v>39</v>
      </c>
      <c r="H1" s="102" t="s">
        <v>203</v>
      </c>
      <c r="I1" s="88" t="s">
        <v>9</v>
      </c>
      <c r="J1" s="89" t="s">
        <v>114</v>
      </c>
      <c r="K1" s="89" t="s">
        <v>144</v>
      </c>
      <c r="L1" s="4"/>
    </row>
    <row r="2" spans="1:12" x14ac:dyDescent="0.2">
      <c r="A2" s="14">
        <f>[1]sales!A7</f>
        <v>46076</v>
      </c>
      <c r="B2" s="194">
        <f>[1]sales!B7</f>
        <v>0.69208333333333338</v>
      </c>
      <c r="C2" s="189" t="s">
        <v>49</v>
      </c>
      <c r="D2" s="14" t="str">
        <f>[1]sales!D7</f>
        <v>Chorizo</v>
      </c>
      <c r="E2" s="152">
        <f>+_xlfn.XLOOKUP(sales[[#This Row],[Fecha]],OPEX_VE!A:A,OPEX_VE!B:B)</f>
        <v>1</v>
      </c>
      <c r="F2" s="14" t="str">
        <f>+_xlfn.XLOOKUP(sales[[#This Row],[Fecha]],OPEX_VE!A:A,OPEX_VE!E:E)</f>
        <v>A) Día hábil</v>
      </c>
      <c r="G2" s="14" t="str">
        <f>+TEXT(sales[[#This Row],[Fecha]],"ddd")</f>
        <v>lun</v>
      </c>
      <c r="H2" s="190">
        <f>+sales[[#This Row],[Venta]]*0.4</f>
        <v>6400</v>
      </c>
      <c r="I2" s="103">
        <f>[1]sales!K7</f>
        <v>16000</v>
      </c>
      <c r="J2" s="79">
        <f>[1]sales!I7</f>
        <v>16000</v>
      </c>
      <c r="K2" s="52">
        <f>[1]sales!J7</f>
        <v>0</v>
      </c>
      <c r="L2" s="1"/>
    </row>
    <row r="3" spans="1:12" x14ac:dyDescent="0.2">
      <c r="A3" s="14">
        <f>[1]sales!A8</f>
        <v>46076</v>
      </c>
      <c r="B3" s="194">
        <f>[1]sales!B8</f>
        <v>0.70967592592592588</v>
      </c>
      <c r="C3" s="189" t="s">
        <v>49</v>
      </c>
      <c r="D3" s="14" t="str">
        <f>[1]sales!D8</f>
        <v>Chorizo</v>
      </c>
      <c r="E3" s="152">
        <f>+_xlfn.XLOOKUP(sales[[#This Row],[Fecha]],OPEX_VE!A:A,OPEX_VE!B:B)</f>
        <v>1</v>
      </c>
      <c r="F3" s="14" t="str">
        <f>+_xlfn.XLOOKUP(sales[[#This Row],[Fecha]],OPEX_VE!A:A,OPEX_VE!E:E)</f>
        <v>A) Día hábil</v>
      </c>
      <c r="G3" s="14" t="str">
        <f>+TEXT(sales[[#This Row],[Fecha]],"ddd")</f>
        <v>lun</v>
      </c>
      <c r="H3" s="190">
        <f>+sales[[#This Row],[Venta]]*0.4</f>
        <v>3200</v>
      </c>
      <c r="I3" s="103">
        <f>[1]sales!K8</f>
        <v>8000</v>
      </c>
      <c r="J3" s="79">
        <f>[1]sales!I8</f>
        <v>0</v>
      </c>
      <c r="K3" s="52">
        <f>[1]sales!J8</f>
        <v>8000</v>
      </c>
      <c r="L3" s="1"/>
    </row>
    <row r="4" spans="1:12" x14ac:dyDescent="0.2">
      <c r="A4" s="14">
        <f>[1]sales!A9</f>
        <v>46076</v>
      </c>
      <c r="B4" s="194">
        <f>[1]sales!B9</f>
        <v>0.71737268518518515</v>
      </c>
      <c r="C4" s="189" t="s">
        <v>49</v>
      </c>
      <c r="D4" s="14" t="str">
        <f>[1]sales!D9</f>
        <v>Chorizo</v>
      </c>
      <c r="E4" s="152">
        <f>+_xlfn.XLOOKUP(sales[[#This Row],[Fecha]],OPEX_VE!A:A,OPEX_VE!B:B)</f>
        <v>1</v>
      </c>
      <c r="F4" s="14" t="str">
        <f>+_xlfn.XLOOKUP(sales[[#This Row],[Fecha]],OPEX_VE!A:A,OPEX_VE!E:E)</f>
        <v>A) Día hábil</v>
      </c>
      <c r="G4" s="14" t="str">
        <f>+TEXT(sales[[#This Row],[Fecha]],"ddd")</f>
        <v>lun</v>
      </c>
      <c r="H4" s="190">
        <f>+sales[[#This Row],[Venta]]*0.4</f>
        <v>6400</v>
      </c>
      <c r="I4" s="103">
        <f>[1]sales!K9</f>
        <v>16000</v>
      </c>
      <c r="J4" s="79">
        <f>[1]sales!I9</f>
        <v>16000</v>
      </c>
      <c r="K4" s="52">
        <f>[1]sales!J9</f>
        <v>0</v>
      </c>
      <c r="L4" s="1"/>
    </row>
    <row r="5" spans="1:12" x14ac:dyDescent="0.2">
      <c r="A5" s="14">
        <f>[1]sales!A10</f>
        <v>46076</v>
      </c>
      <c r="B5" s="194">
        <f>[1]sales!B10</f>
        <v>0.71737268518518515</v>
      </c>
      <c r="C5" s="189" t="s">
        <v>49</v>
      </c>
      <c r="D5" s="14" t="str">
        <f>[1]sales!D10</f>
        <v>Coca cola</v>
      </c>
      <c r="E5" s="152">
        <f>+_xlfn.XLOOKUP(sales[[#This Row],[Fecha]],OPEX_VE!A:A,OPEX_VE!B:B)</f>
        <v>1</v>
      </c>
      <c r="F5" s="14" t="str">
        <f>+_xlfn.XLOOKUP(sales[[#This Row],[Fecha]],OPEX_VE!A:A,OPEX_VE!E:E)</f>
        <v>A) Día hábil</v>
      </c>
      <c r="G5" s="14" t="str">
        <f>+TEXT(sales[[#This Row],[Fecha]],"ddd")</f>
        <v>lun</v>
      </c>
      <c r="H5" s="190">
        <f>+sales[[#This Row],[Venta]]*0.4</f>
        <v>2400</v>
      </c>
      <c r="I5" s="103">
        <f>[1]sales!K10</f>
        <v>6000</v>
      </c>
      <c r="J5" s="79">
        <f>[1]sales!I10</f>
        <v>6000</v>
      </c>
      <c r="K5" s="52">
        <f>[1]sales!J10</f>
        <v>0</v>
      </c>
      <c r="L5" s="1"/>
    </row>
    <row r="6" spans="1:12" x14ac:dyDescent="0.2">
      <c r="A6" s="14">
        <f>[1]sales!A11</f>
        <v>46076</v>
      </c>
      <c r="B6" s="194">
        <f>[1]sales!B11</f>
        <v>0.72047453703703701</v>
      </c>
      <c r="C6" s="189" t="s">
        <v>49</v>
      </c>
      <c r="D6" s="14" t="str">
        <f>[1]sales!D11</f>
        <v>Chorizo</v>
      </c>
      <c r="E6" s="152">
        <f>+_xlfn.XLOOKUP(sales[[#This Row],[Fecha]],OPEX_VE!A:A,OPEX_VE!B:B)</f>
        <v>1</v>
      </c>
      <c r="F6" s="14" t="str">
        <f>+_xlfn.XLOOKUP(sales[[#This Row],[Fecha]],OPEX_VE!A:A,OPEX_VE!E:E)</f>
        <v>A) Día hábil</v>
      </c>
      <c r="G6" s="14" t="str">
        <f>+TEXT(sales[[#This Row],[Fecha]],"ddd")</f>
        <v>lun</v>
      </c>
      <c r="H6" s="190">
        <f>+sales[[#This Row],[Venta]]*0.4</f>
        <v>9600</v>
      </c>
      <c r="I6" s="103">
        <f>[1]sales!K11</f>
        <v>24000</v>
      </c>
      <c r="J6" s="79">
        <f>[1]sales!I11</f>
        <v>0</v>
      </c>
      <c r="K6" s="52">
        <f>[1]sales!J11</f>
        <v>24000</v>
      </c>
      <c r="L6" s="1"/>
    </row>
    <row r="7" spans="1:12" x14ac:dyDescent="0.2">
      <c r="A7" s="14">
        <f>[1]sales!A12</f>
        <v>46076</v>
      </c>
      <c r="B7" s="194">
        <f>[1]sales!B12</f>
        <v>0.75028935185185186</v>
      </c>
      <c r="C7" s="189" t="s">
        <v>49</v>
      </c>
      <c r="D7" s="14" t="str">
        <f>[1]sales!D12</f>
        <v>Agua</v>
      </c>
      <c r="E7" s="152">
        <f>+_xlfn.XLOOKUP(sales[[#This Row],[Fecha]],OPEX_VE!A:A,OPEX_VE!B:B)</f>
        <v>1</v>
      </c>
      <c r="F7" s="14" t="str">
        <f>+_xlfn.XLOOKUP(sales[[#This Row],[Fecha]],OPEX_VE!A:A,OPEX_VE!E:E)</f>
        <v>A) Día hábil</v>
      </c>
      <c r="G7" s="14" t="str">
        <f>+TEXT(sales[[#This Row],[Fecha]],"ddd")</f>
        <v>lun</v>
      </c>
      <c r="H7" s="190">
        <f>+sales[[#This Row],[Venta]]*0.4</f>
        <v>2400</v>
      </c>
      <c r="I7" s="103">
        <f>[1]sales!K12</f>
        <v>6000</v>
      </c>
      <c r="J7" s="79">
        <f>[1]sales!I12</f>
        <v>6000</v>
      </c>
      <c r="K7" s="52">
        <f>[1]sales!J12</f>
        <v>0</v>
      </c>
      <c r="L7" s="1"/>
    </row>
    <row r="8" spans="1:12" x14ac:dyDescent="0.2">
      <c r="A8" s="14">
        <f>[1]sales!A13</f>
        <v>46076</v>
      </c>
      <c r="B8" s="194">
        <f>[1]sales!B13</f>
        <v>0.75028935185185186</v>
      </c>
      <c r="C8" s="189" t="s">
        <v>49</v>
      </c>
      <c r="D8" s="14" t="str">
        <f>[1]sales!D13</f>
        <v>Chorizo</v>
      </c>
      <c r="E8" s="152">
        <f>+_xlfn.XLOOKUP(sales[[#This Row],[Fecha]],OPEX_VE!A:A,OPEX_VE!B:B)</f>
        <v>1</v>
      </c>
      <c r="F8" s="14" t="str">
        <f>+_xlfn.XLOOKUP(sales[[#This Row],[Fecha]],OPEX_VE!A:A,OPEX_VE!E:E)</f>
        <v>A) Día hábil</v>
      </c>
      <c r="G8" s="14" t="str">
        <f>+TEXT(sales[[#This Row],[Fecha]],"ddd")</f>
        <v>lun</v>
      </c>
      <c r="H8" s="190">
        <f>+sales[[#This Row],[Venta]]*0.4</f>
        <v>6400</v>
      </c>
      <c r="I8" s="103">
        <f>[1]sales!K13</f>
        <v>16000</v>
      </c>
      <c r="J8" s="79">
        <f>[1]sales!I13</f>
        <v>16000</v>
      </c>
      <c r="K8" s="52">
        <f>[1]sales!J13</f>
        <v>0</v>
      </c>
      <c r="L8" s="1"/>
    </row>
    <row r="9" spans="1:12" x14ac:dyDescent="0.2">
      <c r="A9" s="14">
        <f>[1]sales!A14</f>
        <v>46076</v>
      </c>
      <c r="B9" s="194">
        <f>[1]sales!B14</f>
        <v>0.7519675925925926</v>
      </c>
      <c r="C9" s="189" t="s">
        <v>49</v>
      </c>
      <c r="D9" s="14" t="str">
        <f>[1]sales!D14</f>
        <v>Chorizo</v>
      </c>
      <c r="E9" s="152">
        <f>+_xlfn.XLOOKUP(sales[[#This Row],[Fecha]],OPEX_VE!A:A,OPEX_VE!B:B)</f>
        <v>1</v>
      </c>
      <c r="F9" s="14" t="str">
        <f>+_xlfn.XLOOKUP(sales[[#This Row],[Fecha]],OPEX_VE!A:A,OPEX_VE!E:E)</f>
        <v>A) Día hábil</v>
      </c>
      <c r="G9" s="14" t="str">
        <f>+TEXT(sales[[#This Row],[Fecha]],"ddd")</f>
        <v>lun</v>
      </c>
      <c r="H9" s="190">
        <f>+sales[[#This Row],[Venta]]*0.4</f>
        <v>6400</v>
      </c>
      <c r="I9" s="103">
        <f>[1]sales!K14</f>
        <v>16000</v>
      </c>
      <c r="J9" s="79">
        <f>[1]sales!I14</f>
        <v>16000</v>
      </c>
      <c r="K9" s="52">
        <f>[1]sales!J14</f>
        <v>0</v>
      </c>
      <c r="L9" s="1"/>
    </row>
    <row r="10" spans="1:12" x14ac:dyDescent="0.2">
      <c r="A10" s="14">
        <f>[1]sales!A15</f>
        <v>46076</v>
      </c>
      <c r="B10" s="194">
        <f>[1]sales!B15</f>
        <v>0.7519675925925926</v>
      </c>
      <c r="C10" s="189" t="s">
        <v>49</v>
      </c>
      <c r="D10" s="14" t="str">
        <f>[1]sales!D15</f>
        <v>Postobon</v>
      </c>
      <c r="E10" s="152">
        <f>+_xlfn.XLOOKUP(sales[[#This Row],[Fecha]],OPEX_VE!A:A,OPEX_VE!B:B)</f>
        <v>1</v>
      </c>
      <c r="F10" s="14" t="str">
        <f>+_xlfn.XLOOKUP(sales[[#This Row],[Fecha]],OPEX_VE!A:A,OPEX_VE!E:E)</f>
        <v>A) Día hábil</v>
      </c>
      <c r="G10" s="14" t="str">
        <f>+TEXT(sales[[#This Row],[Fecha]],"ddd")</f>
        <v>lun</v>
      </c>
      <c r="H10" s="190">
        <f>+sales[[#This Row],[Venta]]*0.4</f>
        <v>1200</v>
      </c>
      <c r="I10" s="103">
        <f>[1]sales!K15</f>
        <v>3000</v>
      </c>
      <c r="J10" s="79">
        <f>[1]sales!I15</f>
        <v>3000</v>
      </c>
      <c r="K10" s="52">
        <f>[1]sales!J15</f>
        <v>0</v>
      </c>
      <c r="L10" s="1"/>
    </row>
    <row r="11" spans="1:12" x14ac:dyDescent="0.2">
      <c r="A11" s="14">
        <f>[1]sales!A16</f>
        <v>46076</v>
      </c>
      <c r="B11" s="194">
        <f>[1]sales!B16</f>
        <v>0.78722222222222227</v>
      </c>
      <c r="C11" s="189" t="s">
        <v>49</v>
      </c>
      <c r="D11" s="14" t="str">
        <f>[1]sales!D16</f>
        <v>Chorizo</v>
      </c>
      <c r="E11" s="152">
        <f>+_xlfn.XLOOKUP(sales[[#This Row],[Fecha]],OPEX_VE!A:A,OPEX_VE!B:B)</f>
        <v>1</v>
      </c>
      <c r="F11" s="14" t="str">
        <f>+_xlfn.XLOOKUP(sales[[#This Row],[Fecha]],OPEX_VE!A:A,OPEX_VE!E:E)</f>
        <v>A) Día hábil</v>
      </c>
      <c r="G11" s="14" t="str">
        <f>+TEXT(sales[[#This Row],[Fecha]],"ddd")</f>
        <v>lun</v>
      </c>
      <c r="H11" s="190">
        <f>+sales[[#This Row],[Venta]]*0.4</f>
        <v>3200</v>
      </c>
      <c r="I11" s="103">
        <f>[1]sales!K16</f>
        <v>8000</v>
      </c>
      <c r="J11" s="79">
        <f>[1]sales!I16</f>
        <v>8000</v>
      </c>
      <c r="K11" s="52">
        <f>[1]sales!J16</f>
        <v>0</v>
      </c>
      <c r="L11" s="1"/>
    </row>
    <row r="12" spans="1:12" x14ac:dyDescent="0.2">
      <c r="A12" s="14">
        <f>[1]sales!A17</f>
        <v>46076</v>
      </c>
      <c r="B12" s="194">
        <f>[1]sales!B17</f>
        <v>0.79547453703703708</v>
      </c>
      <c r="C12" s="189" t="s">
        <v>49</v>
      </c>
      <c r="D12" s="14" t="str">
        <f>[1]sales!D17</f>
        <v>Chorizo</v>
      </c>
      <c r="E12" s="152">
        <f>+_xlfn.XLOOKUP(sales[[#This Row],[Fecha]],OPEX_VE!A:A,OPEX_VE!B:B)</f>
        <v>1</v>
      </c>
      <c r="F12" s="14" t="str">
        <f>+_xlfn.XLOOKUP(sales[[#This Row],[Fecha]],OPEX_VE!A:A,OPEX_VE!E:E)</f>
        <v>A) Día hábil</v>
      </c>
      <c r="G12" s="14" t="str">
        <f>+TEXT(sales[[#This Row],[Fecha]],"ddd")</f>
        <v>lun</v>
      </c>
      <c r="H12" s="190">
        <f>+sales[[#This Row],[Venta]]*0.4</f>
        <v>6400</v>
      </c>
      <c r="I12" s="103">
        <f>[1]sales!K17</f>
        <v>16000</v>
      </c>
      <c r="J12" s="79">
        <f>[1]sales!I17</f>
        <v>16000</v>
      </c>
      <c r="K12" s="52">
        <f>[1]sales!J17</f>
        <v>0</v>
      </c>
      <c r="L12" s="1"/>
    </row>
    <row r="13" spans="1:12" x14ac:dyDescent="0.2">
      <c r="A13" s="14">
        <f>[1]sales!A18</f>
        <v>46076</v>
      </c>
      <c r="B13" s="194">
        <f>[1]sales!B18</f>
        <v>0.79547453703703708</v>
      </c>
      <c r="C13" s="189" t="s">
        <v>49</v>
      </c>
      <c r="D13" s="14" t="str">
        <f>[1]sales!D18</f>
        <v>Coca cola</v>
      </c>
      <c r="E13" s="152">
        <f>+_xlfn.XLOOKUP(sales[[#This Row],[Fecha]],OPEX_VE!A:A,OPEX_VE!B:B)</f>
        <v>1</v>
      </c>
      <c r="F13" s="14" t="str">
        <f>+_xlfn.XLOOKUP(sales[[#This Row],[Fecha]],OPEX_VE!A:A,OPEX_VE!E:E)</f>
        <v>A) Día hábil</v>
      </c>
      <c r="G13" s="14" t="str">
        <f>+TEXT(sales[[#This Row],[Fecha]],"ddd")</f>
        <v>lun</v>
      </c>
      <c r="H13" s="190">
        <f>+sales[[#This Row],[Venta]]*0.4</f>
        <v>2400</v>
      </c>
      <c r="I13" s="103">
        <f>[1]sales!K18</f>
        <v>6000</v>
      </c>
      <c r="J13" s="79">
        <f>[1]sales!I18</f>
        <v>6000</v>
      </c>
      <c r="K13" s="52">
        <f>[1]sales!J18</f>
        <v>0</v>
      </c>
      <c r="L13" s="1"/>
    </row>
    <row r="14" spans="1:12" x14ac:dyDescent="0.2">
      <c r="A14" s="14">
        <f>[1]sales!A19</f>
        <v>46076</v>
      </c>
      <c r="B14" s="194">
        <f>[1]sales!B19</f>
        <v>0.81828703703703709</v>
      </c>
      <c r="C14" s="189" t="s">
        <v>49</v>
      </c>
      <c r="D14" s="14" t="str">
        <f>[1]sales!D19</f>
        <v>Chorizo</v>
      </c>
      <c r="E14" s="152">
        <f>+_xlfn.XLOOKUP(sales[[#This Row],[Fecha]],OPEX_VE!A:A,OPEX_VE!B:B)</f>
        <v>1</v>
      </c>
      <c r="F14" s="14" t="str">
        <f>+_xlfn.XLOOKUP(sales[[#This Row],[Fecha]],OPEX_VE!A:A,OPEX_VE!E:E)</f>
        <v>A) Día hábil</v>
      </c>
      <c r="G14" s="14" t="str">
        <f>+TEXT(sales[[#This Row],[Fecha]],"ddd")</f>
        <v>lun</v>
      </c>
      <c r="H14" s="190">
        <f>+sales[[#This Row],[Venta]]*0.4</f>
        <v>9600</v>
      </c>
      <c r="I14" s="103">
        <f>[1]sales!K19</f>
        <v>24000</v>
      </c>
      <c r="J14" s="79">
        <f>[1]sales!I19</f>
        <v>24000</v>
      </c>
      <c r="K14" s="52">
        <f>[1]sales!J19</f>
        <v>0</v>
      </c>
      <c r="L14" s="1"/>
    </row>
    <row r="15" spans="1:12" x14ac:dyDescent="0.2">
      <c r="A15" s="14">
        <f>[1]sales!A20</f>
        <v>46076</v>
      </c>
      <c r="B15" s="194">
        <f>[1]sales!B20</f>
        <v>0.84164351851851849</v>
      </c>
      <c r="C15" s="189" t="s">
        <v>49</v>
      </c>
      <c r="D15" s="14" t="str">
        <f>[1]sales!D20</f>
        <v>Chorizo</v>
      </c>
      <c r="E15" s="152">
        <f>+_xlfn.XLOOKUP(sales[[#This Row],[Fecha]],OPEX_VE!A:A,OPEX_VE!B:B)</f>
        <v>1</v>
      </c>
      <c r="F15" s="14" t="str">
        <f>+_xlfn.XLOOKUP(sales[[#This Row],[Fecha]],OPEX_VE!A:A,OPEX_VE!E:E)</f>
        <v>A) Día hábil</v>
      </c>
      <c r="G15" s="14" t="str">
        <f>+TEXT(sales[[#This Row],[Fecha]],"ddd")</f>
        <v>lun</v>
      </c>
      <c r="H15" s="190">
        <f>+sales[[#This Row],[Venta]]*0.4</f>
        <v>3200</v>
      </c>
      <c r="I15" s="103">
        <f>[1]sales!K20</f>
        <v>8000</v>
      </c>
      <c r="J15" s="79">
        <f>[1]sales!I20</f>
        <v>8000</v>
      </c>
      <c r="K15" s="52">
        <f>[1]sales!J20</f>
        <v>0</v>
      </c>
      <c r="L15" s="1"/>
    </row>
    <row r="16" spans="1:12" x14ac:dyDescent="0.2">
      <c r="A16" s="14">
        <f>[1]sales!A21</f>
        <v>46076</v>
      </c>
      <c r="B16" s="194">
        <f>[1]sales!B21</f>
        <v>0.84385416666666668</v>
      </c>
      <c r="C16" s="189" t="s">
        <v>49</v>
      </c>
      <c r="D16" s="14" t="str">
        <f>[1]sales!D21</f>
        <v>Chorizo</v>
      </c>
      <c r="E16" s="152">
        <f>+_xlfn.XLOOKUP(sales[[#This Row],[Fecha]],OPEX_VE!A:A,OPEX_VE!B:B)</f>
        <v>1</v>
      </c>
      <c r="F16" s="14" t="str">
        <f>+_xlfn.XLOOKUP(sales[[#This Row],[Fecha]],OPEX_VE!A:A,OPEX_VE!E:E)</f>
        <v>A) Día hábil</v>
      </c>
      <c r="G16" s="14" t="str">
        <f>+TEXT(sales[[#This Row],[Fecha]],"ddd")</f>
        <v>lun</v>
      </c>
      <c r="H16" s="190">
        <f>+sales[[#This Row],[Venta]]*0.4</f>
        <v>3200</v>
      </c>
      <c r="I16" s="103">
        <f>[1]sales!K21</f>
        <v>8000</v>
      </c>
      <c r="J16" s="79">
        <f>[1]sales!I21</f>
        <v>8000</v>
      </c>
      <c r="K16" s="52">
        <f>[1]sales!J21</f>
        <v>0</v>
      </c>
      <c r="L16" s="1"/>
    </row>
    <row r="17" spans="1:12" x14ac:dyDescent="0.2">
      <c r="A17" s="14">
        <f>[1]sales!A22</f>
        <v>46076</v>
      </c>
      <c r="B17" s="194">
        <f>[1]sales!B22</f>
        <v>0.84565972222222219</v>
      </c>
      <c r="C17" s="189" t="s">
        <v>49</v>
      </c>
      <c r="D17" s="14" t="str">
        <f>[1]sales!D22</f>
        <v>Chorizo</v>
      </c>
      <c r="E17" s="152">
        <f>+_xlfn.XLOOKUP(sales[[#This Row],[Fecha]],OPEX_VE!A:A,OPEX_VE!B:B)</f>
        <v>1</v>
      </c>
      <c r="F17" s="14" t="str">
        <f>+_xlfn.XLOOKUP(sales[[#This Row],[Fecha]],OPEX_VE!A:A,OPEX_VE!E:E)</f>
        <v>A) Día hábil</v>
      </c>
      <c r="G17" s="14" t="str">
        <f>+TEXT(sales[[#This Row],[Fecha]],"ddd")</f>
        <v>lun</v>
      </c>
      <c r="H17" s="190">
        <f>+sales[[#This Row],[Venta]]*0.4</f>
        <v>3200</v>
      </c>
      <c r="I17" s="103">
        <f>[1]sales!K22</f>
        <v>8000</v>
      </c>
      <c r="J17" s="79">
        <f>[1]sales!I22</f>
        <v>8000</v>
      </c>
      <c r="K17" s="52">
        <f>[1]sales!J22</f>
        <v>0</v>
      </c>
      <c r="L17" s="1"/>
    </row>
    <row r="18" spans="1:12" x14ac:dyDescent="0.2">
      <c r="A18" s="14">
        <f>[1]sales!A23</f>
        <v>46076</v>
      </c>
      <c r="B18" s="194">
        <f>[1]sales!B23</f>
        <v>0.84565972222222219</v>
      </c>
      <c r="C18" s="189" t="s">
        <v>49</v>
      </c>
      <c r="D18" s="14" t="str">
        <f>[1]sales!D23</f>
        <v>Postobon</v>
      </c>
      <c r="E18" s="152">
        <f>+_xlfn.XLOOKUP(sales[[#This Row],[Fecha]],OPEX_VE!A:A,OPEX_VE!B:B)</f>
        <v>1</v>
      </c>
      <c r="F18" s="14" t="str">
        <f>+_xlfn.XLOOKUP(sales[[#This Row],[Fecha]],OPEX_VE!A:A,OPEX_VE!E:E)</f>
        <v>A) Día hábil</v>
      </c>
      <c r="G18" s="14" t="str">
        <f>+TEXT(sales[[#This Row],[Fecha]],"ddd")</f>
        <v>lun</v>
      </c>
      <c r="H18" s="190">
        <f>+sales[[#This Row],[Venta]]*0.4</f>
        <v>1200</v>
      </c>
      <c r="I18" s="103">
        <f>[1]sales!K23</f>
        <v>3000</v>
      </c>
      <c r="J18" s="79">
        <f>[1]sales!I23</f>
        <v>3000</v>
      </c>
      <c r="K18" s="52">
        <f>[1]sales!J23</f>
        <v>0</v>
      </c>
      <c r="L18" s="1"/>
    </row>
    <row r="19" spans="1:12" x14ac:dyDescent="0.2">
      <c r="A19" s="14">
        <f>[1]sales!A24</f>
        <v>46076</v>
      </c>
      <c r="B19" s="194">
        <f>[1]sales!B24</f>
        <v>0.85024305555555557</v>
      </c>
      <c r="C19" s="189" t="s">
        <v>49</v>
      </c>
      <c r="D19" s="14" t="str">
        <f>[1]sales!D24</f>
        <v>Chorizo</v>
      </c>
      <c r="E19" s="152">
        <f>+_xlfn.XLOOKUP(sales[[#This Row],[Fecha]],OPEX_VE!A:A,OPEX_VE!B:B)</f>
        <v>1</v>
      </c>
      <c r="F19" s="14" t="str">
        <f>+_xlfn.XLOOKUP(sales[[#This Row],[Fecha]],OPEX_VE!A:A,OPEX_VE!E:E)</f>
        <v>A) Día hábil</v>
      </c>
      <c r="G19" s="14" t="str">
        <f>+TEXT(sales[[#This Row],[Fecha]],"ddd")</f>
        <v>lun</v>
      </c>
      <c r="H19" s="190">
        <f>+sales[[#This Row],[Venta]]*0.4</f>
        <v>9600</v>
      </c>
      <c r="I19" s="103">
        <f>[1]sales!K24</f>
        <v>24000</v>
      </c>
      <c r="J19" s="79">
        <f>[1]sales!I24</f>
        <v>24000</v>
      </c>
      <c r="K19" s="52">
        <f>[1]sales!J24</f>
        <v>0</v>
      </c>
      <c r="L19" s="1"/>
    </row>
    <row r="20" spans="1:12" x14ac:dyDescent="0.2">
      <c r="A20" s="14">
        <f>[1]sales!A25</f>
        <v>46076</v>
      </c>
      <c r="B20" s="194">
        <f>[1]sales!B25</f>
        <v>0.85265046296296299</v>
      </c>
      <c r="C20" s="189" t="s">
        <v>49</v>
      </c>
      <c r="D20" s="14" t="str">
        <f>[1]sales!D25</f>
        <v>Chorizo</v>
      </c>
      <c r="E20" s="152">
        <f>+_xlfn.XLOOKUP(sales[[#This Row],[Fecha]],OPEX_VE!A:A,OPEX_VE!B:B)</f>
        <v>1</v>
      </c>
      <c r="F20" s="14" t="str">
        <f>+_xlfn.XLOOKUP(sales[[#This Row],[Fecha]],OPEX_VE!A:A,OPEX_VE!E:E)</f>
        <v>A) Día hábil</v>
      </c>
      <c r="G20" s="14" t="str">
        <f>+TEXT(sales[[#This Row],[Fecha]],"ddd")</f>
        <v>lun</v>
      </c>
      <c r="H20" s="190">
        <f>+sales[[#This Row],[Venta]]*0.4</f>
        <v>3200</v>
      </c>
      <c r="I20" s="103">
        <f>[1]sales!K25</f>
        <v>8000</v>
      </c>
      <c r="J20" s="79">
        <f>[1]sales!I25</f>
        <v>8000</v>
      </c>
      <c r="K20" s="52">
        <f>[1]sales!J25</f>
        <v>0</v>
      </c>
      <c r="L20" s="1"/>
    </row>
    <row r="21" spans="1:12" x14ac:dyDescent="0.2">
      <c r="A21" s="14">
        <f>[1]sales!A26</f>
        <v>46077</v>
      </c>
      <c r="B21" s="194">
        <f>[1]sales!B26</f>
        <v>0.64868055555555559</v>
      </c>
      <c r="C21" s="189" t="s">
        <v>49</v>
      </c>
      <c r="D21" s="14" t="str">
        <f>[1]sales!D26</f>
        <v>Chorizo</v>
      </c>
      <c r="E21" s="152">
        <f>+_xlfn.XLOOKUP(sales[[#This Row],[Fecha]],OPEX_VE!A:A,OPEX_VE!B:B)</f>
        <v>1</v>
      </c>
      <c r="F21" s="14" t="str">
        <f>+_xlfn.XLOOKUP(sales[[#This Row],[Fecha]],OPEX_VE!A:A,OPEX_VE!E:E)</f>
        <v>A) Día hábil</v>
      </c>
      <c r="G21" s="14" t="str">
        <f>+TEXT(sales[[#This Row],[Fecha]],"ddd")</f>
        <v>mar</v>
      </c>
      <c r="H21" s="190">
        <f>+sales[[#This Row],[Venta]]*0.4</f>
        <v>16000</v>
      </c>
      <c r="I21" s="103">
        <f>[1]sales!K26</f>
        <v>40000</v>
      </c>
      <c r="J21" s="79">
        <f>[1]sales!I26</f>
        <v>40000</v>
      </c>
      <c r="K21" s="52">
        <f>[1]sales!J26</f>
        <v>0</v>
      </c>
      <c r="L21" s="1"/>
    </row>
    <row r="22" spans="1:12" x14ac:dyDescent="0.2">
      <c r="A22" s="14">
        <f>[1]sales!A27</f>
        <v>46077</v>
      </c>
      <c r="B22" s="194">
        <f>[1]sales!B27</f>
        <v>0.64935185185185185</v>
      </c>
      <c r="C22" s="189" t="s">
        <v>49</v>
      </c>
      <c r="D22" s="14" t="str">
        <f>[1]sales!D27</f>
        <v>Chorizo</v>
      </c>
      <c r="E22" s="152">
        <f>+_xlfn.XLOOKUP(sales[[#This Row],[Fecha]],OPEX_VE!A:A,OPEX_VE!B:B)</f>
        <v>1</v>
      </c>
      <c r="F22" s="14" t="str">
        <f>+_xlfn.XLOOKUP(sales[[#This Row],[Fecha]],OPEX_VE!A:A,OPEX_VE!E:E)</f>
        <v>A) Día hábil</v>
      </c>
      <c r="G22" s="14" t="str">
        <f>+TEXT(sales[[#This Row],[Fecha]],"ddd")</f>
        <v>mar</v>
      </c>
      <c r="H22" s="190">
        <f>+sales[[#This Row],[Venta]]*0.4</f>
        <v>9600</v>
      </c>
      <c r="I22" s="103">
        <f>[1]sales!K27</f>
        <v>24000</v>
      </c>
      <c r="J22" s="79">
        <f>[1]sales!I27</f>
        <v>24000</v>
      </c>
      <c r="K22" s="52">
        <f>[1]sales!J27</f>
        <v>0</v>
      </c>
      <c r="L22" s="1"/>
    </row>
    <row r="23" spans="1:12" x14ac:dyDescent="0.2">
      <c r="A23" s="14">
        <f>[1]sales!A28</f>
        <v>46077</v>
      </c>
      <c r="B23" s="194">
        <f>[1]sales!B28</f>
        <v>0.74003472222222222</v>
      </c>
      <c r="C23" s="189" t="s">
        <v>49</v>
      </c>
      <c r="D23" s="14" t="str">
        <f>[1]sales!D28</f>
        <v>Chorizo</v>
      </c>
      <c r="E23" s="152">
        <f>+_xlfn.XLOOKUP(sales[[#This Row],[Fecha]],OPEX_VE!A:A,OPEX_VE!B:B)</f>
        <v>1</v>
      </c>
      <c r="F23" s="14" t="str">
        <f>+_xlfn.XLOOKUP(sales[[#This Row],[Fecha]],OPEX_VE!A:A,OPEX_VE!E:E)</f>
        <v>A) Día hábil</v>
      </c>
      <c r="G23" s="14" t="str">
        <f>+TEXT(sales[[#This Row],[Fecha]],"ddd")</f>
        <v>mar</v>
      </c>
      <c r="H23" s="190">
        <f>+sales[[#This Row],[Venta]]*0.4</f>
        <v>3200</v>
      </c>
      <c r="I23" s="103">
        <f>[1]sales!K28</f>
        <v>8000</v>
      </c>
      <c r="J23" s="79">
        <f>[1]sales!I28</f>
        <v>8000</v>
      </c>
      <c r="K23" s="52">
        <f>[1]sales!J28</f>
        <v>0</v>
      </c>
      <c r="L23" s="1"/>
    </row>
    <row r="24" spans="1:12" x14ac:dyDescent="0.2">
      <c r="A24" s="14">
        <f>[1]sales!A29</f>
        <v>46077</v>
      </c>
      <c r="B24" s="194">
        <f>[1]sales!B29</f>
        <v>0.75960648148148147</v>
      </c>
      <c r="C24" s="189" t="s">
        <v>49</v>
      </c>
      <c r="D24" s="14" t="str">
        <f>[1]sales!D29</f>
        <v>Chorizo</v>
      </c>
      <c r="E24" s="152">
        <f>+_xlfn.XLOOKUP(sales[[#This Row],[Fecha]],OPEX_VE!A:A,OPEX_VE!B:B)</f>
        <v>1</v>
      </c>
      <c r="F24" s="14" t="str">
        <f>+_xlfn.XLOOKUP(sales[[#This Row],[Fecha]],OPEX_VE!A:A,OPEX_VE!E:E)</f>
        <v>A) Día hábil</v>
      </c>
      <c r="G24" s="14" t="str">
        <f>+TEXT(sales[[#This Row],[Fecha]],"ddd")</f>
        <v>mar</v>
      </c>
      <c r="H24" s="190">
        <f>+sales[[#This Row],[Venta]]*0.4</f>
        <v>3200</v>
      </c>
      <c r="I24" s="103">
        <f>[1]sales!K29</f>
        <v>8000</v>
      </c>
      <c r="J24" s="79">
        <f>[1]sales!I29</f>
        <v>8000</v>
      </c>
      <c r="K24" s="52">
        <f>[1]sales!J29</f>
        <v>0</v>
      </c>
      <c r="L24" s="1"/>
    </row>
    <row r="25" spans="1:12" x14ac:dyDescent="0.2">
      <c r="A25" s="14">
        <f>[1]sales!A30</f>
        <v>46077</v>
      </c>
      <c r="B25" s="194">
        <f>[1]sales!B30</f>
        <v>0.77417824074074071</v>
      </c>
      <c r="C25" s="189" t="s">
        <v>49</v>
      </c>
      <c r="D25" s="14" t="str">
        <f>[1]sales!D30</f>
        <v>Chorizo</v>
      </c>
      <c r="E25" s="152">
        <f>+_xlfn.XLOOKUP(sales[[#This Row],[Fecha]],OPEX_VE!A:A,OPEX_VE!B:B)</f>
        <v>1</v>
      </c>
      <c r="F25" s="14" t="str">
        <f>+_xlfn.XLOOKUP(sales[[#This Row],[Fecha]],OPEX_VE!A:A,OPEX_VE!E:E)</f>
        <v>A) Día hábil</v>
      </c>
      <c r="G25" s="14" t="str">
        <f>+TEXT(sales[[#This Row],[Fecha]],"ddd")</f>
        <v>mar</v>
      </c>
      <c r="H25" s="190">
        <f>+sales[[#This Row],[Venta]]*0.4</f>
        <v>6400</v>
      </c>
      <c r="I25" s="103">
        <f>[1]sales!K30</f>
        <v>16000</v>
      </c>
      <c r="J25" s="79">
        <f>[1]sales!I30</f>
        <v>16000</v>
      </c>
      <c r="K25" s="52">
        <f>[1]sales!J30</f>
        <v>0</v>
      </c>
      <c r="L25" s="1"/>
    </row>
    <row r="26" spans="1:12" x14ac:dyDescent="0.2">
      <c r="A26" s="14">
        <f>[1]sales!A31</f>
        <v>46077</v>
      </c>
      <c r="B26" s="194">
        <f>[1]sales!B31</f>
        <v>0.7751851851851852</v>
      </c>
      <c r="C26" s="189" t="s">
        <v>49</v>
      </c>
      <c r="D26" s="14" t="str">
        <f>[1]sales!D31</f>
        <v>Chorizo</v>
      </c>
      <c r="E26" s="152">
        <f>+_xlfn.XLOOKUP(sales[[#This Row],[Fecha]],OPEX_VE!A:A,OPEX_VE!B:B)</f>
        <v>1</v>
      </c>
      <c r="F26" s="14" t="str">
        <f>+_xlfn.XLOOKUP(sales[[#This Row],[Fecha]],OPEX_VE!A:A,OPEX_VE!E:E)</f>
        <v>A) Día hábil</v>
      </c>
      <c r="G26" s="14" t="str">
        <f>+TEXT(sales[[#This Row],[Fecha]],"ddd")</f>
        <v>mar</v>
      </c>
      <c r="H26" s="190">
        <f>+sales[[#This Row],[Venta]]*0.4</f>
        <v>3200</v>
      </c>
      <c r="I26" s="103">
        <f>[1]sales!K31</f>
        <v>8000</v>
      </c>
      <c r="J26" s="79">
        <f>[1]sales!I31</f>
        <v>8000</v>
      </c>
      <c r="K26" s="52">
        <f>[1]sales!J31</f>
        <v>0</v>
      </c>
      <c r="L26" s="1"/>
    </row>
    <row r="27" spans="1:12" x14ac:dyDescent="0.2">
      <c r="A27" s="14">
        <f>[1]sales!A32</f>
        <v>46077</v>
      </c>
      <c r="B27" s="194">
        <f>[1]sales!B32</f>
        <v>0.77952546296296299</v>
      </c>
      <c r="C27" s="189" t="s">
        <v>49</v>
      </c>
      <c r="D27" s="14" t="str">
        <f>[1]sales!D32</f>
        <v>Chori- CRUDO</v>
      </c>
      <c r="E27" s="152">
        <f>+_xlfn.XLOOKUP(sales[[#This Row],[Fecha]],OPEX_VE!A:A,OPEX_VE!B:B)</f>
        <v>1</v>
      </c>
      <c r="F27" s="14" t="str">
        <f>+_xlfn.XLOOKUP(sales[[#This Row],[Fecha]],OPEX_VE!A:A,OPEX_VE!E:E)</f>
        <v>A) Día hábil</v>
      </c>
      <c r="G27" s="14" t="str">
        <f>+TEXT(sales[[#This Row],[Fecha]],"ddd")</f>
        <v>mar</v>
      </c>
      <c r="H27" s="190">
        <f>+sales[[#This Row],[Venta]]*0.4</f>
        <v>3600</v>
      </c>
      <c r="I27" s="103">
        <f>[1]sales!K32</f>
        <v>9000</v>
      </c>
      <c r="J27" s="79">
        <f>[1]sales!I32</f>
        <v>9000</v>
      </c>
      <c r="K27" s="52">
        <f>[1]sales!J32</f>
        <v>0</v>
      </c>
      <c r="L27" s="1"/>
    </row>
    <row r="28" spans="1:12" x14ac:dyDescent="0.2">
      <c r="A28" s="14">
        <f>[1]sales!A33</f>
        <v>46077</v>
      </c>
      <c r="B28" s="194">
        <f>[1]sales!B33</f>
        <v>0.77952546296296299</v>
      </c>
      <c r="C28" s="189" t="s">
        <v>49</v>
      </c>
      <c r="D28" s="14" t="str">
        <f>[1]sales!D33</f>
        <v>Chorizo</v>
      </c>
      <c r="E28" s="152">
        <f>+_xlfn.XLOOKUP(sales[[#This Row],[Fecha]],OPEX_VE!A:A,OPEX_VE!B:B)</f>
        <v>1</v>
      </c>
      <c r="F28" s="14" t="str">
        <f>+_xlfn.XLOOKUP(sales[[#This Row],[Fecha]],OPEX_VE!A:A,OPEX_VE!E:E)</f>
        <v>A) Día hábil</v>
      </c>
      <c r="G28" s="14" t="str">
        <f>+TEXT(sales[[#This Row],[Fecha]],"ddd")</f>
        <v>mar</v>
      </c>
      <c r="H28" s="190">
        <f>+sales[[#This Row],[Venta]]*0.4</f>
        <v>3200</v>
      </c>
      <c r="I28" s="103">
        <f>[1]sales!K33</f>
        <v>8000</v>
      </c>
      <c r="J28" s="79">
        <f>[1]sales!I33</f>
        <v>8000</v>
      </c>
      <c r="K28" s="52">
        <f>[1]sales!J33</f>
        <v>0</v>
      </c>
      <c r="L28" s="1"/>
    </row>
    <row r="29" spans="1:12" x14ac:dyDescent="0.2">
      <c r="A29" s="14">
        <f>[1]sales!A34</f>
        <v>46077</v>
      </c>
      <c r="B29" s="194">
        <f>[1]sales!B34</f>
        <v>0.79715277777777782</v>
      </c>
      <c r="C29" s="189" t="s">
        <v>49</v>
      </c>
      <c r="D29" s="14" t="str">
        <f>[1]sales!D34</f>
        <v>Chorizo</v>
      </c>
      <c r="E29" s="152">
        <f>+_xlfn.XLOOKUP(sales[[#This Row],[Fecha]],OPEX_VE!A:A,OPEX_VE!B:B)</f>
        <v>1</v>
      </c>
      <c r="F29" s="14" t="str">
        <f>+_xlfn.XLOOKUP(sales[[#This Row],[Fecha]],OPEX_VE!A:A,OPEX_VE!E:E)</f>
        <v>A) Día hábil</v>
      </c>
      <c r="G29" s="14" t="str">
        <f>+TEXT(sales[[#This Row],[Fecha]],"ddd")</f>
        <v>mar</v>
      </c>
      <c r="H29" s="190">
        <f>+sales[[#This Row],[Venta]]*0.4</f>
        <v>3200</v>
      </c>
      <c r="I29" s="103">
        <f>[1]sales!K34</f>
        <v>8000</v>
      </c>
      <c r="J29" s="79">
        <f>[1]sales!I34</f>
        <v>8000</v>
      </c>
      <c r="K29" s="52">
        <f>[1]sales!J34</f>
        <v>0</v>
      </c>
      <c r="L29" s="1"/>
    </row>
    <row r="30" spans="1:12" x14ac:dyDescent="0.2">
      <c r="A30" s="14">
        <f>[1]sales!A35</f>
        <v>46077</v>
      </c>
      <c r="B30" s="194">
        <f>[1]sales!B35</f>
        <v>0.83438657407407413</v>
      </c>
      <c r="C30" s="189" t="s">
        <v>49</v>
      </c>
      <c r="D30" s="14" t="str">
        <f>[1]sales!D35</f>
        <v>Chorizo</v>
      </c>
      <c r="E30" s="152">
        <f>+_xlfn.XLOOKUP(sales[[#This Row],[Fecha]],OPEX_VE!A:A,OPEX_VE!B:B)</f>
        <v>1</v>
      </c>
      <c r="F30" s="14" t="str">
        <f>+_xlfn.XLOOKUP(sales[[#This Row],[Fecha]],OPEX_VE!A:A,OPEX_VE!E:E)</f>
        <v>A) Día hábil</v>
      </c>
      <c r="G30" s="14" t="str">
        <f>+TEXT(sales[[#This Row],[Fecha]],"ddd")</f>
        <v>mar</v>
      </c>
      <c r="H30" s="190">
        <f>+sales[[#This Row],[Venta]]*0.4</f>
        <v>3200</v>
      </c>
      <c r="I30" s="103">
        <f>[1]sales!K35</f>
        <v>8000</v>
      </c>
      <c r="J30" s="79">
        <f>[1]sales!I35</f>
        <v>0</v>
      </c>
      <c r="K30" s="52">
        <f>[1]sales!J35</f>
        <v>8000</v>
      </c>
      <c r="L30" s="1"/>
    </row>
    <row r="31" spans="1:12" x14ac:dyDescent="0.2">
      <c r="A31" s="14">
        <f>[1]sales!A36</f>
        <v>46077</v>
      </c>
      <c r="B31" s="194">
        <f>[1]sales!B36</f>
        <v>0.83687500000000004</v>
      </c>
      <c r="C31" s="189" t="s">
        <v>49</v>
      </c>
      <c r="D31" s="14" t="str">
        <f>[1]sales!D36</f>
        <v>Chorizo</v>
      </c>
      <c r="E31" s="152">
        <f>+_xlfn.XLOOKUP(sales[[#This Row],[Fecha]],OPEX_VE!A:A,OPEX_VE!B:B)</f>
        <v>1</v>
      </c>
      <c r="F31" s="14" t="str">
        <f>+_xlfn.XLOOKUP(sales[[#This Row],[Fecha]],OPEX_VE!A:A,OPEX_VE!E:E)</f>
        <v>A) Día hábil</v>
      </c>
      <c r="G31" s="14" t="str">
        <f>+TEXT(sales[[#This Row],[Fecha]],"ddd")</f>
        <v>mar</v>
      </c>
      <c r="H31" s="190">
        <f>+sales[[#This Row],[Venta]]*0.4</f>
        <v>3200</v>
      </c>
      <c r="I31" s="103">
        <f>[1]sales!K36</f>
        <v>8000</v>
      </c>
      <c r="J31" s="79">
        <f>[1]sales!I36</f>
        <v>8000</v>
      </c>
      <c r="K31" s="52">
        <f>[1]sales!J36</f>
        <v>0</v>
      </c>
      <c r="L31" s="1"/>
    </row>
    <row r="32" spans="1:12" x14ac:dyDescent="0.2">
      <c r="A32" s="14">
        <f>[1]sales!A37</f>
        <v>46077</v>
      </c>
      <c r="B32" s="194">
        <f>[1]sales!B37</f>
        <v>0.84701388888888884</v>
      </c>
      <c r="C32" s="189" t="s">
        <v>49</v>
      </c>
      <c r="D32" s="14" t="str">
        <f>[1]sales!D37</f>
        <v>Agua</v>
      </c>
      <c r="E32" s="152">
        <f>+_xlfn.XLOOKUP(sales[[#This Row],[Fecha]],OPEX_VE!A:A,OPEX_VE!B:B)</f>
        <v>1</v>
      </c>
      <c r="F32" s="14" t="str">
        <f>+_xlfn.XLOOKUP(sales[[#This Row],[Fecha]],OPEX_VE!A:A,OPEX_VE!E:E)</f>
        <v>A) Día hábil</v>
      </c>
      <c r="G32" s="14" t="str">
        <f>+TEXT(sales[[#This Row],[Fecha]],"ddd")</f>
        <v>mar</v>
      </c>
      <c r="H32" s="190">
        <f>+sales[[#This Row],[Venta]]*0.4</f>
        <v>1200</v>
      </c>
      <c r="I32" s="103">
        <f>[1]sales!K37</f>
        <v>3000</v>
      </c>
      <c r="J32" s="79">
        <f>[1]sales!I37</f>
        <v>3000</v>
      </c>
      <c r="K32" s="52">
        <f>[1]sales!J37</f>
        <v>0</v>
      </c>
      <c r="L32" s="1"/>
    </row>
    <row r="33" spans="1:12" x14ac:dyDescent="0.2">
      <c r="A33" s="14">
        <f>[1]sales!A38</f>
        <v>46077</v>
      </c>
      <c r="B33" s="194">
        <f>[1]sales!B38</f>
        <v>0.84701388888888884</v>
      </c>
      <c r="C33" s="189" t="s">
        <v>49</v>
      </c>
      <c r="D33" s="14" t="str">
        <f>[1]sales!D38</f>
        <v>Chorizo</v>
      </c>
      <c r="E33" s="152">
        <f>+_xlfn.XLOOKUP(sales[[#This Row],[Fecha]],OPEX_VE!A:A,OPEX_VE!B:B)</f>
        <v>1</v>
      </c>
      <c r="F33" s="14" t="str">
        <f>+_xlfn.XLOOKUP(sales[[#This Row],[Fecha]],OPEX_VE!A:A,OPEX_VE!E:E)</f>
        <v>A) Día hábil</v>
      </c>
      <c r="G33" s="14" t="str">
        <f>+TEXT(sales[[#This Row],[Fecha]],"ddd")</f>
        <v>mar</v>
      </c>
      <c r="H33" s="190">
        <f>+sales[[#This Row],[Venta]]*0.4</f>
        <v>9600</v>
      </c>
      <c r="I33" s="103">
        <f>[1]sales!K38</f>
        <v>24000</v>
      </c>
      <c r="J33" s="79">
        <f>[1]sales!I38</f>
        <v>24000</v>
      </c>
      <c r="K33" s="52">
        <f>[1]sales!J38</f>
        <v>0</v>
      </c>
      <c r="L33" s="1"/>
    </row>
    <row r="34" spans="1:12" x14ac:dyDescent="0.2">
      <c r="A34" s="14">
        <f>[1]sales!A39</f>
        <v>46077</v>
      </c>
      <c r="B34" s="194">
        <f>[1]sales!B39</f>
        <v>0.84701388888888884</v>
      </c>
      <c r="C34" s="189" t="s">
        <v>49</v>
      </c>
      <c r="D34" s="14" t="str">
        <f>[1]sales!D39</f>
        <v>Postobon</v>
      </c>
      <c r="E34" s="152">
        <f>+_xlfn.XLOOKUP(sales[[#This Row],[Fecha]],OPEX_VE!A:A,OPEX_VE!B:B)</f>
        <v>1</v>
      </c>
      <c r="F34" s="14" t="str">
        <f>+_xlfn.XLOOKUP(sales[[#This Row],[Fecha]],OPEX_VE!A:A,OPEX_VE!E:E)</f>
        <v>A) Día hábil</v>
      </c>
      <c r="G34" s="14" t="str">
        <f>+TEXT(sales[[#This Row],[Fecha]],"ddd")</f>
        <v>mar</v>
      </c>
      <c r="H34" s="190">
        <f>+sales[[#This Row],[Venta]]*0.4</f>
        <v>1200</v>
      </c>
      <c r="I34" s="103">
        <f>[1]sales!K39</f>
        <v>3000</v>
      </c>
      <c r="J34" s="79">
        <f>[1]sales!I39</f>
        <v>3000</v>
      </c>
      <c r="K34" s="52">
        <f>[1]sales!J39</f>
        <v>0</v>
      </c>
      <c r="L34" s="1"/>
    </row>
    <row r="35" spans="1:12" x14ac:dyDescent="0.2">
      <c r="A35" s="14">
        <f>[1]sales!A40</f>
        <v>46077</v>
      </c>
      <c r="B35" s="194">
        <f>[1]sales!B40</f>
        <v>0.84987268518518522</v>
      </c>
      <c r="C35" s="189" t="s">
        <v>49</v>
      </c>
      <c r="D35" s="14" t="str">
        <f>[1]sales!D40</f>
        <v>Chorizo</v>
      </c>
      <c r="E35" s="152">
        <f>+_xlfn.XLOOKUP(sales[[#This Row],[Fecha]],OPEX_VE!A:A,OPEX_VE!B:B)</f>
        <v>1</v>
      </c>
      <c r="F35" s="14" t="str">
        <f>+_xlfn.XLOOKUP(sales[[#This Row],[Fecha]],OPEX_VE!A:A,OPEX_VE!E:E)</f>
        <v>A) Día hábil</v>
      </c>
      <c r="G35" s="14" t="str">
        <f>+TEXT(sales[[#This Row],[Fecha]],"ddd")</f>
        <v>mar</v>
      </c>
      <c r="H35" s="190">
        <f>+sales[[#This Row],[Venta]]*0.4</f>
        <v>12800</v>
      </c>
      <c r="I35" s="103">
        <f>[1]sales!K40</f>
        <v>32000</v>
      </c>
      <c r="J35" s="79">
        <f>[1]sales!I40</f>
        <v>32000</v>
      </c>
      <c r="K35" s="52">
        <f>[1]sales!J40</f>
        <v>0</v>
      </c>
      <c r="L35" s="1"/>
    </row>
    <row r="36" spans="1:12" x14ac:dyDescent="0.2">
      <c r="A36" s="14">
        <f>[1]sales!A41</f>
        <v>46077</v>
      </c>
      <c r="B36" s="194">
        <f>[1]sales!B41</f>
        <v>0.84987268518518522</v>
      </c>
      <c r="C36" s="189" t="s">
        <v>49</v>
      </c>
      <c r="D36" s="14" t="str">
        <f>[1]sales!D41</f>
        <v>Coca cola</v>
      </c>
      <c r="E36" s="152">
        <f>+_xlfn.XLOOKUP(sales[[#This Row],[Fecha]],OPEX_VE!A:A,OPEX_VE!B:B)</f>
        <v>1</v>
      </c>
      <c r="F36" s="14" t="str">
        <f>+_xlfn.XLOOKUP(sales[[#This Row],[Fecha]],OPEX_VE!A:A,OPEX_VE!E:E)</f>
        <v>A) Día hábil</v>
      </c>
      <c r="G36" s="14" t="str">
        <f>+TEXT(sales[[#This Row],[Fecha]],"ddd")</f>
        <v>mar</v>
      </c>
      <c r="H36" s="190">
        <f>+sales[[#This Row],[Venta]]*0.4</f>
        <v>2400</v>
      </c>
      <c r="I36" s="103">
        <f>[1]sales!K41</f>
        <v>6000</v>
      </c>
      <c r="J36" s="79">
        <f>[1]sales!I41</f>
        <v>6000</v>
      </c>
      <c r="K36" s="52">
        <f>[1]sales!J41</f>
        <v>0</v>
      </c>
      <c r="L36" s="1"/>
    </row>
    <row r="37" spans="1:12" x14ac:dyDescent="0.2">
      <c r="A37" s="14">
        <f>[1]sales!A42</f>
        <v>46077</v>
      </c>
      <c r="B37" s="194">
        <f>[1]sales!B42</f>
        <v>0.86760416666666662</v>
      </c>
      <c r="C37" s="189" t="s">
        <v>49</v>
      </c>
      <c r="D37" s="14" t="str">
        <f>[1]sales!D42</f>
        <v>Chorizo</v>
      </c>
      <c r="E37" s="152">
        <f>+_xlfn.XLOOKUP(sales[[#This Row],[Fecha]],OPEX_VE!A:A,OPEX_VE!B:B)</f>
        <v>1</v>
      </c>
      <c r="F37" s="14" t="str">
        <f>+_xlfn.XLOOKUP(sales[[#This Row],[Fecha]],OPEX_VE!A:A,OPEX_VE!E:E)</f>
        <v>A) Día hábil</v>
      </c>
      <c r="G37" s="14" t="str">
        <f>+TEXT(sales[[#This Row],[Fecha]],"ddd")</f>
        <v>mar</v>
      </c>
      <c r="H37" s="190">
        <f>+sales[[#This Row],[Venta]]*0.4</f>
        <v>3200</v>
      </c>
      <c r="I37" s="103">
        <f>[1]sales!K42</f>
        <v>8000</v>
      </c>
      <c r="J37" s="79">
        <f>[1]sales!I42</f>
        <v>8000</v>
      </c>
      <c r="K37" s="52">
        <f>[1]sales!J42</f>
        <v>0</v>
      </c>
      <c r="L37" s="1"/>
    </row>
    <row r="38" spans="1:12" x14ac:dyDescent="0.2">
      <c r="A38" s="14">
        <f>[1]sales!A43</f>
        <v>46078</v>
      </c>
      <c r="B38" s="194">
        <f>[1]sales!B43</f>
        <v>0.57804398148148151</v>
      </c>
      <c r="C38" s="189" t="s">
        <v>49</v>
      </c>
      <c r="D38" s="14" t="str">
        <f>[1]sales!D43</f>
        <v>Chorizo</v>
      </c>
      <c r="E38" s="152">
        <f>+_xlfn.XLOOKUP(sales[[#This Row],[Fecha]],OPEX_VE!A:A,OPEX_VE!B:B)</f>
        <v>1</v>
      </c>
      <c r="F38" s="14" t="str">
        <f>+_xlfn.XLOOKUP(sales[[#This Row],[Fecha]],OPEX_VE!A:A,OPEX_VE!E:E)</f>
        <v>A) Día hábil</v>
      </c>
      <c r="G38" s="14" t="str">
        <f>+TEXT(sales[[#This Row],[Fecha]],"ddd")</f>
        <v>mié</v>
      </c>
      <c r="H38" s="190">
        <f>+sales[[#This Row],[Venta]]*0.4</f>
        <v>3200</v>
      </c>
      <c r="I38" s="103">
        <f>[1]sales!K43</f>
        <v>8000</v>
      </c>
      <c r="J38" s="79">
        <f>[1]sales!I43</f>
        <v>8000</v>
      </c>
      <c r="K38" s="52">
        <f>[1]sales!J43</f>
        <v>0</v>
      </c>
      <c r="L38" s="1"/>
    </row>
    <row r="39" spans="1:12" x14ac:dyDescent="0.2">
      <c r="A39" s="14">
        <f>[1]sales!A44</f>
        <v>46078</v>
      </c>
      <c r="B39" s="194">
        <f>[1]sales!B44</f>
        <v>0.57990740740740743</v>
      </c>
      <c r="C39" s="189" t="s">
        <v>49</v>
      </c>
      <c r="D39" s="14" t="str">
        <f>[1]sales!D44</f>
        <v>Chorizo</v>
      </c>
      <c r="E39" s="152">
        <f>+_xlfn.XLOOKUP(sales[[#This Row],[Fecha]],OPEX_VE!A:A,OPEX_VE!B:B)</f>
        <v>1</v>
      </c>
      <c r="F39" s="14" t="str">
        <f>+_xlfn.XLOOKUP(sales[[#This Row],[Fecha]],OPEX_VE!A:A,OPEX_VE!E:E)</f>
        <v>A) Día hábil</v>
      </c>
      <c r="G39" s="14" t="str">
        <f>+TEXT(sales[[#This Row],[Fecha]],"ddd")</f>
        <v>mié</v>
      </c>
      <c r="H39" s="190">
        <f>+sales[[#This Row],[Venta]]*0.4</f>
        <v>3200</v>
      </c>
      <c r="I39" s="103">
        <f>[1]sales!K44</f>
        <v>8000</v>
      </c>
      <c r="J39" s="79">
        <f>[1]sales!I44</f>
        <v>8000</v>
      </c>
      <c r="K39" s="52">
        <f>[1]sales!J44</f>
        <v>0</v>
      </c>
      <c r="L39" s="1"/>
    </row>
    <row r="40" spans="1:12" x14ac:dyDescent="0.2">
      <c r="A40" s="14">
        <f>[1]sales!A45</f>
        <v>46078</v>
      </c>
      <c r="B40" s="194">
        <f>[1]sales!B45</f>
        <v>0.58693287037037034</v>
      </c>
      <c r="C40" s="189" t="s">
        <v>49</v>
      </c>
      <c r="D40" s="14" t="str">
        <f>[1]sales!D45</f>
        <v>Chorizo</v>
      </c>
      <c r="E40" s="152">
        <f>+_xlfn.XLOOKUP(sales[[#This Row],[Fecha]],OPEX_VE!A:A,OPEX_VE!B:B)</f>
        <v>1</v>
      </c>
      <c r="F40" s="14" t="str">
        <f>+_xlfn.XLOOKUP(sales[[#This Row],[Fecha]],OPEX_VE!A:A,OPEX_VE!E:E)</f>
        <v>A) Día hábil</v>
      </c>
      <c r="G40" s="14" t="str">
        <f>+TEXT(sales[[#This Row],[Fecha]],"ddd")</f>
        <v>mié</v>
      </c>
      <c r="H40" s="190">
        <f>+sales[[#This Row],[Venta]]*0.4</f>
        <v>3200</v>
      </c>
      <c r="I40" s="103">
        <f>[1]sales!K45</f>
        <v>8000</v>
      </c>
      <c r="J40" s="79">
        <f>[1]sales!I45</f>
        <v>8000</v>
      </c>
      <c r="K40" s="52">
        <f>[1]sales!J45</f>
        <v>0</v>
      </c>
      <c r="L40" s="1"/>
    </row>
    <row r="41" spans="1:12" x14ac:dyDescent="0.2">
      <c r="A41" s="14">
        <f>[1]sales!A46</f>
        <v>46078</v>
      </c>
      <c r="B41" s="194">
        <f>[1]sales!B46</f>
        <v>0.59138888888888885</v>
      </c>
      <c r="C41" s="189" t="s">
        <v>49</v>
      </c>
      <c r="D41" s="14" t="str">
        <f>[1]sales!D46</f>
        <v>parri tres carnes</v>
      </c>
      <c r="E41" s="152">
        <f>+_xlfn.XLOOKUP(sales[[#This Row],[Fecha]],OPEX_VE!A:A,OPEX_VE!B:B)</f>
        <v>1</v>
      </c>
      <c r="F41" s="14" t="str">
        <f>+_xlfn.XLOOKUP(sales[[#This Row],[Fecha]],OPEX_VE!A:A,OPEX_VE!E:E)</f>
        <v>A) Día hábil</v>
      </c>
      <c r="G41" s="14" t="str">
        <f>+TEXT(sales[[#This Row],[Fecha]],"ddd")</f>
        <v>mié</v>
      </c>
      <c r="H41" s="190">
        <f>+sales[[#This Row],[Venta]]*0.4</f>
        <v>14000</v>
      </c>
      <c r="I41" s="103">
        <f>[1]sales!K46</f>
        <v>35000</v>
      </c>
      <c r="J41" s="79">
        <f>[1]sales!I46</f>
        <v>35000</v>
      </c>
      <c r="K41" s="52">
        <f>[1]sales!J46</f>
        <v>0</v>
      </c>
      <c r="L41" s="1"/>
    </row>
    <row r="42" spans="1:12" x14ac:dyDescent="0.2">
      <c r="A42" s="14">
        <f>[1]sales!A47</f>
        <v>46078</v>
      </c>
      <c r="B42" s="194">
        <f>[1]sales!B47</f>
        <v>0.60063657407407411</v>
      </c>
      <c r="C42" s="189" t="s">
        <v>49</v>
      </c>
      <c r="D42" s="14" t="str">
        <f>[1]sales!D47</f>
        <v>parri tres carnes</v>
      </c>
      <c r="E42" s="152">
        <f>+_xlfn.XLOOKUP(sales[[#This Row],[Fecha]],OPEX_VE!A:A,OPEX_VE!B:B)</f>
        <v>1</v>
      </c>
      <c r="F42" s="14" t="str">
        <f>+_xlfn.XLOOKUP(sales[[#This Row],[Fecha]],OPEX_VE!A:A,OPEX_VE!E:E)</f>
        <v>A) Día hábil</v>
      </c>
      <c r="G42" s="14" t="str">
        <f>+TEXT(sales[[#This Row],[Fecha]],"ddd")</f>
        <v>mié</v>
      </c>
      <c r="H42" s="190">
        <f>+sales[[#This Row],[Venta]]*0.4</f>
        <v>14000</v>
      </c>
      <c r="I42" s="103">
        <f>[1]sales!K47</f>
        <v>35000</v>
      </c>
      <c r="J42" s="79">
        <f>[1]sales!I47</f>
        <v>35000</v>
      </c>
      <c r="K42" s="52">
        <f>[1]sales!J47</f>
        <v>0</v>
      </c>
      <c r="L42" s="1"/>
    </row>
    <row r="43" spans="1:12" x14ac:dyDescent="0.2">
      <c r="A43" s="14">
        <f>[1]sales!A48</f>
        <v>46078</v>
      </c>
      <c r="B43" s="194">
        <f>[1]sales!B48</f>
        <v>0.6012615740740741</v>
      </c>
      <c r="C43" s="189" t="s">
        <v>49</v>
      </c>
      <c r="D43" s="14" t="str">
        <f>[1]sales!D48</f>
        <v>Chorizo</v>
      </c>
      <c r="E43" s="152">
        <f>+_xlfn.XLOOKUP(sales[[#This Row],[Fecha]],OPEX_VE!A:A,OPEX_VE!B:B)</f>
        <v>1</v>
      </c>
      <c r="F43" s="14" t="str">
        <f>+_xlfn.XLOOKUP(sales[[#This Row],[Fecha]],OPEX_VE!A:A,OPEX_VE!E:E)</f>
        <v>A) Día hábil</v>
      </c>
      <c r="G43" s="14" t="str">
        <f>+TEXT(sales[[#This Row],[Fecha]],"ddd")</f>
        <v>mié</v>
      </c>
      <c r="H43" s="190">
        <f>+sales[[#This Row],[Venta]]*0.4</f>
        <v>6400</v>
      </c>
      <c r="I43" s="103">
        <f>[1]sales!K48</f>
        <v>16000</v>
      </c>
      <c r="J43" s="79">
        <f>[1]sales!I48</f>
        <v>16000</v>
      </c>
      <c r="K43" s="52">
        <f>[1]sales!J48</f>
        <v>0</v>
      </c>
      <c r="L43" s="1"/>
    </row>
    <row r="44" spans="1:12" x14ac:dyDescent="0.2">
      <c r="A44" s="14">
        <f>[1]sales!A49</f>
        <v>46078</v>
      </c>
      <c r="B44" s="194">
        <f>[1]sales!B49</f>
        <v>0.69451388888888888</v>
      </c>
      <c r="C44" s="189" t="s">
        <v>49</v>
      </c>
      <c r="D44" s="14" t="str">
        <f>[1]sales!D49</f>
        <v>Chorizo</v>
      </c>
      <c r="E44" s="152">
        <f>+_xlfn.XLOOKUP(sales[[#This Row],[Fecha]],OPEX_VE!A:A,OPEX_VE!B:B)</f>
        <v>1</v>
      </c>
      <c r="F44" s="14" t="str">
        <f>+_xlfn.XLOOKUP(sales[[#This Row],[Fecha]],OPEX_VE!A:A,OPEX_VE!E:E)</f>
        <v>A) Día hábil</v>
      </c>
      <c r="G44" s="14" t="str">
        <f>+TEXT(sales[[#This Row],[Fecha]],"ddd")</f>
        <v>mié</v>
      </c>
      <c r="H44" s="190">
        <f>+sales[[#This Row],[Venta]]*0.4</f>
        <v>3200</v>
      </c>
      <c r="I44" s="103">
        <f>[1]sales!K49</f>
        <v>8000</v>
      </c>
      <c r="J44" s="79">
        <f>[1]sales!I49</f>
        <v>8000</v>
      </c>
      <c r="K44" s="52">
        <f>[1]sales!J49</f>
        <v>0</v>
      </c>
      <c r="L44" s="1"/>
    </row>
    <row r="45" spans="1:12" x14ac:dyDescent="0.2">
      <c r="A45" s="14">
        <f>[1]sales!A50</f>
        <v>46078</v>
      </c>
      <c r="B45" s="194">
        <f>[1]sales!B50</f>
        <v>0.69530092592592596</v>
      </c>
      <c r="C45" s="189" t="s">
        <v>49</v>
      </c>
      <c r="D45" s="14" t="str">
        <f>[1]sales!D50</f>
        <v>Chorizo</v>
      </c>
      <c r="E45" s="152">
        <f>+_xlfn.XLOOKUP(sales[[#This Row],[Fecha]],OPEX_VE!A:A,OPEX_VE!B:B)</f>
        <v>1</v>
      </c>
      <c r="F45" s="14" t="str">
        <f>+_xlfn.XLOOKUP(sales[[#This Row],[Fecha]],OPEX_VE!A:A,OPEX_VE!E:E)</f>
        <v>A) Día hábil</v>
      </c>
      <c r="G45" s="14" t="str">
        <f>+TEXT(sales[[#This Row],[Fecha]],"ddd")</f>
        <v>mié</v>
      </c>
      <c r="H45" s="190">
        <f>+sales[[#This Row],[Venta]]*0.4</f>
        <v>3200</v>
      </c>
      <c r="I45" s="103">
        <f>[1]sales!K50</f>
        <v>8000</v>
      </c>
      <c r="J45" s="79">
        <f>[1]sales!I50</f>
        <v>0</v>
      </c>
      <c r="K45" s="52">
        <f>[1]sales!J50</f>
        <v>8000</v>
      </c>
      <c r="L45" s="1"/>
    </row>
    <row r="46" spans="1:12" x14ac:dyDescent="0.2">
      <c r="A46" s="14">
        <f>[1]sales!A51</f>
        <v>46078</v>
      </c>
      <c r="B46" s="194">
        <f>[1]sales!B51</f>
        <v>0.76214120370370375</v>
      </c>
      <c r="C46" s="189" t="s">
        <v>49</v>
      </c>
      <c r="D46" s="14" t="str">
        <f>[1]sales!D51</f>
        <v>Chorizo</v>
      </c>
      <c r="E46" s="152">
        <f>+_xlfn.XLOOKUP(sales[[#This Row],[Fecha]],OPEX_VE!A:A,OPEX_VE!B:B)</f>
        <v>1</v>
      </c>
      <c r="F46" s="14" t="str">
        <f>+_xlfn.XLOOKUP(sales[[#This Row],[Fecha]],OPEX_VE!A:A,OPEX_VE!E:E)</f>
        <v>A) Día hábil</v>
      </c>
      <c r="G46" s="14" t="str">
        <f>+TEXT(sales[[#This Row],[Fecha]],"ddd")</f>
        <v>mié</v>
      </c>
      <c r="H46" s="190">
        <f>+sales[[#This Row],[Venta]]*0.4</f>
        <v>3200</v>
      </c>
      <c r="I46" s="103">
        <f>[1]sales!K51</f>
        <v>8000</v>
      </c>
      <c r="J46" s="79">
        <f>[1]sales!I51</f>
        <v>8000</v>
      </c>
      <c r="K46" s="52">
        <f>[1]sales!J51</f>
        <v>0</v>
      </c>
      <c r="L46" s="1"/>
    </row>
    <row r="47" spans="1:12" x14ac:dyDescent="0.2">
      <c r="A47" s="14">
        <f>[1]sales!A52</f>
        <v>46078</v>
      </c>
      <c r="B47" s="194">
        <f>[1]sales!B52</f>
        <v>0.76402777777777775</v>
      </c>
      <c r="C47" s="189" t="s">
        <v>49</v>
      </c>
      <c r="D47" s="14" t="str">
        <f>[1]sales!D52</f>
        <v>Chorizo</v>
      </c>
      <c r="E47" s="152">
        <f>+_xlfn.XLOOKUP(sales[[#This Row],[Fecha]],OPEX_VE!A:A,OPEX_VE!B:B)</f>
        <v>1</v>
      </c>
      <c r="F47" s="14" t="str">
        <f>+_xlfn.XLOOKUP(sales[[#This Row],[Fecha]],OPEX_VE!A:A,OPEX_VE!E:E)</f>
        <v>A) Día hábil</v>
      </c>
      <c r="G47" s="14" t="str">
        <f>+TEXT(sales[[#This Row],[Fecha]],"ddd")</f>
        <v>mié</v>
      </c>
      <c r="H47" s="190">
        <f>+sales[[#This Row],[Venta]]*0.4</f>
        <v>3200</v>
      </c>
      <c r="I47" s="103">
        <f>[1]sales!K52</f>
        <v>8000</v>
      </c>
      <c r="J47" s="79">
        <f>[1]sales!I52</f>
        <v>8000</v>
      </c>
      <c r="K47" s="52">
        <f>[1]sales!J52</f>
        <v>0</v>
      </c>
      <c r="L47" s="1"/>
    </row>
    <row r="48" spans="1:12" x14ac:dyDescent="0.2">
      <c r="A48" s="14">
        <f>[1]sales!A53</f>
        <v>46078</v>
      </c>
      <c r="B48" s="194">
        <f>[1]sales!B53</f>
        <v>0.76837962962962958</v>
      </c>
      <c r="C48" s="189" t="s">
        <v>49</v>
      </c>
      <c r="D48" s="14" t="str">
        <f>[1]sales!D53</f>
        <v>Chorizo</v>
      </c>
      <c r="E48" s="152">
        <f>+_xlfn.XLOOKUP(sales[[#This Row],[Fecha]],OPEX_VE!A:A,OPEX_VE!B:B)</f>
        <v>1</v>
      </c>
      <c r="F48" s="14" t="str">
        <f>+_xlfn.XLOOKUP(sales[[#This Row],[Fecha]],OPEX_VE!A:A,OPEX_VE!E:E)</f>
        <v>A) Día hábil</v>
      </c>
      <c r="G48" s="14" t="str">
        <f>+TEXT(sales[[#This Row],[Fecha]],"ddd")</f>
        <v>mié</v>
      </c>
      <c r="H48" s="190">
        <f>+sales[[#This Row],[Venta]]*0.4</f>
        <v>3200</v>
      </c>
      <c r="I48" s="103">
        <f>[1]sales!K53</f>
        <v>8000</v>
      </c>
      <c r="J48" s="79">
        <f>[1]sales!I53</f>
        <v>8000</v>
      </c>
      <c r="K48" s="52">
        <f>[1]sales!J53</f>
        <v>0</v>
      </c>
      <c r="L48" s="1"/>
    </row>
    <row r="49" spans="1:12" x14ac:dyDescent="0.2">
      <c r="A49" s="14">
        <f>[1]sales!A54</f>
        <v>46078</v>
      </c>
      <c r="B49" s="194">
        <f>[1]sales!B54</f>
        <v>0.77375000000000005</v>
      </c>
      <c r="C49" s="189" t="s">
        <v>49</v>
      </c>
      <c r="D49" s="14" t="str">
        <f>[1]sales!D54</f>
        <v>Chorizo</v>
      </c>
      <c r="E49" s="152">
        <f>+_xlfn.XLOOKUP(sales[[#This Row],[Fecha]],OPEX_VE!A:A,OPEX_VE!B:B)</f>
        <v>1</v>
      </c>
      <c r="F49" s="14" t="str">
        <f>+_xlfn.XLOOKUP(sales[[#This Row],[Fecha]],OPEX_VE!A:A,OPEX_VE!E:E)</f>
        <v>A) Día hábil</v>
      </c>
      <c r="G49" s="14" t="str">
        <f>+TEXT(sales[[#This Row],[Fecha]],"ddd")</f>
        <v>mié</v>
      </c>
      <c r="H49" s="190">
        <f>+sales[[#This Row],[Venta]]*0.4</f>
        <v>16000</v>
      </c>
      <c r="I49" s="103">
        <f>[1]sales!K54</f>
        <v>40000</v>
      </c>
      <c r="J49" s="79">
        <f>[1]sales!I54</f>
        <v>40000</v>
      </c>
      <c r="K49" s="52">
        <f>[1]sales!J54</f>
        <v>0</v>
      </c>
      <c r="L49" s="1"/>
    </row>
    <row r="50" spans="1:12" x14ac:dyDescent="0.2">
      <c r="A50" s="14">
        <f>[1]sales!A55</f>
        <v>46078</v>
      </c>
      <c r="B50" s="194">
        <f>[1]sales!B55</f>
        <v>0.77424768518518516</v>
      </c>
      <c r="C50" s="189" t="s">
        <v>49</v>
      </c>
      <c r="D50" s="14" t="str">
        <f>[1]sales!D55</f>
        <v>Coca cola</v>
      </c>
      <c r="E50" s="152">
        <f>+_xlfn.XLOOKUP(sales[[#This Row],[Fecha]],OPEX_VE!A:A,OPEX_VE!B:B)</f>
        <v>1</v>
      </c>
      <c r="F50" s="14" t="str">
        <f>+_xlfn.XLOOKUP(sales[[#This Row],[Fecha]],OPEX_VE!A:A,OPEX_VE!E:E)</f>
        <v>A) Día hábil</v>
      </c>
      <c r="G50" s="14" t="str">
        <f>+TEXT(sales[[#This Row],[Fecha]],"ddd")</f>
        <v>mié</v>
      </c>
      <c r="H50" s="190">
        <f>+sales[[#This Row],[Venta]]*0.4</f>
        <v>2400</v>
      </c>
      <c r="I50" s="103">
        <f>[1]sales!K55</f>
        <v>6000</v>
      </c>
      <c r="J50" s="79">
        <f>[1]sales!I55</f>
        <v>6000</v>
      </c>
      <c r="K50" s="52">
        <f>[1]sales!J55</f>
        <v>0</v>
      </c>
      <c r="L50" s="1"/>
    </row>
    <row r="51" spans="1:12" x14ac:dyDescent="0.2">
      <c r="A51" s="14">
        <f>[1]sales!A56</f>
        <v>46078</v>
      </c>
      <c r="B51" s="194">
        <f>[1]sales!B56</f>
        <v>0.77424768518518516</v>
      </c>
      <c r="C51" s="189" t="s">
        <v>49</v>
      </c>
      <c r="D51" s="14" t="str">
        <f>[1]sales!D56</f>
        <v>Postobon</v>
      </c>
      <c r="E51" s="152">
        <f>+_xlfn.XLOOKUP(sales[[#This Row],[Fecha]],OPEX_VE!A:A,OPEX_VE!B:B)</f>
        <v>1</v>
      </c>
      <c r="F51" s="14" t="str">
        <f>+_xlfn.XLOOKUP(sales[[#This Row],[Fecha]],OPEX_VE!A:A,OPEX_VE!E:E)</f>
        <v>A) Día hábil</v>
      </c>
      <c r="G51" s="14" t="str">
        <f>+TEXT(sales[[#This Row],[Fecha]],"ddd")</f>
        <v>mié</v>
      </c>
      <c r="H51" s="190">
        <f>+sales[[#This Row],[Venta]]*0.4</f>
        <v>1200</v>
      </c>
      <c r="I51" s="103">
        <f>[1]sales!K56</f>
        <v>3000</v>
      </c>
      <c r="J51" s="79">
        <f>[1]sales!I56</f>
        <v>3000</v>
      </c>
      <c r="K51" s="52">
        <f>[1]sales!J56</f>
        <v>0</v>
      </c>
      <c r="L51" s="1"/>
    </row>
    <row r="52" spans="1:12" x14ac:dyDescent="0.2">
      <c r="A52" s="14">
        <f>[1]sales!A57</f>
        <v>46078</v>
      </c>
      <c r="B52" s="194">
        <f>[1]sales!B57</f>
        <v>0.77776620370370375</v>
      </c>
      <c r="C52" s="189" t="s">
        <v>49</v>
      </c>
      <c r="D52" s="14" t="str">
        <f>[1]sales!D57</f>
        <v>Chorizo</v>
      </c>
      <c r="E52" s="152">
        <f>+_xlfn.XLOOKUP(sales[[#This Row],[Fecha]],OPEX_VE!A:A,OPEX_VE!B:B)</f>
        <v>1</v>
      </c>
      <c r="F52" s="14" t="str">
        <f>+_xlfn.XLOOKUP(sales[[#This Row],[Fecha]],OPEX_VE!A:A,OPEX_VE!E:E)</f>
        <v>A) Día hábil</v>
      </c>
      <c r="G52" s="14" t="str">
        <f>+TEXT(sales[[#This Row],[Fecha]],"ddd")</f>
        <v>mié</v>
      </c>
      <c r="H52" s="190">
        <f>+sales[[#This Row],[Venta]]*0.4</f>
        <v>9600</v>
      </c>
      <c r="I52" s="103">
        <f>[1]sales!K57</f>
        <v>24000</v>
      </c>
      <c r="J52" s="79">
        <f>[1]sales!I57</f>
        <v>24000</v>
      </c>
      <c r="K52" s="52">
        <f>[1]sales!J57</f>
        <v>0</v>
      </c>
      <c r="L52" s="1"/>
    </row>
    <row r="53" spans="1:12" x14ac:dyDescent="0.2">
      <c r="A53" s="14">
        <f>[1]sales!A58</f>
        <v>46078</v>
      </c>
      <c r="B53" s="194">
        <f>[1]sales!B58</f>
        <v>0.79901620370370374</v>
      </c>
      <c r="C53" s="189" t="s">
        <v>49</v>
      </c>
      <c r="D53" s="14" t="str">
        <f>[1]sales!D58</f>
        <v>Chorizo</v>
      </c>
      <c r="E53" s="152">
        <f>+_xlfn.XLOOKUP(sales[[#This Row],[Fecha]],OPEX_VE!A:A,OPEX_VE!B:B)</f>
        <v>1</v>
      </c>
      <c r="F53" s="14" t="str">
        <f>+_xlfn.XLOOKUP(sales[[#This Row],[Fecha]],OPEX_VE!A:A,OPEX_VE!E:E)</f>
        <v>A) Día hábil</v>
      </c>
      <c r="G53" s="14" t="str">
        <f>+TEXT(sales[[#This Row],[Fecha]],"ddd")</f>
        <v>mié</v>
      </c>
      <c r="H53" s="190">
        <f>+sales[[#This Row],[Venta]]*0.4</f>
        <v>3200</v>
      </c>
      <c r="I53" s="103">
        <f>[1]sales!K58</f>
        <v>8000</v>
      </c>
      <c r="J53" s="79">
        <f>[1]sales!I58</f>
        <v>0</v>
      </c>
      <c r="K53" s="52">
        <f>[1]sales!J58</f>
        <v>8000</v>
      </c>
      <c r="L53" s="1"/>
    </row>
    <row r="54" spans="1:12" x14ac:dyDescent="0.2">
      <c r="A54" s="14">
        <f>[1]sales!A59</f>
        <v>46078</v>
      </c>
      <c r="B54" s="194">
        <f>[1]sales!B59</f>
        <v>0.80049768518518516</v>
      </c>
      <c r="C54" s="189" t="s">
        <v>49</v>
      </c>
      <c r="D54" s="14" t="str">
        <f>[1]sales!D59</f>
        <v>Chorizo</v>
      </c>
      <c r="E54" s="152">
        <f>+_xlfn.XLOOKUP(sales[[#This Row],[Fecha]],OPEX_VE!A:A,OPEX_VE!B:B)</f>
        <v>1</v>
      </c>
      <c r="F54" s="14" t="str">
        <f>+_xlfn.XLOOKUP(sales[[#This Row],[Fecha]],OPEX_VE!A:A,OPEX_VE!E:E)</f>
        <v>A) Día hábil</v>
      </c>
      <c r="G54" s="14" t="str">
        <f>+TEXT(sales[[#This Row],[Fecha]],"ddd")</f>
        <v>mié</v>
      </c>
      <c r="H54" s="190">
        <f>+sales[[#This Row],[Venta]]*0.4</f>
        <v>3200</v>
      </c>
      <c r="I54" s="103">
        <f>[1]sales!K59</f>
        <v>8000</v>
      </c>
      <c r="J54" s="79">
        <f>[1]sales!I59</f>
        <v>8000</v>
      </c>
      <c r="K54" s="52">
        <f>[1]sales!J59</f>
        <v>0</v>
      </c>
      <c r="L54" s="1"/>
    </row>
    <row r="55" spans="1:12" x14ac:dyDescent="0.2">
      <c r="A55" s="14">
        <f>[1]sales!A60</f>
        <v>46078</v>
      </c>
      <c r="B55" s="194">
        <f>[1]sales!B60</f>
        <v>0.80049768518518516</v>
      </c>
      <c r="C55" s="189" t="s">
        <v>49</v>
      </c>
      <c r="D55" s="14" t="str">
        <f>[1]sales!D60</f>
        <v>Coca cola</v>
      </c>
      <c r="E55" s="152">
        <f>+_xlfn.XLOOKUP(sales[[#This Row],[Fecha]],OPEX_VE!A:A,OPEX_VE!B:B)</f>
        <v>1</v>
      </c>
      <c r="F55" s="14" t="str">
        <f>+_xlfn.XLOOKUP(sales[[#This Row],[Fecha]],OPEX_VE!A:A,OPEX_VE!E:E)</f>
        <v>A) Día hábil</v>
      </c>
      <c r="G55" s="14" t="str">
        <f>+TEXT(sales[[#This Row],[Fecha]],"ddd")</f>
        <v>mié</v>
      </c>
      <c r="H55" s="190">
        <f>+sales[[#This Row],[Venta]]*0.4</f>
        <v>1200</v>
      </c>
      <c r="I55" s="103">
        <f>[1]sales!K60</f>
        <v>3000</v>
      </c>
      <c r="J55" s="79">
        <f>[1]sales!I60</f>
        <v>3000</v>
      </c>
      <c r="K55" s="52">
        <f>[1]sales!J60</f>
        <v>0</v>
      </c>
      <c r="L55" s="1"/>
    </row>
    <row r="56" spans="1:12" x14ac:dyDescent="0.2">
      <c r="A56" s="14">
        <f>[1]sales!A61</f>
        <v>46078</v>
      </c>
      <c r="B56" s="194">
        <f>[1]sales!B61</f>
        <v>0.80687500000000001</v>
      </c>
      <c r="C56" s="189" t="s">
        <v>49</v>
      </c>
      <c r="D56" s="14" t="str">
        <f>[1]sales!D61</f>
        <v>Chori- CRUDO</v>
      </c>
      <c r="E56" s="152">
        <f>+_xlfn.XLOOKUP(sales[[#This Row],[Fecha]],OPEX_VE!A:A,OPEX_VE!B:B)</f>
        <v>1</v>
      </c>
      <c r="F56" s="14" t="str">
        <f>+_xlfn.XLOOKUP(sales[[#This Row],[Fecha]],OPEX_VE!A:A,OPEX_VE!E:E)</f>
        <v>A) Día hábil</v>
      </c>
      <c r="G56" s="14" t="str">
        <f>+TEXT(sales[[#This Row],[Fecha]],"ddd")</f>
        <v>mié</v>
      </c>
      <c r="H56" s="190">
        <f>+sales[[#This Row],[Venta]]*0.4</f>
        <v>9000</v>
      </c>
      <c r="I56" s="103">
        <f>[1]sales!K61</f>
        <v>22500</v>
      </c>
      <c r="J56" s="79">
        <f>[1]sales!I61</f>
        <v>0</v>
      </c>
      <c r="K56" s="52">
        <f>[1]sales!J61</f>
        <v>22500</v>
      </c>
      <c r="L56" s="1"/>
    </row>
    <row r="57" spans="1:12" x14ac:dyDescent="0.2">
      <c r="A57" s="14">
        <f>[1]sales!A62</f>
        <v>46078</v>
      </c>
      <c r="B57" s="194">
        <f>[1]sales!B62</f>
        <v>0.8189467592592593</v>
      </c>
      <c r="C57" s="189" t="s">
        <v>49</v>
      </c>
      <c r="D57" s="14" t="str">
        <f>[1]sales!D62</f>
        <v>parri tres carnes</v>
      </c>
      <c r="E57" s="152">
        <f>+_xlfn.XLOOKUP(sales[[#This Row],[Fecha]],OPEX_VE!A:A,OPEX_VE!B:B)</f>
        <v>1</v>
      </c>
      <c r="F57" s="14" t="str">
        <f>+_xlfn.XLOOKUP(sales[[#This Row],[Fecha]],OPEX_VE!A:A,OPEX_VE!E:E)</f>
        <v>A) Día hábil</v>
      </c>
      <c r="G57" s="14" t="str">
        <f>+TEXT(sales[[#This Row],[Fecha]],"ddd")</f>
        <v>mié</v>
      </c>
      <c r="H57" s="190">
        <f>+sales[[#This Row],[Venta]]*0.4</f>
        <v>14000</v>
      </c>
      <c r="I57" s="103">
        <f>[1]sales!K62</f>
        <v>35000</v>
      </c>
      <c r="J57" s="79">
        <f>[1]sales!I62</f>
        <v>35000</v>
      </c>
      <c r="K57" s="52">
        <f>[1]sales!J62</f>
        <v>0</v>
      </c>
      <c r="L57" s="1"/>
    </row>
    <row r="58" spans="1:12" x14ac:dyDescent="0.2">
      <c r="A58" s="14">
        <f>[1]sales!A63</f>
        <v>46078</v>
      </c>
      <c r="B58" s="194">
        <f>[1]sales!B63</f>
        <v>0.8189467592592593</v>
      </c>
      <c r="C58" s="189" t="s">
        <v>49</v>
      </c>
      <c r="D58" s="14" t="str">
        <f>[1]sales!D63</f>
        <v>Postobon</v>
      </c>
      <c r="E58" s="152">
        <f>+_xlfn.XLOOKUP(sales[[#This Row],[Fecha]],OPEX_VE!A:A,OPEX_VE!B:B)</f>
        <v>1</v>
      </c>
      <c r="F58" s="14" t="str">
        <f>+_xlfn.XLOOKUP(sales[[#This Row],[Fecha]],OPEX_VE!A:A,OPEX_VE!E:E)</f>
        <v>A) Día hábil</v>
      </c>
      <c r="G58" s="14" t="str">
        <f>+TEXT(sales[[#This Row],[Fecha]],"ddd")</f>
        <v>mié</v>
      </c>
      <c r="H58" s="190">
        <f>+sales[[#This Row],[Venta]]*0.4</f>
        <v>1200</v>
      </c>
      <c r="I58" s="103">
        <f>[1]sales!K63</f>
        <v>3000</v>
      </c>
      <c r="J58" s="79">
        <f>[1]sales!I63</f>
        <v>3000</v>
      </c>
      <c r="K58" s="52">
        <f>[1]sales!J63</f>
        <v>0</v>
      </c>
      <c r="L58" s="1"/>
    </row>
    <row r="59" spans="1:12" x14ac:dyDescent="0.2">
      <c r="A59" s="14">
        <f>[1]sales!A64</f>
        <v>46078</v>
      </c>
      <c r="B59" s="194">
        <f>[1]sales!B64</f>
        <v>0.8197916666666667</v>
      </c>
      <c r="C59" s="189" t="s">
        <v>49</v>
      </c>
      <c r="D59" s="14" t="str">
        <f>[1]sales!D64</f>
        <v>Chorizo</v>
      </c>
      <c r="E59" s="152">
        <f>+_xlfn.XLOOKUP(sales[[#This Row],[Fecha]],OPEX_VE!A:A,OPEX_VE!B:B)</f>
        <v>1</v>
      </c>
      <c r="F59" s="14" t="str">
        <f>+_xlfn.XLOOKUP(sales[[#This Row],[Fecha]],OPEX_VE!A:A,OPEX_VE!E:E)</f>
        <v>A) Día hábil</v>
      </c>
      <c r="G59" s="14" t="str">
        <f>+TEXT(sales[[#This Row],[Fecha]],"ddd")</f>
        <v>mié</v>
      </c>
      <c r="H59" s="190">
        <f>+sales[[#This Row],[Venta]]*0.4</f>
        <v>6400</v>
      </c>
      <c r="I59" s="103">
        <f>[1]sales!K64</f>
        <v>16000</v>
      </c>
      <c r="J59" s="79">
        <f>[1]sales!I64</f>
        <v>16000</v>
      </c>
      <c r="K59" s="52">
        <f>[1]sales!J64</f>
        <v>0</v>
      </c>
      <c r="L59" s="1"/>
    </row>
    <row r="60" spans="1:12" x14ac:dyDescent="0.2">
      <c r="A60" s="14">
        <f>[1]sales!A65</f>
        <v>46078</v>
      </c>
      <c r="B60" s="194">
        <f>[1]sales!B65</f>
        <v>0.83253472222222225</v>
      </c>
      <c r="C60" s="189" t="s">
        <v>49</v>
      </c>
      <c r="D60" s="14" t="str">
        <f>[1]sales!D65</f>
        <v>Chorizo</v>
      </c>
      <c r="E60" s="152">
        <f>+_xlfn.XLOOKUP(sales[[#This Row],[Fecha]],OPEX_VE!A:A,OPEX_VE!B:B)</f>
        <v>1</v>
      </c>
      <c r="F60" s="14" t="str">
        <f>+_xlfn.XLOOKUP(sales[[#This Row],[Fecha]],OPEX_VE!A:A,OPEX_VE!E:E)</f>
        <v>A) Día hábil</v>
      </c>
      <c r="G60" s="14" t="str">
        <f>+TEXT(sales[[#This Row],[Fecha]],"ddd")</f>
        <v>mié</v>
      </c>
      <c r="H60" s="190">
        <f>+sales[[#This Row],[Venta]]*0.4</f>
        <v>6400</v>
      </c>
      <c r="I60" s="103">
        <f>[1]sales!K65</f>
        <v>16000</v>
      </c>
      <c r="J60" s="79">
        <f>[1]sales!I65</f>
        <v>16000</v>
      </c>
      <c r="K60" s="52">
        <f>[1]sales!J65</f>
        <v>0</v>
      </c>
      <c r="L60" s="1"/>
    </row>
    <row r="61" spans="1:12" x14ac:dyDescent="0.2">
      <c r="A61" s="14">
        <f>[1]sales!A66</f>
        <v>46078</v>
      </c>
      <c r="B61" s="194">
        <f>[1]sales!B66</f>
        <v>0.83809027777777778</v>
      </c>
      <c r="C61" s="189" t="s">
        <v>49</v>
      </c>
      <c r="D61" s="14" t="str">
        <f>[1]sales!D66</f>
        <v>Chorizo</v>
      </c>
      <c r="E61" s="152">
        <f>+_xlfn.XLOOKUP(sales[[#This Row],[Fecha]],OPEX_VE!A:A,OPEX_VE!B:B)</f>
        <v>1</v>
      </c>
      <c r="F61" s="14" t="str">
        <f>+_xlfn.XLOOKUP(sales[[#This Row],[Fecha]],OPEX_VE!A:A,OPEX_VE!E:E)</f>
        <v>A) Día hábil</v>
      </c>
      <c r="G61" s="14" t="str">
        <f>+TEXT(sales[[#This Row],[Fecha]],"ddd")</f>
        <v>mié</v>
      </c>
      <c r="H61" s="190">
        <f>+sales[[#This Row],[Venta]]*0.4</f>
        <v>12800</v>
      </c>
      <c r="I61" s="103">
        <f>[1]sales!K66</f>
        <v>32000</v>
      </c>
      <c r="J61" s="79">
        <f>[1]sales!I66</f>
        <v>32000</v>
      </c>
      <c r="K61" s="52">
        <f>[1]sales!J66</f>
        <v>0</v>
      </c>
      <c r="L61" s="1"/>
    </row>
    <row r="62" spans="1:12" x14ac:dyDescent="0.2">
      <c r="A62" s="14">
        <f>[1]sales!A67</f>
        <v>46078</v>
      </c>
      <c r="B62" s="194">
        <f>[1]sales!B67</f>
        <v>0.84167824074074071</v>
      </c>
      <c r="C62" s="189" t="s">
        <v>49</v>
      </c>
      <c r="D62" s="14" t="str">
        <f>[1]sales!D67</f>
        <v>Chorizo</v>
      </c>
      <c r="E62" s="152">
        <f>+_xlfn.XLOOKUP(sales[[#This Row],[Fecha]],OPEX_VE!A:A,OPEX_VE!B:B)</f>
        <v>1</v>
      </c>
      <c r="F62" s="14" t="str">
        <f>+_xlfn.XLOOKUP(sales[[#This Row],[Fecha]],OPEX_VE!A:A,OPEX_VE!E:E)</f>
        <v>A) Día hábil</v>
      </c>
      <c r="G62" s="14" t="str">
        <f>+TEXT(sales[[#This Row],[Fecha]],"ddd")</f>
        <v>mié</v>
      </c>
      <c r="H62" s="190">
        <f>+sales[[#This Row],[Venta]]*0.4</f>
        <v>3200</v>
      </c>
      <c r="I62" s="103">
        <f>[1]sales!K67</f>
        <v>8000</v>
      </c>
      <c r="J62" s="79">
        <f>[1]sales!I67</f>
        <v>0</v>
      </c>
      <c r="K62" s="52">
        <f>[1]sales!J67</f>
        <v>8000</v>
      </c>
      <c r="L62" s="1"/>
    </row>
    <row r="63" spans="1:12" x14ac:dyDescent="0.2">
      <c r="A63" s="14">
        <f>[1]sales!A68</f>
        <v>46078</v>
      </c>
      <c r="B63" s="194">
        <f>[1]sales!B68</f>
        <v>0.84804398148148152</v>
      </c>
      <c r="C63" s="189" t="s">
        <v>49</v>
      </c>
      <c r="D63" s="14" t="str">
        <f>[1]sales!D68</f>
        <v>Chorizo</v>
      </c>
      <c r="E63" s="152">
        <f>+_xlfn.XLOOKUP(sales[[#This Row],[Fecha]],OPEX_VE!A:A,OPEX_VE!B:B)</f>
        <v>1</v>
      </c>
      <c r="F63" s="14" t="str">
        <f>+_xlfn.XLOOKUP(sales[[#This Row],[Fecha]],OPEX_VE!A:A,OPEX_VE!E:E)</f>
        <v>A) Día hábil</v>
      </c>
      <c r="G63" s="14" t="str">
        <f>+TEXT(sales[[#This Row],[Fecha]],"ddd")</f>
        <v>mié</v>
      </c>
      <c r="H63" s="190">
        <f>+sales[[#This Row],[Venta]]*0.4</f>
        <v>6400</v>
      </c>
      <c r="I63" s="103">
        <f>[1]sales!K68</f>
        <v>16000</v>
      </c>
      <c r="J63" s="79">
        <f>[1]sales!I68</f>
        <v>16000</v>
      </c>
      <c r="K63" s="52">
        <f>[1]sales!J68</f>
        <v>0</v>
      </c>
      <c r="L63" s="1"/>
    </row>
    <row r="64" spans="1:12" x14ac:dyDescent="0.2">
      <c r="A64" s="14">
        <f>[1]sales!A69</f>
        <v>46079</v>
      </c>
      <c r="B64" s="194">
        <f>[1]sales!B69</f>
        <v>0.55702546296296296</v>
      </c>
      <c r="C64" s="189" t="s">
        <v>49</v>
      </c>
      <c r="D64" s="14" t="str">
        <f>[1]sales!D69</f>
        <v>Chori- CRUDO</v>
      </c>
      <c r="E64" s="152">
        <f>+_xlfn.XLOOKUP(sales[[#This Row],[Fecha]],OPEX_VE!A:A,OPEX_VE!B:B)</f>
        <v>1</v>
      </c>
      <c r="F64" s="14" t="str">
        <f>+_xlfn.XLOOKUP(sales[[#This Row],[Fecha]],OPEX_VE!A:A,OPEX_VE!E:E)</f>
        <v>A) Día hábil</v>
      </c>
      <c r="G64" s="14" t="str">
        <f>+TEXT(sales[[#This Row],[Fecha]],"ddd")</f>
        <v>jue</v>
      </c>
      <c r="H64" s="190">
        <f>+sales[[#This Row],[Venta]]*0.4</f>
        <v>3600</v>
      </c>
      <c r="I64" s="103">
        <f>[1]sales!K69</f>
        <v>9000</v>
      </c>
      <c r="J64" s="79">
        <f>[1]sales!I69</f>
        <v>9000</v>
      </c>
      <c r="K64" s="52">
        <f>[1]sales!J69</f>
        <v>0</v>
      </c>
      <c r="L64" s="1"/>
    </row>
    <row r="65" spans="1:12" x14ac:dyDescent="0.2">
      <c r="A65" s="14">
        <f>[1]sales!A70</f>
        <v>46079</v>
      </c>
      <c r="B65" s="194">
        <f>[1]sales!B70</f>
        <v>0.56067129629629631</v>
      </c>
      <c r="C65" s="189" t="s">
        <v>49</v>
      </c>
      <c r="D65" s="14" t="str">
        <f>[1]sales!D70</f>
        <v>Chorizo</v>
      </c>
      <c r="E65" s="152">
        <f>+_xlfn.XLOOKUP(sales[[#This Row],[Fecha]],OPEX_VE!A:A,OPEX_VE!B:B)</f>
        <v>1</v>
      </c>
      <c r="F65" s="14" t="str">
        <f>+_xlfn.XLOOKUP(sales[[#This Row],[Fecha]],OPEX_VE!A:A,OPEX_VE!E:E)</f>
        <v>A) Día hábil</v>
      </c>
      <c r="G65" s="14" t="str">
        <f>+TEXT(sales[[#This Row],[Fecha]],"ddd")</f>
        <v>jue</v>
      </c>
      <c r="H65" s="190">
        <f>+sales[[#This Row],[Venta]]*0.4</f>
        <v>6400</v>
      </c>
      <c r="I65" s="103">
        <f>[1]sales!K70</f>
        <v>16000</v>
      </c>
      <c r="J65" s="79">
        <f>[1]sales!I70</f>
        <v>16000</v>
      </c>
      <c r="K65" s="52">
        <f>[1]sales!J70</f>
        <v>0</v>
      </c>
      <c r="L65" s="1"/>
    </row>
    <row r="66" spans="1:12" x14ac:dyDescent="0.2">
      <c r="A66" s="14">
        <f>[1]sales!A71</f>
        <v>46079</v>
      </c>
      <c r="B66" s="194">
        <f>[1]sales!B71</f>
        <v>0.63410879629629635</v>
      </c>
      <c r="C66" s="189" t="s">
        <v>49</v>
      </c>
      <c r="D66" s="14" t="str">
        <f>[1]sales!D71</f>
        <v>carne + chorizo</v>
      </c>
      <c r="E66" s="152">
        <f>+_xlfn.XLOOKUP(sales[[#This Row],[Fecha]],OPEX_VE!A:A,OPEX_VE!B:B)</f>
        <v>1</v>
      </c>
      <c r="F66" s="14" t="str">
        <f>+_xlfn.XLOOKUP(sales[[#This Row],[Fecha]],OPEX_VE!A:A,OPEX_VE!E:E)</f>
        <v>A) Día hábil</v>
      </c>
      <c r="G66" s="14" t="str">
        <f>+TEXT(sales[[#This Row],[Fecha]],"ddd")</f>
        <v>jue</v>
      </c>
      <c r="H66" s="190">
        <f>+sales[[#This Row],[Venta]]*0.4</f>
        <v>10000</v>
      </c>
      <c r="I66" s="103">
        <f>[1]sales!K71</f>
        <v>25000</v>
      </c>
      <c r="J66" s="79">
        <f>[1]sales!I71</f>
        <v>0</v>
      </c>
      <c r="K66" s="52">
        <f>[1]sales!J71</f>
        <v>25000</v>
      </c>
      <c r="L66" s="1"/>
    </row>
    <row r="67" spans="1:12" x14ac:dyDescent="0.2">
      <c r="A67" s="14">
        <f>[1]sales!A72</f>
        <v>46079</v>
      </c>
      <c r="B67" s="194">
        <f>[1]sales!B72</f>
        <v>0.72755787037037034</v>
      </c>
      <c r="C67" s="189" t="s">
        <v>49</v>
      </c>
      <c r="D67" s="14" t="str">
        <f>[1]sales!D72</f>
        <v>Chorizo</v>
      </c>
      <c r="E67" s="152">
        <f>+_xlfn.XLOOKUP(sales[[#This Row],[Fecha]],OPEX_VE!A:A,OPEX_VE!B:B)</f>
        <v>1</v>
      </c>
      <c r="F67" s="14" t="str">
        <f>+_xlfn.XLOOKUP(sales[[#This Row],[Fecha]],OPEX_VE!A:A,OPEX_VE!E:E)</f>
        <v>A) Día hábil</v>
      </c>
      <c r="G67" s="14" t="str">
        <f>+TEXT(sales[[#This Row],[Fecha]],"ddd")</f>
        <v>jue</v>
      </c>
      <c r="H67" s="190">
        <f>+sales[[#This Row],[Venta]]*0.4</f>
        <v>16000</v>
      </c>
      <c r="I67" s="103">
        <f>[1]sales!K72</f>
        <v>40000</v>
      </c>
      <c r="J67" s="79">
        <f>[1]sales!I72</f>
        <v>0</v>
      </c>
      <c r="K67" s="52">
        <f>[1]sales!J72</f>
        <v>40000</v>
      </c>
      <c r="L67" s="1"/>
    </row>
    <row r="68" spans="1:12" x14ac:dyDescent="0.2">
      <c r="A68" s="14">
        <f>[1]sales!A73</f>
        <v>46079</v>
      </c>
      <c r="B68" s="194">
        <f>[1]sales!B73</f>
        <v>0.72755787037037034</v>
      </c>
      <c r="C68" s="189" t="s">
        <v>49</v>
      </c>
      <c r="D68" s="14" t="str">
        <f>[1]sales!D73</f>
        <v>Postobon</v>
      </c>
      <c r="E68" s="152">
        <f>+_xlfn.XLOOKUP(sales[[#This Row],[Fecha]],OPEX_VE!A:A,OPEX_VE!B:B)</f>
        <v>1</v>
      </c>
      <c r="F68" s="14" t="str">
        <f>+_xlfn.XLOOKUP(sales[[#This Row],[Fecha]],OPEX_VE!A:A,OPEX_VE!E:E)</f>
        <v>A) Día hábil</v>
      </c>
      <c r="G68" s="14" t="str">
        <f>+TEXT(sales[[#This Row],[Fecha]],"ddd")</f>
        <v>jue</v>
      </c>
      <c r="H68" s="190">
        <f>+sales[[#This Row],[Venta]]*0.4</f>
        <v>3600</v>
      </c>
      <c r="I68" s="103">
        <f>[1]sales!K73</f>
        <v>9000</v>
      </c>
      <c r="J68" s="79">
        <f>[1]sales!I73</f>
        <v>0</v>
      </c>
      <c r="K68" s="52">
        <f>[1]sales!J73</f>
        <v>9000</v>
      </c>
      <c r="L68" s="1"/>
    </row>
    <row r="69" spans="1:12" x14ac:dyDescent="0.2">
      <c r="A69" s="14">
        <f>[1]sales!A74</f>
        <v>46079</v>
      </c>
      <c r="B69" s="194">
        <f>[1]sales!B74</f>
        <v>0.75289351851851849</v>
      </c>
      <c r="C69" s="189" t="s">
        <v>49</v>
      </c>
      <c r="D69" s="14" t="str">
        <f>[1]sales!D74</f>
        <v>Chorizo</v>
      </c>
      <c r="E69" s="152">
        <f>+_xlfn.XLOOKUP(sales[[#This Row],[Fecha]],OPEX_VE!A:A,OPEX_VE!B:B)</f>
        <v>1</v>
      </c>
      <c r="F69" s="14" t="str">
        <f>+_xlfn.XLOOKUP(sales[[#This Row],[Fecha]],OPEX_VE!A:A,OPEX_VE!E:E)</f>
        <v>A) Día hábil</v>
      </c>
      <c r="G69" s="14" t="str">
        <f>+TEXT(sales[[#This Row],[Fecha]],"ddd")</f>
        <v>jue</v>
      </c>
      <c r="H69" s="190">
        <f>+sales[[#This Row],[Venta]]*0.4</f>
        <v>3200</v>
      </c>
      <c r="I69" s="103">
        <f>[1]sales!K74</f>
        <v>8000</v>
      </c>
      <c r="J69" s="79">
        <f>[1]sales!I74</f>
        <v>8000</v>
      </c>
      <c r="K69" s="52">
        <f>[1]sales!J74</f>
        <v>0</v>
      </c>
      <c r="L69" s="1"/>
    </row>
    <row r="70" spans="1:12" x14ac:dyDescent="0.2">
      <c r="A70" s="14">
        <f>[1]sales!A75</f>
        <v>46079</v>
      </c>
      <c r="B70" s="194">
        <f>[1]sales!B75</f>
        <v>0.7630555555555556</v>
      </c>
      <c r="C70" s="189" t="s">
        <v>49</v>
      </c>
      <c r="D70" s="14" t="str">
        <f>[1]sales!D75</f>
        <v>Chorizo</v>
      </c>
      <c r="E70" s="152">
        <f>+_xlfn.XLOOKUP(sales[[#This Row],[Fecha]],OPEX_VE!A:A,OPEX_VE!B:B)</f>
        <v>1</v>
      </c>
      <c r="F70" s="14" t="str">
        <f>+_xlfn.XLOOKUP(sales[[#This Row],[Fecha]],OPEX_VE!A:A,OPEX_VE!E:E)</f>
        <v>A) Día hábil</v>
      </c>
      <c r="G70" s="14" t="str">
        <f>+TEXT(sales[[#This Row],[Fecha]],"ddd")</f>
        <v>jue</v>
      </c>
      <c r="H70" s="190">
        <f>+sales[[#This Row],[Venta]]*0.4</f>
        <v>3200</v>
      </c>
      <c r="I70" s="103">
        <f>[1]sales!K75</f>
        <v>8000</v>
      </c>
      <c r="J70" s="79">
        <f>[1]sales!I75</f>
        <v>0</v>
      </c>
      <c r="K70" s="52">
        <f>[1]sales!J75</f>
        <v>8000</v>
      </c>
      <c r="L70" s="1"/>
    </row>
    <row r="71" spans="1:12" x14ac:dyDescent="0.2">
      <c r="A71" s="14">
        <f>[1]sales!A76</f>
        <v>46079</v>
      </c>
      <c r="B71" s="194">
        <f>[1]sales!B76</f>
        <v>0.76405092592592594</v>
      </c>
      <c r="C71" s="189" t="s">
        <v>49</v>
      </c>
      <c r="D71" s="14" t="str">
        <f>[1]sales!D76</f>
        <v>Chorizo</v>
      </c>
      <c r="E71" s="152">
        <f>+_xlfn.XLOOKUP(sales[[#This Row],[Fecha]],OPEX_VE!A:A,OPEX_VE!B:B)</f>
        <v>1</v>
      </c>
      <c r="F71" s="14" t="str">
        <f>+_xlfn.XLOOKUP(sales[[#This Row],[Fecha]],OPEX_VE!A:A,OPEX_VE!E:E)</f>
        <v>A) Día hábil</v>
      </c>
      <c r="G71" s="14" t="str">
        <f>+TEXT(sales[[#This Row],[Fecha]],"ddd")</f>
        <v>jue</v>
      </c>
      <c r="H71" s="190">
        <f>+sales[[#This Row],[Venta]]*0.4</f>
        <v>3200</v>
      </c>
      <c r="I71" s="103">
        <f>[1]sales!K76</f>
        <v>8000</v>
      </c>
      <c r="J71" s="79">
        <f>[1]sales!I76</f>
        <v>8000</v>
      </c>
      <c r="K71" s="52">
        <f>[1]sales!J76</f>
        <v>0</v>
      </c>
      <c r="L71" s="1"/>
    </row>
    <row r="72" spans="1:12" x14ac:dyDescent="0.2">
      <c r="A72" s="14">
        <f>[1]sales!A77</f>
        <v>46079</v>
      </c>
      <c r="B72" s="194">
        <f>[1]sales!B77</f>
        <v>0.77359953703703699</v>
      </c>
      <c r="C72" s="189" t="s">
        <v>49</v>
      </c>
      <c r="D72" s="14" t="str">
        <f>[1]sales!D77</f>
        <v>Chorizo</v>
      </c>
      <c r="E72" s="152">
        <f>+_xlfn.XLOOKUP(sales[[#This Row],[Fecha]],OPEX_VE!A:A,OPEX_VE!B:B)</f>
        <v>1</v>
      </c>
      <c r="F72" s="14" t="str">
        <f>+_xlfn.XLOOKUP(sales[[#This Row],[Fecha]],OPEX_VE!A:A,OPEX_VE!E:E)</f>
        <v>A) Día hábil</v>
      </c>
      <c r="G72" s="14" t="str">
        <f>+TEXT(sales[[#This Row],[Fecha]],"ddd")</f>
        <v>jue</v>
      </c>
      <c r="H72" s="190">
        <f>+sales[[#This Row],[Venta]]*0.4</f>
        <v>3200</v>
      </c>
      <c r="I72" s="103">
        <f>[1]sales!K77</f>
        <v>8000</v>
      </c>
      <c r="J72" s="79">
        <f>[1]sales!I77</f>
        <v>0</v>
      </c>
      <c r="K72" s="52">
        <f>[1]sales!J77</f>
        <v>8000</v>
      </c>
      <c r="L72" s="1"/>
    </row>
    <row r="73" spans="1:12" x14ac:dyDescent="0.2">
      <c r="A73" s="14">
        <f>[1]sales!A78</f>
        <v>46079</v>
      </c>
      <c r="B73" s="194">
        <f>[1]sales!B78</f>
        <v>0.79465277777777776</v>
      </c>
      <c r="C73" s="189" t="s">
        <v>49</v>
      </c>
      <c r="D73" s="14" t="str">
        <f>[1]sales!D78</f>
        <v>Chorizo</v>
      </c>
      <c r="E73" s="152">
        <f>+_xlfn.XLOOKUP(sales[[#This Row],[Fecha]],OPEX_VE!A:A,OPEX_VE!B:B)</f>
        <v>1</v>
      </c>
      <c r="F73" s="14" t="str">
        <f>+_xlfn.XLOOKUP(sales[[#This Row],[Fecha]],OPEX_VE!A:A,OPEX_VE!E:E)</f>
        <v>A) Día hábil</v>
      </c>
      <c r="G73" s="14" t="str">
        <f>+TEXT(sales[[#This Row],[Fecha]],"ddd")</f>
        <v>jue</v>
      </c>
      <c r="H73" s="190">
        <f>+sales[[#This Row],[Venta]]*0.4</f>
        <v>6400</v>
      </c>
      <c r="I73" s="103">
        <f>[1]sales!K78</f>
        <v>16000</v>
      </c>
      <c r="J73" s="79">
        <f>[1]sales!I78</f>
        <v>16000</v>
      </c>
      <c r="K73" s="52">
        <f>[1]sales!J78</f>
        <v>0</v>
      </c>
      <c r="L73" s="1"/>
    </row>
    <row r="74" spans="1:12" x14ac:dyDescent="0.2">
      <c r="A74" s="14">
        <f>[1]sales!A79</f>
        <v>46079</v>
      </c>
      <c r="B74" s="194">
        <f>[1]sales!B79</f>
        <v>0.81241898148148151</v>
      </c>
      <c r="C74" s="189" t="s">
        <v>49</v>
      </c>
      <c r="D74" s="14" t="str">
        <f>[1]sales!D79</f>
        <v>Chorizo</v>
      </c>
      <c r="E74" s="152">
        <f>+_xlfn.XLOOKUP(sales[[#This Row],[Fecha]],OPEX_VE!A:A,OPEX_VE!B:B)</f>
        <v>1</v>
      </c>
      <c r="F74" s="14" t="str">
        <f>+_xlfn.XLOOKUP(sales[[#This Row],[Fecha]],OPEX_VE!A:A,OPEX_VE!E:E)</f>
        <v>A) Día hábil</v>
      </c>
      <c r="G74" s="14" t="str">
        <f>+TEXT(sales[[#This Row],[Fecha]],"ddd")</f>
        <v>jue</v>
      </c>
      <c r="H74" s="190">
        <f>+sales[[#This Row],[Venta]]*0.4</f>
        <v>6400</v>
      </c>
      <c r="I74" s="103">
        <f>[1]sales!K79</f>
        <v>16000</v>
      </c>
      <c r="J74" s="79">
        <f>[1]sales!I79</f>
        <v>0</v>
      </c>
      <c r="K74" s="52">
        <f>[1]sales!J79</f>
        <v>16000</v>
      </c>
      <c r="L74" s="1"/>
    </row>
    <row r="75" spans="1:12" x14ac:dyDescent="0.2">
      <c r="A75" s="14">
        <f>[1]sales!A80</f>
        <v>46079</v>
      </c>
      <c r="B75" s="194">
        <f>[1]sales!B80</f>
        <v>0.81241898148148151</v>
      </c>
      <c r="C75" s="189" t="s">
        <v>49</v>
      </c>
      <c r="D75" s="14" t="str">
        <f>[1]sales!D80</f>
        <v>Coca cola</v>
      </c>
      <c r="E75" s="152">
        <f>+_xlfn.XLOOKUP(sales[[#This Row],[Fecha]],OPEX_VE!A:A,OPEX_VE!B:B)</f>
        <v>1</v>
      </c>
      <c r="F75" s="14" t="str">
        <f>+_xlfn.XLOOKUP(sales[[#This Row],[Fecha]],OPEX_VE!A:A,OPEX_VE!E:E)</f>
        <v>A) Día hábil</v>
      </c>
      <c r="G75" s="14" t="str">
        <f>+TEXT(sales[[#This Row],[Fecha]],"ddd")</f>
        <v>jue</v>
      </c>
      <c r="H75" s="190">
        <f>+sales[[#This Row],[Venta]]*0.4</f>
        <v>1200</v>
      </c>
      <c r="I75" s="103">
        <f>[1]sales!K80</f>
        <v>3000</v>
      </c>
      <c r="J75" s="79">
        <f>[1]sales!I80</f>
        <v>0</v>
      </c>
      <c r="K75" s="52">
        <f>[1]sales!J80</f>
        <v>3000</v>
      </c>
      <c r="L75" s="1"/>
    </row>
    <row r="76" spans="1:12" x14ac:dyDescent="0.2">
      <c r="A76" s="14">
        <f>[1]sales!A81</f>
        <v>46079</v>
      </c>
      <c r="B76" s="194">
        <f>[1]sales!B81</f>
        <v>0.81355324074074076</v>
      </c>
      <c r="C76" s="189" t="s">
        <v>49</v>
      </c>
      <c r="D76" s="14" t="str">
        <f>[1]sales!D81</f>
        <v>Chorizo</v>
      </c>
      <c r="E76" s="152">
        <f>+_xlfn.XLOOKUP(sales[[#This Row],[Fecha]],OPEX_VE!A:A,OPEX_VE!B:B)</f>
        <v>1</v>
      </c>
      <c r="F76" s="14" t="str">
        <f>+_xlfn.XLOOKUP(sales[[#This Row],[Fecha]],OPEX_VE!A:A,OPEX_VE!E:E)</f>
        <v>A) Día hábil</v>
      </c>
      <c r="G76" s="14" t="str">
        <f>+TEXT(sales[[#This Row],[Fecha]],"ddd")</f>
        <v>jue</v>
      </c>
      <c r="H76" s="190">
        <f>+sales[[#This Row],[Venta]]*0.4</f>
        <v>3200</v>
      </c>
      <c r="I76" s="103">
        <f>[1]sales!K81</f>
        <v>8000</v>
      </c>
      <c r="J76" s="79">
        <f>[1]sales!I81</f>
        <v>8000</v>
      </c>
      <c r="K76" s="52">
        <f>[1]sales!J81</f>
        <v>0</v>
      </c>
      <c r="L76" s="1"/>
    </row>
    <row r="77" spans="1:12" x14ac:dyDescent="0.2">
      <c r="A77" s="14">
        <f>[1]sales!A82</f>
        <v>46079</v>
      </c>
      <c r="B77" s="194">
        <f>[1]sales!B82</f>
        <v>0.81472222222222224</v>
      </c>
      <c r="C77" s="189" t="s">
        <v>49</v>
      </c>
      <c r="D77" s="14" t="str">
        <f>[1]sales!D82</f>
        <v>Chorizo</v>
      </c>
      <c r="E77" s="152">
        <f>+_xlfn.XLOOKUP(sales[[#This Row],[Fecha]],OPEX_VE!A:A,OPEX_VE!B:B)</f>
        <v>1</v>
      </c>
      <c r="F77" s="14" t="str">
        <f>+_xlfn.XLOOKUP(sales[[#This Row],[Fecha]],OPEX_VE!A:A,OPEX_VE!E:E)</f>
        <v>A) Día hábil</v>
      </c>
      <c r="G77" s="14" t="str">
        <f>+TEXT(sales[[#This Row],[Fecha]],"ddd")</f>
        <v>jue</v>
      </c>
      <c r="H77" s="190">
        <f>+sales[[#This Row],[Venta]]*0.4</f>
        <v>3200</v>
      </c>
      <c r="I77" s="103">
        <f>[1]sales!K82</f>
        <v>8000</v>
      </c>
      <c r="J77" s="79">
        <f>[1]sales!I82</f>
        <v>8000</v>
      </c>
      <c r="K77" s="52">
        <f>[1]sales!J82</f>
        <v>0</v>
      </c>
      <c r="L77" s="1"/>
    </row>
    <row r="78" spans="1:12" x14ac:dyDescent="0.2">
      <c r="A78" s="14">
        <f>[1]sales!A83</f>
        <v>46079</v>
      </c>
      <c r="B78" s="194">
        <f>[1]sales!B83</f>
        <v>0.84375</v>
      </c>
      <c r="C78" s="189" t="s">
        <v>49</v>
      </c>
      <c r="D78" s="14" t="str">
        <f>[1]sales!D83</f>
        <v>Chorizo</v>
      </c>
      <c r="E78" s="152">
        <f>+_xlfn.XLOOKUP(sales[[#This Row],[Fecha]],OPEX_VE!A:A,OPEX_VE!B:B)</f>
        <v>1</v>
      </c>
      <c r="F78" s="14" t="str">
        <f>+_xlfn.XLOOKUP(sales[[#This Row],[Fecha]],OPEX_VE!A:A,OPEX_VE!E:E)</f>
        <v>A) Día hábil</v>
      </c>
      <c r="G78" s="14" t="str">
        <f>+TEXT(sales[[#This Row],[Fecha]],"ddd")</f>
        <v>jue</v>
      </c>
      <c r="H78" s="190">
        <f>+sales[[#This Row],[Venta]]*0.4</f>
        <v>3200</v>
      </c>
      <c r="I78" s="103">
        <f>[1]sales!K83</f>
        <v>8000</v>
      </c>
      <c r="J78" s="79">
        <f>[1]sales!I83</f>
        <v>8000</v>
      </c>
      <c r="K78" s="52">
        <f>[1]sales!J83</f>
        <v>0</v>
      </c>
      <c r="L78" s="1"/>
    </row>
    <row r="79" spans="1:12" x14ac:dyDescent="0.2">
      <c r="A79" s="14">
        <f>[1]sales!A84</f>
        <v>46079</v>
      </c>
      <c r="B79" s="194">
        <f>[1]sales!B84</f>
        <v>0.84375</v>
      </c>
      <c r="C79" s="189" t="s">
        <v>49</v>
      </c>
      <c r="D79" s="14" t="str">
        <f>[1]sales!D84</f>
        <v>Postobon</v>
      </c>
      <c r="E79" s="152">
        <f>+_xlfn.XLOOKUP(sales[[#This Row],[Fecha]],OPEX_VE!A:A,OPEX_VE!B:B)</f>
        <v>1</v>
      </c>
      <c r="F79" s="14" t="str">
        <f>+_xlfn.XLOOKUP(sales[[#This Row],[Fecha]],OPEX_VE!A:A,OPEX_VE!E:E)</f>
        <v>A) Día hábil</v>
      </c>
      <c r="G79" s="14" t="str">
        <f>+TEXT(sales[[#This Row],[Fecha]],"ddd")</f>
        <v>jue</v>
      </c>
      <c r="H79" s="190">
        <f>+sales[[#This Row],[Venta]]*0.4</f>
        <v>1200</v>
      </c>
      <c r="I79" s="103">
        <f>[1]sales!K84</f>
        <v>3000</v>
      </c>
      <c r="J79" s="79">
        <f>[1]sales!I84</f>
        <v>3000</v>
      </c>
      <c r="K79" s="52">
        <f>[1]sales!J84</f>
        <v>0</v>
      </c>
      <c r="L79" s="1"/>
    </row>
    <row r="80" spans="1:12" x14ac:dyDescent="0.2">
      <c r="A80" s="14">
        <f>[1]sales!A85</f>
        <v>46079</v>
      </c>
      <c r="B80" s="194">
        <f>[1]sales!B85</f>
        <v>0.84394675925925922</v>
      </c>
      <c r="C80" s="189" t="s">
        <v>49</v>
      </c>
      <c r="D80" s="14" t="str">
        <f>[1]sales!D85</f>
        <v>Chorizo</v>
      </c>
      <c r="E80" s="152">
        <f>+_xlfn.XLOOKUP(sales[[#This Row],[Fecha]],OPEX_VE!A:A,OPEX_VE!B:B)</f>
        <v>1</v>
      </c>
      <c r="F80" s="14" t="str">
        <f>+_xlfn.XLOOKUP(sales[[#This Row],[Fecha]],OPEX_VE!A:A,OPEX_VE!E:E)</f>
        <v>A) Día hábil</v>
      </c>
      <c r="G80" s="14" t="str">
        <f>+TEXT(sales[[#This Row],[Fecha]],"ddd")</f>
        <v>jue</v>
      </c>
      <c r="H80" s="190">
        <f>+sales[[#This Row],[Venta]]*0.4</f>
        <v>3200</v>
      </c>
      <c r="I80" s="103">
        <f>[1]sales!K85</f>
        <v>8000</v>
      </c>
      <c r="J80" s="79">
        <f>[1]sales!I85</f>
        <v>0</v>
      </c>
      <c r="K80" s="52">
        <f>[1]sales!J85</f>
        <v>8000</v>
      </c>
      <c r="L80" s="1"/>
    </row>
    <row r="81" spans="1:12" x14ac:dyDescent="0.2">
      <c r="A81" s="14">
        <f>[1]sales!A86</f>
        <v>46079</v>
      </c>
      <c r="B81" s="194">
        <f>[1]sales!B86</f>
        <v>0.84410879629629632</v>
      </c>
      <c r="C81" s="189" t="s">
        <v>49</v>
      </c>
      <c r="D81" s="14" t="str">
        <f>[1]sales!D86</f>
        <v>Chorizo</v>
      </c>
      <c r="E81" s="152">
        <f>+_xlfn.XLOOKUP(sales[[#This Row],[Fecha]],OPEX_VE!A:A,OPEX_VE!B:B)</f>
        <v>1</v>
      </c>
      <c r="F81" s="14" t="str">
        <f>+_xlfn.XLOOKUP(sales[[#This Row],[Fecha]],OPEX_VE!A:A,OPEX_VE!E:E)</f>
        <v>A) Día hábil</v>
      </c>
      <c r="G81" s="14" t="str">
        <f>+TEXT(sales[[#This Row],[Fecha]],"ddd")</f>
        <v>jue</v>
      </c>
      <c r="H81" s="190">
        <f>+sales[[#This Row],[Venta]]*0.4</f>
        <v>3200</v>
      </c>
      <c r="I81" s="103">
        <f>[1]sales!K86</f>
        <v>8000</v>
      </c>
      <c r="J81" s="79">
        <f>[1]sales!I86</f>
        <v>0</v>
      </c>
      <c r="K81" s="52">
        <f>[1]sales!J86</f>
        <v>8000</v>
      </c>
      <c r="L81" s="1"/>
    </row>
    <row r="82" spans="1:12" x14ac:dyDescent="0.2">
      <c r="A82" s="14">
        <f>[1]sales!A87</f>
        <v>46080</v>
      </c>
      <c r="B82" s="194">
        <f>[1]sales!B87</f>
        <v>0.63017361111111114</v>
      </c>
      <c r="C82" s="189" t="s">
        <v>49</v>
      </c>
      <c r="D82" s="14" t="str">
        <f>[1]sales!D87</f>
        <v>Chorizo</v>
      </c>
      <c r="E82" s="152">
        <f>+_xlfn.XLOOKUP(sales[[#This Row],[Fecha]],OPEX_VE!A:A,OPEX_VE!B:B)</f>
        <v>1</v>
      </c>
      <c r="F82" s="14" t="str">
        <f>+_xlfn.XLOOKUP(sales[[#This Row],[Fecha]],OPEX_VE!A:A,OPEX_VE!E:E)</f>
        <v>B) Viernes</v>
      </c>
      <c r="G82" s="14" t="str">
        <f>+TEXT(sales[[#This Row],[Fecha]],"ddd")</f>
        <v>vie</v>
      </c>
      <c r="H82" s="190">
        <f>+sales[[#This Row],[Venta]]*0.4</f>
        <v>3200</v>
      </c>
      <c r="I82" s="103">
        <f>[1]sales!K87</f>
        <v>8000</v>
      </c>
      <c r="J82" s="79">
        <f>[1]sales!I87</f>
        <v>0</v>
      </c>
      <c r="K82" s="52">
        <f>[1]sales!J87</f>
        <v>8000</v>
      </c>
      <c r="L82" s="1"/>
    </row>
    <row r="83" spans="1:12" x14ac:dyDescent="0.2">
      <c r="A83" s="14">
        <f>[1]sales!A88</f>
        <v>46080</v>
      </c>
      <c r="B83" s="194">
        <f>[1]sales!B88</f>
        <v>0.63017361111111114</v>
      </c>
      <c r="C83" s="189" t="s">
        <v>49</v>
      </c>
      <c r="D83" s="14" t="str">
        <f>[1]sales!D88</f>
        <v>Postobon</v>
      </c>
      <c r="E83" s="152">
        <f>+_xlfn.XLOOKUP(sales[[#This Row],[Fecha]],OPEX_VE!A:A,OPEX_VE!B:B)</f>
        <v>1</v>
      </c>
      <c r="F83" s="14" t="str">
        <f>+_xlfn.XLOOKUP(sales[[#This Row],[Fecha]],OPEX_VE!A:A,OPEX_VE!E:E)</f>
        <v>B) Viernes</v>
      </c>
      <c r="G83" s="14" t="str">
        <f>+TEXT(sales[[#This Row],[Fecha]],"ddd")</f>
        <v>vie</v>
      </c>
      <c r="H83" s="190">
        <f>+sales[[#This Row],[Venta]]*0.4</f>
        <v>1200</v>
      </c>
      <c r="I83" s="103">
        <f>[1]sales!K88</f>
        <v>3000</v>
      </c>
      <c r="J83" s="79">
        <f>[1]sales!I88</f>
        <v>0</v>
      </c>
      <c r="K83" s="52">
        <f>[1]sales!J88</f>
        <v>3000</v>
      </c>
      <c r="L83" s="1"/>
    </row>
    <row r="84" spans="1:12" x14ac:dyDescent="0.2">
      <c r="A84" s="14">
        <f>[1]sales!A89</f>
        <v>46080</v>
      </c>
      <c r="B84" s="194">
        <f>[1]sales!B89</f>
        <v>0.63124999999999998</v>
      </c>
      <c r="C84" s="189" t="s">
        <v>49</v>
      </c>
      <c r="D84" s="14" t="str">
        <f>[1]sales!D89</f>
        <v>Chorizo</v>
      </c>
      <c r="E84" s="152">
        <f>+_xlfn.XLOOKUP(sales[[#This Row],[Fecha]],OPEX_VE!A:A,OPEX_VE!B:B)</f>
        <v>1</v>
      </c>
      <c r="F84" s="14" t="str">
        <f>+_xlfn.XLOOKUP(sales[[#This Row],[Fecha]],OPEX_VE!A:A,OPEX_VE!E:E)</f>
        <v>B) Viernes</v>
      </c>
      <c r="G84" s="14" t="str">
        <f>+TEXT(sales[[#This Row],[Fecha]],"ddd")</f>
        <v>vie</v>
      </c>
      <c r="H84" s="190">
        <f>+sales[[#This Row],[Venta]]*0.4</f>
        <v>3200</v>
      </c>
      <c r="I84" s="103">
        <f>[1]sales!K89</f>
        <v>8000</v>
      </c>
      <c r="J84" s="79">
        <f>[1]sales!I89</f>
        <v>8000</v>
      </c>
      <c r="K84" s="52">
        <f>[1]sales!J89</f>
        <v>0</v>
      </c>
      <c r="L84" s="1"/>
    </row>
    <row r="85" spans="1:12" x14ac:dyDescent="0.2">
      <c r="A85" s="14">
        <f>[1]sales!A90</f>
        <v>46080</v>
      </c>
      <c r="B85" s="194">
        <f>[1]sales!B90</f>
        <v>0.71579861111111109</v>
      </c>
      <c r="C85" s="189" t="s">
        <v>49</v>
      </c>
      <c r="D85" s="14" t="str">
        <f>[1]sales!D90</f>
        <v>Chorizo</v>
      </c>
      <c r="E85" s="152">
        <f>+_xlfn.XLOOKUP(sales[[#This Row],[Fecha]],OPEX_VE!A:A,OPEX_VE!B:B)</f>
        <v>1</v>
      </c>
      <c r="F85" s="14" t="str">
        <f>+_xlfn.XLOOKUP(sales[[#This Row],[Fecha]],OPEX_VE!A:A,OPEX_VE!E:E)</f>
        <v>B) Viernes</v>
      </c>
      <c r="G85" s="14" t="str">
        <f>+TEXT(sales[[#This Row],[Fecha]],"ddd")</f>
        <v>vie</v>
      </c>
      <c r="H85" s="190">
        <f>+sales[[#This Row],[Venta]]*0.4</f>
        <v>3200</v>
      </c>
      <c r="I85" s="103">
        <f>[1]sales!K90</f>
        <v>8000</v>
      </c>
      <c r="J85" s="79">
        <f>[1]sales!I90</f>
        <v>8000</v>
      </c>
      <c r="K85" s="52">
        <f>[1]sales!J90</f>
        <v>0</v>
      </c>
      <c r="L85" s="1"/>
    </row>
    <row r="86" spans="1:12" x14ac:dyDescent="0.2">
      <c r="A86" s="14">
        <f>[1]sales!A91</f>
        <v>46080</v>
      </c>
      <c r="B86" s="194">
        <f>[1]sales!B91</f>
        <v>0.71579861111111109</v>
      </c>
      <c r="C86" s="189" t="s">
        <v>49</v>
      </c>
      <c r="D86" s="14" t="str">
        <f>[1]sales!D91</f>
        <v>parri tres carnes</v>
      </c>
      <c r="E86" s="152">
        <f>+_xlfn.XLOOKUP(sales[[#This Row],[Fecha]],OPEX_VE!A:A,OPEX_VE!B:B)</f>
        <v>1</v>
      </c>
      <c r="F86" s="14" t="str">
        <f>+_xlfn.XLOOKUP(sales[[#This Row],[Fecha]],OPEX_VE!A:A,OPEX_VE!E:E)</f>
        <v>B) Viernes</v>
      </c>
      <c r="G86" s="14" t="str">
        <f>+TEXT(sales[[#This Row],[Fecha]],"ddd")</f>
        <v>vie</v>
      </c>
      <c r="H86" s="190">
        <f>+sales[[#This Row],[Venta]]*0.4</f>
        <v>14000</v>
      </c>
      <c r="I86" s="103">
        <f>[1]sales!K91</f>
        <v>35000</v>
      </c>
      <c r="J86" s="79">
        <f>[1]sales!I91</f>
        <v>35000</v>
      </c>
      <c r="K86" s="52">
        <f>[1]sales!J91</f>
        <v>0</v>
      </c>
      <c r="L86" s="1"/>
    </row>
    <row r="87" spans="1:12" x14ac:dyDescent="0.2">
      <c r="A87" s="14">
        <f>[1]sales!A92</f>
        <v>46080</v>
      </c>
      <c r="B87" s="194">
        <f>[1]sales!B92</f>
        <v>0.71579861111111109</v>
      </c>
      <c r="C87" s="189" t="s">
        <v>49</v>
      </c>
      <c r="D87" s="14" t="str">
        <f>[1]sales!D92</f>
        <v>tinto</v>
      </c>
      <c r="E87" s="152">
        <f>+_xlfn.XLOOKUP(sales[[#This Row],[Fecha]],OPEX_VE!A:A,OPEX_VE!B:B)</f>
        <v>1</v>
      </c>
      <c r="F87" s="14" t="str">
        <f>+_xlfn.XLOOKUP(sales[[#This Row],[Fecha]],OPEX_VE!A:A,OPEX_VE!E:E)</f>
        <v>B) Viernes</v>
      </c>
      <c r="G87" s="14" t="str">
        <f>+TEXT(sales[[#This Row],[Fecha]],"ddd")</f>
        <v>vie</v>
      </c>
      <c r="H87" s="190">
        <f>+sales[[#This Row],[Venta]]*0.4</f>
        <v>800</v>
      </c>
      <c r="I87" s="103">
        <f>[1]sales!K92</f>
        <v>2000</v>
      </c>
      <c r="J87" s="79">
        <f>[1]sales!I92</f>
        <v>2000</v>
      </c>
      <c r="K87" s="52">
        <f>[1]sales!J92</f>
        <v>0</v>
      </c>
      <c r="L87" s="1"/>
    </row>
    <row r="88" spans="1:12" x14ac:dyDescent="0.2">
      <c r="A88" s="14">
        <f>[1]sales!A93</f>
        <v>46080</v>
      </c>
      <c r="B88" s="194">
        <f>[1]sales!B93</f>
        <v>0.72542824074074075</v>
      </c>
      <c r="C88" s="189" t="s">
        <v>49</v>
      </c>
      <c r="D88" s="14" t="str">
        <f>[1]sales!D93</f>
        <v>Chorizo</v>
      </c>
      <c r="E88" s="152">
        <f>+_xlfn.XLOOKUP(sales[[#This Row],[Fecha]],OPEX_VE!A:A,OPEX_VE!B:B)</f>
        <v>1</v>
      </c>
      <c r="F88" s="14" t="str">
        <f>+_xlfn.XLOOKUP(sales[[#This Row],[Fecha]],OPEX_VE!A:A,OPEX_VE!E:E)</f>
        <v>B) Viernes</v>
      </c>
      <c r="G88" s="14" t="str">
        <f>+TEXT(sales[[#This Row],[Fecha]],"ddd")</f>
        <v>vie</v>
      </c>
      <c r="H88" s="190">
        <f>+sales[[#This Row],[Venta]]*0.4</f>
        <v>9600</v>
      </c>
      <c r="I88" s="103">
        <f>[1]sales!K93</f>
        <v>24000</v>
      </c>
      <c r="J88" s="79">
        <f>[1]sales!I93</f>
        <v>24000</v>
      </c>
      <c r="K88" s="52">
        <f>[1]sales!J93</f>
        <v>0</v>
      </c>
      <c r="L88" s="1"/>
    </row>
    <row r="89" spans="1:12" x14ac:dyDescent="0.2">
      <c r="A89" s="14">
        <f>[1]sales!A94</f>
        <v>46080</v>
      </c>
      <c r="B89" s="194">
        <f>[1]sales!B94</f>
        <v>0.72542824074074075</v>
      </c>
      <c r="C89" s="189" t="s">
        <v>49</v>
      </c>
      <c r="D89" s="14" t="str">
        <f>[1]sales!D94</f>
        <v>Coca cola</v>
      </c>
      <c r="E89" s="152">
        <f>+_xlfn.XLOOKUP(sales[[#This Row],[Fecha]],OPEX_VE!A:A,OPEX_VE!B:B)</f>
        <v>1</v>
      </c>
      <c r="F89" s="14" t="str">
        <f>+_xlfn.XLOOKUP(sales[[#This Row],[Fecha]],OPEX_VE!A:A,OPEX_VE!E:E)</f>
        <v>B) Viernes</v>
      </c>
      <c r="G89" s="14" t="str">
        <f>+TEXT(sales[[#This Row],[Fecha]],"ddd")</f>
        <v>vie</v>
      </c>
      <c r="H89" s="190">
        <f>+sales[[#This Row],[Venta]]*0.4</f>
        <v>2400</v>
      </c>
      <c r="I89" s="103">
        <f>[1]sales!K94</f>
        <v>6000</v>
      </c>
      <c r="J89" s="79">
        <f>[1]sales!I94</f>
        <v>6000</v>
      </c>
      <c r="K89" s="52">
        <f>[1]sales!J94</f>
        <v>0</v>
      </c>
      <c r="L89" s="1"/>
    </row>
    <row r="90" spans="1:12" x14ac:dyDescent="0.2">
      <c r="A90" s="14">
        <f>[1]sales!A95</f>
        <v>46080</v>
      </c>
      <c r="B90" s="194">
        <f>[1]sales!B95</f>
        <v>0.72542824074074075</v>
      </c>
      <c r="C90" s="189" t="s">
        <v>49</v>
      </c>
      <c r="D90" s="14" t="str">
        <f>[1]sales!D95</f>
        <v>parri tres carnes</v>
      </c>
      <c r="E90" s="152">
        <f>+_xlfn.XLOOKUP(sales[[#This Row],[Fecha]],OPEX_VE!A:A,OPEX_VE!B:B)</f>
        <v>1</v>
      </c>
      <c r="F90" s="14" t="str">
        <f>+_xlfn.XLOOKUP(sales[[#This Row],[Fecha]],OPEX_VE!A:A,OPEX_VE!E:E)</f>
        <v>B) Viernes</v>
      </c>
      <c r="G90" s="14" t="str">
        <f>+TEXT(sales[[#This Row],[Fecha]],"ddd")</f>
        <v>vie</v>
      </c>
      <c r="H90" s="190">
        <f>+sales[[#This Row],[Venta]]*0.4</f>
        <v>14000</v>
      </c>
      <c r="I90" s="103">
        <f>[1]sales!K95</f>
        <v>35000</v>
      </c>
      <c r="J90" s="79">
        <f>[1]sales!I95</f>
        <v>35000</v>
      </c>
      <c r="K90" s="52">
        <f>[1]sales!J95</f>
        <v>0</v>
      </c>
      <c r="L90" s="1"/>
    </row>
    <row r="91" spans="1:12" x14ac:dyDescent="0.2">
      <c r="A91" s="14">
        <f>[1]sales!A96</f>
        <v>46080</v>
      </c>
      <c r="B91" s="194">
        <f>[1]sales!B96</f>
        <v>0.74226851851851849</v>
      </c>
      <c r="C91" s="189" t="s">
        <v>49</v>
      </c>
      <c r="D91" s="14" t="str">
        <f>[1]sales!D96</f>
        <v>Chorizo</v>
      </c>
      <c r="E91" s="152">
        <f>+_xlfn.XLOOKUP(sales[[#This Row],[Fecha]],OPEX_VE!A:A,OPEX_VE!B:B)</f>
        <v>1</v>
      </c>
      <c r="F91" s="14" t="str">
        <f>+_xlfn.XLOOKUP(sales[[#This Row],[Fecha]],OPEX_VE!A:A,OPEX_VE!E:E)</f>
        <v>B) Viernes</v>
      </c>
      <c r="G91" s="14" t="str">
        <f>+TEXT(sales[[#This Row],[Fecha]],"ddd")</f>
        <v>vie</v>
      </c>
      <c r="H91" s="190">
        <f>+sales[[#This Row],[Venta]]*0.4</f>
        <v>6400</v>
      </c>
      <c r="I91" s="103">
        <f>[1]sales!K96</f>
        <v>16000</v>
      </c>
      <c r="J91" s="79">
        <f>[1]sales!I96</f>
        <v>16000</v>
      </c>
      <c r="K91" s="52">
        <f>[1]sales!J96</f>
        <v>0</v>
      </c>
      <c r="L91" s="1"/>
    </row>
    <row r="92" spans="1:12" x14ac:dyDescent="0.2">
      <c r="A92" s="14">
        <f>[1]sales!A97</f>
        <v>46080</v>
      </c>
      <c r="B92" s="194">
        <f>[1]sales!B97</f>
        <v>0.74226851851851849</v>
      </c>
      <c r="C92" s="189" t="s">
        <v>49</v>
      </c>
      <c r="D92" s="14" t="str">
        <f>[1]sales!D97</f>
        <v>Coca cola</v>
      </c>
      <c r="E92" s="152">
        <f>+_xlfn.XLOOKUP(sales[[#This Row],[Fecha]],OPEX_VE!A:A,OPEX_VE!B:B)</f>
        <v>1</v>
      </c>
      <c r="F92" s="14" t="str">
        <f>+_xlfn.XLOOKUP(sales[[#This Row],[Fecha]],OPEX_VE!A:A,OPEX_VE!E:E)</f>
        <v>B) Viernes</v>
      </c>
      <c r="G92" s="14" t="str">
        <f>+TEXT(sales[[#This Row],[Fecha]],"ddd")</f>
        <v>vie</v>
      </c>
      <c r="H92" s="190">
        <f>+sales[[#This Row],[Venta]]*0.4</f>
        <v>1200</v>
      </c>
      <c r="I92" s="103">
        <f>[1]sales!K97</f>
        <v>3000</v>
      </c>
      <c r="J92" s="79">
        <f>[1]sales!I97</f>
        <v>3000</v>
      </c>
      <c r="K92" s="52">
        <f>[1]sales!J97</f>
        <v>0</v>
      </c>
      <c r="L92" s="1"/>
    </row>
    <row r="93" spans="1:12" x14ac:dyDescent="0.2">
      <c r="A93" s="14">
        <f>[1]sales!A98</f>
        <v>46080</v>
      </c>
      <c r="B93" s="194">
        <f>[1]sales!B98</f>
        <v>0.76141203703703708</v>
      </c>
      <c r="C93" s="189" t="s">
        <v>49</v>
      </c>
      <c r="D93" s="14" t="str">
        <f>[1]sales!D98</f>
        <v>Chorizo</v>
      </c>
      <c r="E93" s="152">
        <f>+_xlfn.XLOOKUP(sales[[#This Row],[Fecha]],OPEX_VE!A:A,OPEX_VE!B:B)</f>
        <v>1</v>
      </c>
      <c r="F93" s="14" t="str">
        <f>+_xlfn.XLOOKUP(sales[[#This Row],[Fecha]],OPEX_VE!A:A,OPEX_VE!E:E)</f>
        <v>B) Viernes</v>
      </c>
      <c r="G93" s="14" t="str">
        <f>+TEXT(sales[[#This Row],[Fecha]],"ddd")</f>
        <v>vie</v>
      </c>
      <c r="H93" s="190">
        <f>+sales[[#This Row],[Venta]]*0.4</f>
        <v>9600</v>
      </c>
      <c r="I93" s="103">
        <f>[1]sales!K98</f>
        <v>24000</v>
      </c>
      <c r="J93" s="79">
        <f>[1]sales!I98</f>
        <v>0</v>
      </c>
      <c r="K93" s="52">
        <f>[1]sales!J98</f>
        <v>24000</v>
      </c>
      <c r="L93" s="1"/>
    </row>
    <row r="94" spans="1:12" x14ac:dyDescent="0.2">
      <c r="A94" s="14">
        <f>[1]sales!A99</f>
        <v>46080</v>
      </c>
      <c r="B94" s="194">
        <f>[1]sales!B99</f>
        <v>0.82401620370370365</v>
      </c>
      <c r="C94" s="189" t="s">
        <v>49</v>
      </c>
      <c r="D94" s="14" t="str">
        <f>[1]sales!D99</f>
        <v>Agua</v>
      </c>
      <c r="E94" s="152">
        <f>+_xlfn.XLOOKUP(sales[[#This Row],[Fecha]],OPEX_VE!A:A,OPEX_VE!B:B)</f>
        <v>1</v>
      </c>
      <c r="F94" s="14" t="str">
        <f>+_xlfn.XLOOKUP(sales[[#This Row],[Fecha]],OPEX_VE!A:A,OPEX_VE!E:E)</f>
        <v>B) Viernes</v>
      </c>
      <c r="G94" s="14" t="str">
        <f>+TEXT(sales[[#This Row],[Fecha]],"ddd")</f>
        <v>vie</v>
      </c>
      <c r="H94" s="190">
        <f>+sales[[#This Row],[Venta]]*0.4</f>
        <v>1200</v>
      </c>
      <c r="I94" s="103">
        <f>[1]sales!K99</f>
        <v>3000</v>
      </c>
      <c r="J94" s="79">
        <f>[1]sales!I99</f>
        <v>0</v>
      </c>
      <c r="K94" s="52">
        <f>[1]sales!J99</f>
        <v>3000</v>
      </c>
      <c r="L94" s="1"/>
    </row>
    <row r="95" spans="1:12" x14ac:dyDescent="0.2">
      <c r="A95" s="14">
        <f>[1]sales!A100</f>
        <v>46080</v>
      </c>
      <c r="B95" s="194">
        <f>[1]sales!B100</f>
        <v>0.82401620370370365</v>
      </c>
      <c r="C95" s="189" t="s">
        <v>49</v>
      </c>
      <c r="D95" s="14" t="str">
        <f>[1]sales!D100</f>
        <v>Chorizo</v>
      </c>
      <c r="E95" s="152">
        <f>+_xlfn.XLOOKUP(sales[[#This Row],[Fecha]],OPEX_VE!A:A,OPEX_VE!B:B)</f>
        <v>1</v>
      </c>
      <c r="F95" s="14" t="str">
        <f>+_xlfn.XLOOKUP(sales[[#This Row],[Fecha]],OPEX_VE!A:A,OPEX_VE!E:E)</f>
        <v>B) Viernes</v>
      </c>
      <c r="G95" s="14" t="str">
        <f>+TEXT(sales[[#This Row],[Fecha]],"ddd")</f>
        <v>vie</v>
      </c>
      <c r="H95" s="190">
        <f>+sales[[#This Row],[Venta]]*0.4</f>
        <v>3200</v>
      </c>
      <c r="I95" s="103">
        <f>[1]sales!K100</f>
        <v>8000</v>
      </c>
      <c r="J95" s="79">
        <f>[1]sales!I100</f>
        <v>0</v>
      </c>
      <c r="K95" s="52">
        <f>[1]sales!J100</f>
        <v>8000</v>
      </c>
      <c r="L95" s="1"/>
    </row>
    <row r="96" spans="1:12" x14ac:dyDescent="0.2">
      <c r="A96" s="14">
        <f>[1]sales!A101</f>
        <v>46080</v>
      </c>
      <c r="B96" s="194">
        <f>[1]sales!B101</f>
        <v>0.83636574074074077</v>
      </c>
      <c r="C96" s="189" t="s">
        <v>49</v>
      </c>
      <c r="D96" s="14" t="str">
        <f>[1]sales!D101</f>
        <v>Chorizo</v>
      </c>
      <c r="E96" s="152">
        <f>+_xlfn.XLOOKUP(sales[[#This Row],[Fecha]],OPEX_VE!A:A,OPEX_VE!B:B)</f>
        <v>1</v>
      </c>
      <c r="F96" s="14" t="str">
        <f>+_xlfn.XLOOKUP(sales[[#This Row],[Fecha]],OPEX_VE!A:A,OPEX_VE!E:E)</f>
        <v>B) Viernes</v>
      </c>
      <c r="G96" s="14" t="str">
        <f>+TEXT(sales[[#This Row],[Fecha]],"ddd")</f>
        <v>vie</v>
      </c>
      <c r="H96" s="190">
        <f>+sales[[#This Row],[Venta]]*0.4</f>
        <v>6400</v>
      </c>
      <c r="I96" s="103">
        <f>[1]sales!K101</f>
        <v>16000</v>
      </c>
      <c r="J96" s="79">
        <f>[1]sales!I101</f>
        <v>0</v>
      </c>
      <c r="K96" s="52">
        <f>[1]sales!J101</f>
        <v>16000</v>
      </c>
      <c r="L96" s="1"/>
    </row>
    <row r="97" spans="1:12" x14ac:dyDescent="0.2">
      <c r="A97" s="14">
        <f>[1]sales!A102</f>
        <v>46080</v>
      </c>
      <c r="B97" s="194">
        <f>[1]sales!B102</f>
        <v>0.83721064814814816</v>
      </c>
      <c r="C97" s="189" t="s">
        <v>49</v>
      </c>
      <c r="D97" s="14" t="str">
        <f>[1]sales!D102</f>
        <v>Chorizo</v>
      </c>
      <c r="E97" s="152">
        <f>+_xlfn.XLOOKUP(sales[[#This Row],[Fecha]],OPEX_VE!A:A,OPEX_VE!B:B)</f>
        <v>1</v>
      </c>
      <c r="F97" s="14" t="str">
        <f>+_xlfn.XLOOKUP(sales[[#This Row],[Fecha]],OPEX_VE!A:A,OPEX_VE!E:E)</f>
        <v>B) Viernes</v>
      </c>
      <c r="G97" s="14" t="str">
        <f>+TEXT(sales[[#This Row],[Fecha]],"ddd")</f>
        <v>vie</v>
      </c>
      <c r="H97" s="190">
        <f>+sales[[#This Row],[Venta]]*0.4</f>
        <v>12800</v>
      </c>
      <c r="I97" s="103">
        <f>[1]sales!K102</f>
        <v>32000</v>
      </c>
      <c r="J97" s="79">
        <f>[1]sales!I102</f>
        <v>32000</v>
      </c>
      <c r="K97" s="52">
        <f>[1]sales!J102</f>
        <v>0</v>
      </c>
      <c r="L97" s="112" t="e">
        <f>'Cuentas x Pagar'!#REF!</f>
        <v>#REF!</v>
      </c>
    </row>
    <row r="98" spans="1:12" x14ac:dyDescent="0.2">
      <c r="A98" s="14">
        <f>[1]sales!A103</f>
        <v>46080</v>
      </c>
      <c r="B98" s="194">
        <f>[1]sales!B103</f>
        <v>0.83721064814814816</v>
      </c>
      <c r="C98" s="189" t="s">
        <v>49</v>
      </c>
      <c r="D98" s="14" t="str">
        <f>[1]sales!D103</f>
        <v>Coca cola</v>
      </c>
      <c r="E98" s="152">
        <f>+_xlfn.XLOOKUP(sales[[#This Row],[Fecha]],OPEX_VE!A:A,OPEX_VE!B:B)</f>
        <v>1</v>
      </c>
      <c r="F98" s="14" t="str">
        <f>+_xlfn.XLOOKUP(sales[[#This Row],[Fecha]],OPEX_VE!A:A,OPEX_VE!E:E)</f>
        <v>B) Viernes</v>
      </c>
      <c r="G98" s="14" t="str">
        <f>+TEXT(sales[[#This Row],[Fecha]],"ddd")</f>
        <v>vie</v>
      </c>
      <c r="H98" s="190">
        <f>+sales[[#This Row],[Venta]]*0.4</f>
        <v>3600</v>
      </c>
      <c r="I98" s="103">
        <f>[1]sales!K103</f>
        <v>9000</v>
      </c>
      <c r="J98" s="79">
        <f>[1]sales!I103</f>
        <v>9000</v>
      </c>
      <c r="K98" s="52">
        <f>[1]sales!J103</f>
        <v>0</v>
      </c>
      <c r="L98" s="1"/>
    </row>
    <row r="99" spans="1:12" x14ac:dyDescent="0.2">
      <c r="A99" s="14">
        <f>[1]sales!A104</f>
        <v>46080</v>
      </c>
      <c r="B99" s="194">
        <f>[1]sales!B104</f>
        <v>0.83902777777777782</v>
      </c>
      <c r="C99" s="189" t="s">
        <v>49</v>
      </c>
      <c r="D99" s="14" t="str">
        <f>[1]sales!D104</f>
        <v>Chorizo</v>
      </c>
      <c r="E99" s="152">
        <f>+_xlfn.XLOOKUP(sales[[#This Row],[Fecha]],OPEX_VE!A:A,OPEX_VE!B:B)</f>
        <v>1</v>
      </c>
      <c r="F99" s="14" t="str">
        <f>+_xlfn.XLOOKUP(sales[[#This Row],[Fecha]],OPEX_VE!A:A,OPEX_VE!E:E)</f>
        <v>B) Viernes</v>
      </c>
      <c r="G99" s="14" t="str">
        <f>+TEXT(sales[[#This Row],[Fecha]],"ddd")</f>
        <v>vie</v>
      </c>
      <c r="H99" s="190">
        <f>+sales[[#This Row],[Venta]]*0.4</f>
        <v>3200</v>
      </c>
      <c r="I99" s="103">
        <f>[1]sales!K104</f>
        <v>8000</v>
      </c>
      <c r="J99" s="79">
        <f>[1]sales!I104</f>
        <v>8000</v>
      </c>
      <c r="K99" s="52">
        <f>[1]sales!J104</f>
        <v>0</v>
      </c>
      <c r="L99" s="1"/>
    </row>
    <row r="100" spans="1:12" x14ac:dyDescent="0.2">
      <c r="A100" s="14">
        <f>[1]sales!A105</f>
        <v>46081</v>
      </c>
      <c r="B100" s="194">
        <f>[1]sales!B105</f>
        <v>0.78979166666666667</v>
      </c>
      <c r="C100" s="189" t="s">
        <v>49</v>
      </c>
      <c r="D100" s="14" t="str">
        <f>[1]sales!D105</f>
        <v>Chori- CRUDO</v>
      </c>
      <c r="E100" s="152">
        <f>+_xlfn.XLOOKUP(sales[[#This Row],[Fecha]],OPEX_VE!A:A,OPEX_VE!B:B)</f>
        <v>1</v>
      </c>
      <c r="F100" s="14" t="str">
        <f>+_xlfn.XLOOKUP(sales[[#This Row],[Fecha]],OPEX_VE!A:A,OPEX_VE!E:E)</f>
        <v>C) Sábado</v>
      </c>
      <c r="G100" s="14" t="str">
        <f>+TEXT(sales[[#This Row],[Fecha]],"ddd")</f>
        <v>sáb</v>
      </c>
      <c r="H100" s="190">
        <f>+sales[[#This Row],[Venta]]*0.4</f>
        <v>10800</v>
      </c>
      <c r="I100" s="103">
        <f>[1]sales!K105</f>
        <v>27000</v>
      </c>
      <c r="J100" s="79">
        <f>[1]sales!I105</f>
        <v>27000</v>
      </c>
      <c r="K100" s="52">
        <f>[1]sales!J105</f>
        <v>0</v>
      </c>
      <c r="L100" s="1"/>
    </row>
    <row r="101" spans="1:12" x14ac:dyDescent="0.2">
      <c r="A101" s="14">
        <f>[1]sales!A106</f>
        <v>46081</v>
      </c>
      <c r="B101" s="194">
        <f>[1]sales!B106</f>
        <v>0.79023148148148148</v>
      </c>
      <c r="C101" s="189" t="s">
        <v>49</v>
      </c>
      <c r="D101" s="14" t="str">
        <f>[1]sales!D106</f>
        <v>Chorizo</v>
      </c>
      <c r="E101" s="152">
        <f>+_xlfn.XLOOKUP(sales[[#This Row],[Fecha]],OPEX_VE!A:A,OPEX_VE!B:B)</f>
        <v>1</v>
      </c>
      <c r="F101" s="14" t="str">
        <f>+_xlfn.XLOOKUP(sales[[#This Row],[Fecha]],OPEX_VE!A:A,OPEX_VE!E:E)</f>
        <v>C) Sábado</v>
      </c>
      <c r="G101" s="14" t="str">
        <f>+TEXT(sales[[#This Row],[Fecha]],"ddd")</f>
        <v>sáb</v>
      </c>
      <c r="H101" s="190">
        <f>+sales[[#This Row],[Venta]]*0.4</f>
        <v>6400</v>
      </c>
      <c r="I101" s="103">
        <f>[1]sales!K106</f>
        <v>16000</v>
      </c>
      <c r="J101" s="79">
        <f>[1]sales!I106</f>
        <v>0</v>
      </c>
      <c r="K101" s="52">
        <f>[1]sales!J106</f>
        <v>16000</v>
      </c>
      <c r="L101" s="1"/>
    </row>
    <row r="102" spans="1:12" x14ac:dyDescent="0.2">
      <c r="A102" s="14">
        <f>[1]sales!A107</f>
        <v>46081</v>
      </c>
      <c r="B102" s="194">
        <f>[1]sales!B107</f>
        <v>0.79096064814814815</v>
      </c>
      <c r="C102" s="189" t="s">
        <v>49</v>
      </c>
      <c r="D102" s="14" t="str">
        <f>[1]sales!D107</f>
        <v>Agua</v>
      </c>
      <c r="E102" s="152">
        <f>+_xlfn.XLOOKUP(sales[[#This Row],[Fecha]],OPEX_VE!A:A,OPEX_VE!B:B)</f>
        <v>1</v>
      </c>
      <c r="F102" s="14" t="str">
        <f>+_xlfn.XLOOKUP(sales[[#This Row],[Fecha]],OPEX_VE!A:A,OPEX_VE!E:E)</f>
        <v>C) Sábado</v>
      </c>
      <c r="G102" s="14" t="str">
        <f>+TEXT(sales[[#This Row],[Fecha]],"ddd")</f>
        <v>sáb</v>
      </c>
      <c r="H102" s="190">
        <f>+sales[[#This Row],[Venta]]*0.4</f>
        <v>1200</v>
      </c>
      <c r="I102" s="103">
        <f>[1]sales!K107</f>
        <v>3000</v>
      </c>
      <c r="J102" s="79">
        <f>[1]sales!I107</f>
        <v>0</v>
      </c>
      <c r="K102" s="52">
        <f>[1]sales!J107</f>
        <v>3000</v>
      </c>
      <c r="L102" s="1"/>
    </row>
    <row r="103" spans="1:12" x14ac:dyDescent="0.2">
      <c r="A103" s="14">
        <f>[1]sales!A108</f>
        <v>46081</v>
      </c>
      <c r="B103" s="194">
        <f>[1]sales!B108</f>
        <v>0.79096064814814815</v>
      </c>
      <c r="C103" s="189" t="s">
        <v>49</v>
      </c>
      <c r="D103" s="14" t="str">
        <f>[1]sales!D108</f>
        <v>Chorizo</v>
      </c>
      <c r="E103" s="152">
        <f>+_xlfn.XLOOKUP(sales[[#This Row],[Fecha]],OPEX_VE!A:A,OPEX_VE!B:B)</f>
        <v>1</v>
      </c>
      <c r="F103" s="14" t="str">
        <f>+_xlfn.XLOOKUP(sales[[#This Row],[Fecha]],OPEX_VE!A:A,OPEX_VE!E:E)</f>
        <v>C) Sábado</v>
      </c>
      <c r="G103" s="14" t="str">
        <f>+TEXT(sales[[#This Row],[Fecha]],"ddd")</f>
        <v>sáb</v>
      </c>
      <c r="H103" s="190">
        <f>+sales[[#This Row],[Venta]]*0.4</f>
        <v>3200</v>
      </c>
      <c r="I103" s="103">
        <f>[1]sales!K108</f>
        <v>8000</v>
      </c>
      <c r="J103" s="79">
        <f>[1]sales!I108</f>
        <v>0</v>
      </c>
      <c r="K103" s="52">
        <f>[1]sales!J108</f>
        <v>8000</v>
      </c>
      <c r="L103" s="1"/>
    </row>
    <row r="104" spans="1:12" x14ac:dyDescent="0.2">
      <c r="A104" s="14">
        <f>[1]sales!A109</f>
        <v>46081</v>
      </c>
      <c r="B104" s="194">
        <f>[1]sales!B109</f>
        <v>0.79096064814814815</v>
      </c>
      <c r="C104" s="189" t="s">
        <v>49</v>
      </c>
      <c r="D104" s="14" t="str">
        <f>[1]sales!D109</f>
        <v>tinto</v>
      </c>
      <c r="E104" s="152">
        <f>+_xlfn.XLOOKUP(sales[[#This Row],[Fecha]],OPEX_VE!A:A,OPEX_VE!B:B)</f>
        <v>1</v>
      </c>
      <c r="F104" s="14" t="str">
        <f>+_xlfn.XLOOKUP(sales[[#This Row],[Fecha]],OPEX_VE!A:A,OPEX_VE!E:E)</f>
        <v>C) Sábado</v>
      </c>
      <c r="G104" s="14" t="str">
        <f>+TEXT(sales[[#This Row],[Fecha]],"ddd")</f>
        <v>sáb</v>
      </c>
      <c r="H104" s="190">
        <f>+sales[[#This Row],[Venta]]*0.4</f>
        <v>800</v>
      </c>
      <c r="I104" s="103">
        <f>[1]sales!K109</f>
        <v>2000</v>
      </c>
      <c r="J104" s="79">
        <f>[1]sales!I109</f>
        <v>0</v>
      </c>
      <c r="K104" s="52">
        <f>[1]sales!J109</f>
        <v>2000</v>
      </c>
      <c r="L104" s="1"/>
    </row>
    <row r="105" spans="1:12" x14ac:dyDescent="0.2">
      <c r="A105" s="14">
        <f>[1]sales!A110</f>
        <v>46081</v>
      </c>
      <c r="B105" s="194">
        <f>[1]sales!B110</f>
        <v>0.79240740740740745</v>
      </c>
      <c r="C105" s="189" t="s">
        <v>49</v>
      </c>
      <c r="D105" s="14" t="str">
        <f>[1]sales!D110</f>
        <v>Chorizo</v>
      </c>
      <c r="E105" s="152">
        <f>+_xlfn.XLOOKUP(sales[[#This Row],[Fecha]],OPEX_VE!A:A,OPEX_VE!B:B)</f>
        <v>1</v>
      </c>
      <c r="F105" s="14" t="str">
        <f>+_xlfn.XLOOKUP(sales[[#This Row],[Fecha]],OPEX_VE!A:A,OPEX_VE!E:E)</f>
        <v>C) Sábado</v>
      </c>
      <c r="G105" s="14" t="str">
        <f>+TEXT(sales[[#This Row],[Fecha]],"ddd")</f>
        <v>sáb</v>
      </c>
      <c r="H105" s="190">
        <f>+sales[[#This Row],[Venta]]*0.4</f>
        <v>6400</v>
      </c>
      <c r="I105" s="103">
        <f>[1]sales!K110</f>
        <v>16000</v>
      </c>
      <c r="J105" s="79">
        <f>[1]sales!I110</f>
        <v>16000</v>
      </c>
      <c r="K105" s="52">
        <f>[1]sales!J110</f>
        <v>0</v>
      </c>
      <c r="L105" s="1"/>
    </row>
    <row r="106" spans="1:12" x14ac:dyDescent="0.2">
      <c r="A106" s="14">
        <f>[1]sales!A111</f>
        <v>46081</v>
      </c>
      <c r="B106" s="194">
        <f>[1]sales!B111</f>
        <v>0.79240740740740745</v>
      </c>
      <c r="C106" s="189" t="s">
        <v>49</v>
      </c>
      <c r="D106" s="14" t="str">
        <f>[1]sales!D111</f>
        <v>Coca cola</v>
      </c>
      <c r="E106" s="152">
        <f>+_xlfn.XLOOKUP(sales[[#This Row],[Fecha]],OPEX_VE!A:A,OPEX_VE!B:B)</f>
        <v>1</v>
      </c>
      <c r="F106" s="14" t="str">
        <f>+_xlfn.XLOOKUP(sales[[#This Row],[Fecha]],OPEX_VE!A:A,OPEX_VE!E:E)</f>
        <v>C) Sábado</v>
      </c>
      <c r="G106" s="14" t="str">
        <f>+TEXT(sales[[#This Row],[Fecha]],"ddd")</f>
        <v>sáb</v>
      </c>
      <c r="H106" s="190">
        <f>+sales[[#This Row],[Venta]]*0.4</f>
        <v>1200</v>
      </c>
      <c r="I106" s="103">
        <f>[1]sales!K111</f>
        <v>3000</v>
      </c>
      <c r="J106" s="79">
        <f>[1]sales!I111</f>
        <v>3000</v>
      </c>
      <c r="K106" s="52">
        <f>[1]sales!J111</f>
        <v>0</v>
      </c>
      <c r="L106" s="1"/>
    </row>
    <row r="107" spans="1:12" x14ac:dyDescent="0.2">
      <c r="A107" s="14">
        <f>[1]sales!A112</f>
        <v>46081</v>
      </c>
      <c r="B107" s="194">
        <f>[1]sales!B112</f>
        <v>0.79320601851851846</v>
      </c>
      <c r="C107" s="189" t="s">
        <v>49</v>
      </c>
      <c r="D107" s="14" t="str">
        <f>[1]sales!D112</f>
        <v>Chorizo</v>
      </c>
      <c r="E107" s="152">
        <f>+_xlfn.XLOOKUP(sales[[#This Row],[Fecha]],OPEX_VE!A:A,OPEX_VE!B:B)</f>
        <v>1</v>
      </c>
      <c r="F107" s="14" t="str">
        <f>+_xlfn.XLOOKUP(sales[[#This Row],[Fecha]],OPEX_VE!A:A,OPEX_VE!E:E)</f>
        <v>C) Sábado</v>
      </c>
      <c r="G107" s="14" t="str">
        <f>+TEXT(sales[[#This Row],[Fecha]],"ddd")</f>
        <v>sáb</v>
      </c>
      <c r="H107" s="190">
        <f>+sales[[#This Row],[Venta]]*0.4</f>
        <v>6400</v>
      </c>
      <c r="I107" s="103">
        <f>[1]sales!K112</f>
        <v>16000</v>
      </c>
      <c r="J107" s="79">
        <f>[1]sales!I112</f>
        <v>16000</v>
      </c>
      <c r="K107" s="52">
        <f>[1]sales!J112</f>
        <v>0</v>
      </c>
      <c r="L107" s="1"/>
    </row>
    <row r="108" spans="1:12" x14ac:dyDescent="0.2">
      <c r="A108" s="14">
        <f>[1]sales!A113</f>
        <v>46081</v>
      </c>
      <c r="B108" s="194">
        <f>[1]sales!B113</f>
        <v>0.79320601851851846</v>
      </c>
      <c r="C108" s="189" t="s">
        <v>49</v>
      </c>
      <c r="D108" s="14" t="str">
        <f>[1]sales!D113</f>
        <v>Coca cola</v>
      </c>
      <c r="E108" s="152">
        <f>+_xlfn.XLOOKUP(sales[[#This Row],[Fecha]],OPEX_VE!A:A,OPEX_VE!B:B)</f>
        <v>1</v>
      </c>
      <c r="F108" s="14" t="str">
        <f>+_xlfn.XLOOKUP(sales[[#This Row],[Fecha]],OPEX_VE!A:A,OPEX_VE!E:E)</f>
        <v>C) Sábado</v>
      </c>
      <c r="G108" s="14" t="str">
        <f>+TEXT(sales[[#This Row],[Fecha]],"ddd")</f>
        <v>sáb</v>
      </c>
      <c r="H108" s="190">
        <f>+sales[[#This Row],[Venta]]*0.4</f>
        <v>1200</v>
      </c>
      <c r="I108" s="103">
        <f>[1]sales!K113</f>
        <v>3000</v>
      </c>
      <c r="J108" s="79">
        <f>[1]sales!I113</f>
        <v>3000</v>
      </c>
      <c r="K108" s="52">
        <f>[1]sales!J113</f>
        <v>0</v>
      </c>
      <c r="L108" s="1"/>
    </row>
    <row r="109" spans="1:12" x14ac:dyDescent="0.2">
      <c r="A109" s="14">
        <f>[1]sales!A114</f>
        <v>46081</v>
      </c>
      <c r="B109" s="194">
        <f>[1]sales!B114</f>
        <v>0.79386574074074079</v>
      </c>
      <c r="C109" s="189" t="s">
        <v>49</v>
      </c>
      <c r="D109" s="14" t="str">
        <f>[1]sales!D114</f>
        <v>Chorizo</v>
      </c>
      <c r="E109" s="152">
        <f>+_xlfn.XLOOKUP(sales[[#This Row],[Fecha]],OPEX_VE!A:A,OPEX_VE!B:B)</f>
        <v>1</v>
      </c>
      <c r="F109" s="14" t="str">
        <f>+_xlfn.XLOOKUP(sales[[#This Row],[Fecha]],OPEX_VE!A:A,OPEX_VE!E:E)</f>
        <v>C) Sábado</v>
      </c>
      <c r="G109" s="14" t="str">
        <f>+TEXT(sales[[#This Row],[Fecha]],"ddd")</f>
        <v>sáb</v>
      </c>
      <c r="H109" s="190">
        <f>+sales[[#This Row],[Venta]]*0.4</f>
        <v>3200</v>
      </c>
      <c r="I109" s="103">
        <f>[1]sales!K114</f>
        <v>8000</v>
      </c>
      <c r="J109" s="79">
        <f>[1]sales!I114</f>
        <v>8000</v>
      </c>
      <c r="K109" s="52">
        <f>[1]sales!J114</f>
        <v>0</v>
      </c>
      <c r="L109" s="1"/>
    </row>
    <row r="110" spans="1:12" x14ac:dyDescent="0.2">
      <c r="A110" s="14">
        <f>[1]sales!A115</f>
        <v>46081</v>
      </c>
      <c r="B110" s="194">
        <f>[1]sales!B115</f>
        <v>0.79386574074074079</v>
      </c>
      <c r="C110" s="189" t="s">
        <v>49</v>
      </c>
      <c r="D110" s="14" t="str">
        <f>[1]sales!D115</f>
        <v>Coca cola</v>
      </c>
      <c r="E110" s="152">
        <f>+_xlfn.XLOOKUP(sales[[#This Row],[Fecha]],OPEX_VE!A:A,OPEX_VE!B:B)</f>
        <v>1</v>
      </c>
      <c r="F110" s="14" t="str">
        <f>+_xlfn.XLOOKUP(sales[[#This Row],[Fecha]],OPEX_VE!A:A,OPEX_VE!E:E)</f>
        <v>C) Sábado</v>
      </c>
      <c r="G110" s="14" t="str">
        <f>+TEXT(sales[[#This Row],[Fecha]],"ddd")</f>
        <v>sáb</v>
      </c>
      <c r="H110" s="190">
        <f>+sales[[#This Row],[Venta]]*0.4</f>
        <v>1200</v>
      </c>
      <c r="I110" s="103">
        <f>[1]sales!K115</f>
        <v>3000</v>
      </c>
      <c r="J110" s="79">
        <f>[1]sales!I115</f>
        <v>3000</v>
      </c>
      <c r="K110" s="52">
        <f>[1]sales!J115</f>
        <v>0</v>
      </c>
      <c r="L110" s="1"/>
    </row>
    <row r="111" spans="1:12" x14ac:dyDescent="0.2">
      <c r="A111" s="14">
        <f>[1]sales!A116</f>
        <v>46081</v>
      </c>
      <c r="B111" s="194">
        <f>[1]sales!B116</f>
        <v>0.79442129629629632</v>
      </c>
      <c r="C111" s="189" t="s">
        <v>49</v>
      </c>
      <c r="D111" s="14" t="str">
        <f>[1]sales!D116</f>
        <v>Chorizo</v>
      </c>
      <c r="E111" s="152">
        <f>+_xlfn.XLOOKUP(sales[[#This Row],[Fecha]],OPEX_VE!A:A,OPEX_VE!B:B)</f>
        <v>1</v>
      </c>
      <c r="F111" s="14" t="str">
        <f>+_xlfn.XLOOKUP(sales[[#This Row],[Fecha]],OPEX_VE!A:A,OPEX_VE!E:E)</f>
        <v>C) Sábado</v>
      </c>
      <c r="G111" s="14" t="str">
        <f>+TEXT(sales[[#This Row],[Fecha]],"ddd")</f>
        <v>sáb</v>
      </c>
      <c r="H111" s="190">
        <f>+sales[[#This Row],[Venta]]*0.4</f>
        <v>12800</v>
      </c>
      <c r="I111" s="103">
        <f>[1]sales!K116</f>
        <v>32000</v>
      </c>
      <c r="J111" s="79">
        <f>[1]sales!I116</f>
        <v>32000</v>
      </c>
      <c r="K111" s="52">
        <f>[1]sales!J116</f>
        <v>0</v>
      </c>
      <c r="L111" s="1"/>
    </row>
    <row r="112" spans="1:12" x14ac:dyDescent="0.2">
      <c r="A112" s="14">
        <f>[1]sales!A117</f>
        <v>46081</v>
      </c>
      <c r="B112" s="194">
        <f>[1]sales!B117</f>
        <v>0.79442129629629632</v>
      </c>
      <c r="C112" s="189" t="s">
        <v>49</v>
      </c>
      <c r="D112" s="14" t="str">
        <f>[1]sales!D117</f>
        <v>Coca cola</v>
      </c>
      <c r="E112" s="152">
        <f>+_xlfn.XLOOKUP(sales[[#This Row],[Fecha]],OPEX_VE!A:A,OPEX_VE!B:B)</f>
        <v>1</v>
      </c>
      <c r="F112" s="14" t="str">
        <f>+_xlfn.XLOOKUP(sales[[#This Row],[Fecha]],OPEX_VE!A:A,OPEX_VE!E:E)</f>
        <v>C) Sábado</v>
      </c>
      <c r="G112" s="14" t="str">
        <f>+TEXT(sales[[#This Row],[Fecha]],"ddd")</f>
        <v>sáb</v>
      </c>
      <c r="H112" s="190">
        <f>+sales[[#This Row],[Venta]]*0.4</f>
        <v>2400</v>
      </c>
      <c r="I112" s="103">
        <f>[1]sales!K117</f>
        <v>6000</v>
      </c>
      <c r="J112" s="79">
        <f>[1]sales!I117</f>
        <v>6000</v>
      </c>
      <c r="K112" s="52">
        <f>[1]sales!J117</f>
        <v>0</v>
      </c>
      <c r="L112" s="1"/>
    </row>
    <row r="113" spans="1:21" x14ac:dyDescent="0.2">
      <c r="A113" s="14">
        <f>[1]sales!A118</f>
        <v>46081</v>
      </c>
      <c r="B113" s="194">
        <f>[1]sales!B118</f>
        <v>0.79465277777777776</v>
      </c>
      <c r="C113" s="189" t="s">
        <v>49</v>
      </c>
      <c r="D113" s="14" t="str">
        <f>[1]sales!D118</f>
        <v>Chorizo</v>
      </c>
      <c r="E113" s="152">
        <f>+_xlfn.XLOOKUP(sales[[#This Row],[Fecha]],OPEX_VE!A:A,OPEX_VE!B:B)</f>
        <v>1</v>
      </c>
      <c r="F113" s="14" t="str">
        <f>+_xlfn.XLOOKUP(sales[[#This Row],[Fecha]],OPEX_VE!A:A,OPEX_VE!E:E)</f>
        <v>C) Sábado</v>
      </c>
      <c r="G113" s="14" t="str">
        <f>+TEXT(sales[[#This Row],[Fecha]],"ddd")</f>
        <v>sáb</v>
      </c>
      <c r="H113" s="190">
        <f>+sales[[#This Row],[Venta]]*0.4</f>
        <v>6400</v>
      </c>
      <c r="I113" s="103">
        <f>[1]sales!K118</f>
        <v>16000</v>
      </c>
      <c r="J113" s="79">
        <f>[1]sales!I118</f>
        <v>16000</v>
      </c>
      <c r="K113" s="52">
        <f>[1]sales!J118</f>
        <v>0</v>
      </c>
      <c r="L113" s="1"/>
    </row>
    <row r="114" spans="1:21" x14ac:dyDescent="0.2">
      <c r="A114" s="14">
        <f>[1]sales!A119</f>
        <v>46081</v>
      </c>
      <c r="B114" s="194">
        <f>[1]sales!B119</f>
        <v>0.79509259259259257</v>
      </c>
      <c r="C114" s="189" t="s">
        <v>49</v>
      </c>
      <c r="D114" s="14" t="str">
        <f>[1]sales!D119</f>
        <v>Chorizo</v>
      </c>
      <c r="E114" s="152">
        <f>+_xlfn.XLOOKUP(sales[[#This Row],[Fecha]],OPEX_VE!A:A,OPEX_VE!B:B)</f>
        <v>1</v>
      </c>
      <c r="F114" s="14" t="str">
        <f>+_xlfn.XLOOKUP(sales[[#This Row],[Fecha]],OPEX_VE!A:A,OPEX_VE!E:E)</f>
        <v>C) Sábado</v>
      </c>
      <c r="G114" s="14" t="str">
        <f>+TEXT(sales[[#This Row],[Fecha]],"ddd")</f>
        <v>sáb</v>
      </c>
      <c r="H114" s="190">
        <f>+sales[[#This Row],[Venta]]*0.4</f>
        <v>9600</v>
      </c>
      <c r="I114" s="103">
        <f>[1]sales!K119</f>
        <v>24000</v>
      </c>
      <c r="J114" s="79">
        <f>[1]sales!I119</f>
        <v>24000</v>
      </c>
      <c r="K114" s="52">
        <f>[1]sales!J119</f>
        <v>0</v>
      </c>
      <c r="L114" s="1"/>
    </row>
    <row r="115" spans="1:21" x14ac:dyDescent="0.2">
      <c r="A115" s="14">
        <f>[1]sales!A120</f>
        <v>46081</v>
      </c>
      <c r="B115" s="194">
        <f>[1]sales!B120</f>
        <v>0.79509259259259257</v>
      </c>
      <c r="C115" s="189" t="s">
        <v>49</v>
      </c>
      <c r="D115" s="14" t="str">
        <f>[1]sales!D120</f>
        <v>Hit</v>
      </c>
      <c r="E115" s="152">
        <f>+_xlfn.XLOOKUP(sales[[#This Row],[Fecha]],OPEX_VE!A:A,OPEX_VE!B:B)</f>
        <v>1</v>
      </c>
      <c r="F115" s="14" t="str">
        <f>+_xlfn.XLOOKUP(sales[[#This Row],[Fecha]],OPEX_VE!A:A,OPEX_VE!E:E)</f>
        <v>C) Sábado</v>
      </c>
      <c r="G115" s="14" t="str">
        <f>+TEXT(sales[[#This Row],[Fecha]],"ddd")</f>
        <v>sáb</v>
      </c>
      <c r="H115" s="190">
        <f>+sales[[#This Row],[Venta]]*0.4</f>
        <v>1800</v>
      </c>
      <c r="I115" s="103">
        <f>[1]sales!K120</f>
        <v>4500</v>
      </c>
      <c r="J115" s="79">
        <f>[1]sales!I120</f>
        <v>4500</v>
      </c>
      <c r="K115" s="52">
        <f>[1]sales!J120</f>
        <v>0</v>
      </c>
      <c r="L115" s="1"/>
    </row>
    <row r="116" spans="1:21" x14ac:dyDescent="0.2">
      <c r="A116" s="14">
        <f>[1]sales!A121</f>
        <v>46081</v>
      </c>
      <c r="B116" s="194">
        <f>[1]sales!B121</f>
        <v>0.79549768518518515</v>
      </c>
      <c r="C116" s="189" t="s">
        <v>49</v>
      </c>
      <c r="D116" s="14" t="str">
        <f>[1]sales!D121</f>
        <v>parri tres carnes</v>
      </c>
      <c r="E116" s="152">
        <f>+_xlfn.XLOOKUP(sales[[#This Row],[Fecha]],OPEX_VE!A:A,OPEX_VE!B:B)</f>
        <v>1</v>
      </c>
      <c r="F116" s="14" t="str">
        <f>+_xlfn.XLOOKUP(sales[[#This Row],[Fecha]],OPEX_VE!A:A,OPEX_VE!E:E)</f>
        <v>C) Sábado</v>
      </c>
      <c r="G116" s="14" t="str">
        <f>+TEXT(sales[[#This Row],[Fecha]],"ddd")</f>
        <v>sáb</v>
      </c>
      <c r="H116" s="190">
        <f>+sales[[#This Row],[Venta]]*0.4</f>
        <v>14000</v>
      </c>
      <c r="I116" s="103">
        <f>[1]sales!K121</f>
        <v>35000</v>
      </c>
      <c r="J116" s="79">
        <f>[1]sales!I121</f>
        <v>35000</v>
      </c>
      <c r="K116" s="52">
        <f>[1]sales!J121</f>
        <v>0</v>
      </c>
      <c r="L116" s="1"/>
    </row>
    <row r="117" spans="1:21" x14ac:dyDescent="0.2">
      <c r="A117" s="14">
        <f>[1]sales!A122</f>
        <v>46081</v>
      </c>
      <c r="B117" s="194">
        <f>[1]sales!B122</f>
        <v>0.79572916666666671</v>
      </c>
      <c r="C117" s="189" t="s">
        <v>49</v>
      </c>
      <c r="D117" s="14" t="str">
        <f>[1]sales!D122</f>
        <v>parri tres carnes</v>
      </c>
      <c r="E117" s="152">
        <f>+_xlfn.XLOOKUP(sales[[#This Row],[Fecha]],OPEX_VE!A:A,OPEX_VE!B:B)</f>
        <v>1</v>
      </c>
      <c r="F117" s="14" t="str">
        <f>+_xlfn.XLOOKUP(sales[[#This Row],[Fecha]],OPEX_VE!A:A,OPEX_VE!E:E)</f>
        <v>C) Sábado</v>
      </c>
      <c r="G117" s="14" t="str">
        <f>+TEXT(sales[[#This Row],[Fecha]],"ddd")</f>
        <v>sáb</v>
      </c>
      <c r="H117" s="190">
        <f>+sales[[#This Row],[Venta]]*0.4</f>
        <v>14000</v>
      </c>
      <c r="I117" s="103">
        <f>[1]sales!K122</f>
        <v>35000</v>
      </c>
      <c r="J117" s="79">
        <f>[1]sales!I122</f>
        <v>35000</v>
      </c>
      <c r="K117" s="52">
        <f>[1]sales!J122</f>
        <v>0</v>
      </c>
      <c r="L117" s="1"/>
    </row>
    <row r="118" spans="1:21" x14ac:dyDescent="0.2">
      <c r="A118" s="14">
        <f>[1]sales!A123</f>
        <v>46081</v>
      </c>
      <c r="B118" s="194">
        <f>[1]sales!B123</f>
        <v>0.79718750000000005</v>
      </c>
      <c r="C118" s="189" t="s">
        <v>49</v>
      </c>
      <c r="D118" s="14" t="str">
        <f>[1]sales!D123</f>
        <v>parri 48</v>
      </c>
      <c r="E118" s="152">
        <f>+_xlfn.XLOOKUP(sales[[#This Row],[Fecha]],OPEX_VE!A:A,OPEX_VE!B:B)</f>
        <v>1</v>
      </c>
      <c r="F118" s="14" t="str">
        <f>+_xlfn.XLOOKUP(sales[[#This Row],[Fecha]],OPEX_VE!A:A,OPEX_VE!E:E)</f>
        <v>C) Sábado</v>
      </c>
      <c r="G118" s="14" t="str">
        <f>+TEXT(sales[[#This Row],[Fecha]],"ddd")</f>
        <v>sáb</v>
      </c>
      <c r="H118" s="190">
        <f>+sales[[#This Row],[Venta]]*0.4</f>
        <v>19200</v>
      </c>
      <c r="I118" s="103">
        <f>[1]sales!K123</f>
        <v>48000</v>
      </c>
      <c r="J118" s="79">
        <f>[1]sales!I123</f>
        <v>48000</v>
      </c>
      <c r="K118" s="52">
        <f>[1]sales!J123</f>
        <v>0</v>
      </c>
      <c r="L118" s="1"/>
    </row>
    <row r="119" spans="1:21" x14ac:dyDescent="0.2">
      <c r="A119" s="14">
        <f>[1]sales!A124</f>
        <v>46081</v>
      </c>
      <c r="B119" s="194">
        <f>[1]sales!B124</f>
        <v>0.79751157407407403</v>
      </c>
      <c r="C119" s="189" t="s">
        <v>49</v>
      </c>
      <c r="D119" s="14" t="str">
        <f>[1]sales!D124</f>
        <v>parri 70</v>
      </c>
      <c r="E119" s="152">
        <f>+_xlfn.XLOOKUP(sales[[#This Row],[Fecha]],OPEX_VE!A:A,OPEX_VE!B:B)</f>
        <v>1</v>
      </c>
      <c r="F119" s="14" t="str">
        <f>+_xlfn.XLOOKUP(sales[[#This Row],[Fecha]],OPEX_VE!A:A,OPEX_VE!E:E)</f>
        <v>C) Sábado</v>
      </c>
      <c r="G119" s="14" t="str">
        <f>+TEXT(sales[[#This Row],[Fecha]],"ddd")</f>
        <v>sáb</v>
      </c>
      <c r="H119" s="190">
        <f>+sales[[#This Row],[Venta]]*0.4</f>
        <v>56000</v>
      </c>
      <c r="I119" s="103">
        <f>[1]sales!K124</f>
        <v>140000</v>
      </c>
      <c r="J119" s="79">
        <f>[1]sales!I124</f>
        <v>140000</v>
      </c>
      <c r="K119" s="52">
        <f>[1]sales!J124</f>
        <v>0</v>
      </c>
      <c r="L119" s="1"/>
    </row>
    <row r="120" spans="1:21" x14ac:dyDescent="0.2">
      <c r="A120" s="14">
        <f>[1]sales!A125</f>
        <v>46081</v>
      </c>
      <c r="B120" s="194">
        <f>[1]sales!B125</f>
        <v>0.79766203703703709</v>
      </c>
      <c r="C120" s="189" t="s">
        <v>49</v>
      </c>
      <c r="D120" s="14" t="str">
        <f>[1]sales!D125</f>
        <v>parri 40</v>
      </c>
      <c r="E120" s="152">
        <f>+_xlfn.XLOOKUP(sales[[#This Row],[Fecha]],OPEX_VE!A:A,OPEX_VE!B:B)</f>
        <v>1</v>
      </c>
      <c r="F120" s="14" t="str">
        <f>+_xlfn.XLOOKUP(sales[[#This Row],[Fecha]],OPEX_VE!A:A,OPEX_VE!E:E)</f>
        <v>C) Sábado</v>
      </c>
      <c r="G120" s="14" t="str">
        <f>+TEXT(sales[[#This Row],[Fecha]],"ddd")</f>
        <v>sáb</v>
      </c>
      <c r="H120" s="190">
        <f>+sales[[#This Row],[Venta]]*0.4</f>
        <v>16000</v>
      </c>
      <c r="I120" s="103">
        <f>[1]sales!K125</f>
        <v>40000</v>
      </c>
      <c r="J120" s="79">
        <f>[1]sales!I125</f>
        <v>40000</v>
      </c>
      <c r="K120" s="52">
        <f>[1]sales!J125</f>
        <v>0</v>
      </c>
      <c r="L120" s="1"/>
    </row>
    <row r="121" spans="1:21" x14ac:dyDescent="0.2">
      <c r="A121" s="14">
        <f>[1]sales!A126</f>
        <v>46081</v>
      </c>
      <c r="B121" s="194">
        <f>[1]sales!B126</f>
        <v>0.79902777777777778</v>
      </c>
      <c r="C121" s="189" t="s">
        <v>49</v>
      </c>
      <c r="D121" s="14" t="str">
        <f>[1]sales!D126</f>
        <v>Chori- CRUDO</v>
      </c>
      <c r="E121" s="152">
        <f>+_xlfn.XLOOKUP(sales[[#This Row],[Fecha]],OPEX_VE!A:A,OPEX_VE!B:B)</f>
        <v>1</v>
      </c>
      <c r="F121" s="14" t="str">
        <f>+_xlfn.XLOOKUP(sales[[#This Row],[Fecha]],OPEX_VE!A:A,OPEX_VE!E:E)</f>
        <v>C) Sábado</v>
      </c>
      <c r="G121" s="14" t="str">
        <f>+TEXT(sales[[#This Row],[Fecha]],"ddd")</f>
        <v>sáb</v>
      </c>
      <c r="H121" s="190">
        <f>+sales[[#This Row],[Venta]]*0.4</f>
        <v>7200</v>
      </c>
      <c r="I121" s="103">
        <f>[1]sales!K126</f>
        <v>18000</v>
      </c>
      <c r="J121" s="79">
        <f>[1]sales!I126</f>
        <v>0</v>
      </c>
      <c r="K121" s="52">
        <f>[1]sales!J126</f>
        <v>18000</v>
      </c>
      <c r="L121" s="1"/>
    </row>
    <row r="122" spans="1:21" x14ac:dyDescent="0.2">
      <c r="A122" s="14">
        <f>[1]sales!A127</f>
        <v>46083</v>
      </c>
      <c r="B122" s="194">
        <f>[1]sales!B127</f>
        <v>0.5111458333333333</v>
      </c>
      <c r="C122" s="189" t="s">
        <v>49</v>
      </c>
      <c r="D122" s="14" t="str">
        <f>[1]sales!D127</f>
        <v>Chorizo</v>
      </c>
      <c r="E122" s="152">
        <f>+_xlfn.XLOOKUP(sales[[#This Row],[Fecha]],OPEX_VE!A:A,OPEX_VE!B:B)</f>
        <v>2</v>
      </c>
      <c r="F122" s="14" t="str">
        <f>+_xlfn.XLOOKUP(sales[[#This Row],[Fecha]],OPEX_VE!A:A,OPEX_VE!E:E)</f>
        <v>A) Día hábil</v>
      </c>
      <c r="G122" s="14" t="str">
        <f>+TEXT(sales[[#This Row],[Fecha]],"ddd")</f>
        <v>lun</v>
      </c>
      <c r="H122" s="190">
        <f>+sales[[#This Row],[Venta]]*0.4</f>
        <v>3200</v>
      </c>
      <c r="I122" s="103">
        <f>[1]sales!K127</f>
        <v>8000</v>
      </c>
      <c r="J122" s="79">
        <f>[1]sales!I127</f>
        <v>8000</v>
      </c>
      <c r="K122" s="52">
        <f>[1]sales!J127</f>
        <v>0</v>
      </c>
      <c r="L122" s="1"/>
    </row>
    <row r="123" spans="1:21" x14ac:dyDescent="0.2">
      <c r="A123" s="14">
        <f>[1]sales!A128</f>
        <v>46083</v>
      </c>
      <c r="B123" s="194">
        <f>[1]sales!B128</f>
        <v>0.5111458333333333</v>
      </c>
      <c r="C123" s="189" t="s">
        <v>49</v>
      </c>
      <c r="D123" s="14" t="str">
        <f>[1]sales!D128</f>
        <v>Coca cola</v>
      </c>
      <c r="E123" s="152">
        <f>+_xlfn.XLOOKUP(sales[[#This Row],[Fecha]],OPEX_VE!A:A,OPEX_VE!B:B)</f>
        <v>2</v>
      </c>
      <c r="F123" s="14" t="str">
        <f>+_xlfn.XLOOKUP(sales[[#This Row],[Fecha]],OPEX_VE!A:A,OPEX_VE!E:E)</f>
        <v>A) Día hábil</v>
      </c>
      <c r="G123" s="14" t="str">
        <f>+TEXT(sales[[#This Row],[Fecha]],"ddd")</f>
        <v>lun</v>
      </c>
      <c r="H123" s="190">
        <f>+sales[[#This Row],[Venta]]*0.4</f>
        <v>1200</v>
      </c>
      <c r="I123" s="103">
        <f>[1]sales!K128</f>
        <v>3000</v>
      </c>
      <c r="J123" s="79">
        <f>[1]sales!I128</f>
        <v>3000</v>
      </c>
      <c r="K123" s="52">
        <f>[1]sales!J128</f>
        <v>0</v>
      </c>
      <c r="L123" s="1"/>
    </row>
    <row r="124" spans="1:21" x14ac:dyDescent="0.2">
      <c r="A124" s="14">
        <f>[1]sales!A129</f>
        <v>46083</v>
      </c>
      <c r="B124" s="194">
        <f>[1]sales!B129</f>
        <v>0.72031250000000002</v>
      </c>
      <c r="C124" s="189" t="s">
        <v>49</v>
      </c>
      <c r="D124" s="14" t="str">
        <f>[1]sales!D129</f>
        <v>Chorizo</v>
      </c>
      <c r="E124" s="152">
        <f>+_xlfn.XLOOKUP(sales[[#This Row],[Fecha]],OPEX_VE!A:A,OPEX_VE!B:B)</f>
        <v>2</v>
      </c>
      <c r="F124" s="14" t="str">
        <f>+_xlfn.XLOOKUP(sales[[#This Row],[Fecha]],OPEX_VE!A:A,OPEX_VE!E:E)</f>
        <v>A) Día hábil</v>
      </c>
      <c r="G124" s="14" t="str">
        <f>+TEXT(sales[[#This Row],[Fecha]],"ddd")</f>
        <v>lun</v>
      </c>
      <c r="H124" s="190">
        <f>+sales[[#This Row],[Venta]]*0.4</f>
        <v>3200</v>
      </c>
      <c r="I124" s="103">
        <f>[1]sales!K129</f>
        <v>8000</v>
      </c>
      <c r="J124" s="79">
        <f>[1]sales!I129</f>
        <v>8000</v>
      </c>
      <c r="K124" s="52">
        <f>[1]sales!J129</f>
        <v>0</v>
      </c>
      <c r="L124" s="1"/>
    </row>
    <row r="125" spans="1:21" x14ac:dyDescent="0.2">
      <c r="A125" s="14">
        <f>[1]sales!A130</f>
        <v>46083</v>
      </c>
      <c r="B125" s="194">
        <f>[1]sales!B130</f>
        <v>0.73594907407407406</v>
      </c>
      <c r="C125" s="189" t="s">
        <v>49</v>
      </c>
      <c r="D125" s="14" t="str">
        <f>[1]sales!D130</f>
        <v>Chorizo</v>
      </c>
      <c r="E125" s="152">
        <f>+_xlfn.XLOOKUP(sales[[#This Row],[Fecha]],OPEX_VE!A:A,OPEX_VE!B:B)</f>
        <v>2</v>
      </c>
      <c r="F125" s="14" t="str">
        <f>+_xlfn.XLOOKUP(sales[[#This Row],[Fecha]],OPEX_VE!A:A,OPEX_VE!E:E)</f>
        <v>A) Día hábil</v>
      </c>
      <c r="G125" s="14" t="str">
        <f>+TEXT(sales[[#This Row],[Fecha]],"ddd")</f>
        <v>lun</v>
      </c>
      <c r="H125" s="190">
        <f>+sales[[#This Row],[Venta]]*0.4</f>
        <v>3200</v>
      </c>
      <c r="I125" s="103">
        <f>[1]sales!K130</f>
        <v>8000</v>
      </c>
      <c r="J125" s="79">
        <f>[1]sales!I130</f>
        <v>8000</v>
      </c>
      <c r="K125" s="52">
        <f>[1]sales!J130</f>
        <v>0</v>
      </c>
      <c r="U125" s="59"/>
    </row>
    <row r="126" spans="1:21" x14ac:dyDescent="0.2">
      <c r="A126" s="14">
        <f>[1]sales!A131</f>
        <v>46083</v>
      </c>
      <c r="B126" s="194">
        <f>[1]sales!B131</f>
        <v>0.82541666666666669</v>
      </c>
      <c r="C126" s="189" t="s">
        <v>49</v>
      </c>
      <c r="D126" s="14" t="str">
        <f>[1]sales!D131</f>
        <v>Chorizo</v>
      </c>
      <c r="E126" s="152">
        <f>+_xlfn.XLOOKUP(sales[[#This Row],[Fecha]],OPEX_VE!A:A,OPEX_VE!B:B)</f>
        <v>2</v>
      </c>
      <c r="F126" s="14" t="str">
        <f>+_xlfn.XLOOKUP(sales[[#This Row],[Fecha]],OPEX_VE!A:A,OPEX_VE!E:E)</f>
        <v>A) Día hábil</v>
      </c>
      <c r="G126" s="14" t="str">
        <f>+TEXT(sales[[#This Row],[Fecha]],"ddd")</f>
        <v>lun</v>
      </c>
      <c r="H126" s="190">
        <f>+sales[[#This Row],[Venta]]*0.4</f>
        <v>9600</v>
      </c>
      <c r="I126" s="103">
        <f>[1]sales!K131</f>
        <v>24000</v>
      </c>
      <c r="J126" s="79">
        <f>[1]sales!I131</f>
        <v>24000</v>
      </c>
      <c r="K126" s="52">
        <f>[1]sales!J131</f>
        <v>0</v>
      </c>
      <c r="U126" s="59"/>
    </row>
    <row r="127" spans="1:21" x14ac:dyDescent="0.2">
      <c r="A127" s="14">
        <f>[1]sales!A132</f>
        <v>46083</v>
      </c>
      <c r="B127" s="194">
        <f>[1]sales!B132</f>
        <v>0.82541666666666669</v>
      </c>
      <c r="C127" s="189" t="s">
        <v>49</v>
      </c>
      <c r="D127" s="14" t="str">
        <f>[1]sales!D132</f>
        <v>Coca cola</v>
      </c>
      <c r="E127" s="152">
        <f>+_xlfn.XLOOKUP(sales[[#This Row],[Fecha]],OPEX_VE!A:A,OPEX_VE!B:B)</f>
        <v>2</v>
      </c>
      <c r="F127" s="14" t="str">
        <f>+_xlfn.XLOOKUP(sales[[#This Row],[Fecha]],OPEX_VE!A:A,OPEX_VE!E:E)</f>
        <v>A) Día hábil</v>
      </c>
      <c r="G127" s="14" t="str">
        <f>+TEXT(sales[[#This Row],[Fecha]],"ddd")</f>
        <v>lun</v>
      </c>
      <c r="H127" s="190">
        <f>+sales[[#This Row],[Venta]]*0.4</f>
        <v>1200</v>
      </c>
      <c r="I127" s="103">
        <f>[1]sales!K132</f>
        <v>3000</v>
      </c>
      <c r="J127" s="79">
        <f>[1]sales!I132</f>
        <v>3000</v>
      </c>
      <c r="K127" s="52">
        <f>[1]sales!J132</f>
        <v>0</v>
      </c>
    </row>
    <row r="128" spans="1:21" x14ac:dyDescent="0.2">
      <c r="A128" s="14">
        <f>[1]sales!A133</f>
        <v>46083</v>
      </c>
      <c r="B128" s="194">
        <f>[1]sales!B133</f>
        <v>0.82541666666666669</v>
      </c>
      <c r="C128" s="189" t="s">
        <v>49</v>
      </c>
      <c r="D128" s="14" t="str">
        <f>[1]sales!D133</f>
        <v>Postobon</v>
      </c>
      <c r="E128" s="152">
        <f>+_xlfn.XLOOKUP(sales[[#This Row],[Fecha]],OPEX_VE!A:A,OPEX_VE!B:B)</f>
        <v>2</v>
      </c>
      <c r="F128" s="14" t="str">
        <f>+_xlfn.XLOOKUP(sales[[#This Row],[Fecha]],OPEX_VE!A:A,OPEX_VE!E:E)</f>
        <v>A) Día hábil</v>
      </c>
      <c r="G128" s="14" t="str">
        <f>+TEXT(sales[[#This Row],[Fecha]],"ddd")</f>
        <v>lun</v>
      </c>
      <c r="H128" s="190">
        <f>+sales[[#This Row],[Venta]]*0.4</f>
        <v>2400</v>
      </c>
      <c r="I128" s="103">
        <f>[1]sales!K133</f>
        <v>6000</v>
      </c>
      <c r="J128" s="79">
        <f>[1]sales!I133</f>
        <v>6000</v>
      </c>
      <c r="K128" s="52">
        <f>[1]sales!J133</f>
        <v>0</v>
      </c>
    </row>
    <row r="129" spans="1:11" x14ac:dyDescent="0.2">
      <c r="A129" s="14">
        <f>[1]sales!A134</f>
        <v>46084</v>
      </c>
      <c r="B129" s="194">
        <f>[1]sales!B134</f>
        <v>0.4917361111111111</v>
      </c>
      <c r="C129" s="189" t="s">
        <v>49</v>
      </c>
      <c r="D129" s="14" t="str">
        <f>[1]sales!D134</f>
        <v>Coca cola</v>
      </c>
      <c r="E129" s="152">
        <f>+_xlfn.XLOOKUP(sales[[#This Row],[Fecha]],OPEX_VE!A:A,OPEX_VE!B:B)</f>
        <v>2</v>
      </c>
      <c r="F129" s="14" t="str">
        <f>+_xlfn.XLOOKUP(sales[[#This Row],[Fecha]],OPEX_VE!A:A,OPEX_VE!E:E)</f>
        <v>A) Día hábil</v>
      </c>
      <c r="G129" s="14" t="str">
        <f>+TEXT(sales[[#This Row],[Fecha]],"ddd")</f>
        <v>mar</v>
      </c>
      <c r="H129" s="190">
        <f>+sales[[#This Row],[Venta]]*0.4</f>
        <v>2400</v>
      </c>
      <c r="I129" s="103">
        <f>[1]sales!K134</f>
        <v>6000</v>
      </c>
      <c r="J129" s="79">
        <f>[1]sales!I134</f>
        <v>6000</v>
      </c>
      <c r="K129" s="52">
        <f>[1]sales!J134</f>
        <v>0</v>
      </c>
    </row>
    <row r="130" spans="1:11" x14ac:dyDescent="0.2">
      <c r="A130" s="14">
        <f>[1]sales!A135</f>
        <v>46084</v>
      </c>
      <c r="B130" s="194">
        <f>[1]sales!B135</f>
        <v>0.55184027777777778</v>
      </c>
      <c r="C130" s="189" t="s">
        <v>49</v>
      </c>
      <c r="D130" s="14" t="str">
        <f>[1]sales!D135</f>
        <v>Chorizo</v>
      </c>
      <c r="E130" s="152">
        <f>+_xlfn.XLOOKUP(sales[[#This Row],[Fecha]],OPEX_VE!A:A,OPEX_VE!B:B)</f>
        <v>2</v>
      </c>
      <c r="F130" s="14" t="str">
        <f>+_xlfn.XLOOKUP(sales[[#This Row],[Fecha]],OPEX_VE!A:A,OPEX_VE!E:E)</f>
        <v>A) Día hábil</v>
      </c>
      <c r="G130" s="14" t="str">
        <f>+TEXT(sales[[#This Row],[Fecha]],"ddd")</f>
        <v>mar</v>
      </c>
      <c r="H130" s="190">
        <f>+sales[[#This Row],[Venta]]*0.4</f>
        <v>3200</v>
      </c>
      <c r="I130" s="103">
        <f>[1]sales!K135</f>
        <v>8000</v>
      </c>
      <c r="J130" s="79">
        <f>[1]sales!I135</f>
        <v>8000</v>
      </c>
      <c r="K130" s="52">
        <f>[1]sales!J135</f>
        <v>0</v>
      </c>
    </row>
    <row r="131" spans="1:11" x14ac:dyDescent="0.2">
      <c r="A131" s="14">
        <f>[1]sales!A136</f>
        <v>46084</v>
      </c>
      <c r="B131" s="194">
        <f>[1]sales!B136</f>
        <v>0.61869212962962961</v>
      </c>
      <c r="C131" s="189" t="s">
        <v>49</v>
      </c>
      <c r="D131" s="14" t="str">
        <f>[1]sales!D136</f>
        <v>Chorizo</v>
      </c>
      <c r="E131" s="152">
        <f>+_xlfn.XLOOKUP(sales[[#This Row],[Fecha]],OPEX_VE!A:A,OPEX_VE!B:B)</f>
        <v>2</v>
      </c>
      <c r="F131" s="14" t="str">
        <f>+_xlfn.XLOOKUP(sales[[#This Row],[Fecha]],OPEX_VE!A:A,OPEX_VE!E:E)</f>
        <v>A) Día hábil</v>
      </c>
      <c r="G131" s="14" t="str">
        <f>+TEXT(sales[[#This Row],[Fecha]],"ddd")</f>
        <v>mar</v>
      </c>
      <c r="H131" s="190">
        <f>+sales[[#This Row],[Venta]]*0.4</f>
        <v>3200</v>
      </c>
      <c r="I131" s="103">
        <f>[1]sales!K136</f>
        <v>8000</v>
      </c>
      <c r="J131" s="79">
        <f>[1]sales!I136</f>
        <v>8000</v>
      </c>
      <c r="K131" s="52">
        <f>[1]sales!J136</f>
        <v>0</v>
      </c>
    </row>
    <row r="132" spans="1:11" x14ac:dyDescent="0.2">
      <c r="A132" s="14">
        <f>[1]sales!A137</f>
        <v>46084</v>
      </c>
      <c r="B132" s="194">
        <f>[1]sales!B137</f>
        <v>0.66587962962962965</v>
      </c>
      <c r="C132" s="189" t="s">
        <v>49</v>
      </c>
      <c r="D132" s="14" t="str">
        <f>[1]sales!D137</f>
        <v>Chorizo</v>
      </c>
      <c r="E132" s="152">
        <f>+_xlfn.XLOOKUP(sales[[#This Row],[Fecha]],OPEX_VE!A:A,OPEX_VE!B:B)</f>
        <v>2</v>
      </c>
      <c r="F132" s="14" t="str">
        <f>+_xlfn.XLOOKUP(sales[[#This Row],[Fecha]],OPEX_VE!A:A,OPEX_VE!E:E)</f>
        <v>A) Día hábil</v>
      </c>
      <c r="G132" s="14" t="str">
        <f>+TEXT(sales[[#This Row],[Fecha]],"ddd")</f>
        <v>mar</v>
      </c>
      <c r="H132" s="190">
        <f>+sales[[#This Row],[Venta]]*0.4</f>
        <v>3200</v>
      </c>
      <c r="I132" s="103">
        <f>[1]sales!K137</f>
        <v>8000</v>
      </c>
      <c r="J132" s="79">
        <f>[1]sales!I137</f>
        <v>8000</v>
      </c>
      <c r="K132" s="52">
        <f>[1]sales!J137</f>
        <v>0</v>
      </c>
    </row>
    <row r="133" spans="1:11" x14ac:dyDescent="0.2">
      <c r="A133" s="14">
        <f>[1]sales!A138</f>
        <v>46084</v>
      </c>
      <c r="B133" s="194">
        <f>[1]sales!B138</f>
        <v>0.66587962962962965</v>
      </c>
      <c r="C133" s="189" t="s">
        <v>49</v>
      </c>
      <c r="D133" s="14" t="str">
        <f>[1]sales!D138</f>
        <v>Hit</v>
      </c>
      <c r="E133" s="152">
        <f>+_xlfn.XLOOKUP(sales[[#This Row],[Fecha]],OPEX_VE!A:A,OPEX_VE!B:B)</f>
        <v>2</v>
      </c>
      <c r="F133" s="14" t="str">
        <f>+_xlfn.XLOOKUP(sales[[#This Row],[Fecha]],OPEX_VE!A:A,OPEX_VE!E:E)</f>
        <v>A) Día hábil</v>
      </c>
      <c r="G133" s="14" t="str">
        <f>+TEXT(sales[[#This Row],[Fecha]],"ddd")</f>
        <v>mar</v>
      </c>
      <c r="H133" s="190">
        <f>+sales[[#This Row],[Venta]]*0.4</f>
        <v>1800</v>
      </c>
      <c r="I133" s="103">
        <f>[1]sales!K138</f>
        <v>4500</v>
      </c>
      <c r="J133" s="79">
        <f>[1]sales!I138</f>
        <v>4500</v>
      </c>
      <c r="K133" s="52">
        <f>[1]sales!J138</f>
        <v>0</v>
      </c>
    </row>
    <row r="134" spans="1:11" x14ac:dyDescent="0.2">
      <c r="A134" s="14">
        <f>[1]sales!A139</f>
        <v>46084</v>
      </c>
      <c r="B134" s="194">
        <f>[1]sales!B139</f>
        <v>0.66723379629629631</v>
      </c>
      <c r="C134" s="189" t="s">
        <v>49</v>
      </c>
      <c r="D134" s="14" t="str">
        <f>[1]sales!D139</f>
        <v>Chorizo</v>
      </c>
      <c r="E134" s="152">
        <f>+_xlfn.XLOOKUP(sales[[#This Row],[Fecha]],OPEX_VE!A:A,OPEX_VE!B:B)</f>
        <v>2</v>
      </c>
      <c r="F134" s="14" t="str">
        <f>+_xlfn.XLOOKUP(sales[[#This Row],[Fecha]],OPEX_VE!A:A,OPEX_VE!E:E)</f>
        <v>A) Día hábil</v>
      </c>
      <c r="G134" s="14" t="str">
        <f>+TEXT(sales[[#This Row],[Fecha]],"ddd")</f>
        <v>mar</v>
      </c>
      <c r="H134" s="190">
        <f>+sales[[#This Row],[Venta]]*0.4</f>
        <v>3200</v>
      </c>
      <c r="I134" s="103">
        <f>[1]sales!K139</f>
        <v>8000</v>
      </c>
      <c r="J134" s="79">
        <f>[1]sales!I139</f>
        <v>8000</v>
      </c>
      <c r="K134" s="52">
        <f>[1]sales!J139</f>
        <v>0</v>
      </c>
    </row>
    <row r="135" spans="1:11" x14ac:dyDescent="0.2">
      <c r="A135" s="14">
        <f>[1]sales!A140</f>
        <v>46084</v>
      </c>
      <c r="B135" s="194">
        <f>[1]sales!B140</f>
        <v>0.70716435185185189</v>
      </c>
      <c r="C135" s="189" t="s">
        <v>49</v>
      </c>
      <c r="D135" s="14" t="str">
        <f>[1]sales!D140</f>
        <v>Carne con chorizo -30</v>
      </c>
      <c r="E135" s="152">
        <f>+_xlfn.XLOOKUP(sales[[#This Row],[Fecha]],OPEX_VE!A:A,OPEX_VE!B:B)</f>
        <v>2</v>
      </c>
      <c r="F135" s="14" t="str">
        <f>+_xlfn.XLOOKUP(sales[[#This Row],[Fecha]],OPEX_VE!A:A,OPEX_VE!E:E)</f>
        <v>A) Día hábil</v>
      </c>
      <c r="G135" s="14" t="str">
        <f>+TEXT(sales[[#This Row],[Fecha]],"ddd")</f>
        <v>mar</v>
      </c>
      <c r="H135" s="190">
        <f>+sales[[#This Row],[Venta]]*0.4</f>
        <v>12000</v>
      </c>
      <c r="I135" s="103">
        <f>[1]sales!K140</f>
        <v>30000</v>
      </c>
      <c r="J135" s="79">
        <f>[1]sales!I140</f>
        <v>0</v>
      </c>
      <c r="K135" s="52">
        <f>[1]sales!J140</f>
        <v>30000</v>
      </c>
    </row>
    <row r="136" spans="1:11" x14ac:dyDescent="0.2">
      <c r="A136" s="14">
        <f>[1]sales!A141</f>
        <v>46084</v>
      </c>
      <c r="B136" s="194">
        <f>[1]sales!B141</f>
        <v>0.70716435185185189</v>
      </c>
      <c r="C136" s="189" t="s">
        <v>49</v>
      </c>
      <c r="D136" s="14" t="str">
        <f>[1]sales!D141</f>
        <v>Coca cola</v>
      </c>
      <c r="E136" s="152">
        <f>+_xlfn.XLOOKUP(sales[[#This Row],[Fecha]],OPEX_VE!A:A,OPEX_VE!B:B)</f>
        <v>2</v>
      </c>
      <c r="F136" s="14" t="str">
        <f>+_xlfn.XLOOKUP(sales[[#This Row],[Fecha]],OPEX_VE!A:A,OPEX_VE!E:E)</f>
        <v>A) Día hábil</v>
      </c>
      <c r="G136" s="14" t="str">
        <f>+TEXT(sales[[#This Row],[Fecha]],"ddd")</f>
        <v>mar</v>
      </c>
      <c r="H136" s="190">
        <f>+sales[[#This Row],[Venta]]*0.4</f>
        <v>1200</v>
      </c>
      <c r="I136" s="103">
        <f>[1]sales!K141</f>
        <v>3000</v>
      </c>
      <c r="J136" s="79">
        <f>[1]sales!I141</f>
        <v>0</v>
      </c>
      <c r="K136" s="52">
        <f>[1]sales!J141</f>
        <v>3000</v>
      </c>
    </row>
    <row r="137" spans="1:11" x14ac:dyDescent="0.2">
      <c r="A137" s="14">
        <f>[1]sales!A142</f>
        <v>46084</v>
      </c>
      <c r="B137" s="194">
        <f>[1]sales!B142</f>
        <v>0.72910879629629632</v>
      </c>
      <c r="C137" s="189" t="s">
        <v>49</v>
      </c>
      <c r="D137" s="14" t="str">
        <f>[1]sales!D142</f>
        <v>Chorizo</v>
      </c>
      <c r="E137" s="152">
        <f>+_xlfn.XLOOKUP(sales[[#This Row],[Fecha]],OPEX_VE!A:A,OPEX_VE!B:B)</f>
        <v>2</v>
      </c>
      <c r="F137" s="14" t="str">
        <f>+_xlfn.XLOOKUP(sales[[#This Row],[Fecha]],OPEX_VE!A:A,OPEX_VE!E:E)</f>
        <v>A) Día hábil</v>
      </c>
      <c r="G137" s="14" t="str">
        <f>+TEXT(sales[[#This Row],[Fecha]],"ddd")</f>
        <v>mar</v>
      </c>
      <c r="H137" s="190">
        <f>+sales[[#This Row],[Venta]]*0.4</f>
        <v>3200</v>
      </c>
      <c r="I137" s="103">
        <f>[1]sales!K142</f>
        <v>8000</v>
      </c>
      <c r="J137" s="79">
        <f>[1]sales!I142</f>
        <v>8000</v>
      </c>
      <c r="K137" s="52">
        <f>[1]sales!J142</f>
        <v>0</v>
      </c>
    </row>
    <row r="138" spans="1:11" x14ac:dyDescent="0.2">
      <c r="A138" s="14">
        <f>[1]sales!A143</f>
        <v>46084</v>
      </c>
      <c r="B138" s="194">
        <f>[1]sales!B143</f>
        <v>0.74128472222222219</v>
      </c>
      <c r="C138" s="189" t="s">
        <v>49</v>
      </c>
      <c r="D138" s="14" t="str">
        <f>[1]sales!D143</f>
        <v>Chori- CRUDO</v>
      </c>
      <c r="E138" s="152">
        <f>+_xlfn.XLOOKUP(sales[[#This Row],[Fecha]],OPEX_VE!A:A,OPEX_VE!B:B)</f>
        <v>2</v>
      </c>
      <c r="F138" s="14" t="str">
        <f>+_xlfn.XLOOKUP(sales[[#This Row],[Fecha]],OPEX_VE!A:A,OPEX_VE!E:E)</f>
        <v>A) Día hábil</v>
      </c>
      <c r="G138" s="14" t="str">
        <f>+TEXT(sales[[#This Row],[Fecha]],"ddd")</f>
        <v>mar</v>
      </c>
      <c r="H138" s="190">
        <f>+sales[[#This Row],[Venta]]*0.4</f>
        <v>3600</v>
      </c>
      <c r="I138" s="103">
        <f>[1]sales!K143</f>
        <v>9000</v>
      </c>
      <c r="J138" s="79">
        <f>[1]sales!I143</f>
        <v>9000</v>
      </c>
      <c r="K138" s="52">
        <f>[1]sales!J143</f>
        <v>0</v>
      </c>
    </row>
    <row r="139" spans="1:11" x14ac:dyDescent="0.2">
      <c r="A139" s="14">
        <f>[1]sales!A144</f>
        <v>46084</v>
      </c>
      <c r="B139" s="194">
        <f>[1]sales!B144</f>
        <v>0.74128472222222219</v>
      </c>
      <c r="C139" s="189" t="s">
        <v>49</v>
      </c>
      <c r="D139" s="14" t="str">
        <f>[1]sales!D144</f>
        <v>Chorizo</v>
      </c>
      <c r="E139" s="152">
        <f>+_xlfn.XLOOKUP(sales[[#This Row],[Fecha]],OPEX_VE!A:A,OPEX_VE!B:B)</f>
        <v>2</v>
      </c>
      <c r="F139" s="14" t="str">
        <f>+_xlfn.XLOOKUP(sales[[#This Row],[Fecha]],OPEX_VE!A:A,OPEX_VE!E:E)</f>
        <v>A) Día hábil</v>
      </c>
      <c r="G139" s="14" t="str">
        <f>+TEXT(sales[[#This Row],[Fecha]],"ddd")</f>
        <v>mar</v>
      </c>
      <c r="H139" s="190">
        <f>+sales[[#This Row],[Venta]]*0.4</f>
        <v>3200</v>
      </c>
      <c r="I139" s="103">
        <f>[1]sales!K144</f>
        <v>8000</v>
      </c>
      <c r="J139" s="79">
        <f>[1]sales!I144</f>
        <v>8000</v>
      </c>
      <c r="K139" s="52">
        <f>[1]sales!J144</f>
        <v>0</v>
      </c>
    </row>
    <row r="140" spans="1:11" x14ac:dyDescent="0.2">
      <c r="A140" s="14">
        <f>[1]sales!A145</f>
        <v>46084</v>
      </c>
      <c r="B140" s="194">
        <f>[1]sales!B145</f>
        <v>0.75469907407407411</v>
      </c>
      <c r="C140" s="189" t="s">
        <v>49</v>
      </c>
      <c r="D140" s="14" t="str">
        <f>[1]sales!D145</f>
        <v>Chorizo</v>
      </c>
      <c r="E140" s="152">
        <f>+_xlfn.XLOOKUP(sales[[#This Row],[Fecha]],OPEX_VE!A:A,OPEX_VE!B:B)</f>
        <v>2</v>
      </c>
      <c r="F140" s="14" t="str">
        <f>+_xlfn.XLOOKUP(sales[[#This Row],[Fecha]],OPEX_VE!A:A,OPEX_VE!E:E)</f>
        <v>A) Día hábil</v>
      </c>
      <c r="G140" s="14" t="str">
        <f>+TEXT(sales[[#This Row],[Fecha]],"ddd")</f>
        <v>mar</v>
      </c>
      <c r="H140" s="190">
        <f>+sales[[#This Row],[Venta]]*0.4</f>
        <v>3200</v>
      </c>
      <c r="I140" s="103">
        <f>[1]sales!K145</f>
        <v>8000</v>
      </c>
      <c r="J140" s="79">
        <f>[1]sales!I145</f>
        <v>8000</v>
      </c>
      <c r="K140" s="52">
        <f>[1]sales!J145</f>
        <v>0</v>
      </c>
    </row>
    <row r="141" spans="1:11" x14ac:dyDescent="0.2">
      <c r="A141" s="14">
        <f>[1]sales!A146</f>
        <v>46084</v>
      </c>
      <c r="B141" s="194">
        <f>[1]sales!B146</f>
        <v>0.75469907407407411</v>
      </c>
      <c r="C141" s="189" t="s">
        <v>49</v>
      </c>
      <c r="D141" s="14" t="str">
        <f>[1]sales!D146</f>
        <v>Coca cola</v>
      </c>
      <c r="E141" s="152">
        <f>+_xlfn.XLOOKUP(sales[[#This Row],[Fecha]],OPEX_VE!A:A,OPEX_VE!B:B)</f>
        <v>2</v>
      </c>
      <c r="F141" s="14" t="str">
        <f>+_xlfn.XLOOKUP(sales[[#This Row],[Fecha]],OPEX_VE!A:A,OPEX_VE!E:E)</f>
        <v>A) Día hábil</v>
      </c>
      <c r="G141" s="14" t="str">
        <f>+TEXT(sales[[#This Row],[Fecha]],"ddd")</f>
        <v>mar</v>
      </c>
      <c r="H141" s="190">
        <f>+sales[[#This Row],[Venta]]*0.4</f>
        <v>1200</v>
      </c>
      <c r="I141" s="103">
        <f>[1]sales!K146</f>
        <v>3000</v>
      </c>
      <c r="J141" s="79">
        <f>[1]sales!I146</f>
        <v>3000</v>
      </c>
      <c r="K141" s="52">
        <f>[1]sales!J146</f>
        <v>0</v>
      </c>
    </row>
    <row r="142" spans="1:11" x14ac:dyDescent="0.2">
      <c r="A142" s="14">
        <f>[1]sales!A147</f>
        <v>46084</v>
      </c>
      <c r="B142" s="194">
        <f>[1]sales!B147</f>
        <v>0.76284722222222223</v>
      </c>
      <c r="C142" s="189" t="s">
        <v>49</v>
      </c>
      <c r="D142" s="14" t="str">
        <f>[1]sales!D147</f>
        <v>Hit</v>
      </c>
      <c r="E142" s="152">
        <f>+_xlfn.XLOOKUP(sales[[#This Row],[Fecha]],OPEX_VE!A:A,OPEX_VE!B:B)</f>
        <v>2</v>
      </c>
      <c r="F142" s="14" t="str">
        <f>+_xlfn.XLOOKUP(sales[[#This Row],[Fecha]],OPEX_VE!A:A,OPEX_VE!E:E)</f>
        <v>A) Día hábil</v>
      </c>
      <c r="G142" s="14" t="str">
        <f>+TEXT(sales[[#This Row],[Fecha]],"ddd")</f>
        <v>mar</v>
      </c>
      <c r="H142" s="190">
        <f>+sales[[#This Row],[Venta]]*0.4</f>
        <v>1800</v>
      </c>
      <c r="I142" s="103">
        <f>[1]sales!K147</f>
        <v>4500</v>
      </c>
      <c r="J142" s="79">
        <f>[1]sales!I147</f>
        <v>4500</v>
      </c>
      <c r="K142" s="52">
        <f>[1]sales!J147</f>
        <v>0</v>
      </c>
    </row>
    <row r="143" spans="1:11" x14ac:dyDescent="0.2">
      <c r="A143" s="14">
        <f>[1]sales!A148</f>
        <v>46084</v>
      </c>
      <c r="B143" s="194">
        <f>[1]sales!B148</f>
        <v>0.76518518518518519</v>
      </c>
      <c r="C143" s="189" t="s">
        <v>49</v>
      </c>
      <c r="D143" s="14" t="str">
        <f>[1]sales!D148</f>
        <v>Chorizo</v>
      </c>
      <c r="E143" s="152">
        <f>+_xlfn.XLOOKUP(sales[[#This Row],[Fecha]],OPEX_VE!A:A,OPEX_VE!B:B)</f>
        <v>2</v>
      </c>
      <c r="F143" s="14" t="str">
        <f>+_xlfn.XLOOKUP(sales[[#This Row],[Fecha]],OPEX_VE!A:A,OPEX_VE!E:E)</f>
        <v>A) Día hábil</v>
      </c>
      <c r="G143" s="14" t="str">
        <f>+TEXT(sales[[#This Row],[Fecha]],"ddd")</f>
        <v>mar</v>
      </c>
      <c r="H143" s="190">
        <f>+sales[[#This Row],[Venta]]*0.4</f>
        <v>3200</v>
      </c>
      <c r="I143" s="103">
        <f>[1]sales!K148</f>
        <v>8000</v>
      </c>
      <c r="J143" s="79">
        <f>[1]sales!I148</f>
        <v>0</v>
      </c>
      <c r="K143" s="52">
        <f>[1]sales!J148</f>
        <v>8000</v>
      </c>
    </row>
    <row r="144" spans="1:11" x14ac:dyDescent="0.2">
      <c r="A144" s="14">
        <f>[1]sales!A149</f>
        <v>46084</v>
      </c>
      <c r="B144" s="194">
        <f>[1]sales!B149</f>
        <v>0.76518518518518519</v>
      </c>
      <c r="C144" s="189" t="s">
        <v>49</v>
      </c>
      <c r="D144" s="14" t="str">
        <f>[1]sales!D149</f>
        <v>Coca cola</v>
      </c>
      <c r="E144" s="152">
        <f>+_xlfn.XLOOKUP(sales[[#This Row],[Fecha]],OPEX_VE!A:A,OPEX_VE!B:B)</f>
        <v>2</v>
      </c>
      <c r="F144" s="14" t="str">
        <f>+_xlfn.XLOOKUP(sales[[#This Row],[Fecha]],OPEX_VE!A:A,OPEX_VE!E:E)</f>
        <v>A) Día hábil</v>
      </c>
      <c r="G144" s="14" t="str">
        <f>+TEXT(sales[[#This Row],[Fecha]],"ddd")</f>
        <v>mar</v>
      </c>
      <c r="H144" s="190">
        <f>+sales[[#This Row],[Venta]]*0.4</f>
        <v>1200</v>
      </c>
      <c r="I144" s="103">
        <f>[1]sales!K149</f>
        <v>3000</v>
      </c>
      <c r="J144" s="79">
        <f>[1]sales!I149</f>
        <v>0</v>
      </c>
      <c r="K144" s="52">
        <f>[1]sales!J149</f>
        <v>3000</v>
      </c>
    </row>
    <row r="145" spans="1:11" x14ac:dyDescent="0.2">
      <c r="A145" s="14">
        <f>[1]sales!A150</f>
        <v>46084</v>
      </c>
      <c r="B145" s="194">
        <f>[1]sales!B150</f>
        <v>0.77130787037037041</v>
      </c>
      <c r="C145" s="189" t="s">
        <v>49</v>
      </c>
      <c r="D145" s="14" t="str">
        <f>[1]sales!D150</f>
        <v>Hamb. CRUDA</v>
      </c>
      <c r="E145" s="152">
        <f>+_xlfn.XLOOKUP(sales[[#This Row],[Fecha]],OPEX_VE!A:A,OPEX_VE!B:B)</f>
        <v>2</v>
      </c>
      <c r="F145" s="14" t="str">
        <f>+_xlfn.XLOOKUP(sales[[#This Row],[Fecha]],OPEX_VE!A:A,OPEX_VE!E:E)</f>
        <v>A) Día hábil</v>
      </c>
      <c r="G145" s="14" t="str">
        <f>+TEXT(sales[[#This Row],[Fecha]],"ddd")</f>
        <v>mar</v>
      </c>
      <c r="H145" s="190">
        <f>+sales[[#This Row],[Venta]]*0.4</f>
        <v>8000</v>
      </c>
      <c r="I145" s="103">
        <f>[1]sales!K150</f>
        <v>20000</v>
      </c>
      <c r="J145" s="79">
        <f>[1]sales!I150</f>
        <v>0</v>
      </c>
      <c r="K145" s="52">
        <f>[1]sales!J150</f>
        <v>20000</v>
      </c>
    </row>
    <row r="146" spans="1:11" x14ac:dyDescent="0.2">
      <c r="A146" s="14">
        <f>[1]sales!A151</f>
        <v>46084</v>
      </c>
      <c r="B146" s="194">
        <f>[1]sales!B151</f>
        <v>0.85248842592592589</v>
      </c>
      <c r="C146" s="189" t="s">
        <v>49</v>
      </c>
      <c r="D146" s="14" t="str">
        <f>[1]sales!D151</f>
        <v>Chorizo</v>
      </c>
      <c r="E146" s="152">
        <f>+_xlfn.XLOOKUP(sales[[#This Row],[Fecha]],OPEX_VE!A:A,OPEX_VE!B:B)</f>
        <v>2</v>
      </c>
      <c r="F146" s="14" t="str">
        <f>+_xlfn.XLOOKUP(sales[[#This Row],[Fecha]],OPEX_VE!A:A,OPEX_VE!E:E)</f>
        <v>A) Día hábil</v>
      </c>
      <c r="G146" s="14" t="str">
        <f>+TEXT(sales[[#This Row],[Fecha]],"ddd")</f>
        <v>mar</v>
      </c>
      <c r="H146" s="190">
        <f>+sales[[#This Row],[Venta]]*0.4</f>
        <v>6400</v>
      </c>
      <c r="I146" s="103">
        <f>[1]sales!K151</f>
        <v>16000</v>
      </c>
      <c r="J146" s="79">
        <f>[1]sales!I151</f>
        <v>16000</v>
      </c>
      <c r="K146" s="52">
        <f>[1]sales!J151</f>
        <v>0</v>
      </c>
    </row>
    <row r="147" spans="1:11" x14ac:dyDescent="0.2">
      <c r="A147" s="14">
        <f>[1]sales!A152</f>
        <v>46084</v>
      </c>
      <c r="B147" s="194">
        <f>[1]sales!B152</f>
        <v>0.85248842592592589</v>
      </c>
      <c r="C147" s="189" t="s">
        <v>49</v>
      </c>
      <c r="D147" s="14" t="str">
        <f>[1]sales!D152</f>
        <v>Coca cola</v>
      </c>
      <c r="E147" s="152">
        <f>+_xlfn.XLOOKUP(sales[[#This Row],[Fecha]],OPEX_VE!A:A,OPEX_VE!B:B)</f>
        <v>2</v>
      </c>
      <c r="F147" s="14" t="str">
        <f>+_xlfn.XLOOKUP(sales[[#This Row],[Fecha]],OPEX_VE!A:A,OPEX_VE!E:E)</f>
        <v>A) Día hábil</v>
      </c>
      <c r="G147" s="14" t="str">
        <f>+TEXT(sales[[#This Row],[Fecha]],"ddd")</f>
        <v>mar</v>
      </c>
      <c r="H147" s="190">
        <f>+sales[[#This Row],[Venta]]*0.4</f>
        <v>2400</v>
      </c>
      <c r="I147" s="103">
        <f>[1]sales!K152</f>
        <v>6000</v>
      </c>
      <c r="J147" s="79">
        <f>[1]sales!I152</f>
        <v>6000</v>
      </c>
      <c r="K147" s="52">
        <f>[1]sales!J152</f>
        <v>0</v>
      </c>
    </row>
    <row r="148" spans="1:11" x14ac:dyDescent="0.2">
      <c r="A148" s="14">
        <f>[1]sales!A153</f>
        <v>46085</v>
      </c>
      <c r="B148" s="194">
        <f>[1]sales!B153</f>
        <v>0.63070601851851849</v>
      </c>
      <c r="C148" s="189" t="s">
        <v>49</v>
      </c>
      <c r="D148" s="14" t="str">
        <f>[1]sales!D153</f>
        <v>Chorizo</v>
      </c>
      <c r="E148" s="152">
        <f>+_xlfn.XLOOKUP(sales[[#This Row],[Fecha]],OPEX_VE!A:A,OPEX_VE!B:B)</f>
        <v>2</v>
      </c>
      <c r="F148" s="14" t="str">
        <f>+_xlfn.XLOOKUP(sales[[#This Row],[Fecha]],OPEX_VE!A:A,OPEX_VE!E:E)</f>
        <v>A) Día hábil</v>
      </c>
      <c r="G148" s="14" t="str">
        <f>+TEXT(sales[[#This Row],[Fecha]],"ddd")</f>
        <v>mié</v>
      </c>
      <c r="H148" s="190">
        <f>+sales[[#This Row],[Venta]]*0.4</f>
        <v>3200</v>
      </c>
      <c r="I148" s="103">
        <f>[1]sales!K153</f>
        <v>8000</v>
      </c>
      <c r="J148" s="79">
        <f>[1]sales!I153</f>
        <v>8000</v>
      </c>
      <c r="K148" s="52">
        <f>[1]sales!J153</f>
        <v>0</v>
      </c>
    </row>
    <row r="149" spans="1:11" x14ac:dyDescent="0.2">
      <c r="A149" s="14">
        <f>[1]sales!A154</f>
        <v>46085</v>
      </c>
      <c r="B149" s="194">
        <f>[1]sales!B154</f>
        <v>0.63070601851851849</v>
      </c>
      <c r="C149" s="189" t="s">
        <v>49</v>
      </c>
      <c r="D149" s="14" t="str">
        <f>[1]sales!D154</f>
        <v>Coca cola</v>
      </c>
      <c r="E149" s="152">
        <f>+_xlfn.XLOOKUP(sales[[#This Row],[Fecha]],OPEX_VE!A:A,OPEX_VE!B:B)</f>
        <v>2</v>
      </c>
      <c r="F149" s="14" t="str">
        <f>+_xlfn.XLOOKUP(sales[[#This Row],[Fecha]],OPEX_VE!A:A,OPEX_VE!E:E)</f>
        <v>A) Día hábil</v>
      </c>
      <c r="G149" s="14" t="str">
        <f>+TEXT(sales[[#This Row],[Fecha]],"ddd")</f>
        <v>mié</v>
      </c>
      <c r="H149" s="190">
        <f>+sales[[#This Row],[Venta]]*0.4</f>
        <v>1200</v>
      </c>
      <c r="I149" s="103">
        <f>[1]sales!K154</f>
        <v>3000</v>
      </c>
      <c r="J149" s="79">
        <f>[1]sales!I154</f>
        <v>3000</v>
      </c>
      <c r="K149" s="52">
        <f>[1]sales!J154</f>
        <v>0</v>
      </c>
    </row>
    <row r="150" spans="1:11" x14ac:dyDescent="0.2">
      <c r="A150" s="14">
        <f>[1]sales!A155</f>
        <v>46085</v>
      </c>
      <c r="B150" s="194">
        <f>[1]sales!B155</f>
        <v>0.63070601851851849</v>
      </c>
      <c r="C150" s="189" t="s">
        <v>49</v>
      </c>
      <c r="D150" s="14" t="str">
        <f>[1]sales!D155</f>
        <v>Ham. combo</v>
      </c>
      <c r="E150" s="152">
        <f>+_xlfn.XLOOKUP(sales[[#This Row],[Fecha]],OPEX_VE!A:A,OPEX_VE!B:B)</f>
        <v>2</v>
      </c>
      <c r="F150" s="14" t="str">
        <f>+_xlfn.XLOOKUP(sales[[#This Row],[Fecha]],OPEX_VE!A:A,OPEX_VE!E:E)</f>
        <v>A) Día hábil</v>
      </c>
      <c r="G150" s="14" t="str">
        <f>+TEXT(sales[[#This Row],[Fecha]],"ddd")</f>
        <v>mié</v>
      </c>
      <c r="H150" s="190">
        <f>+sales[[#This Row],[Venta]]*0.4</f>
        <v>8800</v>
      </c>
      <c r="I150" s="103">
        <f>[1]sales!K155</f>
        <v>22000</v>
      </c>
      <c r="J150" s="79">
        <f>[1]sales!I155</f>
        <v>22000</v>
      </c>
      <c r="K150" s="52">
        <f>[1]sales!J155</f>
        <v>0</v>
      </c>
    </row>
    <row r="151" spans="1:11" x14ac:dyDescent="0.2">
      <c r="A151" s="14">
        <f>[1]sales!A156</f>
        <v>46085</v>
      </c>
      <c r="B151" s="194">
        <f>[1]sales!B156</f>
        <v>0.63363425925925931</v>
      </c>
      <c r="C151" s="189" t="s">
        <v>49</v>
      </c>
      <c r="D151" s="14" t="str">
        <f>[1]sales!D156</f>
        <v>Chorizo</v>
      </c>
      <c r="E151" s="152">
        <f>+_xlfn.XLOOKUP(sales[[#This Row],[Fecha]],OPEX_VE!A:A,OPEX_VE!B:B)</f>
        <v>2</v>
      </c>
      <c r="F151" s="14" t="str">
        <f>+_xlfn.XLOOKUP(sales[[#This Row],[Fecha]],OPEX_VE!A:A,OPEX_VE!E:E)</f>
        <v>A) Día hábil</v>
      </c>
      <c r="G151" s="14" t="str">
        <f>+TEXT(sales[[#This Row],[Fecha]],"ddd")</f>
        <v>mié</v>
      </c>
      <c r="H151" s="190">
        <f>+sales[[#This Row],[Venta]]*0.4</f>
        <v>3200</v>
      </c>
      <c r="I151" s="103">
        <f>[1]sales!K156</f>
        <v>8000</v>
      </c>
      <c r="J151" s="79">
        <f>[1]sales!I156</f>
        <v>8000</v>
      </c>
      <c r="K151" s="52">
        <f>[1]sales!J156</f>
        <v>0</v>
      </c>
    </row>
    <row r="152" spans="1:11" x14ac:dyDescent="0.2">
      <c r="A152" s="14">
        <f>[1]sales!A157</f>
        <v>46085</v>
      </c>
      <c r="B152" s="194">
        <f>[1]sales!B157</f>
        <v>0.66638888888888892</v>
      </c>
      <c r="C152" s="189" t="s">
        <v>49</v>
      </c>
      <c r="D152" s="14" t="str">
        <f>[1]sales!D157</f>
        <v>Chorizo</v>
      </c>
      <c r="E152" s="152">
        <f>+_xlfn.XLOOKUP(sales[[#This Row],[Fecha]],OPEX_VE!A:A,OPEX_VE!B:B)</f>
        <v>2</v>
      </c>
      <c r="F152" s="14" t="str">
        <f>+_xlfn.XLOOKUP(sales[[#This Row],[Fecha]],OPEX_VE!A:A,OPEX_VE!E:E)</f>
        <v>A) Día hábil</v>
      </c>
      <c r="G152" s="14" t="str">
        <f>+TEXT(sales[[#This Row],[Fecha]],"ddd")</f>
        <v>mié</v>
      </c>
      <c r="H152" s="190">
        <f>+sales[[#This Row],[Venta]]*0.4</f>
        <v>3200</v>
      </c>
      <c r="I152" s="103">
        <f>[1]sales!K157</f>
        <v>8000</v>
      </c>
      <c r="J152" s="79">
        <f>[1]sales!I157</f>
        <v>8000</v>
      </c>
      <c r="K152" s="52">
        <f>[1]sales!J157</f>
        <v>0</v>
      </c>
    </row>
    <row r="153" spans="1:11" x14ac:dyDescent="0.2">
      <c r="A153" s="14">
        <f>[1]sales!A158</f>
        <v>46085</v>
      </c>
      <c r="B153" s="194">
        <f>[1]sales!B158</f>
        <v>0.6906944444444445</v>
      </c>
      <c r="C153" s="189" t="s">
        <v>49</v>
      </c>
      <c r="D153" s="14" t="str">
        <f>[1]sales!D158</f>
        <v>Chorizo</v>
      </c>
      <c r="E153" s="152">
        <f>+_xlfn.XLOOKUP(sales[[#This Row],[Fecha]],OPEX_VE!A:A,OPEX_VE!B:B)</f>
        <v>2</v>
      </c>
      <c r="F153" s="14" t="str">
        <f>+_xlfn.XLOOKUP(sales[[#This Row],[Fecha]],OPEX_VE!A:A,OPEX_VE!E:E)</f>
        <v>A) Día hábil</v>
      </c>
      <c r="G153" s="14" t="str">
        <f>+TEXT(sales[[#This Row],[Fecha]],"ddd")</f>
        <v>mié</v>
      </c>
      <c r="H153" s="190">
        <f>+sales[[#This Row],[Venta]]*0.4</f>
        <v>3200</v>
      </c>
      <c r="I153" s="103">
        <f>[1]sales!K158</f>
        <v>8000</v>
      </c>
      <c r="J153" s="79">
        <f>[1]sales!I158</f>
        <v>8000</v>
      </c>
      <c r="K153" s="52">
        <f>[1]sales!J158</f>
        <v>0</v>
      </c>
    </row>
    <row r="154" spans="1:11" x14ac:dyDescent="0.2">
      <c r="A154" s="14">
        <f>[1]sales!A159</f>
        <v>46085</v>
      </c>
      <c r="B154" s="194">
        <f>[1]sales!B159</f>
        <v>0.6906944444444445</v>
      </c>
      <c r="C154" s="189" t="s">
        <v>49</v>
      </c>
      <c r="D154" s="14" t="str">
        <f>[1]sales!D159</f>
        <v>Coca cola</v>
      </c>
      <c r="E154" s="152">
        <f>+_xlfn.XLOOKUP(sales[[#This Row],[Fecha]],OPEX_VE!A:A,OPEX_VE!B:B)</f>
        <v>2</v>
      </c>
      <c r="F154" s="14" t="str">
        <f>+_xlfn.XLOOKUP(sales[[#This Row],[Fecha]],OPEX_VE!A:A,OPEX_VE!E:E)</f>
        <v>A) Día hábil</v>
      </c>
      <c r="G154" s="14" t="str">
        <f>+TEXT(sales[[#This Row],[Fecha]],"ddd")</f>
        <v>mié</v>
      </c>
      <c r="H154" s="190">
        <f>+sales[[#This Row],[Venta]]*0.4</f>
        <v>1200</v>
      </c>
      <c r="I154" s="103">
        <f>[1]sales!K159</f>
        <v>3000</v>
      </c>
      <c r="J154" s="79">
        <f>[1]sales!I159</f>
        <v>3000</v>
      </c>
      <c r="K154" s="52">
        <f>[1]sales!J159</f>
        <v>0</v>
      </c>
    </row>
    <row r="155" spans="1:11" x14ac:dyDescent="0.2">
      <c r="A155" s="14">
        <f>[1]sales!A160</f>
        <v>46085</v>
      </c>
      <c r="B155" s="194">
        <f>[1]sales!B160</f>
        <v>0.69087962962962968</v>
      </c>
      <c r="C155" s="189" t="s">
        <v>49</v>
      </c>
      <c r="D155" s="14" t="str">
        <f>[1]sales!D160</f>
        <v>Agua</v>
      </c>
      <c r="E155" s="152">
        <f>+_xlfn.XLOOKUP(sales[[#This Row],[Fecha]],OPEX_VE!A:A,OPEX_VE!B:B)</f>
        <v>2</v>
      </c>
      <c r="F155" s="14" t="str">
        <f>+_xlfn.XLOOKUP(sales[[#This Row],[Fecha]],OPEX_VE!A:A,OPEX_VE!E:E)</f>
        <v>A) Día hábil</v>
      </c>
      <c r="G155" s="14" t="str">
        <f>+TEXT(sales[[#This Row],[Fecha]],"ddd")</f>
        <v>mié</v>
      </c>
      <c r="H155" s="190">
        <f>+sales[[#This Row],[Venta]]*0.4</f>
        <v>2400</v>
      </c>
      <c r="I155" s="103">
        <f>[1]sales!K160</f>
        <v>6000</v>
      </c>
      <c r="J155" s="79">
        <f>[1]sales!I160</f>
        <v>6000</v>
      </c>
      <c r="K155" s="52">
        <f>[1]sales!J160</f>
        <v>0</v>
      </c>
    </row>
    <row r="156" spans="1:11" x14ac:dyDescent="0.2">
      <c r="A156" s="14">
        <f>[1]sales!A161</f>
        <v>46085</v>
      </c>
      <c r="B156" s="194">
        <f>[1]sales!B161</f>
        <v>0.69216435185185188</v>
      </c>
      <c r="C156" s="189" t="s">
        <v>49</v>
      </c>
      <c r="D156" s="14" t="str">
        <f>[1]sales!D161</f>
        <v>Ham. combo</v>
      </c>
      <c r="E156" s="152">
        <f>+_xlfn.XLOOKUP(sales[[#This Row],[Fecha]],OPEX_VE!A:A,OPEX_VE!B:B)</f>
        <v>2</v>
      </c>
      <c r="F156" s="14" t="str">
        <f>+_xlfn.XLOOKUP(sales[[#This Row],[Fecha]],OPEX_VE!A:A,OPEX_VE!E:E)</f>
        <v>A) Día hábil</v>
      </c>
      <c r="G156" s="14" t="str">
        <f>+TEXT(sales[[#This Row],[Fecha]],"ddd")</f>
        <v>mié</v>
      </c>
      <c r="H156" s="190">
        <f>+sales[[#This Row],[Venta]]*0.4</f>
        <v>8800</v>
      </c>
      <c r="I156" s="103">
        <f>[1]sales!K161</f>
        <v>22000</v>
      </c>
      <c r="J156" s="79">
        <f>[1]sales!I161</f>
        <v>22000</v>
      </c>
      <c r="K156" s="52">
        <f>[1]sales!J161</f>
        <v>0</v>
      </c>
    </row>
    <row r="157" spans="1:11" x14ac:dyDescent="0.2">
      <c r="A157" s="14">
        <f>[1]sales!A162</f>
        <v>46085</v>
      </c>
      <c r="B157" s="194">
        <f>[1]sales!B162</f>
        <v>0.69216435185185188</v>
      </c>
      <c r="C157" s="189" t="s">
        <v>49</v>
      </c>
      <c r="D157" s="14" t="str">
        <f>[1]sales!D162</f>
        <v>Ham. sencilla</v>
      </c>
      <c r="E157" s="152">
        <f>+_xlfn.XLOOKUP(sales[[#This Row],[Fecha]],OPEX_VE!A:A,OPEX_VE!B:B)</f>
        <v>2</v>
      </c>
      <c r="F157" s="14" t="str">
        <f>+_xlfn.XLOOKUP(sales[[#This Row],[Fecha]],OPEX_VE!A:A,OPEX_VE!E:E)</f>
        <v>A) Día hábil</v>
      </c>
      <c r="G157" s="14" t="str">
        <f>+TEXT(sales[[#This Row],[Fecha]],"ddd")</f>
        <v>mié</v>
      </c>
      <c r="H157" s="190">
        <f>+sales[[#This Row],[Venta]]*0.4</f>
        <v>6800</v>
      </c>
      <c r="I157" s="103">
        <f>[1]sales!K162</f>
        <v>17000</v>
      </c>
      <c r="J157" s="79">
        <f>[1]sales!I162</f>
        <v>17000</v>
      </c>
      <c r="K157" s="52">
        <f>[1]sales!J162</f>
        <v>0</v>
      </c>
    </row>
    <row r="158" spans="1:11" x14ac:dyDescent="0.2">
      <c r="A158" s="14">
        <f>[1]sales!A163</f>
        <v>46085</v>
      </c>
      <c r="B158" s="194">
        <f>[1]sales!B163</f>
        <v>0.70192129629629629</v>
      </c>
      <c r="C158" s="189" t="s">
        <v>49</v>
      </c>
      <c r="D158" s="14" t="str">
        <f>[1]sales!D163</f>
        <v>carne + chorizo</v>
      </c>
      <c r="E158" s="152">
        <f>+_xlfn.XLOOKUP(sales[[#This Row],[Fecha]],OPEX_VE!A:A,OPEX_VE!B:B)</f>
        <v>2</v>
      </c>
      <c r="F158" s="14" t="str">
        <f>+_xlfn.XLOOKUP(sales[[#This Row],[Fecha]],OPEX_VE!A:A,OPEX_VE!E:E)</f>
        <v>A) Día hábil</v>
      </c>
      <c r="G158" s="14" t="str">
        <f>+TEXT(sales[[#This Row],[Fecha]],"ddd")</f>
        <v>mié</v>
      </c>
      <c r="H158" s="190">
        <f>+sales[[#This Row],[Venta]]*0.4</f>
        <v>10000</v>
      </c>
      <c r="I158" s="103">
        <f>[1]sales!K163</f>
        <v>25000</v>
      </c>
      <c r="J158" s="79">
        <f>[1]sales!I163</f>
        <v>0</v>
      </c>
      <c r="K158" s="52">
        <f>[1]sales!J163</f>
        <v>25000</v>
      </c>
    </row>
    <row r="159" spans="1:11" x14ac:dyDescent="0.2">
      <c r="A159" s="14">
        <f>[1]sales!A164</f>
        <v>46085</v>
      </c>
      <c r="B159" s="194">
        <f>[1]sales!B164</f>
        <v>0.70192129629629629</v>
      </c>
      <c r="C159" s="189" t="s">
        <v>49</v>
      </c>
      <c r="D159" s="14" t="str">
        <f>[1]sales!D164</f>
        <v>Chorizo</v>
      </c>
      <c r="E159" s="152">
        <f>+_xlfn.XLOOKUP(sales[[#This Row],[Fecha]],OPEX_VE!A:A,OPEX_VE!B:B)</f>
        <v>2</v>
      </c>
      <c r="F159" s="14" t="str">
        <f>+_xlfn.XLOOKUP(sales[[#This Row],[Fecha]],OPEX_VE!A:A,OPEX_VE!E:E)</f>
        <v>A) Día hábil</v>
      </c>
      <c r="G159" s="14" t="str">
        <f>+TEXT(sales[[#This Row],[Fecha]],"ddd")</f>
        <v>mié</v>
      </c>
      <c r="H159" s="190">
        <f>+sales[[#This Row],[Venta]]*0.4</f>
        <v>9600</v>
      </c>
      <c r="I159" s="103">
        <f>[1]sales!K164</f>
        <v>24000</v>
      </c>
      <c r="J159" s="79">
        <f>[1]sales!I164</f>
        <v>0</v>
      </c>
      <c r="K159" s="52">
        <f>[1]sales!J164</f>
        <v>24000</v>
      </c>
    </row>
    <row r="160" spans="1:11" x14ac:dyDescent="0.2">
      <c r="A160" s="14">
        <f>[1]sales!A165</f>
        <v>46085</v>
      </c>
      <c r="B160" s="194">
        <f>[1]sales!B165</f>
        <v>0.70192129629629629</v>
      </c>
      <c r="C160" s="189" t="s">
        <v>49</v>
      </c>
      <c r="D160" s="14" t="str">
        <f>[1]sales!D165</f>
        <v>Coca cola</v>
      </c>
      <c r="E160" s="152">
        <f>+_xlfn.XLOOKUP(sales[[#This Row],[Fecha]],OPEX_VE!A:A,OPEX_VE!B:B)</f>
        <v>2</v>
      </c>
      <c r="F160" s="14" t="str">
        <f>+_xlfn.XLOOKUP(sales[[#This Row],[Fecha]],OPEX_VE!A:A,OPEX_VE!E:E)</f>
        <v>A) Día hábil</v>
      </c>
      <c r="G160" s="14" t="str">
        <f>+TEXT(sales[[#This Row],[Fecha]],"ddd")</f>
        <v>mié</v>
      </c>
      <c r="H160" s="190">
        <f>+sales[[#This Row],[Venta]]*0.4</f>
        <v>2400</v>
      </c>
      <c r="I160" s="103">
        <f>[1]sales!K165</f>
        <v>6000</v>
      </c>
      <c r="J160" s="79">
        <f>[1]sales!I165</f>
        <v>0</v>
      </c>
      <c r="K160" s="52">
        <f>[1]sales!J165</f>
        <v>6000</v>
      </c>
    </row>
    <row r="161" spans="1:11" x14ac:dyDescent="0.2">
      <c r="A161" s="14">
        <f>[1]sales!A166</f>
        <v>46085</v>
      </c>
      <c r="B161" s="194">
        <f>[1]sales!B166</f>
        <v>0.70192129629629629</v>
      </c>
      <c r="C161" s="189" t="s">
        <v>49</v>
      </c>
      <c r="D161" s="14" t="str">
        <f>[1]sales!D166</f>
        <v>Postobon</v>
      </c>
      <c r="E161" s="152">
        <f>+_xlfn.XLOOKUP(sales[[#This Row],[Fecha]],OPEX_VE!A:A,OPEX_VE!B:B)</f>
        <v>2</v>
      </c>
      <c r="F161" s="14" t="str">
        <f>+_xlfn.XLOOKUP(sales[[#This Row],[Fecha]],OPEX_VE!A:A,OPEX_VE!E:E)</f>
        <v>A) Día hábil</v>
      </c>
      <c r="G161" s="14" t="str">
        <f>+TEXT(sales[[#This Row],[Fecha]],"ddd")</f>
        <v>mié</v>
      </c>
      <c r="H161" s="190">
        <f>+sales[[#This Row],[Venta]]*0.4</f>
        <v>3600</v>
      </c>
      <c r="I161" s="103">
        <f>[1]sales!K166</f>
        <v>9000</v>
      </c>
      <c r="J161" s="79">
        <f>[1]sales!I166</f>
        <v>0</v>
      </c>
      <c r="K161" s="52">
        <f>[1]sales!J166</f>
        <v>9000</v>
      </c>
    </row>
    <row r="162" spans="1:11" x14ac:dyDescent="0.2">
      <c r="A162" s="14">
        <f>[1]sales!A167</f>
        <v>46085</v>
      </c>
      <c r="B162" s="194">
        <f>[1]sales!B167</f>
        <v>0.7832175925925926</v>
      </c>
      <c r="C162" s="189" t="s">
        <v>49</v>
      </c>
      <c r="D162" s="14" t="str">
        <f>[1]sales!D167</f>
        <v>Chori- CRUDO</v>
      </c>
      <c r="E162" s="152">
        <f>+_xlfn.XLOOKUP(sales[[#This Row],[Fecha]],OPEX_VE!A:A,OPEX_VE!B:B)</f>
        <v>2</v>
      </c>
      <c r="F162" s="14" t="str">
        <f>+_xlfn.XLOOKUP(sales[[#This Row],[Fecha]],OPEX_VE!A:A,OPEX_VE!E:E)</f>
        <v>A) Día hábil</v>
      </c>
      <c r="G162" s="14" t="str">
        <f>+TEXT(sales[[#This Row],[Fecha]],"ddd")</f>
        <v>mié</v>
      </c>
      <c r="H162" s="190">
        <f>+sales[[#This Row],[Venta]]*0.4</f>
        <v>7200</v>
      </c>
      <c r="I162" s="103">
        <f>[1]sales!K167</f>
        <v>18000</v>
      </c>
      <c r="J162" s="79">
        <f>[1]sales!I167</f>
        <v>18000</v>
      </c>
      <c r="K162" s="52">
        <f>[1]sales!J167</f>
        <v>0</v>
      </c>
    </row>
    <row r="163" spans="1:11" x14ac:dyDescent="0.2">
      <c r="A163" s="14">
        <f>[1]sales!A168</f>
        <v>46085</v>
      </c>
      <c r="B163" s="194">
        <f>[1]sales!B168</f>
        <v>0.80460648148148151</v>
      </c>
      <c r="C163" s="189" t="s">
        <v>49</v>
      </c>
      <c r="D163" s="14" t="str">
        <f>[1]sales!D168</f>
        <v>Chorizo</v>
      </c>
      <c r="E163" s="152">
        <f>+_xlfn.XLOOKUP(sales[[#This Row],[Fecha]],OPEX_VE!A:A,OPEX_VE!B:B)</f>
        <v>2</v>
      </c>
      <c r="F163" s="14" t="str">
        <f>+_xlfn.XLOOKUP(sales[[#This Row],[Fecha]],OPEX_VE!A:A,OPEX_VE!E:E)</f>
        <v>A) Día hábil</v>
      </c>
      <c r="G163" s="14" t="str">
        <f>+TEXT(sales[[#This Row],[Fecha]],"ddd")</f>
        <v>mié</v>
      </c>
      <c r="H163" s="190">
        <f>+sales[[#This Row],[Venta]]*0.4</f>
        <v>12800</v>
      </c>
      <c r="I163" s="103">
        <f>[1]sales!K168</f>
        <v>32000</v>
      </c>
      <c r="J163" s="79">
        <f>[1]sales!I168</f>
        <v>32000</v>
      </c>
      <c r="K163" s="52">
        <f>[1]sales!J168</f>
        <v>0</v>
      </c>
    </row>
    <row r="164" spans="1:11" x14ac:dyDescent="0.2">
      <c r="A164" s="14">
        <f>[1]sales!A169</f>
        <v>46085</v>
      </c>
      <c r="B164" s="194">
        <f>[1]sales!B169</f>
        <v>0.81076388888888884</v>
      </c>
      <c r="C164" s="189" t="s">
        <v>49</v>
      </c>
      <c r="D164" s="14" t="str">
        <f>[1]sales!D169</f>
        <v>Chorizo</v>
      </c>
      <c r="E164" s="152">
        <f>+_xlfn.XLOOKUP(sales[[#This Row],[Fecha]],OPEX_VE!A:A,OPEX_VE!B:B)</f>
        <v>2</v>
      </c>
      <c r="F164" s="14" t="str">
        <f>+_xlfn.XLOOKUP(sales[[#This Row],[Fecha]],OPEX_VE!A:A,OPEX_VE!E:E)</f>
        <v>A) Día hábil</v>
      </c>
      <c r="G164" s="14" t="str">
        <f>+TEXT(sales[[#This Row],[Fecha]],"ddd")</f>
        <v>mié</v>
      </c>
      <c r="H164" s="190">
        <f>+sales[[#This Row],[Venta]]*0.4</f>
        <v>6400</v>
      </c>
      <c r="I164" s="103">
        <f>[1]sales!K169</f>
        <v>16000</v>
      </c>
      <c r="J164" s="79">
        <f>[1]sales!I169</f>
        <v>0</v>
      </c>
      <c r="K164" s="52">
        <f>[1]sales!J169</f>
        <v>16000</v>
      </c>
    </row>
    <row r="165" spans="1:11" x14ac:dyDescent="0.2">
      <c r="A165" s="14">
        <f>[1]sales!A170</f>
        <v>46085</v>
      </c>
      <c r="B165" s="194">
        <f>[1]sales!B170</f>
        <v>0.81076388888888884</v>
      </c>
      <c r="C165" s="189" t="s">
        <v>49</v>
      </c>
      <c r="D165" s="14" t="str">
        <f>[1]sales!D170</f>
        <v>Coca cola</v>
      </c>
      <c r="E165" s="152">
        <f>+_xlfn.XLOOKUP(sales[[#This Row],[Fecha]],OPEX_VE!A:A,OPEX_VE!B:B)</f>
        <v>2</v>
      </c>
      <c r="F165" s="14" t="str">
        <f>+_xlfn.XLOOKUP(sales[[#This Row],[Fecha]],OPEX_VE!A:A,OPEX_VE!E:E)</f>
        <v>A) Día hábil</v>
      </c>
      <c r="G165" s="14" t="str">
        <f>+TEXT(sales[[#This Row],[Fecha]],"ddd")</f>
        <v>mié</v>
      </c>
      <c r="H165" s="190">
        <f>+sales[[#This Row],[Venta]]*0.4</f>
        <v>1200</v>
      </c>
      <c r="I165" s="103">
        <f>[1]sales!K170</f>
        <v>3000</v>
      </c>
      <c r="J165" s="79">
        <f>[1]sales!I170</f>
        <v>0</v>
      </c>
      <c r="K165" s="52">
        <f>[1]sales!J170</f>
        <v>3000</v>
      </c>
    </row>
    <row r="166" spans="1:11" x14ac:dyDescent="0.2">
      <c r="A166" s="14">
        <f>[1]sales!A171</f>
        <v>46085</v>
      </c>
      <c r="B166" s="194">
        <f>[1]sales!B171</f>
        <v>0.8313194444444445</v>
      </c>
      <c r="C166" s="189" t="s">
        <v>49</v>
      </c>
      <c r="D166" s="14" t="str">
        <f>[1]sales!D171</f>
        <v>Chorizo</v>
      </c>
      <c r="E166" s="152">
        <f>+_xlfn.XLOOKUP(sales[[#This Row],[Fecha]],OPEX_VE!A:A,OPEX_VE!B:B)</f>
        <v>2</v>
      </c>
      <c r="F166" s="14" t="str">
        <f>+_xlfn.XLOOKUP(sales[[#This Row],[Fecha]],OPEX_VE!A:A,OPEX_VE!E:E)</f>
        <v>A) Día hábil</v>
      </c>
      <c r="G166" s="14" t="str">
        <f>+TEXT(sales[[#This Row],[Fecha]],"ddd")</f>
        <v>mié</v>
      </c>
      <c r="H166" s="190">
        <f>+sales[[#This Row],[Venta]]*0.4</f>
        <v>16000</v>
      </c>
      <c r="I166" s="103">
        <f>[1]sales!K171</f>
        <v>40000</v>
      </c>
      <c r="J166" s="79">
        <f>[1]sales!I171</f>
        <v>40000</v>
      </c>
      <c r="K166" s="52">
        <f>[1]sales!J171</f>
        <v>0</v>
      </c>
    </row>
    <row r="167" spans="1:11" x14ac:dyDescent="0.2">
      <c r="A167" s="14">
        <f>[1]sales!A172</f>
        <v>46085</v>
      </c>
      <c r="B167" s="194">
        <f>[1]sales!B172</f>
        <v>0.8313194444444445</v>
      </c>
      <c r="C167" s="189" t="s">
        <v>49</v>
      </c>
      <c r="D167" s="14" t="str">
        <f>[1]sales!D172</f>
        <v>Coca cola</v>
      </c>
      <c r="E167" s="152">
        <f>+_xlfn.XLOOKUP(sales[[#This Row],[Fecha]],OPEX_VE!A:A,OPEX_VE!B:B)</f>
        <v>2</v>
      </c>
      <c r="F167" s="14" t="str">
        <f>+_xlfn.XLOOKUP(sales[[#This Row],[Fecha]],OPEX_VE!A:A,OPEX_VE!E:E)</f>
        <v>A) Día hábil</v>
      </c>
      <c r="G167" s="14" t="str">
        <f>+TEXT(sales[[#This Row],[Fecha]],"ddd")</f>
        <v>mié</v>
      </c>
      <c r="H167" s="190">
        <f>+sales[[#This Row],[Venta]]*0.4</f>
        <v>2400</v>
      </c>
      <c r="I167" s="103">
        <f>[1]sales!K172</f>
        <v>6000</v>
      </c>
      <c r="J167" s="79">
        <f>[1]sales!I172</f>
        <v>6000</v>
      </c>
      <c r="K167" s="52">
        <f>[1]sales!J172</f>
        <v>0</v>
      </c>
    </row>
    <row r="168" spans="1:11" x14ac:dyDescent="0.2">
      <c r="A168" s="14">
        <f>[1]sales!A173</f>
        <v>46085</v>
      </c>
      <c r="B168" s="194">
        <f>[1]sales!B173</f>
        <v>0.8313194444444445</v>
      </c>
      <c r="C168" s="189" t="s">
        <v>49</v>
      </c>
      <c r="D168" s="14" t="str">
        <f>[1]sales!D173</f>
        <v>Postobon</v>
      </c>
      <c r="E168" s="152">
        <f>+_xlfn.XLOOKUP(sales[[#This Row],[Fecha]],OPEX_VE!A:A,OPEX_VE!B:B)</f>
        <v>2</v>
      </c>
      <c r="F168" s="14" t="str">
        <f>+_xlfn.XLOOKUP(sales[[#This Row],[Fecha]],OPEX_VE!A:A,OPEX_VE!E:E)</f>
        <v>A) Día hábil</v>
      </c>
      <c r="G168" s="14" t="str">
        <f>+TEXT(sales[[#This Row],[Fecha]],"ddd")</f>
        <v>mié</v>
      </c>
      <c r="H168" s="190">
        <f>+sales[[#This Row],[Venta]]*0.4</f>
        <v>3600</v>
      </c>
      <c r="I168" s="103">
        <f>[1]sales!K173</f>
        <v>9000</v>
      </c>
      <c r="J168" s="79">
        <f>[1]sales!I173</f>
        <v>9000</v>
      </c>
      <c r="K168" s="52">
        <f>[1]sales!J173</f>
        <v>0</v>
      </c>
    </row>
    <row r="169" spans="1:11" x14ac:dyDescent="0.2">
      <c r="A169" s="14">
        <f>[1]sales!A174</f>
        <v>46085</v>
      </c>
      <c r="B169" s="194">
        <f>[1]sales!B174</f>
        <v>0.8313194444444445</v>
      </c>
      <c r="C169" s="189" t="s">
        <v>49</v>
      </c>
      <c r="D169" s="14" t="str">
        <f>[1]sales!D174</f>
        <v>VARIOS: Costillas BBQ</v>
      </c>
      <c r="E169" s="152">
        <f>+_xlfn.XLOOKUP(sales[[#This Row],[Fecha]],OPEX_VE!A:A,OPEX_VE!B:B)</f>
        <v>2</v>
      </c>
      <c r="F169" s="14" t="str">
        <f>+_xlfn.XLOOKUP(sales[[#This Row],[Fecha]],OPEX_VE!A:A,OPEX_VE!E:E)</f>
        <v>A) Día hábil</v>
      </c>
      <c r="G169" s="14" t="str">
        <f>+TEXT(sales[[#This Row],[Fecha]],"ddd")</f>
        <v>mié</v>
      </c>
      <c r="H169" s="190">
        <f>+sales[[#This Row],[Venta]]*0.4</f>
        <v>20000</v>
      </c>
      <c r="I169" s="103">
        <f>[1]sales!K174</f>
        <v>50000</v>
      </c>
      <c r="J169" s="79">
        <f>[1]sales!I174</f>
        <v>50000</v>
      </c>
      <c r="K169" s="52">
        <f>[1]sales!J174</f>
        <v>0</v>
      </c>
    </row>
    <row r="170" spans="1:11" x14ac:dyDescent="0.2">
      <c r="A170" s="14">
        <f>[1]sales!A175</f>
        <v>46086</v>
      </c>
      <c r="B170" s="194">
        <f>[1]sales!B175</f>
        <v>0.58488425925925924</v>
      </c>
      <c r="C170" s="189" t="s">
        <v>49</v>
      </c>
      <c r="D170" s="14" t="str">
        <f>[1]sales!D175</f>
        <v>Carne con chorizo -30</v>
      </c>
      <c r="E170" s="152">
        <f>+_xlfn.XLOOKUP(sales[[#This Row],[Fecha]],OPEX_VE!A:A,OPEX_VE!B:B)</f>
        <v>2</v>
      </c>
      <c r="F170" s="14" t="str">
        <f>+_xlfn.XLOOKUP(sales[[#This Row],[Fecha]],OPEX_VE!A:A,OPEX_VE!E:E)</f>
        <v>A) Día hábil</v>
      </c>
      <c r="G170" s="14" t="str">
        <f>+TEXT(sales[[#This Row],[Fecha]],"ddd")</f>
        <v>jue</v>
      </c>
      <c r="H170" s="190">
        <f>+sales[[#This Row],[Venta]]*0.4</f>
        <v>12000</v>
      </c>
      <c r="I170" s="103">
        <f>[1]sales!K175</f>
        <v>30000</v>
      </c>
      <c r="J170" s="79">
        <f>[1]sales!I175</f>
        <v>0</v>
      </c>
      <c r="K170" s="52">
        <f>[1]sales!J175</f>
        <v>30000</v>
      </c>
    </row>
    <row r="171" spans="1:11" x14ac:dyDescent="0.2">
      <c r="A171" s="14">
        <f>[1]sales!A176</f>
        <v>46086</v>
      </c>
      <c r="B171" s="194">
        <f>[1]sales!B176</f>
        <v>0.58488425925925924</v>
      </c>
      <c r="C171" s="189" t="s">
        <v>49</v>
      </c>
      <c r="D171" s="14" t="str">
        <f>[1]sales!D176</f>
        <v>Propina - Gustavo</v>
      </c>
      <c r="E171" s="152">
        <f>+_xlfn.XLOOKUP(sales[[#This Row],[Fecha]],OPEX_VE!A:A,OPEX_VE!B:B)</f>
        <v>2</v>
      </c>
      <c r="F171" s="14" t="str">
        <f>+_xlfn.XLOOKUP(sales[[#This Row],[Fecha]],OPEX_VE!A:A,OPEX_VE!E:E)</f>
        <v>A) Día hábil</v>
      </c>
      <c r="G171" s="14" t="str">
        <f>+TEXT(sales[[#This Row],[Fecha]],"ddd")</f>
        <v>jue</v>
      </c>
      <c r="H171" s="190">
        <f>+sales[[#This Row],[Venta]]*0.4</f>
        <v>2000</v>
      </c>
      <c r="I171" s="103">
        <f>[1]sales!K176</f>
        <v>5000</v>
      </c>
      <c r="J171" s="79">
        <f>[1]sales!I176</f>
        <v>0</v>
      </c>
      <c r="K171" s="52">
        <f>[1]sales!J176</f>
        <v>5000</v>
      </c>
    </row>
    <row r="172" spans="1:11" x14ac:dyDescent="0.2">
      <c r="A172" s="14">
        <f>[1]sales!A177</f>
        <v>46086</v>
      </c>
      <c r="B172" s="194">
        <f>[1]sales!B177</f>
        <v>0.627349537037037</v>
      </c>
      <c r="C172" s="189" t="s">
        <v>49</v>
      </c>
      <c r="D172" s="14" t="str">
        <f>[1]sales!D177</f>
        <v>Chorizo</v>
      </c>
      <c r="E172" s="152">
        <f>+_xlfn.XLOOKUP(sales[[#This Row],[Fecha]],OPEX_VE!A:A,OPEX_VE!B:B)</f>
        <v>2</v>
      </c>
      <c r="F172" s="14" t="str">
        <f>+_xlfn.XLOOKUP(sales[[#This Row],[Fecha]],OPEX_VE!A:A,OPEX_VE!E:E)</f>
        <v>A) Día hábil</v>
      </c>
      <c r="G172" s="14" t="str">
        <f>+TEXT(sales[[#This Row],[Fecha]],"ddd")</f>
        <v>jue</v>
      </c>
      <c r="H172" s="190">
        <f>+sales[[#This Row],[Venta]]*0.4</f>
        <v>6400</v>
      </c>
      <c r="I172" s="103">
        <f>[1]sales!K177</f>
        <v>16000</v>
      </c>
      <c r="J172" s="79">
        <f>[1]sales!I177</f>
        <v>16000</v>
      </c>
      <c r="K172" s="52">
        <f>[1]sales!J177</f>
        <v>0</v>
      </c>
    </row>
    <row r="173" spans="1:11" x14ac:dyDescent="0.2">
      <c r="A173" s="14">
        <f>[1]sales!A178</f>
        <v>46086</v>
      </c>
      <c r="B173" s="194">
        <f>[1]sales!B178</f>
        <v>0.627349537037037</v>
      </c>
      <c r="C173" s="189" t="s">
        <v>49</v>
      </c>
      <c r="D173" s="14" t="str">
        <f>[1]sales!D178</f>
        <v>Coca cola</v>
      </c>
      <c r="E173" s="152">
        <f>+_xlfn.XLOOKUP(sales[[#This Row],[Fecha]],OPEX_VE!A:A,OPEX_VE!B:B)</f>
        <v>2</v>
      </c>
      <c r="F173" s="14" t="str">
        <f>+_xlfn.XLOOKUP(sales[[#This Row],[Fecha]],OPEX_VE!A:A,OPEX_VE!E:E)</f>
        <v>A) Día hábil</v>
      </c>
      <c r="G173" s="14" t="str">
        <f>+TEXT(sales[[#This Row],[Fecha]],"ddd")</f>
        <v>jue</v>
      </c>
      <c r="H173" s="190">
        <f>+sales[[#This Row],[Venta]]*0.4</f>
        <v>2400</v>
      </c>
      <c r="I173" s="103">
        <f>[1]sales!K178</f>
        <v>6000</v>
      </c>
      <c r="J173" s="79">
        <f>[1]sales!I178</f>
        <v>6000</v>
      </c>
      <c r="K173" s="52">
        <f>[1]sales!J178</f>
        <v>0</v>
      </c>
    </row>
    <row r="174" spans="1:11" x14ac:dyDescent="0.2">
      <c r="A174" s="14">
        <f>[1]sales!A179</f>
        <v>46086</v>
      </c>
      <c r="B174" s="194">
        <f>[1]sales!B179</f>
        <v>0.63901620370370371</v>
      </c>
      <c r="C174" s="189" t="s">
        <v>49</v>
      </c>
      <c r="D174" s="14" t="str">
        <f>[1]sales!D179</f>
        <v>Chorizo</v>
      </c>
      <c r="E174" s="152">
        <f>+_xlfn.XLOOKUP(sales[[#This Row],[Fecha]],OPEX_VE!A:A,OPEX_VE!B:B)</f>
        <v>2</v>
      </c>
      <c r="F174" s="14" t="str">
        <f>+_xlfn.XLOOKUP(sales[[#This Row],[Fecha]],OPEX_VE!A:A,OPEX_VE!E:E)</f>
        <v>A) Día hábil</v>
      </c>
      <c r="G174" s="14" t="str">
        <f>+TEXT(sales[[#This Row],[Fecha]],"ddd")</f>
        <v>jue</v>
      </c>
      <c r="H174" s="190">
        <f>+sales[[#This Row],[Venta]]*0.4</f>
        <v>12800</v>
      </c>
      <c r="I174" s="103">
        <f>[1]sales!K179</f>
        <v>32000</v>
      </c>
      <c r="J174" s="79">
        <f>[1]sales!I179</f>
        <v>32000</v>
      </c>
      <c r="K174" s="52">
        <f>[1]sales!J179</f>
        <v>0</v>
      </c>
    </row>
    <row r="175" spans="1:11" x14ac:dyDescent="0.2">
      <c r="A175" s="14">
        <f>[1]sales!A180</f>
        <v>46086</v>
      </c>
      <c r="B175" s="194">
        <f>[1]sales!B180</f>
        <v>0.63901620370370371</v>
      </c>
      <c r="C175" s="189" t="s">
        <v>49</v>
      </c>
      <c r="D175" s="14" t="str">
        <f>[1]sales!D180</f>
        <v>Hit</v>
      </c>
      <c r="E175" s="152">
        <f>+_xlfn.XLOOKUP(sales[[#This Row],[Fecha]],OPEX_VE!A:A,OPEX_VE!B:B)</f>
        <v>2</v>
      </c>
      <c r="F175" s="14" t="str">
        <f>+_xlfn.XLOOKUP(sales[[#This Row],[Fecha]],OPEX_VE!A:A,OPEX_VE!E:E)</f>
        <v>A) Día hábil</v>
      </c>
      <c r="G175" s="14" t="str">
        <f>+TEXT(sales[[#This Row],[Fecha]],"ddd")</f>
        <v>jue</v>
      </c>
      <c r="H175" s="190">
        <f>+sales[[#This Row],[Venta]]*0.4</f>
        <v>1800</v>
      </c>
      <c r="I175" s="103">
        <f>[1]sales!K180</f>
        <v>4500</v>
      </c>
      <c r="J175" s="79">
        <f>[1]sales!I180</f>
        <v>4500</v>
      </c>
      <c r="K175" s="52">
        <f>[1]sales!J180</f>
        <v>0</v>
      </c>
    </row>
    <row r="176" spans="1:11" x14ac:dyDescent="0.2">
      <c r="A176" s="14">
        <f>[1]sales!A181</f>
        <v>46086</v>
      </c>
      <c r="B176" s="194">
        <f>[1]sales!B181</f>
        <v>0.64901620370370372</v>
      </c>
      <c r="C176" s="189" t="s">
        <v>49</v>
      </c>
      <c r="D176" s="14" t="str">
        <f>[1]sales!D181</f>
        <v>Hit</v>
      </c>
      <c r="E176" s="152">
        <f>+_xlfn.XLOOKUP(sales[[#This Row],[Fecha]],OPEX_VE!A:A,OPEX_VE!B:B)</f>
        <v>2</v>
      </c>
      <c r="F176" s="14" t="str">
        <f>+_xlfn.XLOOKUP(sales[[#This Row],[Fecha]],OPEX_VE!A:A,OPEX_VE!E:E)</f>
        <v>A) Día hábil</v>
      </c>
      <c r="G176" s="14" t="str">
        <f>+TEXT(sales[[#This Row],[Fecha]],"ddd")</f>
        <v>jue</v>
      </c>
      <c r="H176" s="190">
        <f>+sales[[#This Row],[Venta]]*0.4</f>
        <v>1800</v>
      </c>
      <c r="I176" s="103">
        <f>[1]sales!K181</f>
        <v>4500</v>
      </c>
      <c r="J176" s="79">
        <f>[1]sales!I181</f>
        <v>0</v>
      </c>
      <c r="K176" s="52">
        <f>[1]sales!J181</f>
        <v>4500</v>
      </c>
    </row>
    <row r="177" spans="1:11" x14ac:dyDescent="0.2">
      <c r="A177" s="14">
        <f>[1]sales!A182</f>
        <v>46086</v>
      </c>
      <c r="B177" s="194">
        <f>[1]sales!B182</f>
        <v>0.64901620370370372</v>
      </c>
      <c r="C177" s="189" t="s">
        <v>49</v>
      </c>
      <c r="D177" s="14" t="str">
        <f>[1]sales!D182</f>
        <v>parri tres carnes</v>
      </c>
      <c r="E177" s="152">
        <f>+_xlfn.XLOOKUP(sales[[#This Row],[Fecha]],OPEX_VE!A:A,OPEX_VE!B:B)</f>
        <v>2</v>
      </c>
      <c r="F177" s="14" t="str">
        <f>+_xlfn.XLOOKUP(sales[[#This Row],[Fecha]],OPEX_VE!A:A,OPEX_VE!E:E)</f>
        <v>A) Día hábil</v>
      </c>
      <c r="G177" s="14" t="str">
        <f>+TEXT(sales[[#This Row],[Fecha]],"ddd")</f>
        <v>jue</v>
      </c>
      <c r="H177" s="190">
        <f>+sales[[#This Row],[Venta]]*0.4</f>
        <v>14000</v>
      </c>
      <c r="I177" s="103">
        <f>[1]sales!K182</f>
        <v>35000</v>
      </c>
      <c r="J177" s="79">
        <f>[1]sales!I182</f>
        <v>0</v>
      </c>
      <c r="K177" s="52">
        <f>[1]sales!J182</f>
        <v>35000</v>
      </c>
    </row>
    <row r="178" spans="1:11" x14ac:dyDescent="0.2">
      <c r="A178" s="14">
        <f>[1]sales!A183</f>
        <v>46086</v>
      </c>
      <c r="B178" s="194">
        <f>[1]sales!B183</f>
        <v>0.65855324074074073</v>
      </c>
      <c r="C178" s="189" t="s">
        <v>49</v>
      </c>
      <c r="D178" s="14" t="str">
        <f>[1]sales!D183</f>
        <v>parri tres carnes</v>
      </c>
      <c r="E178" s="152">
        <f>+_xlfn.XLOOKUP(sales[[#This Row],[Fecha]],OPEX_VE!A:A,OPEX_VE!B:B)</f>
        <v>2</v>
      </c>
      <c r="F178" s="14" t="str">
        <f>+_xlfn.XLOOKUP(sales[[#This Row],[Fecha]],OPEX_VE!A:A,OPEX_VE!E:E)</f>
        <v>A) Día hábil</v>
      </c>
      <c r="G178" s="14" t="str">
        <f>+TEXT(sales[[#This Row],[Fecha]],"ddd")</f>
        <v>jue</v>
      </c>
      <c r="H178" s="190">
        <f>+sales[[#This Row],[Venta]]*0.4</f>
        <v>14000</v>
      </c>
      <c r="I178" s="103">
        <f>[1]sales!K183</f>
        <v>35000</v>
      </c>
      <c r="J178" s="79">
        <f>[1]sales!I183</f>
        <v>35000</v>
      </c>
      <c r="K178" s="52">
        <f>[1]sales!J183</f>
        <v>0</v>
      </c>
    </row>
    <row r="179" spans="1:11" x14ac:dyDescent="0.2">
      <c r="A179" s="14">
        <f>[1]sales!A184</f>
        <v>46086</v>
      </c>
      <c r="B179" s="194">
        <f>[1]sales!B184</f>
        <v>0.71677083333333336</v>
      </c>
      <c r="C179" s="189" t="s">
        <v>49</v>
      </c>
      <c r="D179" s="14" t="str">
        <f>[1]sales!D184</f>
        <v>Chorizo</v>
      </c>
      <c r="E179" s="152">
        <f>+_xlfn.XLOOKUP(sales[[#This Row],[Fecha]],OPEX_VE!A:A,OPEX_VE!B:B)</f>
        <v>2</v>
      </c>
      <c r="F179" s="14" t="str">
        <f>+_xlfn.XLOOKUP(sales[[#This Row],[Fecha]],OPEX_VE!A:A,OPEX_VE!E:E)</f>
        <v>A) Día hábil</v>
      </c>
      <c r="G179" s="14" t="str">
        <f>+TEXT(sales[[#This Row],[Fecha]],"ddd")</f>
        <v>jue</v>
      </c>
      <c r="H179" s="190">
        <f>+sales[[#This Row],[Venta]]*0.4</f>
        <v>3200</v>
      </c>
      <c r="I179" s="103">
        <f>[1]sales!K184</f>
        <v>8000</v>
      </c>
      <c r="J179" s="79">
        <f>[1]sales!I184</f>
        <v>8000</v>
      </c>
      <c r="K179" s="52">
        <f>[1]sales!J184</f>
        <v>0</v>
      </c>
    </row>
    <row r="180" spans="1:11" x14ac:dyDescent="0.2">
      <c r="A180" s="14">
        <f>[1]sales!A185</f>
        <v>46086</v>
      </c>
      <c r="B180" s="194">
        <f>[1]sales!B185</f>
        <v>0.72050925925925924</v>
      </c>
      <c r="C180" s="189" t="s">
        <v>49</v>
      </c>
      <c r="D180" s="14" t="str">
        <f>[1]sales!D185</f>
        <v>Chorizo</v>
      </c>
      <c r="E180" s="152">
        <f>+_xlfn.XLOOKUP(sales[[#This Row],[Fecha]],OPEX_VE!A:A,OPEX_VE!B:B)</f>
        <v>2</v>
      </c>
      <c r="F180" s="14" t="str">
        <f>+_xlfn.XLOOKUP(sales[[#This Row],[Fecha]],OPEX_VE!A:A,OPEX_VE!E:E)</f>
        <v>A) Día hábil</v>
      </c>
      <c r="G180" s="14" t="str">
        <f>+TEXT(sales[[#This Row],[Fecha]],"ddd")</f>
        <v>jue</v>
      </c>
      <c r="H180" s="190">
        <f>+sales[[#This Row],[Venta]]*0.4</f>
        <v>3200</v>
      </c>
      <c r="I180" s="103">
        <f>[1]sales!K185</f>
        <v>8000</v>
      </c>
      <c r="J180" s="79">
        <f>[1]sales!I185</f>
        <v>8000</v>
      </c>
      <c r="K180" s="52">
        <f>[1]sales!J185</f>
        <v>0</v>
      </c>
    </row>
    <row r="181" spans="1:11" x14ac:dyDescent="0.2">
      <c r="A181" s="14">
        <f>[1]sales!A186</f>
        <v>46086</v>
      </c>
      <c r="B181" s="194">
        <f>[1]sales!B186</f>
        <v>0.73907407407407411</v>
      </c>
      <c r="C181" s="189" t="s">
        <v>49</v>
      </c>
      <c r="D181" s="14" t="str">
        <f>[1]sales!D186</f>
        <v>Chorizo</v>
      </c>
      <c r="E181" s="152">
        <f>+_xlfn.XLOOKUP(sales[[#This Row],[Fecha]],OPEX_VE!A:A,OPEX_VE!B:B)</f>
        <v>2</v>
      </c>
      <c r="F181" s="14" t="str">
        <f>+_xlfn.XLOOKUP(sales[[#This Row],[Fecha]],OPEX_VE!A:A,OPEX_VE!E:E)</f>
        <v>A) Día hábil</v>
      </c>
      <c r="G181" s="14" t="str">
        <f>+TEXT(sales[[#This Row],[Fecha]],"ddd")</f>
        <v>jue</v>
      </c>
      <c r="H181" s="190">
        <f>+sales[[#This Row],[Venta]]*0.4</f>
        <v>3200</v>
      </c>
      <c r="I181" s="103">
        <f>[1]sales!K186</f>
        <v>8000</v>
      </c>
      <c r="J181" s="79">
        <f>[1]sales!I186</f>
        <v>8000</v>
      </c>
      <c r="K181" s="52">
        <f>[1]sales!J186</f>
        <v>0</v>
      </c>
    </row>
    <row r="182" spans="1:11" x14ac:dyDescent="0.2">
      <c r="A182" s="14">
        <f>[1]sales!A187</f>
        <v>46086</v>
      </c>
      <c r="B182" s="194">
        <f>[1]sales!B187</f>
        <v>0.7546180555555555</v>
      </c>
      <c r="C182" s="189" t="s">
        <v>49</v>
      </c>
      <c r="D182" s="14" t="str">
        <f>[1]sales!D187</f>
        <v>Chorizo</v>
      </c>
      <c r="E182" s="152">
        <f>+_xlfn.XLOOKUP(sales[[#This Row],[Fecha]],OPEX_VE!A:A,OPEX_VE!B:B)</f>
        <v>2</v>
      </c>
      <c r="F182" s="14" t="str">
        <f>+_xlfn.XLOOKUP(sales[[#This Row],[Fecha]],OPEX_VE!A:A,OPEX_VE!E:E)</f>
        <v>A) Día hábil</v>
      </c>
      <c r="G182" s="14" t="str">
        <f>+TEXT(sales[[#This Row],[Fecha]],"ddd")</f>
        <v>jue</v>
      </c>
      <c r="H182" s="190">
        <f>+sales[[#This Row],[Venta]]*0.4</f>
        <v>3200</v>
      </c>
      <c r="I182" s="103">
        <f>[1]sales!K187</f>
        <v>8000</v>
      </c>
      <c r="J182" s="79">
        <f>[1]sales!I187</f>
        <v>8000</v>
      </c>
      <c r="K182" s="52">
        <f>[1]sales!J187</f>
        <v>0</v>
      </c>
    </row>
    <row r="183" spans="1:11" x14ac:dyDescent="0.2">
      <c r="A183" s="14">
        <f>[1]sales!A188</f>
        <v>46086</v>
      </c>
      <c r="B183" s="194">
        <f>[1]sales!B188</f>
        <v>0.77195601851851847</v>
      </c>
      <c r="C183" s="189" t="s">
        <v>49</v>
      </c>
      <c r="D183" s="14" t="str">
        <f>[1]sales!D188</f>
        <v>Chorizo</v>
      </c>
      <c r="E183" s="152">
        <f>+_xlfn.XLOOKUP(sales[[#This Row],[Fecha]],OPEX_VE!A:A,OPEX_VE!B:B)</f>
        <v>2</v>
      </c>
      <c r="F183" s="14" t="str">
        <f>+_xlfn.XLOOKUP(sales[[#This Row],[Fecha]],OPEX_VE!A:A,OPEX_VE!E:E)</f>
        <v>A) Día hábil</v>
      </c>
      <c r="G183" s="14" t="str">
        <f>+TEXT(sales[[#This Row],[Fecha]],"ddd")</f>
        <v>jue</v>
      </c>
      <c r="H183" s="190">
        <f>+sales[[#This Row],[Venta]]*0.4</f>
        <v>3200</v>
      </c>
      <c r="I183" s="103">
        <f>[1]sales!K188</f>
        <v>8000</v>
      </c>
      <c r="J183" s="79">
        <f>[1]sales!I188</f>
        <v>8000</v>
      </c>
      <c r="K183" s="52">
        <f>[1]sales!J188</f>
        <v>0</v>
      </c>
    </row>
    <row r="184" spans="1:11" x14ac:dyDescent="0.2">
      <c r="A184" s="14">
        <f>[1]sales!A189</f>
        <v>46086</v>
      </c>
      <c r="B184" s="194">
        <f>[1]sales!B189</f>
        <v>0.78481481481481485</v>
      </c>
      <c r="C184" s="189" t="s">
        <v>49</v>
      </c>
      <c r="D184" s="14" t="str">
        <f>[1]sales!D189</f>
        <v>Chorizo</v>
      </c>
      <c r="E184" s="152">
        <f>+_xlfn.XLOOKUP(sales[[#This Row],[Fecha]],OPEX_VE!A:A,OPEX_VE!B:B)</f>
        <v>2</v>
      </c>
      <c r="F184" s="14" t="str">
        <f>+_xlfn.XLOOKUP(sales[[#This Row],[Fecha]],OPEX_VE!A:A,OPEX_VE!E:E)</f>
        <v>A) Día hábil</v>
      </c>
      <c r="G184" s="14" t="str">
        <f>+TEXT(sales[[#This Row],[Fecha]],"ddd")</f>
        <v>jue</v>
      </c>
      <c r="H184" s="190">
        <f>+sales[[#This Row],[Venta]]*0.4</f>
        <v>3200</v>
      </c>
      <c r="I184" s="103">
        <f>[1]sales!K189</f>
        <v>8000</v>
      </c>
      <c r="J184" s="79">
        <f>[1]sales!I189</f>
        <v>0</v>
      </c>
      <c r="K184" s="52">
        <f>[1]sales!J189</f>
        <v>8000</v>
      </c>
    </row>
    <row r="185" spans="1:11" x14ac:dyDescent="0.2">
      <c r="A185" s="14">
        <f>[1]sales!A190</f>
        <v>46086</v>
      </c>
      <c r="B185" s="194">
        <f>[1]sales!B190</f>
        <v>0.78481481481481485</v>
      </c>
      <c r="C185" s="189" t="s">
        <v>49</v>
      </c>
      <c r="D185" s="14" t="str">
        <f>[1]sales!D190</f>
        <v>Postobon</v>
      </c>
      <c r="E185" s="152">
        <f>+_xlfn.XLOOKUP(sales[[#This Row],[Fecha]],OPEX_VE!A:A,OPEX_VE!B:B)</f>
        <v>2</v>
      </c>
      <c r="F185" s="14" t="str">
        <f>+_xlfn.XLOOKUP(sales[[#This Row],[Fecha]],OPEX_VE!A:A,OPEX_VE!E:E)</f>
        <v>A) Día hábil</v>
      </c>
      <c r="G185" s="14" t="str">
        <f>+TEXT(sales[[#This Row],[Fecha]],"ddd")</f>
        <v>jue</v>
      </c>
      <c r="H185" s="190">
        <f>+sales[[#This Row],[Venta]]*0.4</f>
        <v>1200</v>
      </c>
      <c r="I185" s="103">
        <f>[1]sales!K190</f>
        <v>3000</v>
      </c>
      <c r="J185" s="79">
        <f>[1]sales!I190</f>
        <v>0</v>
      </c>
      <c r="K185" s="52">
        <f>[1]sales!J190</f>
        <v>3000</v>
      </c>
    </row>
    <row r="186" spans="1:11" x14ac:dyDescent="0.2">
      <c r="A186" s="14">
        <f>[1]sales!A191</f>
        <v>46086</v>
      </c>
      <c r="B186" s="194">
        <f>[1]sales!B191</f>
        <v>0.802337962962963</v>
      </c>
      <c r="C186" s="189" t="s">
        <v>49</v>
      </c>
      <c r="D186" s="14" t="str">
        <f>[1]sales!D191</f>
        <v>Chorizo</v>
      </c>
      <c r="E186" s="152">
        <f>+_xlfn.XLOOKUP(sales[[#This Row],[Fecha]],OPEX_VE!A:A,OPEX_VE!B:B)</f>
        <v>2</v>
      </c>
      <c r="F186" s="14" t="str">
        <f>+_xlfn.XLOOKUP(sales[[#This Row],[Fecha]],OPEX_VE!A:A,OPEX_VE!E:E)</f>
        <v>A) Día hábil</v>
      </c>
      <c r="G186" s="14" t="str">
        <f>+TEXT(sales[[#This Row],[Fecha]],"ddd")</f>
        <v>jue</v>
      </c>
      <c r="H186" s="190">
        <f>+sales[[#This Row],[Venta]]*0.4</f>
        <v>9600</v>
      </c>
      <c r="I186" s="103">
        <f>[1]sales!K191</f>
        <v>24000</v>
      </c>
      <c r="J186" s="79">
        <f>[1]sales!I191</f>
        <v>0</v>
      </c>
      <c r="K186" s="52">
        <f>[1]sales!J191</f>
        <v>24000</v>
      </c>
    </row>
    <row r="187" spans="1:11" x14ac:dyDescent="0.2">
      <c r="A187" s="14">
        <f>[1]sales!A192</f>
        <v>46086</v>
      </c>
      <c r="B187" s="194">
        <f>[1]sales!B192</f>
        <v>0.802337962962963</v>
      </c>
      <c r="C187" s="189" t="s">
        <v>49</v>
      </c>
      <c r="D187" s="14" t="str">
        <f>[1]sales!D192</f>
        <v>Postobon</v>
      </c>
      <c r="E187" s="152">
        <f>+_xlfn.XLOOKUP(sales[[#This Row],[Fecha]],OPEX_VE!A:A,OPEX_VE!B:B)</f>
        <v>2</v>
      </c>
      <c r="F187" s="14" t="str">
        <f>+_xlfn.XLOOKUP(sales[[#This Row],[Fecha]],OPEX_VE!A:A,OPEX_VE!E:E)</f>
        <v>A) Día hábil</v>
      </c>
      <c r="G187" s="14" t="str">
        <f>+TEXT(sales[[#This Row],[Fecha]],"ddd")</f>
        <v>jue</v>
      </c>
      <c r="H187" s="190">
        <f>+sales[[#This Row],[Venta]]*0.4</f>
        <v>2400</v>
      </c>
      <c r="I187" s="103">
        <f>[1]sales!K192</f>
        <v>6000</v>
      </c>
      <c r="J187" s="79">
        <f>[1]sales!I192</f>
        <v>0</v>
      </c>
      <c r="K187" s="52">
        <f>[1]sales!J192</f>
        <v>6000</v>
      </c>
    </row>
    <row r="188" spans="1:11" x14ac:dyDescent="0.2">
      <c r="A188" s="14">
        <f>[1]sales!A193</f>
        <v>46086</v>
      </c>
      <c r="B188" s="194">
        <f>[1]sales!B193</f>
        <v>0.84318287037037032</v>
      </c>
      <c r="C188" s="189" t="s">
        <v>49</v>
      </c>
      <c r="D188" s="14" t="str">
        <f>[1]sales!D193</f>
        <v>Chorizo</v>
      </c>
      <c r="E188" s="152">
        <f>+_xlfn.XLOOKUP(sales[[#This Row],[Fecha]],OPEX_VE!A:A,OPEX_VE!B:B)</f>
        <v>2</v>
      </c>
      <c r="F188" s="14" t="str">
        <f>+_xlfn.XLOOKUP(sales[[#This Row],[Fecha]],OPEX_VE!A:A,OPEX_VE!E:E)</f>
        <v>A) Día hábil</v>
      </c>
      <c r="G188" s="14" t="str">
        <f>+TEXT(sales[[#This Row],[Fecha]],"ddd")</f>
        <v>jue</v>
      </c>
      <c r="H188" s="190">
        <f>+sales[[#This Row],[Venta]]*0.4</f>
        <v>3200</v>
      </c>
      <c r="I188" s="103">
        <f>[1]sales!K193</f>
        <v>8000</v>
      </c>
      <c r="J188" s="79">
        <f>[1]sales!I193</f>
        <v>8000</v>
      </c>
      <c r="K188" s="52">
        <f>[1]sales!J193</f>
        <v>0</v>
      </c>
    </row>
    <row r="189" spans="1:11" x14ac:dyDescent="0.2">
      <c r="A189" s="14">
        <f>[1]sales!A194</f>
        <v>46086</v>
      </c>
      <c r="B189" s="194">
        <f>[1]sales!B194</f>
        <v>0.84318287037037032</v>
      </c>
      <c r="C189" s="189" t="s">
        <v>49</v>
      </c>
      <c r="D189" s="14" t="str">
        <f>[1]sales!D194</f>
        <v>tinto</v>
      </c>
      <c r="E189" s="152">
        <f>+_xlfn.XLOOKUP(sales[[#This Row],[Fecha]],OPEX_VE!A:A,OPEX_VE!B:B)</f>
        <v>2</v>
      </c>
      <c r="F189" s="14" t="str">
        <f>+_xlfn.XLOOKUP(sales[[#This Row],[Fecha]],OPEX_VE!A:A,OPEX_VE!E:E)</f>
        <v>A) Día hábil</v>
      </c>
      <c r="G189" s="14" t="str">
        <f>+TEXT(sales[[#This Row],[Fecha]],"ddd")</f>
        <v>jue</v>
      </c>
      <c r="H189" s="190">
        <f>+sales[[#This Row],[Venta]]*0.4</f>
        <v>800</v>
      </c>
      <c r="I189" s="103">
        <f>[1]sales!K194</f>
        <v>2000</v>
      </c>
      <c r="J189" s="79">
        <f>[1]sales!I194</f>
        <v>2000</v>
      </c>
      <c r="K189" s="52">
        <f>[1]sales!J194</f>
        <v>0</v>
      </c>
    </row>
    <row r="190" spans="1:11" x14ac:dyDescent="0.2">
      <c r="A190" s="14">
        <f>[1]sales!A195</f>
        <v>46088</v>
      </c>
      <c r="B190" s="194">
        <f>[1]sales!B195</f>
        <v>0.95762731481481478</v>
      </c>
      <c r="C190" s="189" t="s">
        <v>49</v>
      </c>
      <c r="D190" s="14" t="str">
        <f>[1]sales!D195</f>
        <v>Chorizo</v>
      </c>
      <c r="E190" s="152">
        <f>+_xlfn.XLOOKUP(sales[[#This Row],[Fecha]],OPEX_VE!A:A,OPEX_VE!B:B)</f>
        <v>2</v>
      </c>
      <c r="F190" s="14" t="str">
        <f>+_xlfn.XLOOKUP(sales[[#This Row],[Fecha]],OPEX_VE!A:A,OPEX_VE!E:E)</f>
        <v>C) Sábado</v>
      </c>
      <c r="G190" s="14" t="str">
        <f>+TEXT(sales[[#This Row],[Fecha]],"ddd")</f>
        <v>sáb</v>
      </c>
      <c r="H190" s="190">
        <f>+sales[[#This Row],[Venta]]*0.4</f>
        <v>6400</v>
      </c>
      <c r="I190" s="103">
        <f>[1]sales!K195</f>
        <v>16000</v>
      </c>
      <c r="J190" s="79">
        <f>[1]sales!I195</f>
        <v>16000</v>
      </c>
      <c r="K190" s="52">
        <f>[1]sales!J195</f>
        <v>0</v>
      </c>
    </row>
    <row r="191" spans="1:11" x14ac:dyDescent="0.2">
      <c r="A191" s="14">
        <f>[1]sales!A196</f>
        <v>46088</v>
      </c>
      <c r="B191" s="194">
        <f>[1]sales!B196</f>
        <v>0.95777777777777773</v>
      </c>
      <c r="C191" s="189" t="s">
        <v>49</v>
      </c>
      <c r="D191" s="14" t="str">
        <f>[1]sales!D196</f>
        <v>Chorizo</v>
      </c>
      <c r="E191" s="152">
        <f>+_xlfn.XLOOKUP(sales[[#This Row],[Fecha]],OPEX_VE!A:A,OPEX_VE!B:B)</f>
        <v>2</v>
      </c>
      <c r="F191" s="14" t="str">
        <f>+_xlfn.XLOOKUP(sales[[#This Row],[Fecha]],OPEX_VE!A:A,OPEX_VE!E:E)</f>
        <v>C) Sábado</v>
      </c>
      <c r="G191" s="14" t="str">
        <f>+TEXT(sales[[#This Row],[Fecha]],"ddd")</f>
        <v>sáb</v>
      </c>
      <c r="H191" s="190">
        <f>+sales[[#This Row],[Venta]]*0.4</f>
        <v>6400</v>
      </c>
      <c r="I191" s="103">
        <f>[1]sales!K196</f>
        <v>16000</v>
      </c>
      <c r="J191" s="79">
        <f>[1]sales!I196</f>
        <v>16000</v>
      </c>
      <c r="K191" s="52">
        <f>[1]sales!J196</f>
        <v>0</v>
      </c>
    </row>
    <row r="192" spans="1:11" x14ac:dyDescent="0.2">
      <c r="A192" s="14">
        <f>[1]sales!A197</f>
        <v>46088</v>
      </c>
      <c r="B192" s="194">
        <f>[1]sales!B197</f>
        <v>0.95832175925925922</v>
      </c>
      <c r="C192" s="189" t="s">
        <v>49</v>
      </c>
      <c r="D192" s="14" t="str">
        <f>[1]sales!D197</f>
        <v>Chorizo</v>
      </c>
      <c r="E192" s="152">
        <f>+_xlfn.XLOOKUP(sales[[#This Row],[Fecha]],OPEX_VE!A:A,OPEX_VE!B:B)</f>
        <v>2</v>
      </c>
      <c r="F192" s="14" t="str">
        <f>+_xlfn.XLOOKUP(sales[[#This Row],[Fecha]],OPEX_VE!A:A,OPEX_VE!E:E)</f>
        <v>C) Sábado</v>
      </c>
      <c r="G192" s="14" t="str">
        <f>+TEXT(sales[[#This Row],[Fecha]],"ddd")</f>
        <v>sáb</v>
      </c>
      <c r="H192" s="190">
        <f>+sales[[#This Row],[Venta]]*0.4</f>
        <v>12800</v>
      </c>
      <c r="I192" s="103">
        <f>[1]sales!K197</f>
        <v>32000</v>
      </c>
      <c r="J192" s="79">
        <f>[1]sales!I197</f>
        <v>32000</v>
      </c>
      <c r="K192" s="52">
        <f>[1]sales!J197</f>
        <v>0</v>
      </c>
    </row>
    <row r="193" spans="1:11" x14ac:dyDescent="0.2">
      <c r="A193" s="14">
        <f>[1]sales!A198</f>
        <v>46088</v>
      </c>
      <c r="B193" s="194">
        <f>[1]sales!B198</f>
        <v>0.95832175925925922</v>
      </c>
      <c r="C193" s="189" t="s">
        <v>49</v>
      </c>
      <c r="D193" s="14" t="str">
        <f>[1]sales!D198</f>
        <v>Coca cola</v>
      </c>
      <c r="E193" s="152">
        <f>+_xlfn.XLOOKUP(sales[[#This Row],[Fecha]],OPEX_VE!A:A,OPEX_VE!B:B)</f>
        <v>2</v>
      </c>
      <c r="F193" s="14" t="str">
        <f>+_xlfn.XLOOKUP(sales[[#This Row],[Fecha]],OPEX_VE!A:A,OPEX_VE!E:E)</f>
        <v>C) Sábado</v>
      </c>
      <c r="G193" s="14" t="str">
        <f>+TEXT(sales[[#This Row],[Fecha]],"ddd")</f>
        <v>sáb</v>
      </c>
      <c r="H193" s="190">
        <f>+sales[[#This Row],[Venta]]*0.4</f>
        <v>2400</v>
      </c>
      <c r="I193" s="103">
        <f>[1]sales!K198</f>
        <v>6000</v>
      </c>
      <c r="J193" s="79">
        <f>[1]sales!I198</f>
        <v>6000</v>
      </c>
      <c r="K193" s="52">
        <f>[1]sales!J198</f>
        <v>0</v>
      </c>
    </row>
    <row r="194" spans="1:11" x14ac:dyDescent="0.2">
      <c r="A194" s="14">
        <f>[1]sales!A199</f>
        <v>46088</v>
      </c>
      <c r="B194" s="194">
        <f>[1]sales!B199</f>
        <v>0.95892361111111113</v>
      </c>
      <c r="C194" s="189" t="s">
        <v>49</v>
      </c>
      <c r="D194" s="14" t="str">
        <f>[1]sales!D199</f>
        <v>Chorizo</v>
      </c>
      <c r="E194" s="152">
        <f>+_xlfn.XLOOKUP(sales[[#This Row],[Fecha]],OPEX_VE!A:A,OPEX_VE!B:B)</f>
        <v>2</v>
      </c>
      <c r="F194" s="14" t="str">
        <f>+_xlfn.XLOOKUP(sales[[#This Row],[Fecha]],OPEX_VE!A:A,OPEX_VE!E:E)</f>
        <v>C) Sábado</v>
      </c>
      <c r="G194" s="14" t="str">
        <f>+TEXT(sales[[#This Row],[Fecha]],"ddd")</f>
        <v>sáb</v>
      </c>
      <c r="H194" s="190">
        <f>+sales[[#This Row],[Venta]]*0.4</f>
        <v>3200</v>
      </c>
      <c r="I194" s="103">
        <f>[1]sales!K199</f>
        <v>8000</v>
      </c>
      <c r="J194" s="79">
        <f>[1]sales!I199</f>
        <v>8000</v>
      </c>
      <c r="K194" s="52">
        <f>[1]sales!J199</f>
        <v>0</v>
      </c>
    </row>
    <row r="195" spans="1:11" x14ac:dyDescent="0.2">
      <c r="A195" s="14">
        <f>[1]sales!A200</f>
        <v>46088</v>
      </c>
      <c r="B195" s="194">
        <f>[1]sales!B200</f>
        <v>0.95892361111111113</v>
      </c>
      <c r="C195" s="189" t="s">
        <v>49</v>
      </c>
      <c r="D195" s="14" t="str">
        <f>[1]sales!D200</f>
        <v>Coca cola</v>
      </c>
      <c r="E195" s="152">
        <f>+_xlfn.XLOOKUP(sales[[#This Row],[Fecha]],OPEX_VE!A:A,OPEX_VE!B:B)</f>
        <v>2</v>
      </c>
      <c r="F195" s="14" t="str">
        <f>+_xlfn.XLOOKUP(sales[[#This Row],[Fecha]],OPEX_VE!A:A,OPEX_VE!E:E)</f>
        <v>C) Sábado</v>
      </c>
      <c r="G195" s="14" t="str">
        <f>+TEXT(sales[[#This Row],[Fecha]],"ddd")</f>
        <v>sáb</v>
      </c>
      <c r="H195" s="190">
        <f>+sales[[#This Row],[Venta]]*0.4</f>
        <v>1200</v>
      </c>
      <c r="I195" s="103">
        <f>[1]sales!K200</f>
        <v>3000</v>
      </c>
      <c r="J195" s="79">
        <f>[1]sales!I200</f>
        <v>3000</v>
      </c>
      <c r="K195" s="52">
        <f>[1]sales!J200</f>
        <v>0</v>
      </c>
    </row>
    <row r="196" spans="1:11" x14ac:dyDescent="0.2">
      <c r="A196" s="14">
        <f>[1]sales!A201</f>
        <v>46088</v>
      </c>
      <c r="B196" s="194">
        <f>[1]sales!B201</f>
        <v>0.95915509259259257</v>
      </c>
      <c r="C196" s="189" t="s">
        <v>49</v>
      </c>
      <c r="D196" s="14" t="str">
        <f>[1]sales!D201</f>
        <v>Chorizo</v>
      </c>
      <c r="E196" s="152">
        <f>+_xlfn.XLOOKUP(sales[[#This Row],[Fecha]],OPEX_VE!A:A,OPEX_VE!B:B)</f>
        <v>2</v>
      </c>
      <c r="F196" s="14" t="str">
        <f>+_xlfn.XLOOKUP(sales[[#This Row],[Fecha]],OPEX_VE!A:A,OPEX_VE!E:E)</f>
        <v>C) Sábado</v>
      </c>
      <c r="G196" s="14" t="str">
        <f>+TEXT(sales[[#This Row],[Fecha]],"ddd")</f>
        <v>sáb</v>
      </c>
      <c r="H196" s="190">
        <f>+sales[[#This Row],[Venta]]*0.4</f>
        <v>6400</v>
      </c>
      <c r="I196" s="103">
        <f>[1]sales!K201</f>
        <v>16000</v>
      </c>
      <c r="J196" s="79">
        <f>[1]sales!I201</f>
        <v>16000</v>
      </c>
      <c r="K196" s="52">
        <f>[1]sales!J201</f>
        <v>0</v>
      </c>
    </row>
    <row r="197" spans="1:11" x14ac:dyDescent="0.2">
      <c r="A197" s="14">
        <f>[1]sales!A202</f>
        <v>46088</v>
      </c>
      <c r="B197" s="194">
        <f>[1]sales!B202</f>
        <v>0.95915509259259257</v>
      </c>
      <c r="C197" s="189" t="s">
        <v>49</v>
      </c>
      <c r="D197" s="14" t="str">
        <f>[1]sales!D202</f>
        <v>Coca cola</v>
      </c>
      <c r="E197" s="152">
        <f>+_xlfn.XLOOKUP(sales[[#This Row],[Fecha]],OPEX_VE!A:A,OPEX_VE!B:B)</f>
        <v>2</v>
      </c>
      <c r="F197" s="14" t="str">
        <f>+_xlfn.XLOOKUP(sales[[#This Row],[Fecha]],OPEX_VE!A:A,OPEX_VE!E:E)</f>
        <v>C) Sábado</v>
      </c>
      <c r="G197" s="14" t="str">
        <f>+TEXT(sales[[#This Row],[Fecha]],"ddd")</f>
        <v>sáb</v>
      </c>
      <c r="H197" s="190">
        <f>+sales[[#This Row],[Venta]]*0.4</f>
        <v>2400</v>
      </c>
      <c r="I197" s="103">
        <f>[1]sales!K202</f>
        <v>6000</v>
      </c>
      <c r="J197" s="79">
        <f>[1]sales!I202</f>
        <v>6000</v>
      </c>
      <c r="K197" s="52">
        <f>[1]sales!J202</f>
        <v>0</v>
      </c>
    </row>
    <row r="198" spans="1:11" x14ac:dyDescent="0.2">
      <c r="A198" s="14">
        <f>[1]sales!A203</f>
        <v>46088</v>
      </c>
      <c r="B198" s="194">
        <f>[1]sales!B203</f>
        <v>0.96042824074074074</v>
      </c>
      <c r="C198" s="189" t="s">
        <v>49</v>
      </c>
      <c r="D198" s="14" t="str">
        <f>[1]sales!D203</f>
        <v>Chorizo</v>
      </c>
      <c r="E198" s="152">
        <f>+_xlfn.XLOOKUP(sales[[#This Row],[Fecha]],OPEX_VE!A:A,OPEX_VE!B:B)</f>
        <v>2</v>
      </c>
      <c r="F198" s="14" t="str">
        <f>+_xlfn.XLOOKUP(sales[[#This Row],[Fecha]],OPEX_VE!A:A,OPEX_VE!E:E)</f>
        <v>C) Sábado</v>
      </c>
      <c r="G198" s="14" t="str">
        <f>+TEXT(sales[[#This Row],[Fecha]],"ddd")</f>
        <v>sáb</v>
      </c>
      <c r="H198" s="190">
        <f>+sales[[#This Row],[Venta]]*0.4</f>
        <v>6400</v>
      </c>
      <c r="I198" s="103">
        <f>[1]sales!K203</f>
        <v>16000</v>
      </c>
      <c r="J198" s="79">
        <f>[1]sales!I203</f>
        <v>0</v>
      </c>
      <c r="K198" s="52">
        <f>[1]sales!J203</f>
        <v>16000</v>
      </c>
    </row>
    <row r="199" spans="1:11" x14ac:dyDescent="0.2">
      <c r="A199" s="14">
        <f>[1]sales!A204</f>
        <v>46088</v>
      </c>
      <c r="B199" s="194">
        <f>[1]sales!B204</f>
        <v>0.96141203703703704</v>
      </c>
      <c r="C199" s="189" t="s">
        <v>49</v>
      </c>
      <c r="D199" s="14" t="str">
        <f>[1]sales!D204</f>
        <v>Chorizo</v>
      </c>
      <c r="E199" s="152">
        <f>+_xlfn.XLOOKUP(sales[[#This Row],[Fecha]],OPEX_VE!A:A,OPEX_VE!B:B)</f>
        <v>2</v>
      </c>
      <c r="F199" s="14" t="str">
        <f>+_xlfn.XLOOKUP(sales[[#This Row],[Fecha]],OPEX_VE!A:A,OPEX_VE!E:E)</f>
        <v>C) Sábado</v>
      </c>
      <c r="G199" s="14" t="str">
        <f>+TEXT(sales[[#This Row],[Fecha]],"ddd")</f>
        <v>sáb</v>
      </c>
      <c r="H199" s="190">
        <f>+sales[[#This Row],[Venta]]*0.4</f>
        <v>9600</v>
      </c>
      <c r="I199" s="103">
        <f>[1]sales!K204</f>
        <v>24000</v>
      </c>
      <c r="J199" s="79">
        <f>[1]sales!I204</f>
        <v>0</v>
      </c>
      <c r="K199" s="52">
        <f>[1]sales!J204</f>
        <v>24000</v>
      </c>
    </row>
    <row r="200" spans="1:11" x14ac:dyDescent="0.2">
      <c r="A200" s="14">
        <f>[1]sales!A205</f>
        <v>46088</v>
      </c>
      <c r="B200" s="194">
        <f>[1]sales!B205</f>
        <v>0.96141203703703704</v>
      </c>
      <c r="C200" s="189" t="s">
        <v>49</v>
      </c>
      <c r="D200" s="14" t="str">
        <f>[1]sales!D205</f>
        <v>Hit</v>
      </c>
      <c r="E200" s="152">
        <f>+_xlfn.XLOOKUP(sales[[#This Row],[Fecha]],OPEX_VE!A:A,OPEX_VE!B:B)</f>
        <v>2</v>
      </c>
      <c r="F200" s="14" t="str">
        <f>+_xlfn.XLOOKUP(sales[[#This Row],[Fecha]],OPEX_VE!A:A,OPEX_VE!E:E)</f>
        <v>C) Sábado</v>
      </c>
      <c r="G200" s="14" t="str">
        <f>+TEXT(sales[[#This Row],[Fecha]],"ddd")</f>
        <v>sáb</v>
      </c>
      <c r="H200" s="190">
        <f>+sales[[#This Row],[Venta]]*0.4</f>
        <v>1800</v>
      </c>
      <c r="I200" s="103">
        <f>[1]sales!K205</f>
        <v>4500</v>
      </c>
      <c r="J200" s="79">
        <f>[1]sales!I205</f>
        <v>0</v>
      </c>
      <c r="K200" s="52">
        <f>[1]sales!J205</f>
        <v>4500</v>
      </c>
    </row>
    <row r="201" spans="1:11" x14ac:dyDescent="0.2">
      <c r="A201" s="14">
        <f>[1]sales!A206</f>
        <v>46088</v>
      </c>
      <c r="B201" s="194">
        <f>[1]sales!B206</f>
        <v>0.96318287037037043</v>
      </c>
      <c r="C201" s="189" t="s">
        <v>49</v>
      </c>
      <c r="D201" s="14" t="str">
        <f>[1]sales!D206</f>
        <v>OTRO: promo vecino de jenesano</v>
      </c>
      <c r="E201" s="152">
        <f>+_xlfn.XLOOKUP(sales[[#This Row],[Fecha]],OPEX_VE!A:A,OPEX_VE!B:B)</f>
        <v>2</v>
      </c>
      <c r="F201" s="14" t="str">
        <f>+_xlfn.XLOOKUP(sales[[#This Row],[Fecha]],OPEX_VE!A:A,OPEX_VE!E:E)</f>
        <v>C) Sábado</v>
      </c>
      <c r="G201" s="14" t="str">
        <f>+TEXT(sales[[#This Row],[Fecha]],"ddd")</f>
        <v>sáb</v>
      </c>
      <c r="H201" s="190">
        <f>+sales[[#This Row],[Venta]]*0.4</f>
        <v>6000</v>
      </c>
      <c r="I201" s="103">
        <f>[1]sales!K206</f>
        <v>15000</v>
      </c>
      <c r="J201" s="79">
        <f>[1]sales!I206</f>
        <v>15000</v>
      </c>
      <c r="K201" s="52">
        <f>[1]sales!J206</f>
        <v>0</v>
      </c>
    </row>
    <row r="202" spans="1:11" x14ac:dyDescent="0.2">
      <c r="A202" s="14">
        <f>[1]sales!A207</f>
        <v>46088</v>
      </c>
      <c r="B202" s="194">
        <f>[1]sales!B207</f>
        <v>0.96481481481481479</v>
      </c>
      <c r="C202" s="189" t="s">
        <v>49</v>
      </c>
      <c r="D202" s="14" t="str">
        <f>[1]sales!D207</f>
        <v>Parrilla de 60.000</v>
      </c>
      <c r="E202" s="152">
        <f>+_xlfn.XLOOKUP(sales[[#This Row],[Fecha]],OPEX_VE!A:A,OPEX_VE!B:B)</f>
        <v>2</v>
      </c>
      <c r="F202" s="14" t="str">
        <f>+_xlfn.XLOOKUP(sales[[#This Row],[Fecha]],OPEX_VE!A:A,OPEX_VE!E:E)</f>
        <v>C) Sábado</v>
      </c>
      <c r="G202" s="14" t="str">
        <f>+TEXT(sales[[#This Row],[Fecha]],"ddd")</f>
        <v>sáb</v>
      </c>
      <c r="H202" s="190">
        <f>+sales[[#This Row],[Venta]]*0.4</f>
        <v>24000</v>
      </c>
      <c r="I202" s="103">
        <f>[1]sales!K207</f>
        <v>60000</v>
      </c>
      <c r="J202" s="79">
        <f>[1]sales!I207</f>
        <v>60000</v>
      </c>
      <c r="K202" s="52">
        <f>[1]sales!J207</f>
        <v>0</v>
      </c>
    </row>
    <row r="203" spans="1:11" x14ac:dyDescent="0.2">
      <c r="A203" s="14">
        <f>[1]sales!A208</f>
        <v>46088</v>
      </c>
      <c r="B203" s="194">
        <f>[1]sales!B208</f>
        <v>0.96510416666666665</v>
      </c>
      <c r="C203" s="189" t="s">
        <v>49</v>
      </c>
      <c r="D203" s="14" t="str">
        <f>[1]sales!D208</f>
        <v>Chorizo</v>
      </c>
      <c r="E203" s="152">
        <f>+_xlfn.XLOOKUP(sales[[#This Row],[Fecha]],OPEX_VE!A:A,OPEX_VE!B:B)</f>
        <v>2</v>
      </c>
      <c r="F203" s="14" t="str">
        <f>+_xlfn.XLOOKUP(sales[[#This Row],[Fecha]],OPEX_VE!A:A,OPEX_VE!E:E)</f>
        <v>C) Sábado</v>
      </c>
      <c r="G203" s="14" t="str">
        <f>+TEXT(sales[[#This Row],[Fecha]],"ddd")</f>
        <v>sáb</v>
      </c>
      <c r="H203" s="190">
        <f>+sales[[#This Row],[Venta]]*0.4</f>
        <v>3200</v>
      </c>
      <c r="I203" s="103">
        <f>[1]sales!K208</f>
        <v>8000</v>
      </c>
      <c r="J203" s="79">
        <f>[1]sales!I208</f>
        <v>8000</v>
      </c>
      <c r="K203" s="52">
        <f>[1]sales!J208</f>
        <v>0</v>
      </c>
    </row>
    <row r="204" spans="1:11" x14ac:dyDescent="0.2">
      <c r="A204" s="14">
        <f>[1]sales!A209</f>
        <v>46088</v>
      </c>
      <c r="B204" s="194">
        <f>[1]sales!B209</f>
        <v>0.96510416666666665</v>
      </c>
      <c r="C204" s="189" t="s">
        <v>49</v>
      </c>
      <c r="D204" s="14" t="str">
        <f>[1]sales!D209</f>
        <v>Hit</v>
      </c>
      <c r="E204" s="152">
        <f>+_xlfn.XLOOKUP(sales[[#This Row],[Fecha]],OPEX_VE!A:A,OPEX_VE!B:B)</f>
        <v>2</v>
      </c>
      <c r="F204" s="14" t="str">
        <f>+_xlfn.XLOOKUP(sales[[#This Row],[Fecha]],OPEX_VE!A:A,OPEX_VE!E:E)</f>
        <v>C) Sábado</v>
      </c>
      <c r="G204" s="14" t="str">
        <f>+TEXT(sales[[#This Row],[Fecha]],"ddd")</f>
        <v>sáb</v>
      </c>
      <c r="H204" s="190">
        <f>+sales[[#This Row],[Venta]]*0.4</f>
        <v>1800</v>
      </c>
      <c r="I204" s="103">
        <f>[1]sales!K209</f>
        <v>4500</v>
      </c>
      <c r="J204" s="79">
        <f>[1]sales!I209</f>
        <v>4500</v>
      </c>
      <c r="K204" s="52">
        <f>[1]sales!J209</f>
        <v>0</v>
      </c>
    </row>
    <row r="205" spans="1:11" x14ac:dyDescent="0.2">
      <c r="A205" s="14">
        <f>[1]sales!A210</f>
        <v>46088</v>
      </c>
      <c r="B205" s="194">
        <f>[1]sales!B210</f>
        <v>0.96643518518518523</v>
      </c>
      <c r="C205" s="189" t="s">
        <v>49</v>
      </c>
      <c r="D205" s="14" t="str">
        <f>[1]sales!D210</f>
        <v>Carne Asada de 40</v>
      </c>
      <c r="E205" s="152">
        <f>+_xlfn.XLOOKUP(sales[[#This Row],[Fecha]],OPEX_VE!A:A,OPEX_VE!B:B)</f>
        <v>2</v>
      </c>
      <c r="F205" s="14" t="str">
        <f>+_xlfn.XLOOKUP(sales[[#This Row],[Fecha]],OPEX_VE!A:A,OPEX_VE!E:E)</f>
        <v>C) Sábado</v>
      </c>
      <c r="G205" s="14" t="str">
        <f>+TEXT(sales[[#This Row],[Fecha]],"ddd")</f>
        <v>sáb</v>
      </c>
      <c r="H205" s="190">
        <f>+sales[[#This Row],[Venta]]*0.4</f>
        <v>16000</v>
      </c>
      <c r="I205" s="103">
        <f>[1]sales!K210</f>
        <v>40000</v>
      </c>
      <c r="J205" s="79">
        <f>[1]sales!I210</f>
        <v>0</v>
      </c>
      <c r="K205" s="52">
        <f>[1]sales!J210</f>
        <v>40000</v>
      </c>
    </row>
    <row r="206" spans="1:11" x14ac:dyDescent="0.2">
      <c r="A206" s="14">
        <f>[1]sales!A211</f>
        <v>46088</v>
      </c>
      <c r="B206" s="194">
        <f>[1]sales!B211</f>
        <v>0.96643518518518523</v>
      </c>
      <c r="C206" s="189" t="s">
        <v>49</v>
      </c>
      <c r="D206" s="14" t="str">
        <f>[1]sales!D211</f>
        <v>Coca cola</v>
      </c>
      <c r="E206" s="152">
        <f>+_xlfn.XLOOKUP(sales[[#This Row],[Fecha]],OPEX_VE!A:A,OPEX_VE!B:B)</f>
        <v>2</v>
      </c>
      <c r="F206" s="14" t="str">
        <f>+_xlfn.XLOOKUP(sales[[#This Row],[Fecha]],OPEX_VE!A:A,OPEX_VE!E:E)</f>
        <v>C) Sábado</v>
      </c>
      <c r="G206" s="14" t="str">
        <f>+TEXT(sales[[#This Row],[Fecha]],"ddd")</f>
        <v>sáb</v>
      </c>
      <c r="H206" s="190">
        <f>+sales[[#This Row],[Venta]]*0.4</f>
        <v>1200</v>
      </c>
      <c r="I206" s="103">
        <f>[1]sales!K211</f>
        <v>3000</v>
      </c>
      <c r="J206" s="79">
        <f>[1]sales!I211</f>
        <v>0</v>
      </c>
      <c r="K206" s="52">
        <f>[1]sales!J211</f>
        <v>3000</v>
      </c>
    </row>
    <row r="207" spans="1:11" x14ac:dyDescent="0.2">
      <c r="A207" s="14">
        <f>[1]sales!A212</f>
        <v>46088</v>
      </c>
      <c r="B207" s="194">
        <f>[1]sales!B212</f>
        <v>0.96680555555555558</v>
      </c>
      <c r="C207" s="189" t="s">
        <v>49</v>
      </c>
      <c r="D207" s="14" t="str">
        <f>[1]sales!D212</f>
        <v>Chorizo</v>
      </c>
      <c r="E207" s="152">
        <f>+_xlfn.XLOOKUP(sales[[#This Row],[Fecha]],OPEX_VE!A:A,OPEX_VE!B:B)</f>
        <v>2</v>
      </c>
      <c r="F207" s="14" t="str">
        <f>+_xlfn.XLOOKUP(sales[[#This Row],[Fecha]],OPEX_VE!A:A,OPEX_VE!E:E)</f>
        <v>C) Sábado</v>
      </c>
      <c r="G207" s="14" t="str">
        <f>+TEXT(sales[[#This Row],[Fecha]],"ddd")</f>
        <v>sáb</v>
      </c>
      <c r="H207" s="190">
        <f>+sales[[#This Row],[Venta]]*0.4</f>
        <v>6400</v>
      </c>
      <c r="I207" s="103">
        <f>[1]sales!K212</f>
        <v>16000</v>
      </c>
      <c r="J207" s="79">
        <f>[1]sales!I212</f>
        <v>16000</v>
      </c>
      <c r="K207" s="52">
        <f>[1]sales!J212</f>
        <v>0</v>
      </c>
    </row>
    <row r="208" spans="1:11" x14ac:dyDescent="0.2">
      <c r="A208" s="14">
        <f>[1]sales!A213</f>
        <v>46088</v>
      </c>
      <c r="B208" s="194">
        <f>[1]sales!B213</f>
        <v>0.96680555555555558</v>
      </c>
      <c r="C208" s="189" t="s">
        <v>49</v>
      </c>
      <c r="D208" s="14" t="str">
        <f>[1]sales!D213</f>
        <v>Hit</v>
      </c>
      <c r="E208" s="152">
        <f>+_xlfn.XLOOKUP(sales[[#This Row],[Fecha]],OPEX_VE!A:A,OPEX_VE!B:B)</f>
        <v>2</v>
      </c>
      <c r="F208" s="14" t="str">
        <f>+_xlfn.XLOOKUP(sales[[#This Row],[Fecha]],OPEX_VE!A:A,OPEX_VE!E:E)</f>
        <v>C) Sábado</v>
      </c>
      <c r="G208" s="14" t="str">
        <f>+TEXT(sales[[#This Row],[Fecha]],"ddd")</f>
        <v>sáb</v>
      </c>
      <c r="H208" s="190">
        <f>+sales[[#This Row],[Venta]]*0.4</f>
        <v>1800</v>
      </c>
      <c r="I208" s="103">
        <f>[1]sales!K213</f>
        <v>4500</v>
      </c>
      <c r="J208" s="79">
        <f>[1]sales!I213</f>
        <v>4500</v>
      </c>
      <c r="K208" s="52">
        <f>[1]sales!J213</f>
        <v>0</v>
      </c>
    </row>
    <row r="209" spans="1:11" x14ac:dyDescent="0.2">
      <c r="A209" s="14">
        <f>[1]sales!A214</f>
        <v>46089</v>
      </c>
      <c r="B209" s="194">
        <f>[1]sales!B214</f>
        <v>0.59064814814814814</v>
      </c>
      <c r="C209" s="189" t="s">
        <v>49</v>
      </c>
      <c r="D209" s="14" t="str">
        <f>[1]sales!D214</f>
        <v>Chorizo</v>
      </c>
      <c r="E209" s="152">
        <f>+_xlfn.XLOOKUP(sales[[#This Row],[Fecha]],OPEX_VE!A:A,OPEX_VE!B:B)</f>
        <v>2</v>
      </c>
      <c r="F209" s="14" t="str">
        <f>+_xlfn.XLOOKUP(sales[[#This Row],[Fecha]],OPEX_VE!A:A,OPEX_VE!E:E)</f>
        <v>D) Domingo</v>
      </c>
      <c r="G209" s="14" t="str">
        <f>+TEXT(sales[[#This Row],[Fecha]],"ddd")</f>
        <v>dom</v>
      </c>
      <c r="H209" s="190">
        <f>+sales[[#This Row],[Venta]]*0.4</f>
        <v>9600</v>
      </c>
      <c r="I209" s="103">
        <f>[1]sales!K214</f>
        <v>24000</v>
      </c>
      <c r="J209" s="79">
        <f>[1]sales!I214</f>
        <v>0</v>
      </c>
      <c r="K209" s="52">
        <f>[1]sales!J214</f>
        <v>24000</v>
      </c>
    </row>
    <row r="210" spans="1:11" x14ac:dyDescent="0.2">
      <c r="A210" s="14">
        <f>[1]sales!A215</f>
        <v>46089</v>
      </c>
      <c r="B210" s="194">
        <f>[1]sales!B215</f>
        <v>0.59064814814814814</v>
      </c>
      <c r="C210" s="189" t="s">
        <v>49</v>
      </c>
      <c r="D210" s="14" t="str">
        <f>[1]sales!D215</f>
        <v>Coca cola</v>
      </c>
      <c r="E210" s="152">
        <f>+_xlfn.XLOOKUP(sales[[#This Row],[Fecha]],OPEX_VE!A:A,OPEX_VE!B:B)</f>
        <v>2</v>
      </c>
      <c r="F210" s="14" t="str">
        <f>+_xlfn.XLOOKUP(sales[[#This Row],[Fecha]],OPEX_VE!A:A,OPEX_VE!E:E)</f>
        <v>D) Domingo</v>
      </c>
      <c r="G210" s="14" t="str">
        <f>+TEXT(sales[[#This Row],[Fecha]],"ddd")</f>
        <v>dom</v>
      </c>
      <c r="H210" s="190">
        <f>+sales[[#This Row],[Venta]]*0.4</f>
        <v>2400</v>
      </c>
      <c r="I210" s="103">
        <f>[1]sales!K215</f>
        <v>6000</v>
      </c>
      <c r="J210" s="79">
        <f>[1]sales!I215</f>
        <v>0</v>
      </c>
      <c r="K210" s="52">
        <f>[1]sales!J215</f>
        <v>6000</v>
      </c>
    </row>
    <row r="211" spans="1:11" x14ac:dyDescent="0.2">
      <c r="A211" s="14">
        <f>[1]sales!A216</f>
        <v>46089</v>
      </c>
      <c r="B211" s="194">
        <f>[1]sales!B216</f>
        <v>0.59089120370370374</v>
      </c>
      <c r="C211" s="189" t="s">
        <v>49</v>
      </c>
      <c r="D211" s="14" t="str">
        <f>[1]sales!D216</f>
        <v>Chorizo</v>
      </c>
      <c r="E211" s="152">
        <f>+_xlfn.XLOOKUP(sales[[#This Row],[Fecha]],OPEX_VE!A:A,OPEX_VE!B:B)</f>
        <v>2</v>
      </c>
      <c r="F211" s="14" t="str">
        <f>+_xlfn.XLOOKUP(sales[[#This Row],[Fecha]],OPEX_VE!A:A,OPEX_VE!E:E)</f>
        <v>D) Domingo</v>
      </c>
      <c r="G211" s="14" t="str">
        <f>+TEXT(sales[[#This Row],[Fecha]],"ddd")</f>
        <v>dom</v>
      </c>
      <c r="H211" s="190">
        <f>+sales[[#This Row],[Venta]]*0.4</f>
        <v>3200</v>
      </c>
      <c r="I211" s="103">
        <f>[1]sales!K216</f>
        <v>8000</v>
      </c>
      <c r="J211" s="79">
        <f>[1]sales!I216</f>
        <v>8000</v>
      </c>
      <c r="K211" s="52">
        <f>[1]sales!J216</f>
        <v>0</v>
      </c>
    </row>
    <row r="212" spans="1:11" x14ac:dyDescent="0.2">
      <c r="A212" s="14">
        <f>[1]sales!A217</f>
        <v>46089</v>
      </c>
      <c r="B212" s="194">
        <f>[1]sales!B217</f>
        <v>0.59089120370370374</v>
      </c>
      <c r="C212" s="189" t="s">
        <v>49</v>
      </c>
      <c r="D212" s="14" t="str">
        <f>[1]sales!D217</f>
        <v>Postobon</v>
      </c>
      <c r="E212" s="152">
        <f>+_xlfn.XLOOKUP(sales[[#This Row],[Fecha]],OPEX_VE!A:A,OPEX_VE!B:B)</f>
        <v>2</v>
      </c>
      <c r="F212" s="14" t="str">
        <f>+_xlfn.XLOOKUP(sales[[#This Row],[Fecha]],OPEX_VE!A:A,OPEX_VE!E:E)</f>
        <v>D) Domingo</v>
      </c>
      <c r="G212" s="14" t="str">
        <f>+TEXT(sales[[#This Row],[Fecha]],"ddd")</f>
        <v>dom</v>
      </c>
      <c r="H212" s="190">
        <f>+sales[[#This Row],[Venta]]*0.4</f>
        <v>1200</v>
      </c>
      <c r="I212" s="103">
        <f>[1]sales!K217</f>
        <v>3000</v>
      </c>
      <c r="J212" s="79">
        <f>[1]sales!I217</f>
        <v>3000</v>
      </c>
      <c r="K212" s="52">
        <f>[1]sales!J217</f>
        <v>0</v>
      </c>
    </row>
    <row r="213" spans="1:11" x14ac:dyDescent="0.2">
      <c r="A213" s="14">
        <f>[1]sales!A218</f>
        <v>46089</v>
      </c>
      <c r="B213" s="194">
        <f>[1]sales!B218</f>
        <v>0.59761574074074075</v>
      </c>
      <c r="C213" s="189" t="s">
        <v>49</v>
      </c>
      <c r="D213" s="14" t="str">
        <f>[1]sales!D218</f>
        <v>Carne con chorizo -30</v>
      </c>
      <c r="E213" s="152">
        <f>+_xlfn.XLOOKUP(sales[[#This Row],[Fecha]],OPEX_VE!A:A,OPEX_VE!B:B)</f>
        <v>2</v>
      </c>
      <c r="F213" s="14" t="str">
        <f>+_xlfn.XLOOKUP(sales[[#This Row],[Fecha]],OPEX_VE!A:A,OPEX_VE!E:E)</f>
        <v>D) Domingo</v>
      </c>
      <c r="G213" s="14" t="str">
        <f>+TEXT(sales[[#This Row],[Fecha]],"ddd")</f>
        <v>dom</v>
      </c>
      <c r="H213" s="190">
        <f>+sales[[#This Row],[Venta]]*0.4</f>
        <v>12000</v>
      </c>
      <c r="I213" s="103">
        <f>[1]sales!K218</f>
        <v>30000</v>
      </c>
      <c r="J213" s="79">
        <f>[1]sales!I218</f>
        <v>0</v>
      </c>
      <c r="K213" s="52">
        <f>[1]sales!J218</f>
        <v>30000</v>
      </c>
    </row>
    <row r="214" spans="1:11" x14ac:dyDescent="0.2">
      <c r="A214" s="14">
        <f>[1]sales!A219</f>
        <v>46089</v>
      </c>
      <c r="B214" s="194">
        <f>[1]sales!B219</f>
        <v>0.59761574074074075</v>
      </c>
      <c r="C214" s="189" t="s">
        <v>49</v>
      </c>
      <c r="D214" s="14" t="str">
        <f>[1]sales!D219</f>
        <v>Chorizo</v>
      </c>
      <c r="E214" s="152">
        <f>+_xlfn.XLOOKUP(sales[[#This Row],[Fecha]],OPEX_VE!A:A,OPEX_VE!B:B)</f>
        <v>2</v>
      </c>
      <c r="F214" s="14" t="str">
        <f>+_xlfn.XLOOKUP(sales[[#This Row],[Fecha]],OPEX_VE!A:A,OPEX_VE!E:E)</f>
        <v>D) Domingo</v>
      </c>
      <c r="G214" s="14" t="str">
        <f>+TEXT(sales[[#This Row],[Fecha]],"ddd")</f>
        <v>dom</v>
      </c>
      <c r="H214" s="190">
        <f>+sales[[#This Row],[Venta]]*0.4</f>
        <v>9600</v>
      </c>
      <c r="I214" s="103">
        <f>[1]sales!K219</f>
        <v>24000</v>
      </c>
      <c r="J214" s="79">
        <f>[1]sales!I219</f>
        <v>0</v>
      </c>
      <c r="K214" s="52">
        <f>[1]sales!J219</f>
        <v>24000</v>
      </c>
    </row>
    <row r="215" spans="1:11" x14ac:dyDescent="0.2">
      <c r="A215" s="14">
        <f>[1]sales!A220</f>
        <v>46089</v>
      </c>
      <c r="B215" s="194">
        <f>[1]sales!B220</f>
        <v>0.62121527777777774</v>
      </c>
      <c r="C215" s="189" t="s">
        <v>49</v>
      </c>
      <c r="D215" s="14" t="str">
        <f>[1]sales!D220</f>
        <v>Chorizo</v>
      </c>
      <c r="E215" s="152">
        <f>+_xlfn.XLOOKUP(sales[[#This Row],[Fecha]],OPEX_VE!A:A,OPEX_VE!B:B)</f>
        <v>2</v>
      </c>
      <c r="F215" s="14" t="str">
        <f>+_xlfn.XLOOKUP(sales[[#This Row],[Fecha]],OPEX_VE!A:A,OPEX_VE!E:E)</f>
        <v>D) Domingo</v>
      </c>
      <c r="G215" s="14" t="str">
        <f>+TEXT(sales[[#This Row],[Fecha]],"ddd")</f>
        <v>dom</v>
      </c>
      <c r="H215" s="190">
        <f>+sales[[#This Row],[Venta]]*0.4</f>
        <v>3200</v>
      </c>
      <c r="I215" s="103">
        <f>[1]sales!K220</f>
        <v>8000</v>
      </c>
      <c r="J215" s="79">
        <f>[1]sales!I220</f>
        <v>8000</v>
      </c>
      <c r="K215" s="52">
        <f>[1]sales!J220</f>
        <v>0</v>
      </c>
    </row>
    <row r="216" spans="1:11" x14ac:dyDescent="0.2">
      <c r="A216" s="14">
        <f>[1]sales!A221</f>
        <v>46089</v>
      </c>
      <c r="B216" s="194">
        <f>[1]sales!B221</f>
        <v>0.62121527777777774</v>
      </c>
      <c r="C216" s="189" t="s">
        <v>49</v>
      </c>
      <c r="D216" s="14" t="str">
        <f>[1]sales!D221</f>
        <v>Coca cola</v>
      </c>
      <c r="E216" s="152">
        <f>+_xlfn.XLOOKUP(sales[[#This Row],[Fecha]],OPEX_VE!A:A,OPEX_VE!B:B)</f>
        <v>2</v>
      </c>
      <c r="F216" s="14" t="str">
        <f>+_xlfn.XLOOKUP(sales[[#This Row],[Fecha]],OPEX_VE!A:A,OPEX_VE!E:E)</f>
        <v>D) Domingo</v>
      </c>
      <c r="G216" s="14" t="str">
        <f>+TEXT(sales[[#This Row],[Fecha]],"ddd")</f>
        <v>dom</v>
      </c>
      <c r="H216" s="190">
        <f>+sales[[#This Row],[Venta]]*0.4</f>
        <v>1200</v>
      </c>
      <c r="I216" s="103">
        <f>[1]sales!K221</f>
        <v>3000</v>
      </c>
      <c r="J216" s="79">
        <f>[1]sales!I221</f>
        <v>3000</v>
      </c>
      <c r="K216" s="52">
        <f>[1]sales!J221</f>
        <v>0</v>
      </c>
    </row>
    <row r="217" spans="1:11" x14ac:dyDescent="0.2">
      <c r="A217" s="14">
        <f>[1]sales!A222</f>
        <v>46089</v>
      </c>
      <c r="B217" s="194">
        <f>[1]sales!B222</f>
        <v>0.63009259259259254</v>
      </c>
      <c r="C217" s="189" t="s">
        <v>49</v>
      </c>
      <c r="D217" s="14" t="str">
        <f>[1]sales!D222</f>
        <v>Carne con chorizo - 35</v>
      </c>
      <c r="E217" s="152">
        <f>+_xlfn.XLOOKUP(sales[[#This Row],[Fecha]],OPEX_VE!A:A,OPEX_VE!B:B)</f>
        <v>2</v>
      </c>
      <c r="F217" s="14" t="str">
        <f>+_xlfn.XLOOKUP(sales[[#This Row],[Fecha]],OPEX_VE!A:A,OPEX_VE!E:E)</f>
        <v>D) Domingo</v>
      </c>
      <c r="G217" s="14" t="str">
        <f>+TEXT(sales[[#This Row],[Fecha]],"ddd")</f>
        <v>dom</v>
      </c>
      <c r="H217" s="190">
        <f>+sales[[#This Row],[Venta]]*0.4</f>
        <v>14000</v>
      </c>
      <c r="I217" s="103">
        <f>[1]sales!K222</f>
        <v>35000</v>
      </c>
      <c r="J217" s="79">
        <f>[1]sales!I222</f>
        <v>35000</v>
      </c>
      <c r="K217" s="52">
        <f>[1]sales!J222</f>
        <v>0</v>
      </c>
    </row>
    <row r="218" spans="1:11" x14ac:dyDescent="0.2">
      <c r="A218" s="14">
        <f>[1]sales!A223</f>
        <v>46089</v>
      </c>
      <c r="B218" s="194">
        <f>[1]sales!B223</f>
        <v>0.63009259259259254</v>
      </c>
      <c r="C218" s="189" t="s">
        <v>49</v>
      </c>
      <c r="D218" s="14" t="str">
        <f>[1]sales!D223</f>
        <v>Coca cola</v>
      </c>
      <c r="E218" s="152">
        <f>+_xlfn.XLOOKUP(sales[[#This Row],[Fecha]],OPEX_VE!A:A,OPEX_VE!B:B)</f>
        <v>2</v>
      </c>
      <c r="F218" s="14" t="str">
        <f>+_xlfn.XLOOKUP(sales[[#This Row],[Fecha]],OPEX_VE!A:A,OPEX_VE!E:E)</f>
        <v>D) Domingo</v>
      </c>
      <c r="G218" s="14" t="str">
        <f>+TEXT(sales[[#This Row],[Fecha]],"ddd")</f>
        <v>dom</v>
      </c>
      <c r="H218" s="190">
        <f>+sales[[#This Row],[Venta]]*0.4</f>
        <v>1200</v>
      </c>
      <c r="I218" s="103">
        <f>[1]sales!K223</f>
        <v>3000</v>
      </c>
      <c r="J218" s="79">
        <f>[1]sales!I223</f>
        <v>3000</v>
      </c>
      <c r="K218" s="52">
        <f>[1]sales!J223</f>
        <v>0</v>
      </c>
    </row>
    <row r="219" spans="1:11" x14ac:dyDescent="0.2">
      <c r="A219" s="14">
        <f>[1]sales!A224</f>
        <v>46089</v>
      </c>
      <c r="B219" s="194">
        <f>[1]sales!B224</f>
        <v>0.63009259259259254</v>
      </c>
      <c r="C219" s="189" t="s">
        <v>49</v>
      </c>
      <c r="D219" s="14" t="str">
        <f>[1]sales!D224</f>
        <v>Hit</v>
      </c>
      <c r="E219" s="152">
        <f>+_xlfn.XLOOKUP(sales[[#This Row],[Fecha]],OPEX_VE!A:A,OPEX_VE!B:B)</f>
        <v>2</v>
      </c>
      <c r="F219" s="14" t="str">
        <f>+_xlfn.XLOOKUP(sales[[#This Row],[Fecha]],OPEX_VE!A:A,OPEX_VE!E:E)</f>
        <v>D) Domingo</v>
      </c>
      <c r="G219" s="14" t="str">
        <f>+TEXT(sales[[#This Row],[Fecha]],"ddd")</f>
        <v>dom</v>
      </c>
      <c r="H219" s="190">
        <f>+sales[[#This Row],[Venta]]*0.4</f>
        <v>1800</v>
      </c>
      <c r="I219" s="103">
        <f>[1]sales!K224</f>
        <v>4500</v>
      </c>
      <c r="J219" s="79">
        <f>[1]sales!I224</f>
        <v>4500</v>
      </c>
      <c r="K219" s="52">
        <f>[1]sales!J224</f>
        <v>0</v>
      </c>
    </row>
    <row r="220" spans="1:11" x14ac:dyDescent="0.2">
      <c r="A220" s="14">
        <f>[1]sales!A225</f>
        <v>46089</v>
      </c>
      <c r="B220" s="194">
        <f>[1]sales!B225</f>
        <v>0.63078703703703709</v>
      </c>
      <c r="C220" s="189" t="s">
        <v>49</v>
      </c>
      <c r="D220" s="14" t="str">
        <f>[1]sales!D225</f>
        <v>Agua</v>
      </c>
      <c r="E220" s="152">
        <f>+_xlfn.XLOOKUP(sales[[#This Row],[Fecha]],OPEX_VE!A:A,OPEX_VE!B:B)</f>
        <v>2</v>
      </c>
      <c r="F220" s="14" t="str">
        <f>+_xlfn.XLOOKUP(sales[[#This Row],[Fecha]],OPEX_VE!A:A,OPEX_VE!E:E)</f>
        <v>D) Domingo</v>
      </c>
      <c r="G220" s="14" t="str">
        <f>+TEXT(sales[[#This Row],[Fecha]],"ddd")</f>
        <v>dom</v>
      </c>
      <c r="H220" s="190">
        <f>+sales[[#This Row],[Venta]]*0.4</f>
        <v>1200</v>
      </c>
      <c r="I220" s="103">
        <f>[1]sales!K225</f>
        <v>3000</v>
      </c>
      <c r="J220" s="79">
        <f>[1]sales!I225</f>
        <v>3000</v>
      </c>
      <c r="K220" s="52">
        <f>[1]sales!J225</f>
        <v>0</v>
      </c>
    </row>
    <row r="221" spans="1:11" x14ac:dyDescent="0.2">
      <c r="A221" s="14">
        <f>[1]sales!A226</f>
        <v>46089</v>
      </c>
      <c r="B221" s="194">
        <f>[1]sales!B226</f>
        <v>0.63078703703703709</v>
      </c>
      <c r="C221" s="189" t="s">
        <v>49</v>
      </c>
      <c r="D221" s="14" t="str">
        <f>[1]sales!D226</f>
        <v>Carne con chorizo - 35</v>
      </c>
      <c r="E221" s="152">
        <f>+_xlfn.XLOOKUP(sales[[#This Row],[Fecha]],OPEX_VE!A:A,OPEX_VE!B:B)</f>
        <v>2</v>
      </c>
      <c r="F221" s="14" t="str">
        <f>+_xlfn.XLOOKUP(sales[[#This Row],[Fecha]],OPEX_VE!A:A,OPEX_VE!E:E)</f>
        <v>D) Domingo</v>
      </c>
      <c r="G221" s="14" t="str">
        <f>+TEXT(sales[[#This Row],[Fecha]],"ddd")</f>
        <v>dom</v>
      </c>
      <c r="H221" s="190">
        <f>+sales[[#This Row],[Venta]]*0.4</f>
        <v>14000</v>
      </c>
      <c r="I221" s="103">
        <f>[1]sales!K226</f>
        <v>35000</v>
      </c>
      <c r="J221" s="79">
        <f>[1]sales!I226</f>
        <v>35000</v>
      </c>
      <c r="K221" s="52">
        <f>[1]sales!J226</f>
        <v>0</v>
      </c>
    </row>
    <row r="222" spans="1:11" x14ac:dyDescent="0.2">
      <c r="A222" s="14">
        <f>[1]sales!A227</f>
        <v>46089</v>
      </c>
      <c r="B222" s="194">
        <f>[1]sales!B227</f>
        <v>0.63078703703703709</v>
      </c>
      <c r="C222" s="189" t="s">
        <v>49</v>
      </c>
      <c r="D222" s="14" t="str">
        <f>[1]sales!D227</f>
        <v>Chorizo</v>
      </c>
      <c r="E222" s="152">
        <f>+_xlfn.XLOOKUP(sales[[#This Row],[Fecha]],OPEX_VE!A:A,OPEX_VE!B:B)</f>
        <v>2</v>
      </c>
      <c r="F222" s="14" t="str">
        <f>+_xlfn.XLOOKUP(sales[[#This Row],[Fecha]],OPEX_VE!A:A,OPEX_VE!E:E)</f>
        <v>D) Domingo</v>
      </c>
      <c r="G222" s="14" t="str">
        <f>+TEXT(sales[[#This Row],[Fecha]],"ddd")</f>
        <v>dom</v>
      </c>
      <c r="H222" s="190">
        <f>+sales[[#This Row],[Venta]]*0.4</f>
        <v>3200</v>
      </c>
      <c r="I222" s="103">
        <f>[1]sales!K227</f>
        <v>8000</v>
      </c>
      <c r="J222" s="79">
        <f>[1]sales!I227</f>
        <v>8000</v>
      </c>
      <c r="K222" s="52">
        <f>[1]sales!J227</f>
        <v>0</v>
      </c>
    </row>
    <row r="223" spans="1:11" x14ac:dyDescent="0.2">
      <c r="A223" s="14">
        <f>[1]sales!A228</f>
        <v>46089</v>
      </c>
      <c r="B223" s="194">
        <f>[1]sales!B228</f>
        <v>0.63078703703703709</v>
      </c>
      <c r="C223" s="189" t="s">
        <v>49</v>
      </c>
      <c r="D223" s="14" t="str">
        <f>[1]sales!D228</f>
        <v>Coca cola</v>
      </c>
      <c r="E223" s="152">
        <f>+_xlfn.XLOOKUP(sales[[#This Row],[Fecha]],OPEX_VE!A:A,OPEX_VE!B:B)</f>
        <v>2</v>
      </c>
      <c r="F223" s="14" t="str">
        <f>+_xlfn.XLOOKUP(sales[[#This Row],[Fecha]],OPEX_VE!A:A,OPEX_VE!E:E)</f>
        <v>D) Domingo</v>
      </c>
      <c r="G223" s="14" t="str">
        <f>+TEXT(sales[[#This Row],[Fecha]],"ddd")</f>
        <v>dom</v>
      </c>
      <c r="H223" s="190">
        <f>+sales[[#This Row],[Venta]]*0.4</f>
        <v>1200</v>
      </c>
      <c r="I223" s="103">
        <f>[1]sales!K228</f>
        <v>3000</v>
      </c>
      <c r="J223" s="79">
        <f>[1]sales!I228</f>
        <v>3000</v>
      </c>
      <c r="K223" s="52">
        <f>[1]sales!J228</f>
        <v>0</v>
      </c>
    </row>
    <row r="224" spans="1:11" x14ac:dyDescent="0.2">
      <c r="A224" s="14">
        <f>[1]sales!A229</f>
        <v>46089</v>
      </c>
      <c r="B224" s="194">
        <f>[1]sales!B229</f>
        <v>0.72372685185185182</v>
      </c>
      <c r="C224" s="189" t="s">
        <v>49</v>
      </c>
      <c r="D224" s="14" t="str">
        <f>[1]sales!D229</f>
        <v>Chorizo</v>
      </c>
      <c r="E224" s="152">
        <f>+_xlfn.XLOOKUP(sales[[#This Row],[Fecha]],OPEX_VE!A:A,OPEX_VE!B:B)</f>
        <v>2</v>
      </c>
      <c r="F224" s="14" t="str">
        <f>+_xlfn.XLOOKUP(sales[[#This Row],[Fecha]],OPEX_VE!A:A,OPEX_VE!E:E)</f>
        <v>D) Domingo</v>
      </c>
      <c r="G224" s="14" t="str">
        <f>+TEXT(sales[[#This Row],[Fecha]],"ddd")</f>
        <v>dom</v>
      </c>
      <c r="H224" s="190">
        <f>+sales[[#This Row],[Venta]]*0.4</f>
        <v>3200</v>
      </c>
      <c r="I224" s="103">
        <f>[1]sales!K229</f>
        <v>8000</v>
      </c>
      <c r="J224" s="79">
        <f>[1]sales!I229</f>
        <v>0</v>
      </c>
      <c r="K224" s="52">
        <f>[1]sales!J229</f>
        <v>8000</v>
      </c>
    </row>
    <row r="225" spans="1:11" x14ac:dyDescent="0.2">
      <c r="A225" s="14">
        <f>[1]sales!A230</f>
        <v>46089</v>
      </c>
      <c r="B225" s="194">
        <f>[1]sales!B230</f>
        <v>0.72736111111111112</v>
      </c>
      <c r="C225" s="189" t="s">
        <v>49</v>
      </c>
      <c r="D225" s="14" t="str">
        <f>[1]sales!D230</f>
        <v>Agua</v>
      </c>
      <c r="E225" s="152">
        <f>+_xlfn.XLOOKUP(sales[[#This Row],[Fecha]],OPEX_VE!A:A,OPEX_VE!B:B)</f>
        <v>2</v>
      </c>
      <c r="F225" s="14" t="str">
        <f>+_xlfn.XLOOKUP(sales[[#This Row],[Fecha]],OPEX_VE!A:A,OPEX_VE!E:E)</f>
        <v>D) Domingo</v>
      </c>
      <c r="G225" s="14" t="str">
        <f>+TEXT(sales[[#This Row],[Fecha]],"ddd")</f>
        <v>dom</v>
      </c>
      <c r="H225" s="190">
        <f>+sales[[#This Row],[Venta]]*0.4</f>
        <v>1200</v>
      </c>
      <c r="I225" s="103">
        <f>[1]sales!K230</f>
        <v>3000</v>
      </c>
      <c r="J225" s="79">
        <f>[1]sales!I230</f>
        <v>0</v>
      </c>
      <c r="K225" s="52">
        <f>[1]sales!J230</f>
        <v>3000</v>
      </c>
    </row>
    <row r="226" spans="1:11" x14ac:dyDescent="0.2">
      <c r="A226" s="14">
        <f>[1]sales!A231</f>
        <v>46089</v>
      </c>
      <c r="B226" s="194">
        <f>[1]sales!B231</f>
        <v>0.75215277777777778</v>
      </c>
      <c r="C226" s="189" t="s">
        <v>49</v>
      </c>
      <c r="D226" s="14" t="str">
        <f>[1]sales!D231</f>
        <v>Chorizo</v>
      </c>
      <c r="E226" s="152">
        <f>+_xlfn.XLOOKUP(sales[[#This Row],[Fecha]],OPEX_VE!A:A,OPEX_VE!B:B)</f>
        <v>2</v>
      </c>
      <c r="F226" s="14" t="str">
        <f>+_xlfn.XLOOKUP(sales[[#This Row],[Fecha]],OPEX_VE!A:A,OPEX_VE!E:E)</f>
        <v>D) Domingo</v>
      </c>
      <c r="G226" s="14" t="str">
        <f>+TEXT(sales[[#This Row],[Fecha]],"ddd")</f>
        <v>dom</v>
      </c>
      <c r="H226" s="190">
        <f>+sales[[#This Row],[Venta]]*0.4</f>
        <v>3200</v>
      </c>
      <c r="I226" s="103">
        <f>[1]sales!K231</f>
        <v>8000</v>
      </c>
      <c r="J226" s="79">
        <f>[1]sales!I231</f>
        <v>8000</v>
      </c>
      <c r="K226" s="52">
        <f>[1]sales!J231</f>
        <v>0</v>
      </c>
    </row>
    <row r="227" spans="1:11" x14ac:dyDescent="0.2">
      <c r="A227" s="14">
        <f>[1]sales!A232</f>
        <v>46089</v>
      </c>
      <c r="B227" s="194">
        <f>[1]sales!B232</f>
        <v>0.75215277777777778</v>
      </c>
      <c r="C227" s="189" t="s">
        <v>49</v>
      </c>
      <c r="D227" s="14" t="str">
        <f>[1]sales!D232</f>
        <v>OTROS: pedazo de carne</v>
      </c>
      <c r="E227" s="152">
        <f>+_xlfn.XLOOKUP(sales[[#This Row],[Fecha]],OPEX_VE!A:A,OPEX_VE!B:B)</f>
        <v>2</v>
      </c>
      <c r="F227" s="14" t="str">
        <f>+_xlfn.XLOOKUP(sales[[#This Row],[Fecha]],OPEX_VE!A:A,OPEX_VE!E:E)</f>
        <v>D) Domingo</v>
      </c>
      <c r="G227" s="14" t="str">
        <f>+TEXT(sales[[#This Row],[Fecha]],"ddd")</f>
        <v>dom</v>
      </c>
      <c r="H227" s="190">
        <f>+sales[[#This Row],[Venta]]*0.4</f>
        <v>800</v>
      </c>
      <c r="I227" s="103">
        <f>[1]sales!K232</f>
        <v>2000</v>
      </c>
      <c r="J227" s="79">
        <f>[1]sales!I232</f>
        <v>2000</v>
      </c>
      <c r="K227" s="52">
        <f>[1]sales!J232</f>
        <v>0</v>
      </c>
    </row>
  </sheetData>
  <conditionalFormatting sqref="E2:E227">
    <cfRule type="containsText" dxfId="64" priority="138" operator="containsText" text="D) Domingo">
      <formula>NOT(ISERROR(SEARCH("D) Domingo",E2)))</formula>
    </cfRule>
    <cfRule type="containsText" dxfId="63" priority="139" operator="containsText" text="viernes">
      <formula>NOT(ISERROR(SEARCH("viernes",E2)))</formula>
    </cfRule>
  </conditionalFormatting>
  <conditionalFormatting sqref="F2:F227">
    <cfRule type="containsText" dxfId="62" priority="1" operator="containsText" text="E) Festivo">
      <formula>NOT(ISERROR(SEARCH("E) Festivo",F2)))</formula>
    </cfRule>
    <cfRule type="containsText" dxfId="61" priority="2" operator="containsText" text="B) Viernes">
      <formula>NOT(ISERROR(SEARCH("B) Viernes",F2)))</formula>
    </cfRule>
    <cfRule type="containsText" dxfId="60" priority="3" operator="containsText" text="D) Domingo">
      <formula>NOT(ISERROR(SEARCH("D) Domingo",F2)))</formula>
    </cfRule>
    <cfRule type="containsText" dxfId="59" priority="4" operator="containsText" text="C) Sábado">
      <formula>NOT(ISERROR(SEARCH("C) Sábado",F2)))</formula>
    </cfRule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</sheetPr>
  <dimension ref="A1:Z14"/>
  <sheetViews>
    <sheetView showGridLines="0" zoomScale="85" zoomScaleNormal="85" workbookViewId="0">
      <selection activeCell="A2" sqref="A2"/>
    </sheetView>
  </sheetViews>
  <sheetFormatPr baseColWidth="10" defaultRowHeight="14.25" x14ac:dyDescent="0.2"/>
  <cols>
    <col min="1" max="1" width="7.75" customWidth="1"/>
    <col min="2" max="3" width="9.375" bestFit="1" customWidth="1"/>
    <col min="4" max="4" width="9.375" customWidth="1"/>
    <col min="5" max="5" width="8" bestFit="1" customWidth="1"/>
    <col min="6" max="6" width="10.5" customWidth="1"/>
    <col min="7" max="7" width="11.75" bestFit="1" customWidth="1"/>
    <col min="8" max="8" width="10.375" customWidth="1"/>
    <col min="9" max="9" width="9.375" customWidth="1"/>
    <col min="10" max="10" width="15.625" customWidth="1"/>
    <col min="11" max="11" width="9.75" customWidth="1"/>
    <col min="12" max="17" width="10.125" customWidth="1"/>
    <col min="18" max="18" width="9.875" customWidth="1"/>
    <col min="19" max="19" width="8.75" customWidth="1"/>
    <col min="20" max="20" width="12.125" customWidth="1"/>
    <col min="22" max="22" width="11.5" bestFit="1" customWidth="1"/>
  </cols>
  <sheetData>
    <row r="1" spans="1:26" x14ac:dyDescent="0.2">
      <c r="C1" s="3">
        <v>1</v>
      </c>
      <c r="D1" s="3">
        <f>+C1+1</f>
        <v>2</v>
      </c>
      <c r="E1" s="3">
        <f t="shared" ref="E1:X1" si="0">+D1+1</f>
        <v>3</v>
      </c>
      <c r="F1" s="3">
        <f t="shared" si="0"/>
        <v>4</v>
      </c>
      <c r="G1" s="3">
        <f t="shared" si="0"/>
        <v>5</v>
      </c>
      <c r="H1" s="3">
        <f t="shared" si="0"/>
        <v>6</v>
      </c>
      <c r="I1" s="3">
        <f t="shared" si="0"/>
        <v>7</v>
      </c>
      <c r="J1" s="3">
        <f t="shared" si="0"/>
        <v>8</v>
      </c>
      <c r="K1" s="3">
        <f t="shared" si="0"/>
        <v>9</v>
      </c>
      <c r="L1" s="3">
        <f t="shared" si="0"/>
        <v>10</v>
      </c>
      <c r="M1" s="3">
        <f t="shared" si="0"/>
        <v>11</v>
      </c>
      <c r="N1" s="3">
        <f t="shared" si="0"/>
        <v>12</v>
      </c>
      <c r="O1" s="3">
        <f t="shared" si="0"/>
        <v>13</v>
      </c>
      <c r="P1" s="3">
        <f t="shared" si="0"/>
        <v>14</v>
      </c>
      <c r="Q1" s="3">
        <f t="shared" si="0"/>
        <v>15</v>
      </c>
      <c r="R1" s="3">
        <f t="shared" si="0"/>
        <v>16</v>
      </c>
      <c r="S1" s="3">
        <f t="shared" si="0"/>
        <v>17</v>
      </c>
      <c r="T1" s="3">
        <f t="shared" si="0"/>
        <v>18</v>
      </c>
      <c r="U1" s="3">
        <f t="shared" si="0"/>
        <v>19</v>
      </c>
      <c r="V1" s="3">
        <f t="shared" si="0"/>
        <v>20</v>
      </c>
      <c r="W1" s="3">
        <f t="shared" si="0"/>
        <v>21</v>
      </c>
      <c r="X1" s="3">
        <f t="shared" si="0"/>
        <v>22</v>
      </c>
      <c r="Y1">
        <v>23</v>
      </c>
      <c r="Z1">
        <v>24</v>
      </c>
    </row>
    <row r="2" spans="1:26" ht="27" customHeight="1" x14ac:dyDescent="0.2">
      <c r="A2" s="60"/>
      <c r="B2" s="61" t="s">
        <v>133</v>
      </c>
      <c r="C2" s="61" t="s">
        <v>38</v>
      </c>
      <c r="D2" s="61" t="s">
        <v>188</v>
      </c>
      <c r="E2" s="61" t="s">
        <v>0</v>
      </c>
      <c r="F2" s="62" t="s">
        <v>175</v>
      </c>
      <c r="G2" s="62" t="s">
        <v>186</v>
      </c>
      <c r="H2" s="62" t="s">
        <v>116</v>
      </c>
      <c r="I2" s="62" t="s">
        <v>128</v>
      </c>
      <c r="J2" s="62" t="s">
        <v>131</v>
      </c>
      <c r="K2" s="63" t="s">
        <v>117</v>
      </c>
      <c r="L2" s="63" t="s">
        <v>126</v>
      </c>
      <c r="M2" s="63" t="s">
        <v>118</v>
      </c>
      <c r="N2" s="63" t="s">
        <v>132</v>
      </c>
      <c r="O2" s="158" t="s">
        <v>135</v>
      </c>
      <c r="P2" s="80" t="s">
        <v>140</v>
      </c>
      <c r="Q2" s="80" t="s">
        <v>141</v>
      </c>
      <c r="R2" s="64" t="s">
        <v>119</v>
      </c>
      <c r="S2" s="64" t="s">
        <v>139</v>
      </c>
      <c r="T2" s="64" t="s">
        <v>127</v>
      </c>
      <c r="U2" s="64" t="s">
        <v>129</v>
      </c>
      <c r="V2" s="64" t="s">
        <v>136</v>
      </c>
      <c r="W2" s="64" t="s">
        <v>130</v>
      </c>
      <c r="X2" s="64" t="s">
        <v>137</v>
      </c>
      <c r="Y2" s="159" t="s">
        <v>192</v>
      </c>
      <c r="Z2" s="160" t="s">
        <v>199</v>
      </c>
    </row>
    <row r="3" spans="1:26" x14ac:dyDescent="0.2">
      <c r="B3" s="67" t="s">
        <v>134</v>
      </c>
      <c r="C3" s="67">
        <v>46068</v>
      </c>
      <c r="D3" s="67">
        <v>46095</v>
      </c>
      <c r="E3" s="68" t="str">
        <f t="shared" ref="E3:E8" si="1">+TEXT(C3,"mmmm")</f>
        <v>febrero</v>
      </c>
      <c r="F3" s="71"/>
      <c r="G3" s="71">
        <f>+Opex[[#This Row],[Cuentas x Pagar]]/31</f>
        <v>0</v>
      </c>
      <c r="H3" s="69">
        <v>1650000</v>
      </c>
      <c r="I3" s="71">
        <f>+Opex[[#This Row],[fecha_fin]]-Opex[[#This Row],[Fecha]]</f>
        <v>27</v>
      </c>
      <c r="J3" s="73">
        <f>IFERROR(Opex[[#This Row],[Arriendo]]/Opex[[#This Row],[No. Días Arriendo]],0)</f>
        <v>61111.111111111109</v>
      </c>
      <c r="K3" s="71">
        <v>0</v>
      </c>
      <c r="L3" s="71">
        <v>0</v>
      </c>
      <c r="M3" s="71">
        <v>0</v>
      </c>
      <c r="N3" s="71">
        <f>IFERROR(Opex[[#This Row],[Gas]]/Opex[[#This Row],[Consumo (m3)]],0)</f>
        <v>0</v>
      </c>
      <c r="O3" s="84">
        <f>IFERROR(Opex[[#This Row],[Gas]]/Opex[[#This Row],[No. Días Arriendo]],0)</f>
        <v>0</v>
      </c>
      <c r="P3" s="71"/>
      <c r="Q3" s="81">
        <f>IFERROR(Opex[[#This Row],[Agua]]/Opex[[#This Row],[No. Días Arriendo]],0)</f>
        <v>0</v>
      </c>
      <c r="R3" s="71"/>
      <c r="S3" s="71"/>
      <c r="T3" s="71">
        <f t="shared" ref="T3" si="2">+AA3</f>
        <v>0</v>
      </c>
      <c r="U3" s="71"/>
      <c r="V3" s="71">
        <f>IFERROR(Opex[[#This Row],[Energia]]/Opex[[#This Row],[Consumo
(KhW]],0)</f>
        <v>0</v>
      </c>
      <c r="W3" s="71"/>
      <c r="X3" s="87">
        <f>IFERROR(Opex[[#This Row],[Energia]]/Opex[[#This Row],[No. Días Arriendo]],0)</f>
        <v>0</v>
      </c>
      <c r="Y3" s="71">
        <v>0</v>
      </c>
      <c r="Z3" s="71">
        <f>+Opex[[#This Row],[Internet]]/Opex[[#This Row],[No. Días Arriendo]]</f>
        <v>0</v>
      </c>
    </row>
    <row r="4" spans="1:26" x14ac:dyDescent="0.2">
      <c r="B4" s="75" t="s">
        <v>72</v>
      </c>
      <c r="C4" s="67">
        <f>+D3+1</f>
        <v>46096</v>
      </c>
      <c r="D4" s="67">
        <v>46126</v>
      </c>
      <c r="E4" s="68" t="str">
        <f t="shared" si="1"/>
        <v>marzo</v>
      </c>
      <c r="F4" s="71"/>
      <c r="G4" s="71">
        <f>+Opex[[#This Row],[Cuentas x Pagar]]/31</f>
        <v>0</v>
      </c>
      <c r="H4" s="69">
        <v>1650000</v>
      </c>
      <c r="I4" s="71">
        <f>+Opex[[#This Row],[fecha_fin]]-Opex[[#This Row],[Fecha]]</f>
        <v>30</v>
      </c>
      <c r="J4" s="73">
        <f>IFERROR(Opex[[#This Row],[Arriendo]]/Opex[[#This Row],[No. Días Arriendo]],0)</f>
        <v>55000</v>
      </c>
      <c r="K4" s="71">
        <v>247319</v>
      </c>
      <c r="L4" s="71" t="e">
        <f>+#REF!</f>
        <v>#REF!</v>
      </c>
      <c r="M4" s="71" t="e">
        <f>+AVERAGE(#REF!/#REF!,#REF!/#REF!,#REF!/#REF!)*Opex[[#This Row],[No. Días Gas]]</f>
        <v>#REF!</v>
      </c>
      <c r="N4" s="71" t="e">
        <f>+AVERAGE(#REF!)</f>
        <v>#REF!</v>
      </c>
      <c r="O4" s="84">
        <f>IFERROR(Opex[[#This Row],[Gas]]/Opex[[#This Row],[No. Días Arriendo]],0)</f>
        <v>8243.9666666666672</v>
      </c>
      <c r="P4" s="71">
        <v>120000</v>
      </c>
      <c r="Q4" s="81">
        <f>IFERROR(Opex[[#This Row],[Agua]]/Opex[[#This Row],[No. Días Arriendo]],0)</f>
        <v>4000</v>
      </c>
      <c r="R4" s="71">
        <v>319050</v>
      </c>
      <c r="S4" s="71">
        <v>264247</v>
      </c>
      <c r="T4" s="71" t="e">
        <f>+#REF!</f>
        <v>#REF!</v>
      </c>
      <c r="U4" s="71" t="e">
        <f>+AVERAGE(#REF!/#REF!,#REF!/#REF!)</f>
        <v>#REF!</v>
      </c>
      <c r="V4" s="71" t="e">
        <f>+AVERAGE(#REF!)</f>
        <v>#REF!</v>
      </c>
      <c r="W4" s="71" t="s">
        <v>87</v>
      </c>
      <c r="X4" s="87">
        <f>IFERROR(Opex[[#This Row],[Energia]]/Opex[[#This Row],[No. Días Arriendo]],0)</f>
        <v>10635</v>
      </c>
      <c r="Y4" s="71">
        <v>0</v>
      </c>
      <c r="Z4" s="71">
        <f>+Opex[[#This Row],[Internet]]/Opex[[#This Row],[No. Días Arriendo]]</f>
        <v>0</v>
      </c>
    </row>
    <row r="5" spans="1:26" x14ac:dyDescent="0.2">
      <c r="B5" s="75" t="s">
        <v>72</v>
      </c>
      <c r="C5" s="67">
        <f t="shared" ref="C5:C14" si="3">+D4+1</f>
        <v>46127</v>
      </c>
      <c r="D5" s="67">
        <v>46156</v>
      </c>
      <c r="E5" s="68" t="str">
        <f t="shared" si="1"/>
        <v>abril</v>
      </c>
      <c r="F5" s="71"/>
      <c r="G5" s="71">
        <f>+Opex[[#This Row],[Cuentas x Pagar]]/31</f>
        <v>0</v>
      </c>
      <c r="H5" s="69">
        <v>1650000</v>
      </c>
      <c r="I5" s="71">
        <f>+Opex[[#This Row],[fecha_fin]]-Opex[[#This Row],[Fecha]]</f>
        <v>29</v>
      </c>
      <c r="J5" s="73">
        <f>IFERROR(Opex[[#This Row],[Arriendo]]/Opex[[#This Row],[No. Días Arriendo]],0)</f>
        <v>56896.551724137928</v>
      </c>
      <c r="K5" s="71">
        <v>247319</v>
      </c>
      <c r="L5" s="71">
        <f t="shared" ref="L5:L8" si="4">+I4</f>
        <v>30</v>
      </c>
      <c r="M5" s="71" t="e">
        <f>+AVERAGE(#REF!/#REF!,#REF!/#REF!,M4/L4)*Opex[[#This Row],[No. Días Gas]]</f>
        <v>#REF!</v>
      </c>
      <c r="N5" s="71" t="e">
        <f>+AVERAGE(N4:N4)</f>
        <v>#REF!</v>
      </c>
      <c r="O5" s="84">
        <f>IFERROR(Opex[[#This Row],[Gas]]/Opex[[#This Row],[No. Días Arriendo]],0)</f>
        <v>8528.2413793103442</v>
      </c>
      <c r="P5" s="71">
        <v>120000</v>
      </c>
      <c r="Q5" s="81">
        <f>IFERROR(Opex[[#This Row],[Agua]]/Opex[[#This Row],[No. Días Arriendo]],0)</f>
        <v>4137.9310344827591</v>
      </c>
      <c r="R5" s="71">
        <f>+AVERAGE(R4:R4)</f>
        <v>319050</v>
      </c>
      <c r="S5" s="71">
        <v>264247</v>
      </c>
      <c r="T5" s="71" t="e">
        <f>+#REF!</f>
        <v>#REF!</v>
      </c>
      <c r="U5" s="71" t="e">
        <f>+AVERAGE(#REF!/#REF!,#REF!/#REF!,#REF!/V4)</f>
        <v>#REF!</v>
      </c>
      <c r="V5" s="71" t="e">
        <f>+AVERAGE(V4:V4)</f>
        <v>#REF!</v>
      </c>
      <c r="W5" s="71" t="s">
        <v>87</v>
      </c>
      <c r="X5" s="87">
        <f>IFERROR(Opex[[#This Row],[Energia]]/Opex[[#This Row],[No. Días Arriendo]],0)</f>
        <v>11001.724137931034</v>
      </c>
      <c r="Y5" s="71">
        <v>105000</v>
      </c>
      <c r="Z5" s="71">
        <f>+Opex[[#This Row],[Internet]]/Opex[[#This Row],[No. Días Arriendo]]</f>
        <v>3620.6896551724139</v>
      </c>
    </row>
    <row r="6" spans="1:26" x14ac:dyDescent="0.2">
      <c r="B6" s="75" t="s">
        <v>72</v>
      </c>
      <c r="C6" s="67">
        <f t="shared" si="3"/>
        <v>46157</v>
      </c>
      <c r="D6" s="67">
        <v>46187</v>
      </c>
      <c r="E6" s="68" t="str">
        <f t="shared" si="1"/>
        <v>mayo</v>
      </c>
      <c r="F6" s="71"/>
      <c r="G6" s="71">
        <f>+Opex[[#This Row],[Cuentas x Pagar]]/31</f>
        <v>0</v>
      </c>
      <c r="H6" s="69">
        <v>1650000</v>
      </c>
      <c r="I6" s="71">
        <f>+Opex[[#This Row],[fecha_fin]]-Opex[[#This Row],[Fecha]]</f>
        <v>30</v>
      </c>
      <c r="J6" s="73">
        <f>IFERROR(Opex[[#This Row],[Arriendo]]/Opex[[#This Row],[No. Días Arriendo]],0)</f>
        <v>55000</v>
      </c>
      <c r="K6" s="71">
        <v>247319</v>
      </c>
      <c r="L6" s="71">
        <f t="shared" si="4"/>
        <v>29</v>
      </c>
      <c r="M6" s="71" t="e">
        <f>+AVERAGE(#REF!/#REF!,M4/L4,M5/L5)*Opex[[#This Row],[No. Días Gas]]</f>
        <v>#REF!</v>
      </c>
      <c r="N6" s="71" t="e">
        <f>+AVERAGE(N4:N5)</f>
        <v>#REF!</v>
      </c>
      <c r="O6" s="84">
        <f>IFERROR(Opex[[#This Row],[Gas]]/Opex[[#This Row],[No. Días Arriendo]],0)</f>
        <v>8243.9666666666672</v>
      </c>
      <c r="P6" s="71">
        <v>120000</v>
      </c>
      <c r="Q6" s="81">
        <f>IFERROR(Opex[[#This Row],[Agua]]/Opex[[#This Row],[No. Días Arriendo]],0)</f>
        <v>4000</v>
      </c>
      <c r="R6" s="71">
        <f>+AVERAGE(R4:R5)</f>
        <v>319050</v>
      </c>
      <c r="S6" s="71">
        <v>264247</v>
      </c>
      <c r="T6" s="71" t="e">
        <f>+#REF!</f>
        <v>#REF!</v>
      </c>
      <c r="U6" s="71" t="e">
        <f>+AVERAGE(#REF!/#REF!,#REF!/V4,#REF!/V5)</f>
        <v>#REF!</v>
      </c>
      <c r="V6" s="71" t="e">
        <f>+AVERAGE(V4:V5)</f>
        <v>#REF!</v>
      </c>
      <c r="W6" s="71" t="s">
        <v>87</v>
      </c>
      <c r="X6" s="87">
        <f>IFERROR(Opex[[#This Row],[Energia]]/Opex[[#This Row],[No. Días Arriendo]],0)</f>
        <v>10635</v>
      </c>
      <c r="Y6" s="71">
        <v>105000</v>
      </c>
      <c r="Z6" s="71">
        <f>+Opex[[#This Row],[Internet]]/Opex[[#This Row],[No. Días Arriendo]]</f>
        <v>3500</v>
      </c>
    </row>
    <row r="7" spans="1:26" x14ac:dyDescent="0.2">
      <c r="B7" s="75" t="s">
        <v>72</v>
      </c>
      <c r="C7" s="67">
        <f t="shared" si="3"/>
        <v>46188</v>
      </c>
      <c r="D7" s="67">
        <v>46217</v>
      </c>
      <c r="E7" s="68" t="str">
        <f t="shared" si="1"/>
        <v>junio</v>
      </c>
      <c r="F7" s="71"/>
      <c r="G7" s="71">
        <f>+Opex[[#This Row],[Cuentas x Pagar]]/31</f>
        <v>0</v>
      </c>
      <c r="H7" s="69">
        <v>1650000</v>
      </c>
      <c r="I7" s="71">
        <f>+Opex[[#This Row],[fecha_fin]]-Opex[[#This Row],[Fecha]]</f>
        <v>29</v>
      </c>
      <c r="J7" s="73">
        <f>IFERROR(Opex[[#This Row],[Arriendo]]/Opex[[#This Row],[No. Días Arriendo]],0)</f>
        <v>56896.551724137928</v>
      </c>
      <c r="K7" s="71">
        <v>247319</v>
      </c>
      <c r="L7" s="71">
        <f t="shared" si="4"/>
        <v>30</v>
      </c>
      <c r="M7" s="71" t="e">
        <f>+AVERAGE(M4/L4,M5/L5,M6/L6)*Opex[[#This Row],[No. Días Gas]]</f>
        <v>#REF!</v>
      </c>
      <c r="N7" s="71" t="e">
        <f t="shared" ref="N7:N14" si="5">+AVERAGE(N4:N6)</f>
        <v>#REF!</v>
      </c>
      <c r="O7" s="84">
        <f>IFERROR(Opex[[#This Row],[Gas]]/Opex[[#This Row],[No. Días Arriendo]],0)</f>
        <v>8528.2413793103442</v>
      </c>
      <c r="P7" s="71">
        <v>120000</v>
      </c>
      <c r="Q7" s="81">
        <f>IFERROR(Opex[[#This Row],[Agua]]/Opex[[#This Row],[No. Días Arriendo]],0)</f>
        <v>4137.9310344827591</v>
      </c>
      <c r="R7" s="71">
        <f>+AVERAGE(R5:R6)</f>
        <v>319050</v>
      </c>
      <c r="S7" s="71">
        <v>264247</v>
      </c>
      <c r="T7" s="71" t="e">
        <f>+#REF!</f>
        <v>#REF!</v>
      </c>
      <c r="U7" s="71" t="e">
        <f>+AVERAGE(#REF!/V4,#REF!/V5,#REF!/V6)</f>
        <v>#REF!</v>
      </c>
      <c r="V7" s="71" t="e">
        <f t="shared" ref="V7:V14" si="6">+AVERAGE(V4:V6)</f>
        <v>#REF!</v>
      </c>
      <c r="W7" s="71" t="s">
        <v>87</v>
      </c>
      <c r="X7" s="87">
        <f>IFERROR(Opex[[#This Row],[Energia]]/Opex[[#This Row],[No. Días Arriendo]],0)</f>
        <v>11001.724137931034</v>
      </c>
      <c r="Y7" s="71">
        <v>105000</v>
      </c>
      <c r="Z7" s="71">
        <f>+Opex[[#This Row],[Internet]]/Opex[[#This Row],[No. Días Arriendo]]</f>
        <v>3620.6896551724139</v>
      </c>
    </row>
    <row r="8" spans="1:26" x14ac:dyDescent="0.2">
      <c r="B8" s="75" t="s">
        <v>72</v>
      </c>
      <c r="C8" s="67">
        <f t="shared" si="3"/>
        <v>46218</v>
      </c>
      <c r="D8" s="67">
        <v>46248</v>
      </c>
      <c r="E8" s="68" t="str">
        <f t="shared" si="1"/>
        <v>julio</v>
      </c>
      <c r="F8" s="71"/>
      <c r="G8" s="71">
        <f>+Opex[[#This Row],[Cuentas x Pagar]]/31</f>
        <v>0</v>
      </c>
      <c r="H8" s="69">
        <v>1650000</v>
      </c>
      <c r="I8" s="71">
        <f>+Opex[[#This Row],[fecha_fin]]-Opex[[#This Row],[Fecha]]</f>
        <v>30</v>
      </c>
      <c r="J8" s="73">
        <f>IFERROR(Opex[[#This Row],[Arriendo]]/Opex[[#This Row],[No. Días Arriendo]],0)</f>
        <v>55000</v>
      </c>
      <c r="K8" s="71">
        <v>247319</v>
      </c>
      <c r="L8" s="71">
        <f t="shared" si="4"/>
        <v>29</v>
      </c>
      <c r="M8" s="71" t="e">
        <f>+AVERAGE(M5/L5,M6/L6,M7/L7)*Opex[[#This Row],[No. Días Gas]]</f>
        <v>#REF!</v>
      </c>
      <c r="N8" s="71" t="e">
        <f t="shared" si="5"/>
        <v>#REF!</v>
      </c>
      <c r="O8" s="84">
        <f>IFERROR(Opex[[#This Row],[Gas]]/Opex[[#This Row],[No. Días Arriendo]],0)</f>
        <v>8243.9666666666672</v>
      </c>
      <c r="P8" s="71">
        <v>120000</v>
      </c>
      <c r="Q8" s="81">
        <f>IFERROR(Opex[[#This Row],[Agua]]/Opex[[#This Row],[No. Días Arriendo]],0)</f>
        <v>4000</v>
      </c>
      <c r="R8" s="71">
        <f>+AVERAGE(R6:R7)</f>
        <v>319050</v>
      </c>
      <c r="S8" s="71">
        <v>0</v>
      </c>
      <c r="T8" s="71" t="e">
        <f>+#REF!</f>
        <v>#REF!</v>
      </c>
      <c r="U8" s="71" t="e">
        <f>+AVERAGE(#REF!/V5,#REF!/V6,#REF!/V7)</f>
        <v>#REF!</v>
      </c>
      <c r="V8" s="71" t="e">
        <f>+AVERAGE(V5:V7)</f>
        <v>#REF!</v>
      </c>
      <c r="W8" s="71" t="s">
        <v>87</v>
      </c>
      <c r="X8" s="87">
        <f>IFERROR(Opex[[#This Row],[Energia]]/Opex[[#This Row],[No. Días Arriendo]],0)</f>
        <v>10635</v>
      </c>
      <c r="Y8" s="71">
        <v>105000</v>
      </c>
      <c r="Z8" s="71">
        <f>+Opex[[#This Row],[Internet]]/Opex[[#This Row],[No. Días Arriendo]]</f>
        <v>3500</v>
      </c>
    </row>
    <row r="9" spans="1:26" x14ac:dyDescent="0.2">
      <c r="B9" s="75" t="s">
        <v>72</v>
      </c>
      <c r="C9" s="67">
        <f t="shared" si="3"/>
        <v>46249</v>
      </c>
      <c r="D9" s="67">
        <v>46279</v>
      </c>
      <c r="E9" s="68" t="str">
        <f t="shared" ref="E9:E14" si="7">+TEXT(C9,"mmmm")</f>
        <v>agosto</v>
      </c>
      <c r="F9" s="71"/>
      <c r="G9" s="71">
        <f>+Opex[[#This Row],[Cuentas x Pagar]]/31</f>
        <v>0</v>
      </c>
      <c r="H9" s="69">
        <v>1650000</v>
      </c>
      <c r="I9" s="71">
        <f>+Opex[[#This Row],[fecha_fin]]-Opex[[#This Row],[Fecha]]</f>
        <v>30</v>
      </c>
      <c r="J9" s="73">
        <f>IFERROR(Opex[[#This Row],[Arriendo]]/Opex[[#This Row],[No. Días Arriendo]],0)</f>
        <v>55000</v>
      </c>
      <c r="K9" s="71">
        <v>247319</v>
      </c>
      <c r="L9" s="71">
        <f t="shared" ref="L9:L14" si="8">+I8</f>
        <v>30</v>
      </c>
      <c r="M9" s="71" t="e">
        <f>+AVERAGE(M6/L6,M7/L7,M8/L8)*Opex[[#This Row],[No. Días Gas]]</f>
        <v>#REF!</v>
      </c>
      <c r="N9" s="71" t="e">
        <f t="shared" si="5"/>
        <v>#REF!</v>
      </c>
      <c r="O9" s="84">
        <f>IFERROR(Opex[[#This Row],[Gas]]/Opex[[#This Row],[No. Días Arriendo]],0)</f>
        <v>8243.9666666666672</v>
      </c>
      <c r="P9" s="71">
        <v>120000</v>
      </c>
      <c r="Q9" s="81">
        <f>IFERROR(Opex[[#This Row],[Agua]]/Opex[[#This Row],[No. Días Arriendo]],0)</f>
        <v>4000</v>
      </c>
      <c r="R9" s="71">
        <f t="shared" ref="R9:R14" si="9">+AVERAGE(R7:R8)</f>
        <v>319050</v>
      </c>
      <c r="S9" s="71">
        <v>0</v>
      </c>
      <c r="T9" s="71" t="e">
        <f>+#REF!</f>
        <v>#REF!</v>
      </c>
      <c r="U9" s="71" t="e">
        <f>+AVERAGE(#REF!/V6,#REF!/V7,#REF!/V8)</f>
        <v>#REF!</v>
      </c>
      <c r="V9" s="71" t="e">
        <f t="shared" si="6"/>
        <v>#REF!</v>
      </c>
      <c r="W9" s="71" t="s">
        <v>87</v>
      </c>
      <c r="X9" s="87">
        <f>IFERROR(Opex[[#This Row],[Energia]]/Opex[[#This Row],[No. Días Arriendo]],0)</f>
        <v>10635</v>
      </c>
      <c r="Y9" s="71">
        <v>105000</v>
      </c>
      <c r="Z9" s="71">
        <f>+Opex[[#This Row],[Internet]]/Opex[[#This Row],[No. Días Arriendo]]</f>
        <v>3500</v>
      </c>
    </row>
    <row r="10" spans="1:26" x14ac:dyDescent="0.2">
      <c r="B10" s="75" t="s">
        <v>72</v>
      </c>
      <c r="C10" s="67">
        <f t="shared" si="3"/>
        <v>46280</v>
      </c>
      <c r="D10" s="67">
        <v>46309</v>
      </c>
      <c r="E10" s="68" t="str">
        <f t="shared" si="7"/>
        <v>septiembre</v>
      </c>
      <c r="F10" s="71"/>
      <c r="G10" s="71">
        <f>+Opex[[#This Row],[Cuentas x Pagar]]/31</f>
        <v>0</v>
      </c>
      <c r="H10" s="69">
        <v>1650000</v>
      </c>
      <c r="I10" s="71">
        <f>+Opex[[#This Row],[fecha_fin]]-Opex[[#This Row],[Fecha]]</f>
        <v>29</v>
      </c>
      <c r="J10" s="73">
        <f>IFERROR(Opex[[#This Row],[Arriendo]]/Opex[[#This Row],[No. Días Arriendo]],0)</f>
        <v>56896.551724137928</v>
      </c>
      <c r="K10" s="71">
        <v>247319</v>
      </c>
      <c r="L10" s="71">
        <f t="shared" si="8"/>
        <v>30</v>
      </c>
      <c r="M10" s="71" t="e">
        <f>+AVERAGE(M7/L7,M8/L8,M9/L9)*Opex[[#This Row],[No. Días Gas]]</f>
        <v>#REF!</v>
      </c>
      <c r="N10" s="71" t="e">
        <f t="shared" si="5"/>
        <v>#REF!</v>
      </c>
      <c r="O10" s="84">
        <f>IFERROR(Opex[[#This Row],[Gas]]/Opex[[#This Row],[No. Días Arriendo]],0)</f>
        <v>8528.2413793103442</v>
      </c>
      <c r="P10" s="71">
        <v>120000</v>
      </c>
      <c r="Q10" s="81">
        <f>IFERROR(Opex[[#This Row],[Agua]]/Opex[[#This Row],[No. Días Arriendo]],0)</f>
        <v>4137.9310344827591</v>
      </c>
      <c r="R10" s="71">
        <f t="shared" si="9"/>
        <v>319050</v>
      </c>
      <c r="S10" s="71">
        <v>0</v>
      </c>
      <c r="T10" s="71" t="e">
        <f>+#REF!</f>
        <v>#REF!</v>
      </c>
      <c r="U10" s="71" t="e">
        <f>+AVERAGE(#REF!/V7,#REF!/V8,#REF!/V9)</f>
        <v>#REF!</v>
      </c>
      <c r="V10" s="71" t="e">
        <f t="shared" si="6"/>
        <v>#REF!</v>
      </c>
      <c r="W10" s="71" t="s">
        <v>87</v>
      </c>
      <c r="X10" s="87">
        <f>IFERROR(Opex[[#This Row],[Energia]]/Opex[[#This Row],[No. Días Arriendo]],0)</f>
        <v>11001.724137931034</v>
      </c>
      <c r="Y10" s="71">
        <v>105000</v>
      </c>
      <c r="Z10" s="71">
        <f>+Opex[[#This Row],[Internet]]/Opex[[#This Row],[No. Días Arriendo]]</f>
        <v>3620.6896551724139</v>
      </c>
    </row>
    <row r="11" spans="1:26" x14ac:dyDescent="0.2">
      <c r="B11" s="75" t="s">
        <v>72</v>
      </c>
      <c r="C11" s="67">
        <f t="shared" si="3"/>
        <v>46310</v>
      </c>
      <c r="D11" s="67">
        <v>46340</v>
      </c>
      <c r="E11" s="68" t="str">
        <f t="shared" si="7"/>
        <v>octubre</v>
      </c>
      <c r="F11" s="71"/>
      <c r="G11" s="71">
        <f>+Opex[[#This Row],[Cuentas x Pagar]]/31</f>
        <v>0</v>
      </c>
      <c r="H11" s="69">
        <v>1650000</v>
      </c>
      <c r="I11" s="71">
        <f>+Opex[[#This Row],[fecha_fin]]-Opex[[#This Row],[Fecha]]</f>
        <v>30</v>
      </c>
      <c r="J11" s="73">
        <f>IFERROR(Opex[[#This Row],[Arriendo]]/Opex[[#This Row],[No. Días Arriendo]],0)</f>
        <v>55000</v>
      </c>
      <c r="K11" s="71">
        <v>247319</v>
      </c>
      <c r="L11" s="71">
        <f t="shared" si="8"/>
        <v>29</v>
      </c>
      <c r="M11" s="71" t="e">
        <f>+AVERAGE(M8/L8,M9/L9,M10/L10)*Opex[[#This Row],[No. Días Gas]]</f>
        <v>#REF!</v>
      </c>
      <c r="N11" s="71" t="e">
        <f t="shared" si="5"/>
        <v>#REF!</v>
      </c>
      <c r="O11" s="84">
        <f>IFERROR(Opex[[#This Row],[Gas]]/Opex[[#This Row],[No. Días Arriendo]],0)</f>
        <v>8243.9666666666672</v>
      </c>
      <c r="P11" s="71">
        <v>120000</v>
      </c>
      <c r="Q11" s="81">
        <f>IFERROR(Opex[[#This Row],[Agua]]/Opex[[#This Row],[No. Días Arriendo]],0)</f>
        <v>4000</v>
      </c>
      <c r="R11" s="71">
        <f t="shared" si="9"/>
        <v>319050</v>
      </c>
      <c r="S11" s="71">
        <v>0</v>
      </c>
      <c r="T11" s="71" t="e">
        <f>+#REF!</f>
        <v>#REF!</v>
      </c>
      <c r="U11" s="71" t="e">
        <f>+AVERAGE(#REF!/V8,#REF!/V9,#REF!/V10)</f>
        <v>#REF!</v>
      </c>
      <c r="V11" s="71" t="e">
        <f t="shared" si="6"/>
        <v>#REF!</v>
      </c>
      <c r="W11" s="71" t="s">
        <v>87</v>
      </c>
      <c r="X11" s="87">
        <f>IFERROR(Opex[[#This Row],[Energia]]/Opex[[#This Row],[No. Días Arriendo]],0)</f>
        <v>10635</v>
      </c>
      <c r="Y11" s="71">
        <v>105000</v>
      </c>
      <c r="Z11" s="71">
        <f>+Opex[[#This Row],[Internet]]/Opex[[#This Row],[No. Días Arriendo]]</f>
        <v>3500</v>
      </c>
    </row>
    <row r="12" spans="1:26" x14ac:dyDescent="0.2">
      <c r="B12" s="75" t="s">
        <v>72</v>
      </c>
      <c r="C12" s="67">
        <f t="shared" si="3"/>
        <v>46341</v>
      </c>
      <c r="D12" s="67">
        <v>46370</v>
      </c>
      <c r="E12" s="68" t="str">
        <f t="shared" si="7"/>
        <v>noviembre</v>
      </c>
      <c r="F12" s="71"/>
      <c r="G12" s="71">
        <f>+Opex[[#This Row],[Cuentas x Pagar]]/31</f>
        <v>0</v>
      </c>
      <c r="H12" s="69">
        <v>1650000</v>
      </c>
      <c r="I12" s="71">
        <f>+Opex[[#This Row],[fecha_fin]]-Opex[[#This Row],[Fecha]]</f>
        <v>29</v>
      </c>
      <c r="J12" s="73">
        <f>IFERROR(Opex[[#This Row],[Arriendo]]/Opex[[#This Row],[No. Días Arriendo]],0)</f>
        <v>56896.551724137928</v>
      </c>
      <c r="K12" s="71">
        <v>247319</v>
      </c>
      <c r="L12" s="71">
        <f t="shared" si="8"/>
        <v>30</v>
      </c>
      <c r="M12" s="71" t="e">
        <f>+AVERAGE(M9/L9,M10/L10,M11/L11)*Opex[[#This Row],[No. Días Gas]]</f>
        <v>#REF!</v>
      </c>
      <c r="N12" s="71" t="e">
        <f t="shared" si="5"/>
        <v>#REF!</v>
      </c>
      <c r="O12" s="84">
        <f>IFERROR(Opex[[#This Row],[Gas]]/Opex[[#This Row],[No. Días Arriendo]],0)</f>
        <v>8528.2413793103442</v>
      </c>
      <c r="P12" s="71">
        <v>120000</v>
      </c>
      <c r="Q12" s="81">
        <f>IFERROR(Opex[[#This Row],[Agua]]/Opex[[#This Row],[No. Días Arriendo]],0)</f>
        <v>4137.9310344827591</v>
      </c>
      <c r="R12" s="71">
        <f t="shared" si="9"/>
        <v>319050</v>
      </c>
      <c r="S12" s="71">
        <v>0</v>
      </c>
      <c r="T12" s="71" t="e">
        <f>+#REF!</f>
        <v>#REF!</v>
      </c>
      <c r="U12" s="71" t="e">
        <f>+AVERAGE(#REF!/V9,#REF!/V10,#REF!/V11)</f>
        <v>#REF!</v>
      </c>
      <c r="V12" s="71" t="e">
        <f t="shared" si="6"/>
        <v>#REF!</v>
      </c>
      <c r="W12" s="71" t="s">
        <v>87</v>
      </c>
      <c r="X12" s="87">
        <f>IFERROR(Opex[[#This Row],[Energia]]/Opex[[#This Row],[No. Días Arriendo]],0)</f>
        <v>11001.724137931034</v>
      </c>
      <c r="Y12" s="71">
        <v>105000</v>
      </c>
      <c r="Z12" s="71">
        <f>+Opex[[#This Row],[Internet]]/Opex[[#This Row],[No. Días Arriendo]]</f>
        <v>3620.6896551724139</v>
      </c>
    </row>
    <row r="13" spans="1:26" x14ac:dyDescent="0.2">
      <c r="B13" s="75" t="s">
        <v>72</v>
      </c>
      <c r="C13" s="67">
        <f t="shared" si="3"/>
        <v>46371</v>
      </c>
      <c r="D13" s="67">
        <v>46401</v>
      </c>
      <c r="E13" s="68" t="str">
        <f t="shared" si="7"/>
        <v>diciembre</v>
      </c>
      <c r="F13" s="71"/>
      <c r="G13" s="71">
        <f>+Opex[[#This Row],[Cuentas x Pagar]]/31</f>
        <v>0</v>
      </c>
      <c r="H13" s="69">
        <v>1650000</v>
      </c>
      <c r="I13" s="71">
        <f>+Opex[[#This Row],[fecha_fin]]-Opex[[#This Row],[Fecha]]</f>
        <v>30</v>
      </c>
      <c r="J13" s="73">
        <f>IFERROR(Opex[[#This Row],[Arriendo]]/Opex[[#This Row],[No. Días Arriendo]],0)</f>
        <v>55000</v>
      </c>
      <c r="K13" s="71">
        <v>247319</v>
      </c>
      <c r="L13" s="71">
        <f t="shared" si="8"/>
        <v>29</v>
      </c>
      <c r="M13" s="71" t="e">
        <f>+AVERAGE(M10/L10,M11/L11,M12/L12)*Opex[[#This Row],[No. Días Gas]]</f>
        <v>#REF!</v>
      </c>
      <c r="N13" s="71" t="e">
        <f t="shared" si="5"/>
        <v>#REF!</v>
      </c>
      <c r="O13" s="84">
        <f>IFERROR(Opex[[#This Row],[Gas]]/Opex[[#This Row],[No. Días Arriendo]],0)</f>
        <v>8243.9666666666672</v>
      </c>
      <c r="P13" s="71">
        <v>120000</v>
      </c>
      <c r="Q13" s="81">
        <f>IFERROR(Opex[[#This Row],[Agua]]/Opex[[#This Row],[No. Días Arriendo]],0)</f>
        <v>4000</v>
      </c>
      <c r="R13" s="71">
        <f t="shared" si="9"/>
        <v>319050</v>
      </c>
      <c r="S13" s="71">
        <v>0</v>
      </c>
      <c r="T13" s="71" t="e">
        <f>+#REF!</f>
        <v>#REF!</v>
      </c>
      <c r="U13" s="71" t="e">
        <f>+AVERAGE(#REF!/V10,#REF!/V11,#REF!/V12)</f>
        <v>#REF!</v>
      </c>
      <c r="V13" s="71" t="e">
        <f t="shared" si="6"/>
        <v>#REF!</v>
      </c>
      <c r="W13" s="71" t="s">
        <v>87</v>
      </c>
      <c r="X13" s="87">
        <f>IFERROR(Opex[[#This Row],[Energia]]/Opex[[#This Row],[No. Días Arriendo]],0)</f>
        <v>10635</v>
      </c>
      <c r="Y13" s="71">
        <v>105000</v>
      </c>
      <c r="Z13" s="71">
        <f>+Opex[[#This Row],[Internet]]/Opex[[#This Row],[No. Días Arriendo]]</f>
        <v>3500</v>
      </c>
    </row>
    <row r="14" spans="1:26" x14ac:dyDescent="0.2">
      <c r="B14" s="75" t="s">
        <v>72</v>
      </c>
      <c r="C14" s="67">
        <f t="shared" si="3"/>
        <v>46402</v>
      </c>
      <c r="D14" s="67">
        <v>46432</v>
      </c>
      <c r="E14" s="68" t="str">
        <f t="shared" si="7"/>
        <v>enero</v>
      </c>
      <c r="F14" s="71"/>
      <c r="G14" s="71">
        <f>+Opex[[#This Row],[Cuentas x Pagar]]/31</f>
        <v>0</v>
      </c>
      <c r="H14" s="69">
        <v>1650000</v>
      </c>
      <c r="I14" s="71">
        <f>+Opex[[#This Row],[fecha_fin]]-Opex[[#This Row],[Fecha]]</f>
        <v>30</v>
      </c>
      <c r="J14" s="73">
        <f>IFERROR(Opex[[#This Row],[Arriendo]]/Opex[[#This Row],[No. Días Arriendo]],0)</f>
        <v>55000</v>
      </c>
      <c r="K14" s="71">
        <v>247319</v>
      </c>
      <c r="L14" s="71">
        <f t="shared" si="8"/>
        <v>30</v>
      </c>
      <c r="M14" s="71" t="e">
        <f>+AVERAGE(M11/L11,M12/L12,M13/L13)*Opex[[#This Row],[No. Días Gas]]</f>
        <v>#REF!</v>
      </c>
      <c r="N14" s="71" t="e">
        <f t="shared" si="5"/>
        <v>#REF!</v>
      </c>
      <c r="O14" s="84">
        <f>IFERROR(Opex[[#This Row],[Gas]]/Opex[[#This Row],[No. Días Arriendo]],0)</f>
        <v>8243.9666666666672</v>
      </c>
      <c r="P14" s="71">
        <v>120000</v>
      </c>
      <c r="Q14" s="81">
        <f>IFERROR(Opex[[#This Row],[Agua]]/Opex[[#This Row],[No. Días Arriendo]],0)</f>
        <v>4000</v>
      </c>
      <c r="R14" s="71">
        <f t="shared" si="9"/>
        <v>319050</v>
      </c>
      <c r="S14" s="71">
        <v>0</v>
      </c>
      <c r="T14" s="71" t="e">
        <f>+#REF!</f>
        <v>#REF!</v>
      </c>
      <c r="U14" s="71" t="e">
        <f>+AVERAGE(#REF!/V11,#REF!/V12,#REF!/V13)</f>
        <v>#REF!</v>
      </c>
      <c r="V14" s="71" t="e">
        <f t="shared" si="6"/>
        <v>#REF!</v>
      </c>
      <c r="W14" s="71" t="s">
        <v>87</v>
      </c>
      <c r="X14" s="87">
        <f>IFERROR(Opex[[#This Row],[Energia]]/Opex[[#This Row],[No. Días Arriendo]],0)</f>
        <v>10635</v>
      </c>
      <c r="Y14" s="71">
        <v>105000</v>
      </c>
      <c r="Z14" s="71">
        <f>+Opex[[#This Row],[Internet]]/Opex[[#This Row],[No. Días Arriendo]]</f>
        <v>3500</v>
      </c>
    </row>
  </sheetData>
  <phoneticPr fontId="15" type="noConversion"/>
  <pageMargins left="0.7" right="0.7" top="0.75" bottom="0.75" header="0.3" footer="0.3"/>
  <pageSetup orientation="portrait" verticalDpi="30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8" tint="0.39997558519241921"/>
  </sheetPr>
  <dimension ref="B4:S56"/>
  <sheetViews>
    <sheetView showGridLines="0" topLeftCell="A3" zoomScale="85" zoomScaleNormal="85" workbookViewId="0">
      <selection activeCell="A3" sqref="A3"/>
    </sheetView>
  </sheetViews>
  <sheetFormatPr baseColWidth="10" defaultRowHeight="14.25" x14ac:dyDescent="0.2"/>
  <cols>
    <col min="1" max="1" width="1.375" customWidth="1"/>
    <col min="2" max="2" width="24.25" customWidth="1"/>
    <col min="3" max="3" width="19.375" bestFit="1" customWidth="1"/>
    <col min="4" max="4" width="19.625" bestFit="1" customWidth="1"/>
    <col min="5" max="5" width="12.625" bestFit="1" customWidth="1"/>
    <col min="6" max="6" width="12.625" customWidth="1"/>
    <col min="7" max="7" width="4.875" customWidth="1"/>
    <col min="8" max="8" width="20.25" bestFit="1" customWidth="1"/>
    <col min="9" max="9" width="12.875" customWidth="1"/>
    <col min="10" max="10" width="8.625" customWidth="1"/>
    <col min="11" max="11" width="12.5" bestFit="1" customWidth="1"/>
    <col min="12" max="12" width="16.375" bestFit="1" customWidth="1"/>
    <col min="13" max="13" width="13.875" bestFit="1" customWidth="1"/>
    <col min="14" max="14" width="7.75" customWidth="1"/>
    <col min="15" max="15" width="4.5" bestFit="1" customWidth="1"/>
    <col min="16" max="16" width="11.5" bestFit="1" customWidth="1"/>
    <col min="17" max="17" width="17.625" bestFit="1" customWidth="1"/>
    <col min="18" max="18" width="19.625" bestFit="1" customWidth="1"/>
    <col min="19" max="19" width="12.625" customWidth="1"/>
  </cols>
  <sheetData>
    <row r="4" spans="2:16" x14ac:dyDescent="0.2">
      <c r="B4" s="35" t="s">
        <v>84</v>
      </c>
      <c r="C4" s="35" t="s">
        <v>7</v>
      </c>
      <c r="D4" s="35" t="s">
        <v>71</v>
      </c>
      <c r="E4" s="36" t="s">
        <v>1</v>
      </c>
      <c r="F4" s="56" t="s">
        <v>115</v>
      </c>
      <c r="H4" s="3" t="s">
        <v>61</v>
      </c>
      <c r="I4" s="3" t="s">
        <v>1</v>
      </c>
      <c r="K4" s="29" t="s">
        <v>34</v>
      </c>
      <c r="L4" s="30" t="s">
        <v>11</v>
      </c>
      <c r="M4" s="31">
        <f>+M5+M6</f>
        <v>18150000</v>
      </c>
      <c r="N4" s="33">
        <f>+M4/$K$5</f>
        <v>0.61570257311773358</v>
      </c>
    </row>
    <row r="5" spans="2:16" x14ac:dyDescent="0.2">
      <c r="B5" t="s">
        <v>183</v>
      </c>
      <c r="C5" t="s">
        <v>73</v>
      </c>
      <c r="D5" t="s">
        <v>77</v>
      </c>
      <c r="E5" s="1">
        <v>350000</v>
      </c>
      <c r="F5" s="1">
        <v>0</v>
      </c>
      <c r="H5" t="s">
        <v>82</v>
      </c>
      <c r="I5" s="2">
        <v>1000000</v>
      </c>
      <c r="K5" s="196">
        <f>+M4+M7</f>
        <v>29478519</v>
      </c>
      <c r="L5" s="12" t="s">
        <v>81</v>
      </c>
      <c r="M5" s="13">
        <f>+Planta_y_Equipo[[#Totals],[Valor]]</f>
        <v>16020000</v>
      </c>
      <c r="N5" s="32">
        <f>+M5/$M$4</f>
        <v>0.88264462809917354</v>
      </c>
    </row>
    <row r="6" spans="2:16" x14ac:dyDescent="0.2">
      <c r="B6" t="s">
        <v>183</v>
      </c>
      <c r="C6" t="s">
        <v>74</v>
      </c>
      <c r="D6" t="s">
        <v>78</v>
      </c>
      <c r="E6" s="1">
        <v>0</v>
      </c>
      <c r="F6" s="1">
        <v>0</v>
      </c>
      <c r="H6" t="s">
        <v>53</v>
      </c>
      <c r="I6" s="8">
        <f>550000/2</f>
        <v>275000</v>
      </c>
      <c r="K6" s="197"/>
      <c r="L6" s="12" t="s">
        <v>80</v>
      </c>
      <c r="M6" s="13">
        <f>+Stock_Actual[[#Totals],[Valor]]</f>
        <v>2130000</v>
      </c>
      <c r="N6" s="32">
        <f>+M6/$M$4</f>
        <v>0.11735537190082644</v>
      </c>
    </row>
    <row r="7" spans="2:16" x14ac:dyDescent="0.2">
      <c r="B7" t="s">
        <v>183</v>
      </c>
      <c r="C7" t="s">
        <v>8</v>
      </c>
      <c r="D7" t="s">
        <v>79</v>
      </c>
      <c r="E7" s="1">
        <v>1088000</v>
      </c>
      <c r="F7" s="1">
        <v>0</v>
      </c>
      <c r="H7" t="s">
        <v>22</v>
      </c>
      <c r="I7" s="8">
        <v>200000</v>
      </c>
      <c r="K7" s="197"/>
      <c r="L7" s="54" t="s">
        <v>33</v>
      </c>
      <c r="M7" s="55">
        <f>+M8+M9</f>
        <v>11328519</v>
      </c>
      <c r="N7" s="34">
        <f>+M7/$K$5</f>
        <v>0.38429742688226637</v>
      </c>
      <c r="O7" s="37">
        <f>+M7/M4</f>
        <v>0.62416082644628101</v>
      </c>
      <c r="P7" s="5">
        <f>+M4-M7</f>
        <v>6821481</v>
      </c>
    </row>
    <row r="8" spans="2:16" x14ac:dyDescent="0.2">
      <c r="B8" t="s">
        <v>183</v>
      </c>
      <c r="C8" t="s">
        <v>6</v>
      </c>
      <c r="D8" t="s">
        <v>86</v>
      </c>
      <c r="E8" s="1">
        <v>380000</v>
      </c>
      <c r="F8" s="1">
        <v>0</v>
      </c>
      <c r="H8" t="s">
        <v>55</v>
      </c>
      <c r="I8" s="2">
        <v>100000</v>
      </c>
      <c r="K8" s="197"/>
      <c r="L8" s="150" t="s">
        <v>183</v>
      </c>
      <c r="M8" s="13">
        <f>+SUMIF(B5:B23,L8,E5:E23)</f>
        <v>4728920</v>
      </c>
      <c r="N8" s="32">
        <f>+M8/$M$7</f>
        <v>0.41743497097899557</v>
      </c>
    </row>
    <row r="9" spans="2:16" x14ac:dyDescent="0.2">
      <c r="B9" t="s">
        <v>183</v>
      </c>
      <c r="C9" t="s">
        <v>88</v>
      </c>
      <c r="D9" t="s">
        <v>87</v>
      </c>
      <c r="E9" s="1">
        <v>750000</v>
      </c>
      <c r="F9" s="1">
        <v>0</v>
      </c>
      <c r="H9" t="s">
        <v>2</v>
      </c>
      <c r="I9" s="5">
        <f>SUBTOTAL(109,Gastos_entrada[Valor])</f>
        <v>1575000</v>
      </c>
      <c r="K9" s="198"/>
      <c r="L9" s="150" t="s">
        <v>182</v>
      </c>
      <c r="M9" s="13">
        <f>+SUMIF(B5:B23,L9,E5:E23)</f>
        <v>6599599</v>
      </c>
      <c r="N9" s="32">
        <f>+M9/$M$7</f>
        <v>0.58256502902100438</v>
      </c>
    </row>
    <row r="10" spans="2:16" x14ac:dyDescent="0.2">
      <c r="B10" t="s">
        <v>183</v>
      </c>
      <c r="C10" t="s">
        <v>64</v>
      </c>
      <c r="D10" t="s">
        <v>143</v>
      </c>
      <c r="E10" s="1">
        <v>150000</v>
      </c>
      <c r="F10" s="1">
        <v>0</v>
      </c>
    </row>
    <row r="11" spans="2:16" x14ac:dyDescent="0.2">
      <c r="B11" t="s">
        <v>183</v>
      </c>
      <c r="C11" t="s">
        <v>76</v>
      </c>
      <c r="D11" t="s">
        <v>87</v>
      </c>
      <c r="E11" s="1">
        <v>400000</v>
      </c>
      <c r="F11" s="1">
        <f>+E11</f>
        <v>400000</v>
      </c>
      <c r="M11" s="40" t="s">
        <v>95</v>
      </c>
      <c r="N11" s="41" t="s">
        <v>93</v>
      </c>
    </row>
    <row r="12" spans="2:16" x14ac:dyDescent="0.2">
      <c r="B12" t="s">
        <v>183</v>
      </c>
      <c r="C12" t="s">
        <v>151</v>
      </c>
      <c r="D12" t="s">
        <v>87</v>
      </c>
      <c r="E12" s="1">
        <v>370000</v>
      </c>
      <c r="F12" s="1">
        <v>0</v>
      </c>
      <c r="L12" s="42" t="s">
        <v>89</v>
      </c>
      <c r="M12" s="39">
        <f>+M15/K5</f>
        <v>0.15604583120339255</v>
      </c>
      <c r="N12" s="38">
        <f>+M7/K5</f>
        <v>0.38429742688226637</v>
      </c>
      <c r="O12" t="s">
        <v>90</v>
      </c>
    </row>
    <row r="13" spans="2:16" x14ac:dyDescent="0.2">
      <c r="B13" t="s">
        <v>183</v>
      </c>
      <c r="C13" t="s">
        <v>181</v>
      </c>
      <c r="D13" t="s">
        <v>181</v>
      </c>
      <c r="E13" s="1">
        <v>180000</v>
      </c>
      <c r="F13" s="1">
        <v>0</v>
      </c>
      <c r="L13" s="42" t="s">
        <v>91</v>
      </c>
      <c r="M13" s="39">
        <f>M15/M4</f>
        <v>0.25344352617079891</v>
      </c>
      <c r="N13" s="38">
        <f>+M7/M4</f>
        <v>0.62416082644628101</v>
      </c>
      <c r="O13" t="s">
        <v>92</v>
      </c>
    </row>
    <row r="14" spans="2:16" x14ac:dyDescent="0.2">
      <c r="B14" t="s">
        <v>183</v>
      </c>
      <c r="C14" t="s">
        <v>158</v>
      </c>
      <c r="D14" t="s">
        <v>111</v>
      </c>
      <c r="E14" s="1">
        <v>1060920</v>
      </c>
      <c r="F14" s="1">
        <f>+E14</f>
        <v>1060920</v>
      </c>
    </row>
    <row r="15" spans="2:16" x14ac:dyDescent="0.2">
      <c r="B15" t="s">
        <v>183</v>
      </c>
      <c r="C15" t="s">
        <v>162</v>
      </c>
      <c r="D15" t="s">
        <v>174</v>
      </c>
      <c r="E15" s="1">
        <v>0</v>
      </c>
      <c r="F15" s="1">
        <f>+E15</f>
        <v>0</v>
      </c>
      <c r="L15" s="40" t="s">
        <v>94</v>
      </c>
      <c r="M15" s="43">
        <f>$I$54</f>
        <v>4600000</v>
      </c>
    </row>
    <row r="16" spans="2:16" x14ac:dyDescent="0.2">
      <c r="B16" t="s">
        <v>183</v>
      </c>
      <c r="C16" t="s">
        <v>177</v>
      </c>
      <c r="D16" t="s">
        <v>179</v>
      </c>
      <c r="E16" s="1">
        <v>0</v>
      </c>
      <c r="F16" s="1">
        <v>0</v>
      </c>
      <c r="L16" t="s">
        <v>96</v>
      </c>
      <c r="M16" s="5">
        <f>+M7-M15</f>
        <v>6728519</v>
      </c>
    </row>
    <row r="17" spans="2:19" x14ac:dyDescent="0.2">
      <c r="B17" t="s">
        <v>183</v>
      </c>
      <c r="C17" t="s">
        <v>178</v>
      </c>
      <c r="D17" t="s">
        <v>180</v>
      </c>
      <c r="E17" s="1">
        <v>0</v>
      </c>
      <c r="F17" s="1">
        <v>0</v>
      </c>
    </row>
    <row r="18" spans="2:19" x14ac:dyDescent="0.2">
      <c r="B18" t="s">
        <v>182</v>
      </c>
      <c r="C18" t="s">
        <v>73</v>
      </c>
      <c r="D18" t="s">
        <v>70</v>
      </c>
      <c r="E18" s="1">
        <v>3000000</v>
      </c>
      <c r="F18" s="1">
        <v>0</v>
      </c>
    </row>
    <row r="19" spans="2:19" x14ac:dyDescent="0.2">
      <c r="B19" t="s">
        <v>182</v>
      </c>
      <c r="C19" t="s">
        <v>8</v>
      </c>
      <c r="D19" t="s">
        <v>85</v>
      </c>
      <c r="E19" s="1">
        <v>300000</v>
      </c>
      <c r="F19" s="1">
        <v>0</v>
      </c>
    </row>
    <row r="20" spans="2:19" x14ac:dyDescent="0.2">
      <c r="B20" t="s">
        <v>182</v>
      </c>
      <c r="C20" t="s">
        <v>8</v>
      </c>
      <c r="D20" t="s">
        <v>65</v>
      </c>
      <c r="E20" s="1">
        <v>350000</v>
      </c>
      <c r="F20" s="1">
        <v>0</v>
      </c>
    </row>
    <row r="21" spans="2:19" x14ac:dyDescent="0.2">
      <c r="B21" t="s">
        <v>182</v>
      </c>
      <c r="C21" t="s">
        <v>6</v>
      </c>
      <c r="D21" t="s">
        <v>66</v>
      </c>
      <c r="E21" s="1">
        <v>1350000</v>
      </c>
      <c r="F21" s="1">
        <v>100000</v>
      </c>
    </row>
    <row r="22" spans="2:19" ht="15" thickBot="1" x14ac:dyDescent="0.25">
      <c r="B22" t="s">
        <v>182</v>
      </c>
      <c r="C22" t="s">
        <v>68</v>
      </c>
      <c r="D22" t="s">
        <v>69</v>
      </c>
      <c r="E22" s="1">
        <v>0</v>
      </c>
      <c r="F22" s="57">
        <v>0</v>
      </c>
      <c r="S22" s="1"/>
    </row>
    <row r="23" spans="2:19" ht="15" thickTop="1" x14ac:dyDescent="0.2">
      <c r="B23" t="s">
        <v>182</v>
      </c>
      <c r="C23" t="s">
        <v>5</v>
      </c>
      <c r="D23" t="s">
        <v>67</v>
      </c>
      <c r="E23" s="1">
        <v>1599599</v>
      </c>
      <c r="F23" s="58">
        <f>+SUM(F5:F22)</f>
        <v>1560920</v>
      </c>
      <c r="S23" s="1"/>
    </row>
    <row r="24" spans="2:19" x14ac:dyDescent="0.2">
      <c r="B24" t="s">
        <v>83</v>
      </c>
      <c r="E24" s="1">
        <v>11328519</v>
      </c>
      <c r="S24" s="1"/>
    </row>
    <row r="25" spans="2:19" x14ac:dyDescent="0.2">
      <c r="E25" s="1"/>
      <c r="S25" s="1"/>
    </row>
    <row r="26" spans="2:19" x14ac:dyDescent="0.2">
      <c r="E26" s="1"/>
      <c r="S26" s="1"/>
    </row>
    <row r="27" spans="2:19" x14ac:dyDescent="0.2">
      <c r="E27" s="1"/>
      <c r="S27" s="1"/>
    </row>
    <row r="28" spans="2:19" x14ac:dyDescent="0.2">
      <c r="E28" s="1"/>
      <c r="S28" s="1"/>
    </row>
    <row r="29" spans="2:19" x14ac:dyDescent="0.2">
      <c r="E29" s="1"/>
      <c r="S29" s="1"/>
    </row>
    <row r="34" spans="2:12" x14ac:dyDescent="0.2">
      <c r="B34" s="3" t="s">
        <v>27</v>
      </c>
      <c r="C34" s="3" t="s">
        <v>56</v>
      </c>
      <c r="D34" s="3" t="s">
        <v>1</v>
      </c>
      <c r="H34" s="9" t="s">
        <v>60</v>
      </c>
      <c r="I34" s="9" t="s">
        <v>1</v>
      </c>
    </row>
    <row r="35" spans="2:12" x14ac:dyDescent="0.2">
      <c r="B35" t="s">
        <v>25</v>
      </c>
      <c r="C35" s="2" t="s">
        <v>58</v>
      </c>
      <c r="D35" s="18">
        <v>10000000</v>
      </c>
      <c r="H35" s="10" t="s">
        <v>29</v>
      </c>
      <c r="I35" s="19">
        <v>200000</v>
      </c>
    </row>
    <row r="36" spans="2:12" x14ac:dyDescent="0.2">
      <c r="B36" t="s">
        <v>62</v>
      </c>
      <c r="C36" s="2" t="s">
        <v>63</v>
      </c>
      <c r="D36" s="18">
        <v>1800000</v>
      </c>
      <c r="H36" s="10" t="s">
        <v>31</v>
      </c>
      <c r="I36" s="19">
        <f>50*20000</f>
        <v>1000000</v>
      </c>
      <c r="K36" t="s">
        <v>152</v>
      </c>
    </row>
    <row r="37" spans="2:12" x14ac:dyDescent="0.2">
      <c r="B37" t="s">
        <v>4</v>
      </c>
      <c r="C37" s="2" t="s">
        <v>57</v>
      </c>
      <c r="D37" s="18">
        <v>600000</v>
      </c>
      <c r="H37" s="10" t="s">
        <v>153</v>
      </c>
      <c r="I37" s="19">
        <v>0</v>
      </c>
      <c r="K37" t="s">
        <v>154</v>
      </c>
    </row>
    <row r="38" spans="2:12" x14ac:dyDescent="0.2">
      <c r="B38" t="s">
        <v>19</v>
      </c>
      <c r="C38" s="2" t="s">
        <v>57</v>
      </c>
      <c r="D38" s="18">
        <v>600000</v>
      </c>
      <c r="H38" s="10" t="s">
        <v>54</v>
      </c>
      <c r="I38" s="19">
        <v>280000</v>
      </c>
      <c r="K38" t="s">
        <v>155</v>
      </c>
    </row>
    <row r="39" spans="2:12" x14ac:dyDescent="0.2">
      <c r="B39" t="s">
        <v>3</v>
      </c>
      <c r="C39" s="2" t="s">
        <v>57</v>
      </c>
      <c r="D39" s="18">
        <v>500000</v>
      </c>
      <c r="H39" s="10" t="s">
        <v>28</v>
      </c>
      <c r="I39" s="19">
        <v>300000</v>
      </c>
      <c r="K39" t="s">
        <v>156</v>
      </c>
    </row>
    <row r="40" spans="2:12" x14ac:dyDescent="0.2">
      <c r="B40" t="s">
        <v>21</v>
      </c>
      <c r="C40" s="2" t="s">
        <v>58</v>
      </c>
      <c r="D40" s="18">
        <v>480000</v>
      </c>
      <c r="H40" s="10" t="s">
        <v>30</v>
      </c>
      <c r="I40" s="19">
        <v>0</v>
      </c>
    </row>
    <row r="41" spans="2:12" x14ac:dyDescent="0.2">
      <c r="B41" t="s">
        <v>26</v>
      </c>
      <c r="C41" s="2" t="s">
        <v>58</v>
      </c>
      <c r="D41" s="18">
        <v>320000</v>
      </c>
      <c r="H41" s="11" t="s">
        <v>35</v>
      </c>
      <c r="I41" s="20">
        <v>200000</v>
      </c>
      <c r="K41" t="s">
        <v>157</v>
      </c>
      <c r="L41" s="59">
        <v>200000</v>
      </c>
    </row>
    <row r="42" spans="2:12" ht="15" thickBot="1" x14ac:dyDescent="0.25">
      <c r="B42" t="s">
        <v>184</v>
      </c>
      <c r="C42" s="2" t="s">
        <v>58</v>
      </c>
      <c r="D42" s="18">
        <v>200000</v>
      </c>
      <c r="H42" s="17" t="s">
        <v>75</v>
      </c>
      <c r="I42" s="21">
        <v>150000</v>
      </c>
    </row>
    <row r="43" spans="2:12" ht="15" thickTop="1" x14ac:dyDescent="0.2">
      <c r="B43" t="s">
        <v>59</v>
      </c>
      <c r="C43" s="2" t="s">
        <v>57</v>
      </c>
      <c r="D43" s="18">
        <v>200000</v>
      </c>
      <c r="H43" t="s">
        <v>2</v>
      </c>
      <c r="I43" s="1">
        <f>SUBTOTAL(109,Stock_Actual[Valor])</f>
        <v>2130000</v>
      </c>
    </row>
    <row r="44" spans="2:12" x14ac:dyDescent="0.2">
      <c r="B44" t="s">
        <v>17</v>
      </c>
      <c r="C44" s="2" t="s">
        <v>57</v>
      </c>
      <c r="D44" s="18">
        <v>200000</v>
      </c>
    </row>
    <row r="45" spans="2:12" x14ac:dyDescent="0.2">
      <c r="B45" t="s">
        <v>10</v>
      </c>
      <c r="C45" s="2" t="s">
        <v>57</v>
      </c>
      <c r="D45" s="18">
        <v>200000</v>
      </c>
    </row>
    <row r="46" spans="2:12" x14ac:dyDescent="0.2">
      <c r="B46" t="s">
        <v>23</v>
      </c>
      <c r="C46" s="2" t="s">
        <v>57</v>
      </c>
      <c r="D46" s="18">
        <v>150000</v>
      </c>
      <c r="H46" s="9" t="s">
        <v>60</v>
      </c>
      <c r="I46" s="9" t="s">
        <v>1</v>
      </c>
    </row>
    <row r="47" spans="2:12" x14ac:dyDescent="0.2">
      <c r="B47" t="s">
        <v>20</v>
      </c>
      <c r="C47" s="2" t="s">
        <v>58</v>
      </c>
      <c r="D47" s="18">
        <v>120000</v>
      </c>
      <c r="H47" s="10" t="s">
        <v>29</v>
      </c>
      <c r="I47" s="19">
        <v>1500000</v>
      </c>
    </row>
    <row r="48" spans="2:12" x14ac:dyDescent="0.2">
      <c r="B48" t="s">
        <v>13</v>
      </c>
      <c r="C48" s="2" t="s">
        <v>57</v>
      </c>
      <c r="D48" s="18">
        <v>120000</v>
      </c>
      <c r="H48" s="10" t="s">
        <v>31</v>
      </c>
      <c r="I48" s="19">
        <f>50*20000</f>
        <v>1000000</v>
      </c>
    </row>
    <row r="49" spans="2:13" x14ac:dyDescent="0.2">
      <c r="B49" t="s">
        <v>16</v>
      </c>
      <c r="C49" s="2" t="s">
        <v>57</v>
      </c>
      <c r="D49" s="18">
        <v>100000</v>
      </c>
      <c r="H49" s="10" t="s">
        <v>54</v>
      </c>
      <c r="I49" s="19">
        <v>800000</v>
      </c>
      <c r="K49" t="s">
        <v>150</v>
      </c>
      <c r="M49" t="s">
        <v>149</v>
      </c>
    </row>
    <row r="50" spans="2:13" x14ac:dyDescent="0.2">
      <c r="B50" t="s">
        <v>14</v>
      </c>
      <c r="C50" s="2" t="s">
        <v>57</v>
      </c>
      <c r="D50" s="18">
        <v>90000</v>
      </c>
      <c r="H50" s="10" t="s">
        <v>28</v>
      </c>
      <c r="I50" s="19">
        <v>300000</v>
      </c>
      <c r="M50" t="s">
        <v>148</v>
      </c>
    </row>
    <row r="51" spans="2:13" x14ac:dyDescent="0.2">
      <c r="B51" t="s">
        <v>32</v>
      </c>
      <c r="C51" s="2" t="s">
        <v>58</v>
      </c>
      <c r="D51" s="18">
        <v>70000</v>
      </c>
      <c r="H51" s="10" t="s">
        <v>30</v>
      </c>
      <c r="I51" s="19">
        <v>500000</v>
      </c>
    </row>
    <row r="52" spans="2:13" x14ac:dyDescent="0.2">
      <c r="B52" t="s">
        <v>12</v>
      </c>
      <c r="C52" s="2" t="s">
        <v>57</v>
      </c>
      <c r="D52" s="18">
        <v>70000</v>
      </c>
      <c r="H52" s="11" t="s">
        <v>35</v>
      </c>
      <c r="I52" s="20">
        <v>200000</v>
      </c>
    </row>
    <row r="53" spans="2:13" ht="15" thickBot="1" x14ac:dyDescent="0.25">
      <c r="B53" t="s">
        <v>18</v>
      </c>
      <c r="C53" s="2" t="s">
        <v>57</v>
      </c>
      <c r="D53" s="18">
        <f>35000*2</f>
        <v>70000</v>
      </c>
      <c r="H53" s="17" t="s">
        <v>75</v>
      </c>
      <c r="I53" s="21">
        <v>300000</v>
      </c>
    </row>
    <row r="54" spans="2:13" ht="15" thickTop="1" x14ac:dyDescent="0.2">
      <c r="B54" t="s">
        <v>24</v>
      </c>
      <c r="C54" s="2" t="s">
        <v>57</v>
      </c>
      <c r="D54" s="18">
        <v>70000</v>
      </c>
      <c r="H54" t="s">
        <v>2</v>
      </c>
      <c r="I54" s="1">
        <f>SUBTOTAL(109,Stock_Ideal[Valor])</f>
        <v>4600000</v>
      </c>
    </row>
    <row r="55" spans="2:13" x14ac:dyDescent="0.2">
      <c r="B55" t="s">
        <v>15</v>
      </c>
      <c r="C55" s="2" t="s">
        <v>57</v>
      </c>
      <c r="D55" s="18">
        <v>60000</v>
      </c>
    </row>
    <row r="56" spans="2:13" x14ac:dyDescent="0.2">
      <c r="B56" t="s">
        <v>2</v>
      </c>
      <c r="D56" s="1">
        <f>SUBTOTAL(109,Planta_y_Equipo[Valor])</f>
        <v>16020000</v>
      </c>
    </row>
  </sheetData>
  <mergeCells count="1">
    <mergeCell ref="K5:K9"/>
  </mergeCells>
  <phoneticPr fontId="15" type="noConversion"/>
  <pageMargins left="0.7" right="0.7" top="0.75" bottom="0.75" header="0.3" footer="0.3"/>
  <pageSetup orientation="portrait" verticalDpi="0" r:id="rId2"/>
  <drawing r:id="rId3"/>
  <legacyDrawing r:id="rId4"/>
  <tableParts count="4">
    <tablePart r:id="rId5"/>
    <tablePart r:id="rId6"/>
    <tablePart r:id="rId7"/>
    <tablePart r:id="rId8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6" tint="0.39997558519241921"/>
  </sheetPr>
  <dimension ref="A2:AR26"/>
  <sheetViews>
    <sheetView showGridLines="0" topLeftCell="H1" zoomScale="70" zoomScaleNormal="70" workbookViewId="0"/>
  </sheetViews>
  <sheetFormatPr baseColWidth="10" defaultRowHeight="14.25" outlineLevelCol="1" x14ac:dyDescent="0.2"/>
  <cols>
    <col min="1" max="1" width="12.5" hidden="1" customWidth="1" outlineLevel="1"/>
    <col min="2" max="2" width="14.75" hidden="1" customWidth="1" outlineLevel="1"/>
    <col min="3" max="3" width="7.875" hidden="1" customWidth="1" outlineLevel="1"/>
    <col min="4" max="4" width="10" hidden="1" customWidth="1" outlineLevel="1"/>
    <col min="5" max="5" width="11.375" hidden="1" customWidth="1" outlineLevel="1"/>
    <col min="6" max="6" width="9" hidden="1" customWidth="1" outlineLevel="1"/>
    <col min="7" max="7" width="9.125" hidden="1" customWidth="1" outlineLevel="1"/>
    <col min="8" max="8" width="11" collapsed="1"/>
    <col min="20" max="20" width="8.125" customWidth="1"/>
    <col min="21" max="21" width="6" customWidth="1"/>
    <col min="22" max="22" width="11.375" customWidth="1"/>
    <col min="23" max="23" width="12.625" bestFit="1" customWidth="1"/>
    <col min="24" max="25" width="17.25" bestFit="1" customWidth="1"/>
    <col min="26" max="26" width="9" bestFit="1" customWidth="1"/>
    <col min="27" max="27" width="15" bestFit="1" customWidth="1"/>
    <col min="28" max="28" width="21.875" bestFit="1" customWidth="1"/>
    <col min="29" max="29" width="17.125" bestFit="1" customWidth="1"/>
    <col min="30" max="30" width="13.375" bestFit="1" customWidth="1"/>
    <col min="32" max="32" width="12.375" bestFit="1" customWidth="1"/>
    <col min="37" max="37" width="7.625" bestFit="1" customWidth="1"/>
    <col min="38" max="39" width="11.375" bestFit="1" customWidth="1"/>
    <col min="40" max="40" width="10.125" bestFit="1" customWidth="1"/>
    <col min="44" max="44" width="10.25" bestFit="1" customWidth="1"/>
    <col min="45" max="45" width="7.625" bestFit="1" customWidth="1"/>
    <col min="46" max="47" width="9" bestFit="1" customWidth="1"/>
    <col min="48" max="48" width="13.375" bestFit="1" customWidth="1"/>
  </cols>
  <sheetData>
    <row r="2" spans="1:44" ht="15" thickBot="1" x14ac:dyDescent="0.25">
      <c r="A2" s="15" t="s">
        <v>47</v>
      </c>
      <c r="B2" t="s">
        <v>109</v>
      </c>
      <c r="W2" s="192" t="s">
        <v>48</v>
      </c>
      <c r="X2" t="s">
        <v>100</v>
      </c>
      <c r="AQ2" s="15" t="s">
        <v>47</v>
      </c>
      <c r="AR2" t="s">
        <v>109</v>
      </c>
    </row>
    <row r="3" spans="1:44" x14ac:dyDescent="0.2">
      <c r="W3" s="1">
        <v>3144000</v>
      </c>
      <c r="X3" s="1">
        <v>13322.033898305084</v>
      </c>
      <c r="AD3" s="44"/>
      <c r="AF3" s="1"/>
    </row>
    <row r="4" spans="1:44" x14ac:dyDescent="0.2">
      <c r="A4" s="15" t="s">
        <v>38</v>
      </c>
      <c r="B4" s="15" t="s">
        <v>39</v>
      </c>
      <c r="C4" t="s">
        <v>48</v>
      </c>
      <c r="AD4" s="37"/>
      <c r="AE4" s="37"/>
      <c r="AJ4" s="15" t="s">
        <v>38</v>
      </c>
      <c r="AK4" s="15" t="s">
        <v>39</v>
      </c>
      <c r="AL4" t="s">
        <v>48</v>
      </c>
      <c r="AQ4" s="15" t="s">
        <v>38</v>
      </c>
      <c r="AR4" s="15" t="s">
        <v>39</v>
      </c>
    </row>
    <row r="5" spans="1:44" ht="15" thickBot="1" x14ac:dyDescent="0.25">
      <c r="A5" s="14">
        <v>46076</v>
      </c>
      <c r="B5" t="s">
        <v>164</v>
      </c>
      <c r="C5" s="1">
        <v>224000</v>
      </c>
      <c r="AJ5" s="14">
        <v>46076</v>
      </c>
      <c r="AK5" t="s">
        <v>164</v>
      </c>
      <c r="AL5" s="1">
        <v>224000</v>
      </c>
      <c r="AQ5" s="14">
        <v>46076</v>
      </c>
      <c r="AR5" t="s">
        <v>164</v>
      </c>
    </row>
    <row r="6" spans="1:44" ht="15" thickBot="1" x14ac:dyDescent="0.25">
      <c r="A6" s="14">
        <v>46077</v>
      </c>
      <c r="B6" t="s">
        <v>165</v>
      </c>
      <c r="C6" s="1">
        <v>221000</v>
      </c>
      <c r="W6" s="16" t="s">
        <v>101</v>
      </c>
      <c r="X6" s="49" t="s">
        <v>98</v>
      </c>
      <c r="Y6" s="49" t="s">
        <v>46</v>
      </c>
      <c r="Z6" s="49" t="s">
        <v>97</v>
      </c>
      <c r="AA6" s="49" t="s">
        <v>102</v>
      </c>
      <c r="AB6" s="49" t="s">
        <v>103</v>
      </c>
      <c r="AC6" s="49" t="s">
        <v>105</v>
      </c>
      <c r="AD6" s="49" t="s">
        <v>104</v>
      </c>
      <c r="AJ6" s="14">
        <v>46077</v>
      </c>
      <c r="AK6" t="s">
        <v>165</v>
      </c>
      <c r="AL6" s="1">
        <v>221000</v>
      </c>
      <c r="AQ6" s="14">
        <v>46077</v>
      </c>
      <c r="AR6" t="s">
        <v>165</v>
      </c>
    </row>
    <row r="7" spans="1:44" ht="15" thickBot="1" x14ac:dyDescent="0.25">
      <c r="A7" s="14">
        <v>46078</v>
      </c>
      <c r="B7" t="s">
        <v>166</v>
      </c>
      <c r="C7" s="1">
        <v>390500</v>
      </c>
      <c r="W7" s="45" t="s">
        <v>51</v>
      </c>
      <c r="X7" s="199">
        <f>+SUBTOTAL(3,B5:B1048576)</f>
        <v>22</v>
      </c>
      <c r="Y7" s="199"/>
      <c r="Z7" s="199"/>
      <c r="AJ7" s="14">
        <v>46078</v>
      </c>
      <c r="AK7" t="s">
        <v>166</v>
      </c>
      <c r="AL7" s="1">
        <v>390500</v>
      </c>
      <c r="AQ7" s="14">
        <v>46078</v>
      </c>
      <c r="AR7" t="s">
        <v>166</v>
      </c>
    </row>
    <row r="8" spans="1:44" ht="15" thickBot="1" x14ac:dyDescent="0.25">
      <c r="A8" s="14">
        <v>46079</v>
      </c>
      <c r="B8" t="s">
        <v>167</v>
      </c>
      <c r="C8" s="1">
        <v>209000</v>
      </c>
      <c r="W8" s="45" t="s">
        <v>52</v>
      </c>
      <c r="X8" s="16">
        <f>+SUBTOTAL(9,D5:D1048576)/SUBTOTAL(3,B5:B1048576)</f>
        <v>0</v>
      </c>
      <c r="Y8" s="16">
        <f>+SUBTOTAL(9,E5:E1048576)/SUBTOTAL(3,B5:B1048576)</f>
        <v>0</v>
      </c>
      <c r="Z8" s="16">
        <f>+SUBTOTAL(9,F5:F1048576)/SUBTOTAL(3,B5:B1048576)</f>
        <v>0</v>
      </c>
      <c r="AA8" s="50">
        <f>+Y8-Z8</f>
        <v>0</v>
      </c>
      <c r="AB8" s="50">
        <f>+AB9/30</f>
        <v>53333.333333333336</v>
      </c>
      <c r="AC8" s="50">
        <f>+AB8+Z8</f>
        <v>53333.333333333336</v>
      </c>
      <c r="AD8" s="50">
        <f>+AD9/30</f>
        <v>177777.77777777778</v>
      </c>
      <c r="AF8">
        <v>143241</v>
      </c>
      <c r="AJ8" s="14">
        <v>46079</v>
      </c>
      <c r="AK8" t="s">
        <v>167</v>
      </c>
      <c r="AL8" s="1">
        <v>209000</v>
      </c>
      <c r="AQ8" s="14">
        <v>46079</v>
      </c>
      <c r="AR8" t="s">
        <v>167</v>
      </c>
    </row>
    <row r="9" spans="1:44" x14ac:dyDescent="0.2">
      <c r="A9" s="14">
        <v>46080</v>
      </c>
      <c r="B9" t="s">
        <v>168</v>
      </c>
      <c r="C9" s="1">
        <v>248000</v>
      </c>
      <c r="W9" s="45" t="s">
        <v>50</v>
      </c>
      <c r="X9" s="16">
        <f>+X8*30</f>
        <v>0</v>
      </c>
      <c r="Y9" s="16">
        <f>+Y8*30</f>
        <v>0</v>
      </c>
      <c r="Z9" s="16">
        <f>+Z8*30</f>
        <v>0</v>
      </c>
      <c r="AA9" s="50">
        <f>+AA8*30</f>
        <v>0</v>
      </c>
      <c r="AB9" s="50">
        <f>+(20000*30)+1000000</f>
        <v>1600000</v>
      </c>
      <c r="AC9" s="50">
        <f>+AB9+Z9</f>
        <v>1600000</v>
      </c>
      <c r="AD9" s="50">
        <f>(AC9*100)/30</f>
        <v>5333333.333333333</v>
      </c>
      <c r="AF9" s="1">
        <v>174333.33333333334</v>
      </c>
      <c r="AG9" s="37">
        <f>+AF9/AF8</f>
        <v>1.2170630848244102</v>
      </c>
      <c r="AH9" s="1">
        <f>+AF9-AF8</f>
        <v>31092.333333333343</v>
      </c>
      <c r="AJ9" s="14">
        <v>46080</v>
      </c>
      <c r="AK9" t="s">
        <v>168</v>
      </c>
      <c r="AL9" s="1">
        <v>248000</v>
      </c>
      <c r="AQ9" s="14">
        <v>46080</v>
      </c>
      <c r="AR9" t="s">
        <v>168</v>
      </c>
    </row>
    <row r="10" spans="1:44" ht="15" thickBot="1" x14ac:dyDescent="0.25">
      <c r="A10" s="14">
        <v>46081</v>
      </c>
      <c r="B10" t="s">
        <v>169</v>
      </c>
      <c r="C10" s="1">
        <v>503500</v>
      </c>
      <c r="AD10" s="1"/>
      <c r="AJ10" s="14">
        <v>46081</v>
      </c>
      <c r="AK10" t="s">
        <v>169</v>
      </c>
      <c r="AL10" s="1">
        <v>503500</v>
      </c>
      <c r="AQ10" s="14">
        <v>46081</v>
      </c>
      <c r="AR10" t="s">
        <v>169</v>
      </c>
    </row>
    <row r="11" spans="1:44" ht="15" thickBot="1" x14ac:dyDescent="0.25">
      <c r="A11" s="14">
        <v>46068</v>
      </c>
      <c r="B11" t="s">
        <v>163</v>
      </c>
      <c r="C11" s="1">
        <v>0</v>
      </c>
      <c r="X11" s="47" t="s">
        <v>98</v>
      </c>
      <c r="Y11" s="47" t="s">
        <v>46</v>
      </c>
      <c r="Z11" s="47" t="s">
        <v>97</v>
      </c>
      <c r="AA11" s="48" t="s">
        <v>99</v>
      </c>
      <c r="AB11" s="49" t="s">
        <v>108</v>
      </c>
      <c r="AC11" s="49" t="s">
        <v>106</v>
      </c>
      <c r="AD11" s="49" t="s">
        <v>107</v>
      </c>
      <c r="AJ11" s="14">
        <v>46068</v>
      </c>
      <c r="AK11" t="s">
        <v>163</v>
      </c>
      <c r="AL11" s="1">
        <v>0</v>
      </c>
      <c r="AQ11" s="14">
        <v>46068</v>
      </c>
      <c r="AR11" t="s">
        <v>163</v>
      </c>
    </row>
    <row r="12" spans="1:44" ht="15" thickBot="1" x14ac:dyDescent="0.25">
      <c r="A12" s="14">
        <v>46069</v>
      </c>
      <c r="B12" t="s">
        <v>164</v>
      </c>
      <c r="C12" s="1">
        <v>0</v>
      </c>
      <c r="W12" s="49" t="s">
        <v>42</v>
      </c>
      <c r="X12" s="16" t="e">
        <f t="shared" ref="X12:X18" si="0">+AVERAGEIF($C$5:$C$1048576,$W12,$D$5:$D$1048576)</f>
        <v>#DIV/0!</v>
      </c>
      <c r="Y12" s="16" t="e">
        <f>+AVERAGEIF($C$5:$C$1048576,W12,$E$5:$E$1048576)</f>
        <v>#DIV/0!</v>
      </c>
      <c r="Z12" s="16" t="e">
        <f>+AVERAGEIF($C$5:$C$1048576,W12,$F$5:$F$1048576)</f>
        <v>#DIV/0!</v>
      </c>
      <c r="AA12" s="46" t="e">
        <f>+Y12-Z12</f>
        <v>#DIV/0!</v>
      </c>
      <c r="AB12" s="51" t="e">
        <f t="shared" ref="AB12:AB18" si="1">+X12/$X$20</f>
        <v>#DIV/0!</v>
      </c>
      <c r="AC12" s="5" t="e">
        <f>+AB12*$AD$8</f>
        <v>#DIV/0!</v>
      </c>
      <c r="AD12" s="37" t="e">
        <f t="shared" ref="AD12:AD18" si="2">+AC12/X12-1</f>
        <v>#DIV/0!</v>
      </c>
      <c r="AJ12" s="14">
        <v>46069</v>
      </c>
      <c r="AK12" t="s">
        <v>164</v>
      </c>
      <c r="AL12" s="1">
        <v>0</v>
      </c>
      <c r="AQ12" s="14">
        <v>46069</v>
      </c>
      <c r="AR12" t="s">
        <v>164</v>
      </c>
    </row>
    <row r="13" spans="1:44" ht="15" thickBot="1" x14ac:dyDescent="0.25">
      <c r="A13" s="14">
        <v>46070</v>
      </c>
      <c r="B13" t="s">
        <v>165</v>
      </c>
      <c r="C13" s="1">
        <v>0</v>
      </c>
      <c r="W13" s="49" t="s">
        <v>43</v>
      </c>
      <c r="X13" s="16" t="e">
        <f t="shared" si="0"/>
        <v>#DIV/0!</v>
      </c>
      <c r="Y13" s="16" t="e">
        <f t="shared" ref="Y13:Y18" si="3">+AVERAGEIF($C$5:$C$1048576,W13,$E$5:$E$1048576)</f>
        <v>#DIV/0!</v>
      </c>
      <c r="Z13" s="16" t="e">
        <f t="shared" ref="Z13:Z18" si="4">+AVERAGEIF($C$5:$C$1048576,W13,$F$5:$F$1048576)</f>
        <v>#DIV/0!</v>
      </c>
      <c r="AA13" s="46" t="e">
        <f t="shared" ref="AA13:AA18" si="5">+Y13-Z13</f>
        <v>#DIV/0!</v>
      </c>
      <c r="AB13" s="51" t="e">
        <f t="shared" si="1"/>
        <v>#DIV/0!</v>
      </c>
      <c r="AC13" s="5" t="e">
        <f t="shared" ref="AC13:AC18" si="6">+AB13*$AD$8</f>
        <v>#DIV/0!</v>
      </c>
      <c r="AD13" s="37" t="e">
        <f t="shared" si="2"/>
        <v>#DIV/0!</v>
      </c>
      <c r="AJ13" s="14">
        <v>46070</v>
      </c>
      <c r="AK13" t="s">
        <v>165</v>
      </c>
      <c r="AL13" s="1">
        <v>0</v>
      </c>
      <c r="AQ13" s="14">
        <v>46070</v>
      </c>
      <c r="AR13" t="s">
        <v>165</v>
      </c>
    </row>
    <row r="14" spans="1:44" ht="15" thickBot="1" x14ac:dyDescent="0.25">
      <c r="A14" s="14">
        <v>46071</v>
      </c>
      <c r="B14" t="s">
        <v>166</v>
      </c>
      <c r="C14" s="1">
        <v>0</v>
      </c>
      <c r="W14" s="49" t="s">
        <v>44</v>
      </c>
      <c r="X14" s="16" t="e">
        <f t="shared" si="0"/>
        <v>#DIV/0!</v>
      </c>
      <c r="Y14" s="16" t="e">
        <f t="shared" si="3"/>
        <v>#DIV/0!</v>
      </c>
      <c r="Z14" s="16" t="e">
        <f t="shared" si="4"/>
        <v>#DIV/0!</v>
      </c>
      <c r="AA14" s="46" t="e">
        <f t="shared" si="5"/>
        <v>#DIV/0!</v>
      </c>
      <c r="AB14" s="51" t="e">
        <f t="shared" si="1"/>
        <v>#DIV/0!</v>
      </c>
      <c r="AC14" s="5" t="e">
        <f t="shared" si="6"/>
        <v>#DIV/0!</v>
      </c>
      <c r="AD14" s="37" t="e">
        <f t="shared" si="2"/>
        <v>#DIV/0!</v>
      </c>
      <c r="AJ14" s="14">
        <v>46071</v>
      </c>
      <c r="AK14" t="s">
        <v>166</v>
      </c>
      <c r="AL14" s="1">
        <v>0</v>
      </c>
      <c r="AQ14" s="14">
        <v>46071</v>
      </c>
      <c r="AR14" t="s">
        <v>166</v>
      </c>
    </row>
    <row r="15" spans="1:44" ht="15" thickBot="1" x14ac:dyDescent="0.25">
      <c r="A15" s="14">
        <v>46072</v>
      </c>
      <c r="B15" t="s">
        <v>167</v>
      </c>
      <c r="C15" s="1">
        <v>0</v>
      </c>
      <c r="W15" s="49" t="s">
        <v>37</v>
      </c>
      <c r="X15" s="16" t="e">
        <f t="shared" si="0"/>
        <v>#DIV/0!</v>
      </c>
      <c r="Y15" s="16" t="e">
        <f t="shared" si="3"/>
        <v>#DIV/0!</v>
      </c>
      <c r="Z15" s="16" t="e">
        <f t="shared" si="4"/>
        <v>#DIV/0!</v>
      </c>
      <c r="AA15" s="46" t="e">
        <f t="shared" si="5"/>
        <v>#DIV/0!</v>
      </c>
      <c r="AB15" s="51" t="e">
        <f t="shared" si="1"/>
        <v>#DIV/0!</v>
      </c>
      <c r="AC15" s="5" t="e">
        <f t="shared" si="6"/>
        <v>#DIV/0!</v>
      </c>
      <c r="AD15" s="37" t="e">
        <f t="shared" si="2"/>
        <v>#DIV/0!</v>
      </c>
      <c r="AJ15" s="14">
        <v>46072</v>
      </c>
      <c r="AK15" t="s">
        <v>167</v>
      </c>
      <c r="AL15" s="1">
        <v>0</v>
      </c>
      <c r="AQ15" s="14">
        <v>46072</v>
      </c>
      <c r="AR15" t="s">
        <v>167</v>
      </c>
    </row>
    <row r="16" spans="1:44" ht="15" thickBot="1" x14ac:dyDescent="0.25">
      <c r="A16" s="14">
        <v>46073</v>
      </c>
      <c r="B16" t="s">
        <v>168</v>
      </c>
      <c r="C16" s="1">
        <v>0</v>
      </c>
      <c r="W16" s="49" t="s">
        <v>45</v>
      </c>
      <c r="X16" s="16" t="e">
        <f t="shared" si="0"/>
        <v>#DIV/0!</v>
      </c>
      <c r="Y16" s="16" t="e">
        <f t="shared" si="3"/>
        <v>#DIV/0!</v>
      </c>
      <c r="Z16" s="16" t="e">
        <f t="shared" si="4"/>
        <v>#DIV/0!</v>
      </c>
      <c r="AA16" s="46" t="e">
        <f t="shared" si="5"/>
        <v>#DIV/0!</v>
      </c>
      <c r="AB16" s="51" t="e">
        <f t="shared" si="1"/>
        <v>#DIV/0!</v>
      </c>
      <c r="AC16" s="5" t="e">
        <f t="shared" si="6"/>
        <v>#DIV/0!</v>
      </c>
      <c r="AD16" s="37" t="e">
        <f t="shared" si="2"/>
        <v>#DIV/0!</v>
      </c>
      <c r="AJ16" s="14">
        <v>46073</v>
      </c>
      <c r="AK16" t="s">
        <v>168</v>
      </c>
      <c r="AL16" s="1">
        <v>0</v>
      </c>
      <c r="AQ16" s="14">
        <v>46073</v>
      </c>
      <c r="AR16" t="s">
        <v>168</v>
      </c>
    </row>
    <row r="17" spans="1:44" ht="15" thickBot="1" x14ac:dyDescent="0.25">
      <c r="A17" s="14">
        <v>46074</v>
      </c>
      <c r="B17" t="s">
        <v>169</v>
      </c>
      <c r="C17" s="1">
        <v>0</v>
      </c>
      <c r="W17" s="49" t="s">
        <v>40</v>
      </c>
      <c r="X17" s="16" t="e">
        <f t="shared" si="0"/>
        <v>#DIV/0!</v>
      </c>
      <c r="Y17" s="16" t="e">
        <f t="shared" si="3"/>
        <v>#DIV/0!</v>
      </c>
      <c r="Z17" s="16" t="e">
        <f t="shared" si="4"/>
        <v>#DIV/0!</v>
      </c>
      <c r="AA17" s="46" t="e">
        <f t="shared" si="5"/>
        <v>#DIV/0!</v>
      </c>
      <c r="AB17" s="51" t="e">
        <f t="shared" si="1"/>
        <v>#DIV/0!</v>
      </c>
      <c r="AC17" s="5" t="e">
        <f t="shared" si="6"/>
        <v>#DIV/0!</v>
      </c>
      <c r="AD17" s="37" t="e">
        <f t="shared" si="2"/>
        <v>#DIV/0!</v>
      </c>
      <c r="AJ17" s="14">
        <v>46074</v>
      </c>
      <c r="AK17" t="s">
        <v>169</v>
      </c>
      <c r="AL17" s="1">
        <v>0</v>
      </c>
      <c r="AQ17" s="14">
        <v>46074</v>
      </c>
      <c r="AR17" t="s">
        <v>169</v>
      </c>
    </row>
    <row r="18" spans="1:44" x14ac:dyDescent="0.2">
      <c r="A18" s="14">
        <v>46075</v>
      </c>
      <c r="B18" t="s">
        <v>163</v>
      </c>
      <c r="C18" s="1">
        <v>0</v>
      </c>
      <c r="W18" s="49" t="s">
        <v>41</v>
      </c>
      <c r="X18" s="16" t="e">
        <f t="shared" si="0"/>
        <v>#DIV/0!</v>
      </c>
      <c r="Y18" s="16" t="e">
        <f t="shared" si="3"/>
        <v>#DIV/0!</v>
      </c>
      <c r="Z18" s="16" t="e">
        <f t="shared" si="4"/>
        <v>#DIV/0!</v>
      </c>
      <c r="AA18" s="46" t="e">
        <f t="shared" si="5"/>
        <v>#DIV/0!</v>
      </c>
      <c r="AB18" s="51" t="e">
        <f t="shared" si="1"/>
        <v>#DIV/0!</v>
      </c>
      <c r="AC18" s="5" t="e">
        <f t="shared" si="6"/>
        <v>#DIV/0!</v>
      </c>
      <c r="AD18" s="37" t="e">
        <f t="shared" si="2"/>
        <v>#DIV/0!</v>
      </c>
      <c r="AJ18" s="14">
        <v>46075</v>
      </c>
      <c r="AK18" t="s">
        <v>163</v>
      </c>
      <c r="AL18" s="1">
        <v>0</v>
      </c>
      <c r="AQ18" s="14">
        <v>46075</v>
      </c>
      <c r="AR18" t="s">
        <v>163</v>
      </c>
    </row>
    <row r="19" spans="1:44" x14ac:dyDescent="0.2">
      <c r="A19" s="14">
        <v>46082</v>
      </c>
      <c r="B19" t="s">
        <v>163</v>
      </c>
      <c r="C19" s="1">
        <v>0</v>
      </c>
      <c r="AJ19" s="14">
        <v>46082</v>
      </c>
      <c r="AK19" t="s">
        <v>163</v>
      </c>
      <c r="AL19" s="1">
        <v>0</v>
      </c>
      <c r="AQ19" s="14">
        <v>46082</v>
      </c>
      <c r="AR19" t="s">
        <v>163</v>
      </c>
    </row>
    <row r="20" spans="1:44" x14ac:dyDescent="0.2">
      <c r="A20" s="14">
        <v>46085</v>
      </c>
      <c r="B20" t="s">
        <v>166</v>
      </c>
      <c r="C20" s="1">
        <v>343000</v>
      </c>
      <c r="X20" s="1" t="e">
        <f>+AVERAGE(X12:X18)</f>
        <v>#DIV/0!</v>
      </c>
      <c r="Y20" s="1" t="e">
        <f>+AVERAGE(Y12:Y18)</f>
        <v>#DIV/0!</v>
      </c>
      <c r="Z20" s="1" t="e">
        <f>+AVERAGE(Z12:Z18)</f>
        <v>#DIV/0!</v>
      </c>
      <c r="AC20" s="1" t="e">
        <f>+AVERAGE(AC12:AC18)</f>
        <v>#DIV/0!</v>
      </c>
      <c r="AD20" s="37" t="e">
        <f>+AC20/X20-1</f>
        <v>#DIV/0!</v>
      </c>
      <c r="AJ20" s="14">
        <v>46085</v>
      </c>
      <c r="AK20" t="s">
        <v>166</v>
      </c>
      <c r="AL20" s="1">
        <v>343000</v>
      </c>
      <c r="AQ20" s="14">
        <v>46085</v>
      </c>
      <c r="AR20" t="s">
        <v>166</v>
      </c>
    </row>
    <row r="21" spans="1:44" x14ac:dyDescent="0.2">
      <c r="A21" s="14">
        <v>46086</v>
      </c>
      <c r="B21" t="s">
        <v>167</v>
      </c>
      <c r="C21" s="1">
        <v>259000</v>
      </c>
      <c r="X21" s="1" t="e">
        <f>+AVERAGE(X12:X15)</f>
        <v>#DIV/0!</v>
      </c>
      <c r="Y21" s="1" t="e">
        <f>+AVERAGE(Y12:Y15)</f>
        <v>#DIV/0!</v>
      </c>
      <c r="Z21" s="1" t="e">
        <f>+AVERAGE(Z12:Z15)</f>
        <v>#DIV/0!</v>
      </c>
      <c r="AJ21" s="14">
        <v>46086</v>
      </c>
      <c r="AK21" t="s">
        <v>167</v>
      </c>
      <c r="AL21" s="1">
        <v>259000</v>
      </c>
      <c r="AQ21" s="14">
        <v>46086</v>
      </c>
      <c r="AR21" t="s">
        <v>167</v>
      </c>
    </row>
    <row r="22" spans="1:44" x14ac:dyDescent="0.2">
      <c r="A22" s="14">
        <v>46087</v>
      </c>
      <c r="B22" t="s">
        <v>168</v>
      </c>
      <c r="C22" s="1">
        <v>0</v>
      </c>
      <c r="AJ22" s="14">
        <v>46087</v>
      </c>
      <c r="AK22" t="s">
        <v>168</v>
      </c>
      <c r="AL22" s="1">
        <v>0</v>
      </c>
      <c r="AQ22" s="14">
        <v>46087</v>
      </c>
      <c r="AR22" t="s">
        <v>168</v>
      </c>
    </row>
    <row r="23" spans="1:44" x14ac:dyDescent="0.2">
      <c r="A23" s="14">
        <v>46083</v>
      </c>
      <c r="B23" t="s">
        <v>164</v>
      </c>
      <c r="C23" s="1">
        <v>60000</v>
      </c>
      <c r="AB23">
        <f>15000*30</f>
        <v>450000</v>
      </c>
      <c r="AJ23" s="14">
        <v>46083</v>
      </c>
      <c r="AK23" t="s">
        <v>164</v>
      </c>
      <c r="AL23" s="1">
        <v>60000</v>
      </c>
      <c r="AQ23" s="14">
        <v>46083</v>
      </c>
      <c r="AR23" t="s">
        <v>164</v>
      </c>
    </row>
    <row r="24" spans="1:44" x14ac:dyDescent="0.2">
      <c r="A24" s="14">
        <v>46084</v>
      </c>
      <c r="B24" t="s">
        <v>165</v>
      </c>
      <c r="C24" s="1">
        <v>169000</v>
      </c>
      <c r="AJ24" s="14">
        <v>46084</v>
      </c>
      <c r="AK24" t="s">
        <v>165</v>
      </c>
      <c r="AL24" s="1">
        <v>169000</v>
      </c>
      <c r="AQ24" s="14">
        <v>46084</v>
      </c>
      <c r="AR24" t="s">
        <v>165</v>
      </c>
    </row>
    <row r="25" spans="1:44" x14ac:dyDescent="0.2">
      <c r="A25" s="14">
        <v>46088</v>
      </c>
      <c r="B25" t="s">
        <v>169</v>
      </c>
      <c r="C25" s="1">
        <v>298500</v>
      </c>
      <c r="AJ25" s="14">
        <v>46088</v>
      </c>
      <c r="AK25" t="s">
        <v>169</v>
      </c>
      <c r="AL25" s="1">
        <v>298500</v>
      </c>
      <c r="AQ25" s="14">
        <v>46088</v>
      </c>
      <c r="AR25" t="s">
        <v>169</v>
      </c>
    </row>
    <row r="26" spans="1:44" x14ac:dyDescent="0.2">
      <c r="A26" s="14">
        <v>46089</v>
      </c>
      <c r="B26" t="s">
        <v>163</v>
      </c>
      <c r="C26" s="1">
        <v>218500</v>
      </c>
      <c r="AJ26" s="14">
        <v>46089</v>
      </c>
      <c r="AK26" t="s">
        <v>163</v>
      </c>
      <c r="AL26" s="1">
        <v>218500</v>
      </c>
      <c r="AQ26" s="14">
        <v>46089</v>
      </c>
      <c r="AR26" t="s">
        <v>163</v>
      </c>
    </row>
  </sheetData>
  <mergeCells count="1">
    <mergeCell ref="X7:Z7"/>
  </mergeCells>
  <conditionalFormatting sqref="X12:X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5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2">
    <tabColor theme="6" tint="0.79998168889431442"/>
  </sheetPr>
  <dimension ref="A1:G18"/>
  <sheetViews>
    <sheetView showGridLines="0" zoomScale="130" zoomScaleNormal="130" workbookViewId="0">
      <pane xSplit="2" ySplit="5" topLeftCell="C6" activePane="bottomRight" state="frozen"/>
      <selection pane="topRight" activeCell="C1" sqref="C1"/>
      <selection pane="bottomLeft" activeCell="A4" sqref="A4"/>
      <selection pane="bottomRight" activeCell="C6" sqref="C6"/>
    </sheetView>
  </sheetViews>
  <sheetFormatPr baseColWidth="10" defaultColWidth="12.5" defaultRowHeight="14.25" x14ac:dyDescent="0.2"/>
  <cols>
    <col min="1" max="1" width="18" customWidth="1"/>
    <col min="2" max="2" width="27.5" bestFit="1" customWidth="1"/>
    <col min="3" max="4" width="12.75" customWidth="1"/>
    <col min="5" max="5" width="11.125" customWidth="1"/>
    <col min="6" max="6" width="15" customWidth="1"/>
  </cols>
  <sheetData>
    <row r="1" spans="1:7" x14ac:dyDescent="0.2">
      <c r="A1" s="27"/>
      <c r="B1" s="27"/>
    </row>
    <row r="2" spans="1:7" x14ac:dyDescent="0.2">
      <c r="A2" s="27"/>
      <c r="B2" s="27"/>
      <c r="F2" s="2"/>
    </row>
    <row r="3" spans="1:7" x14ac:dyDescent="0.2">
      <c r="A3" s="27"/>
      <c r="B3" s="27"/>
    </row>
    <row r="4" spans="1:7" x14ac:dyDescent="0.2">
      <c r="A4" s="27"/>
      <c r="B4" s="27"/>
      <c r="C4" s="6"/>
      <c r="D4" s="6"/>
      <c r="E4" s="6"/>
    </row>
    <row r="5" spans="1:7" ht="28.5" x14ac:dyDescent="0.35">
      <c r="A5" s="23" t="s">
        <v>71</v>
      </c>
      <c r="B5" s="22" t="s">
        <v>221</v>
      </c>
      <c r="C5" s="147" t="s">
        <v>161</v>
      </c>
      <c r="D5" s="149" t="s">
        <v>185</v>
      </c>
      <c r="E5" s="106"/>
    </row>
    <row r="6" spans="1:7" ht="17.25" x14ac:dyDescent="0.35">
      <c r="A6" t="s">
        <v>219</v>
      </c>
      <c r="B6" s="26" t="s">
        <v>222</v>
      </c>
      <c r="C6" s="109" t="s">
        <v>159</v>
      </c>
      <c r="D6" s="148"/>
      <c r="E6" s="106"/>
      <c r="G6" s="2"/>
    </row>
    <row r="7" spans="1:7" ht="17.25" x14ac:dyDescent="0.35">
      <c r="A7" t="s">
        <v>220</v>
      </c>
      <c r="B7" s="28" t="s">
        <v>223</v>
      </c>
      <c r="C7" s="109" t="s">
        <v>160</v>
      </c>
      <c r="D7" s="148"/>
      <c r="E7" s="106"/>
      <c r="G7" s="2"/>
    </row>
    <row r="8" spans="1:7" ht="17.25" x14ac:dyDescent="0.35">
      <c r="A8" s="25"/>
      <c r="B8" s="24" t="s">
        <v>2</v>
      </c>
      <c r="C8" s="108"/>
      <c r="D8" s="191"/>
      <c r="E8" s="106"/>
      <c r="F8" s="7"/>
      <c r="G8" s="2"/>
    </row>
    <row r="9" spans="1:7" ht="17.25" x14ac:dyDescent="0.35">
      <c r="C9" s="144"/>
      <c r="D9" s="107"/>
      <c r="E9" s="106"/>
      <c r="G9" s="2"/>
    </row>
    <row r="10" spans="1:7" ht="17.25" x14ac:dyDescent="0.35">
      <c r="E10" s="106"/>
      <c r="G10" s="2"/>
    </row>
    <row r="11" spans="1:7" ht="17.25" x14ac:dyDescent="0.35">
      <c r="E11" s="106"/>
      <c r="G11" s="2"/>
    </row>
    <row r="12" spans="1:7" ht="17.25" x14ac:dyDescent="0.35">
      <c r="E12" s="106"/>
    </row>
    <row r="13" spans="1:7" ht="17.25" x14ac:dyDescent="0.35">
      <c r="E13" s="106"/>
    </row>
    <row r="14" spans="1:7" ht="17.25" x14ac:dyDescent="0.35">
      <c r="E14" s="106"/>
    </row>
    <row r="15" spans="1:7" ht="17.25" x14ac:dyDescent="0.35">
      <c r="E15" s="106"/>
    </row>
    <row r="16" spans="1:7" ht="17.25" x14ac:dyDescent="0.35">
      <c r="E16" s="106"/>
    </row>
    <row r="17" spans="5:7" ht="17.25" x14ac:dyDescent="0.35">
      <c r="E17" s="106"/>
    </row>
    <row r="18" spans="5:7" ht="17.25" x14ac:dyDescent="0.35">
      <c r="E18" s="106"/>
      <c r="G18" s="2"/>
    </row>
  </sheetData>
  <phoneticPr fontId="15" type="noConversion"/>
  <conditionalFormatting sqref="C6:C7">
    <cfRule type="containsText" dxfId="58" priority="9" operator="containsText" text="Urgente">
      <formula>NOT(ISERROR(SEARCH("Urgente",C6)))</formula>
    </cfRule>
    <cfRule type="containsText" dxfId="57" priority="10" operator="containsText" text="Pagado">
      <formula>NOT(ISERROR(SEARCH("Pagado",C6)))</formula>
    </cfRule>
    <cfRule type="containsText" dxfId="56" priority="11" operator="containsText" text="Congelado">
      <formula>NOT(ISERROR(SEARCH("Congelado",C6)))</formula>
    </cfRule>
    <cfRule type="containsText" dxfId="55" priority="12" operator="containsText" text="corto">
      <formula>NOT(ISERROR(SEARCH("corto",C6)))</formula>
    </cfRule>
  </conditionalFormatting>
  <dataValidations count="1">
    <dataValidation type="list" allowBlank="1" showInputMessage="1" showErrorMessage="1" sqref="C6:C7" xr:uid="{00000000-0002-0000-0A00-000000000000}">
      <formula1>"Pagar Urgente, Pagar Otro mes,Congelado,Pagado,Financiero"</formula1>
    </dataValidation>
  </dataValidations>
  <pageMargins left="0.7" right="0.7" top="0.75" bottom="0.75" header="0.3" footer="0.3"/>
  <pageSetup paperSize="9" orientation="portrait" horizontalDpi="300" verticalDpi="300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23"/>
  <sheetViews>
    <sheetView showGridLines="0" topLeftCell="D1" zoomScale="115" zoomScaleNormal="115" workbookViewId="0">
      <selection activeCell="J1" sqref="J1"/>
    </sheetView>
  </sheetViews>
  <sheetFormatPr baseColWidth="10" defaultRowHeight="14.25" x14ac:dyDescent="0.2"/>
  <cols>
    <col min="1" max="1" width="7.75" customWidth="1"/>
    <col min="2" max="3" width="9.375" bestFit="1" customWidth="1"/>
    <col min="4" max="4" width="8" bestFit="1" customWidth="1"/>
    <col min="5" max="5" width="10.5" customWidth="1"/>
    <col min="6" max="6" width="9" customWidth="1"/>
    <col min="7" max="7" width="10.375" customWidth="1"/>
    <col min="8" max="8" width="9.375" bestFit="1" customWidth="1"/>
    <col min="9" max="9" width="15.625" bestFit="1" customWidth="1"/>
    <col min="10" max="10" width="9.75" customWidth="1"/>
    <col min="11" max="16" width="10.125" customWidth="1"/>
    <col min="17" max="17" width="9.875" customWidth="1"/>
    <col min="18" max="18" width="8.75" customWidth="1"/>
    <col min="19" max="19" width="12.125" customWidth="1"/>
    <col min="21" max="21" width="11.5" bestFit="1" customWidth="1"/>
  </cols>
  <sheetData>
    <row r="1" spans="1:26" ht="27" customHeight="1" x14ac:dyDescent="0.2">
      <c r="A1" s="60"/>
      <c r="B1" s="61" t="s">
        <v>133</v>
      </c>
      <c r="C1" s="61" t="s">
        <v>38</v>
      </c>
      <c r="D1" s="61" t="s">
        <v>0</v>
      </c>
      <c r="E1" s="62" t="s">
        <v>116</v>
      </c>
      <c r="F1" s="62" t="s">
        <v>128</v>
      </c>
      <c r="G1" s="62" t="s">
        <v>131</v>
      </c>
      <c r="H1" s="63" t="s">
        <v>117</v>
      </c>
      <c r="I1" s="63" t="s">
        <v>126</v>
      </c>
      <c r="J1" s="63" t="s">
        <v>118</v>
      </c>
      <c r="K1" s="63" t="s">
        <v>132</v>
      </c>
      <c r="L1" s="63" t="s">
        <v>135</v>
      </c>
      <c r="M1" s="80" t="s">
        <v>140</v>
      </c>
      <c r="N1" s="80" t="s">
        <v>141</v>
      </c>
      <c r="O1" s="64" t="s">
        <v>119</v>
      </c>
      <c r="P1" s="64" t="s">
        <v>139</v>
      </c>
      <c r="Q1" s="64" t="s">
        <v>127</v>
      </c>
      <c r="R1" s="64" t="s">
        <v>129</v>
      </c>
      <c r="S1" s="64" t="s">
        <v>136</v>
      </c>
      <c r="T1" s="64" t="s">
        <v>130</v>
      </c>
      <c r="U1" s="64" t="s">
        <v>137</v>
      </c>
    </row>
    <row r="2" spans="1:26" x14ac:dyDescent="0.2">
      <c r="B2" s="67" t="s">
        <v>134</v>
      </c>
      <c r="C2" s="67">
        <v>43624</v>
      </c>
      <c r="D2" s="68" t="str">
        <f t="shared" ref="D2:D9" si="0">+TEXT(C2,"mmmm")</f>
        <v>junio</v>
      </c>
      <c r="E2" s="69">
        <v>1000000</v>
      </c>
      <c r="F2" s="71"/>
      <c r="G2" s="73">
        <f>IFERROR(Opex9[[#This Row],[Arriendo]]/Opex9[[#This Row],[No. Días Arriendo]],0)</f>
        <v>0</v>
      </c>
      <c r="H2" s="69">
        <v>430</v>
      </c>
      <c r="I2" s="71">
        <v>0</v>
      </c>
      <c r="J2" s="83">
        <v>0</v>
      </c>
      <c r="K2" s="74">
        <f>IFERROR(Opex9[[#This Row],[Gas]]/Opex9[[#This Row],[Consumo (m3)]],0)</f>
        <v>0</v>
      </c>
      <c r="L2" s="84">
        <f>IFERROR(Opex9[[#This Row],[Gas]]/Opex9[[#This Row],[No. Días Arriendo]],0)</f>
        <v>0</v>
      </c>
      <c r="M2" s="70"/>
      <c r="N2" s="81">
        <f>IFERROR(Opex9[[#This Row],[Agua]]/Opex9[[#This Row],[No. Días Arriendo]],0)</f>
        <v>0</v>
      </c>
      <c r="O2" s="70"/>
      <c r="P2" s="70"/>
      <c r="Q2" s="71">
        <f t="shared" ref="Q2:Q20" si="1">+X2</f>
        <v>0</v>
      </c>
      <c r="R2" s="71"/>
      <c r="S2" s="70">
        <f>IFERROR(Opex9[[#This Row],[Energia]]/Opex9[[#This Row],[Consumo
(KhW]],0)</f>
        <v>0</v>
      </c>
      <c r="T2" s="72"/>
      <c r="U2" s="87">
        <f>IFERROR(Opex9[[#This Row],[Energia]]/Opex9[[#This Row],[No. Días Arriendo]],0)</f>
        <v>0</v>
      </c>
    </row>
    <row r="3" spans="1:26" x14ac:dyDescent="0.2">
      <c r="B3" s="67" t="s">
        <v>134</v>
      </c>
      <c r="C3" s="67">
        <v>43654</v>
      </c>
      <c r="D3" s="68" t="str">
        <f t="shared" si="0"/>
        <v>julio</v>
      </c>
      <c r="E3" s="69">
        <v>1000000</v>
      </c>
      <c r="F3" s="71"/>
      <c r="G3" s="73">
        <f>IFERROR(Opex9[[#This Row],[Arriendo]]/Opex9[[#This Row],[No. Días Arriendo]],0)</f>
        <v>0</v>
      </c>
      <c r="H3" s="69">
        <v>88870</v>
      </c>
      <c r="I3" s="71">
        <f t="shared" ref="I3:I11" si="2">+F2</f>
        <v>0</v>
      </c>
      <c r="J3" s="83">
        <v>112</v>
      </c>
      <c r="K3" s="74">
        <f>IFERROR(Opex9[[#This Row],[Gas]]/Opex9[[#This Row],[Consumo (m3)]],0)</f>
        <v>793.48214285714289</v>
      </c>
      <c r="L3" s="84">
        <f>IFERROR(Opex9[[#This Row],[Gas]]/Opex9[[#This Row],[No. Días Arriendo]],0)</f>
        <v>0</v>
      </c>
      <c r="M3" s="70"/>
      <c r="N3" s="81">
        <f>IFERROR(Opex9[[#This Row],[Agua]]/Opex9[[#This Row],[No. Días Arriendo]],0)</f>
        <v>0</v>
      </c>
      <c r="O3" s="70"/>
      <c r="P3" s="70"/>
      <c r="Q3" s="71">
        <f t="shared" si="1"/>
        <v>0</v>
      </c>
      <c r="R3" s="71"/>
      <c r="S3" s="70">
        <f>IFERROR(Opex9[[#This Row],[Energia]]/Opex9[[#This Row],[Consumo
(KhW]],0)</f>
        <v>0</v>
      </c>
      <c r="T3" s="72"/>
      <c r="U3" s="87">
        <f>IFERROR(Opex9[[#This Row],[Energia]]/Opex9[[#This Row],[No. Días Arriendo]],0)</f>
        <v>0</v>
      </c>
    </row>
    <row r="4" spans="1:26" x14ac:dyDescent="0.2">
      <c r="B4" s="67" t="s">
        <v>134</v>
      </c>
      <c r="C4" s="67">
        <v>43685</v>
      </c>
      <c r="D4" s="68" t="str">
        <f t="shared" si="0"/>
        <v>agosto</v>
      </c>
      <c r="E4" s="69">
        <v>1000000</v>
      </c>
      <c r="F4" s="71"/>
      <c r="G4" s="73">
        <f>IFERROR(Opex9[[#This Row],[Arriendo]]/Opex9[[#This Row],[No. Días Arriendo]],0)</f>
        <v>0</v>
      </c>
      <c r="H4" s="69">
        <v>201040</v>
      </c>
      <c r="I4" s="71">
        <f t="shared" si="2"/>
        <v>0</v>
      </c>
      <c r="J4" s="83">
        <v>233</v>
      </c>
      <c r="K4" s="74">
        <f>IFERROR(Opex9[[#This Row],[Gas]]/Opex9[[#This Row],[Consumo (m3)]],0)</f>
        <v>862.83261802575112</v>
      </c>
      <c r="L4" s="84">
        <f>IFERROR(Opex9[[#This Row],[Gas]]/Opex9[[#This Row],[No. Días Arriendo]],0)</f>
        <v>0</v>
      </c>
      <c r="M4" s="70"/>
      <c r="N4" s="81">
        <f>IFERROR(Opex9[[#This Row],[Agua]]/Opex9[[#This Row],[No. Días Arriendo]],0)</f>
        <v>0</v>
      </c>
      <c r="O4" s="70"/>
      <c r="P4" s="70"/>
      <c r="Q4" s="71">
        <f t="shared" si="1"/>
        <v>0</v>
      </c>
      <c r="R4" s="71"/>
      <c r="S4" s="70">
        <f>IFERROR(Opex9[[#This Row],[Energia]]/Opex9[[#This Row],[Consumo
(KhW]],0)</f>
        <v>0</v>
      </c>
      <c r="T4" s="72"/>
      <c r="U4" s="87">
        <f>IFERROR(Opex9[[#This Row],[Energia]]/Opex9[[#This Row],[No. Días Arriendo]],0)</f>
        <v>0</v>
      </c>
    </row>
    <row r="5" spans="1:26" x14ac:dyDescent="0.2">
      <c r="B5" s="67" t="s">
        <v>134</v>
      </c>
      <c r="C5" s="67">
        <v>43715</v>
      </c>
      <c r="D5" s="68" t="str">
        <f t="shared" si="0"/>
        <v>septiembre</v>
      </c>
      <c r="E5" s="69">
        <v>1000000</v>
      </c>
      <c r="F5" s="71"/>
      <c r="G5" s="73">
        <f>IFERROR(Opex9[[#This Row],[Arriendo]]/Opex9[[#This Row],[No. Días Arriendo]],0)</f>
        <v>0</v>
      </c>
      <c r="H5" s="69">
        <v>177990</v>
      </c>
      <c r="I5" s="71">
        <f t="shared" si="2"/>
        <v>0</v>
      </c>
      <c r="J5" s="83">
        <v>209</v>
      </c>
      <c r="K5" s="74">
        <f>IFERROR(Opex9[[#This Row],[Gas]]/Opex9[[#This Row],[Consumo (m3)]],0)</f>
        <v>851.62679425837325</v>
      </c>
      <c r="L5" s="84">
        <f>IFERROR(Opex9[[#This Row],[Gas]]/Opex9[[#This Row],[No. Días Arriendo]],0)</f>
        <v>0</v>
      </c>
      <c r="M5" s="70"/>
      <c r="N5" s="81">
        <f>IFERROR(Opex9[[#This Row],[Agua]]/Opex9[[#This Row],[No. Días Arriendo]],0)</f>
        <v>0</v>
      </c>
      <c r="O5" s="70"/>
      <c r="P5" s="70"/>
      <c r="Q5" s="71">
        <f t="shared" si="1"/>
        <v>0</v>
      </c>
      <c r="R5" s="71"/>
      <c r="S5" s="70">
        <f>IFERROR(Opex9[[#This Row],[Energia]]/Opex9[[#This Row],[Consumo
(KhW]],0)</f>
        <v>0</v>
      </c>
      <c r="T5" s="72"/>
      <c r="U5" s="87">
        <f>IFERROR(Opex9[[#This Row],[Energia]]/Opex9[[#This Row],[No. Días Arriendo]],0)</f>
        <v>0</v>
      </c>
    </row>
    <row r="6" spans="1:26" x14ac:dyDescent="0.2">
      <c r="B6" s="67" t="s">
        <v>134</v>
      </c>
      <c r="C6" s="67">
        <v>43745</v>
      </c>
      <c r="D6" s="68" t="str">
        <f t="shared" si="0"/>
        <v>octubre</v>
      </c>
      <c r="E6" s="69">
        <v>1000000</v>
      </c>
      <c r="F6" s="71"/>
      <c r="G6" s="73">
        <f>IFERROR(Opex9[[#This Row],[Arriendo]]/Opex9[[#This Row],[No. Días Arriendo]],0)</f>
        <v>0</v>
      </c>
      <c r="H6" s="69">
        <v>174280</v>
      </c>
      <c r="I6" s="71">
        <f t="shared" si="2"/>
        <v>0</v>
      </c>
      <c r="J6" s="83">
        <v>201</v>
      </c>
      <c r="K6" s="74">
        <f>IFERROR(Opex9[[#This Row],[Gas]]/Opex9[[#This Row],[Consumo (m3)]],0)</f>
        <v>867.06467661691545</v>
      </c>
      <c r="L6" s="84">
        <f>IFERROR(Opex9[[#This Row],[Gas]]/Opex9[[#This Row],[No. Días Arriendo]],0)</f>
        <v>0</v>
      </c>
      <c r="M6" s="70"/>
      <c r="N6" s="81">
        <f>IFERROR(Opex9[[#This Row],[Agua]]/Opex9[[#This Row],[No. Días Arriendo]],0)</f>
        <v>0</v>
      </c>
      <c r="O6" s="70"/>
      <c r="P6" s="70"/>
      <c r="Q6" s="71">
        <f t="shared" si="1"/>
        <v>0</v>
      </c>
      <c r="R6" s="71"/>
      <c r="S6" s="70">
        <f>IFERROR(Opex9[[#This Row],[Energia]]/Opex9[[#This Row],[Consumo
(KhW]],0)</f>
        <v>0</v>
      </c>
      <c r="T6" s="72"/>
      <c r="U6" s="87">
        <f>IFERROR(Opex9[[#This Row],[Energia]]/Opex9[[#This Row],[No. Días Arriendo]],0)</f>
        <v>0</v>
      </c>
    </row>
    <row r="7" spans="1:26" x14ac:dyDescent="0.2">
      <c r="B7" s="67" t="s">
        <v>134</v>
      </c>
      <c r="C7" s="67">
        <v>43777</v>
      </c>
      <c r="D7" s="68" t="str">
        <f t="shared" si="0"/>
        <v>noviembre</v>
      </c>
      <c r="E7" s="69">
        <v>1000000</v>
      </c>
      <c r="F7" s="71"/>
      <c r="G7" s="73">
        <f>IFERROR(Opex9[[#This Row],[Arriendo]]/Opex9[[#This Row],[No. Días Arriendo]],0)</f>
        <v>0</v>
      </c>
      <c r="H7" s="69">
        <v>181790</v>
      </c>
      <c r="I7" s="71">
        <f t="shared" si="2"/>
        <v>0</v>
      </c>
      <c r="J7" s="83">
        <v>201</v>
      </c>
      <c r="K7" s="74">
        <f>IFERROR(Opex9[[#This Row],[Gas]]/Opex9[[#This Row],[Consumo (m3)]],0)</f>
        <v>904.42786069651743</v>
      </c>
      <c r="L7" s="84">
        <f>IFERROR(Opex9[[#This Row],[Gas]]/Opex9[[#This Row],[No. Días Arriendo]],0)</f>
        <v>0</v>
      </c>
      <c r="M7" s="70"/>
      <c r="N7" s="81">
        <f>IFERROR(Opex9[[#This Row],[Agua]]/Opex9[[#This Row],[No. Días Arriendo]],0)</f>
        <v>0</v>
      </c>
      <c r="O7" s="70"/>
      <c r="P7" s="70"/>
      <c r="Q7" s="71">
        <f t="shared" si="1"/>
        <v>0</v>
      </c>
      <c r="R7" s="145">
        <v>805</v>
      </c>
      <c r="S7" s="70">
        <f>IFERROR(Opex9[[#This Row],[Energia]]/Opex9[[#This Row],[Consumo
(KhW]],0)</f>
        <v>0</v>
      </c>
      <c r="T7" s="72"/>
      <c r="U7" s="87">
        <f>IFERROR(Opex9[[#This Row],[Energia]]/Opex9[[#This Row],[No. Días Arriendo]],0)</f>
        <v>0</v>
      </c>
    </row>
    <row r="8" spans="1:26" x14ac:dyDescent="0.2">
      <c r="B8" s="67" t="s">
        <v>134</v>
      </c>
      <c r="C8" s="67">
        <v>43806</v>
      </c>
      <c r="D8" s="68" t="str">
        <f t="shared" si="0"/>
        <v>diciembre</v>
      </c>
      <c r="E8" s="69">
        <v>1000000</v>
      </c>
      <c r="F8" s="71">
        <v>31</v>
      </c>
      <c r="G8" s="73">
        <f>IFERROR(Opex9[[#This Row],[Arriendo]]/Opex9[[#This Row],[No. Días Arriendo]],0)</f>
        <v>32258.064516129034</v>
      </c>
      <c r="H8" s="69">
        <v>161900</v>
      </c>
      <c r="I8" s="71">
        <f t="shared" si="2"/>
        <v>0</v>
      </c>
      <c r="J8" s="83">
        <v>187</v>
      </c>
      <c r="K8" s="74">
        <f>IFERROR(Opex9[[#This Row],[Gas]]/Opex9[[#This Row],[Consumo (m3)]],0)</f>
        <v>865.77540106951869</v>
      </c>
      <c r="L8" s="84">
        <f>IFERROR(Opex9[[#This Row],[Gas]]/Opex9[[#This Row],[No. Días Arriendo]],0)</f>
        <v>5222.5806451612907</v>
      </c>
      <c r="M8" s="70">
        <v>150000</v>
      </c>
      <c r="N8" s="81">
        <f>IFERROR(Opex9[[#This Row],[Agua]]/Opex9[[#This Row],[No. Días Arriendo]],0)</f>
        <v>4838.7096774193551</v>
      </c>
      <c r="O8" s="70">
        <v>0</v>
      </c>
      <c r="P8" s="70"/>
      <c r="Q8" s="71">
        <f t="shared" si="1"/>
        <v>29</v>
      </c>
      <c r="R8" s="145">
        <v>742</v>
      </c>
      <c r="S8" s="70">
        <f>IFERROR(Opex9[[#This Row],[Energia]]/Opex9[[#This Row],[Consumo
(KhW]],0)</f>
        <v>0</v>
      </c>
      <c r="T8" s="65" t="s">
        <v>120</v>
      </c>
      <c r="U8" s="87">
        <f>IFERROR(Opex9[[#This Row],[Energia]]/Opex9[[#This Row],[No. Días Arriendo]],0)</f>
        <v>0</v>
      </c>
      <c r="V8" s="14">
        <v>43790</v>
      </c>
      <c r="W8" s="14">
        <v>43819</v>
      </c>
      <c r="X8" s="59">
        <f t="shared" ref="X8:X20" si="3">+W8-V8</f>
        <v>29</v>
      </c>
      <c r="Z8" s="1">
        <f>+Opex9[[#This Row],[Día Energia]]+Opex9[[#This Row],[Día Gas]]+Opex9[[#This Row],[Día Arriendo]]</f>
        <v>37480.645161290326</v>
      </c>
    </row>
    <row r="9" spans="1:26" x14ac:dyDescent="0.2">
      <c r="B9" s="67" t="s">
        <v>134</v>
      </c>
      <c r="C9" s="67">
        <v>43839</v>
      </c>
      <c r="D9" s="68" t="str">
        <f t="shared" si="0"/>
        <v>enero</v>
      </c>
      <c r="E9" s="69">
        <v>1000000</v>
      </c>
      <c r="F9" s="71">
        <v>31</v>
      </c>
      <c r="G9" s="73">
        <f>IFERROR(Opex9[[#This Row],[Arriendo]]/Opex9[[#This Row],[No. Días Arriendo]],0)</f>
        <v>32258.064516129034</v>
      </c>
      <c r="H9" s="69">
        <v>152570</v>
      </c>
      <c r="I9" s="71">
        <f t="shared" si="2"/>
        <v>31</v>
      </c>
      <c r="J9" s="83">
        <v>168</v>
      </c>
      <c r="K9" s="74">
        <f>IFERROR(Opex9[[#This Row],[Gas]]/Opex9[[#This Row],[Consumo (m3)]],0)</f>
        <v>908.15476190476193</v>
      </c>
      <c r="L9" s="84">
        <f>IFERROR(Opex9[[#This Row],[Gas]]/Opex9[[#This Row],[No. Días Arriendo]],0)</f>
        <v>4921.6129032258068</v>
      </c>
      <c r="M9" s="70">
        <v>150000</v>
      </c>
      <c r="N9" s="81">
        <f>IFERROR(Opex9[[#This Row],[Agua]]/Opex9[[#This Row],[No. Días Arriendo]],0)</f>
        <v>4838.7096774193551</v>
      </c>
      <c r="O9" s="70">
        <v>0</v>
      </c>
      <c r="P9" s="70"/>
      <c r="Q9" s="71">
        <f t="shared" si="1"/>
        <v>33</v>
      </c>
      <c r="R9" s="145">
        <v>775</v>
      </c>
      <c r="S9" s="70">
        <f>IFERROR(Opex9[[#This Row],[Energia]]/Opex9[[#This Row],[Consumo
(KhW]],0)</f>
        <v>0</v>
      </c>
      <c r="T9" s="66" t="s">
        <v>121</v>
      </c>
      <c r="U9" s="87">
        <f>IFERROR(Opex9[[#This Row],[Energia]]/Opex9[[#This Row],[No. Días Arriendo]],0)</f>
        <v>0</v>
      </c>
      <c r="V9" s="14">
        <v>43819</v>
      </c>
      <c r="W9" s="14">
        <v>43852</v>
      </c>
      <c r="X9" s="59">
        <f t="shared" si="3"/>
        <v>33</v>
      </c>
      <c r="Z9" s="1">
        <f>+Opex9[[#This Row],[Día Energia]]+Opex9[[#This Row],[Día Gas]]+Opex9[[#This Row],[Día Arriendo]]</f>
        <v>37179.677419354841</v>
      </c>
    </row>
    <row r="10" spans="1:26" x14ac:dyDescent="0.2">
      <c r="B10" s="67" t="s">
        <v>134</v>
      </c>
      <c r="C10" s="67">
        <v>43868</v>
      </c>
      <c r="D10" s="68" t="str">
        <f>+TEXT(C10,"mmmm")</f>
        <v>febrero</v>
      </c>
      <c r="E10" s="69">
        <v>1000000</v>
      </c>
      <c r="F10" s="71">
        <v>29</v>
      </c>
      <c r="G10" s="73">
        <f>IFERROR(Opex9[[#This Row],[Arriendo]]/Opex9[[#This Row],[No. Días Arriendo]],0)</f>
        <v>34482.758620689652</v>
      </c>
      <c r="H10" s="69">
        <v>155100</v>
      </c>
      <c r="I10" s="71">
        <f t="shared" si="2"/>
        <v>31</v>
      </c>
      <c r="J10" s="83">
        <v>183</v>
      </c>
      <c r="K10" s="74">
        <f>IFERROR(Opex9[[#This Row],[Gas]]/Opex9[[#This Row],[Consumo (m3)]],0)</f>
        <v>847.54098360655735</v>
      </c>
      <c r="L10" s="84">
        <f>IFERROR(Opex9[[#This Row],[Gas]]/Opex9[[#This Row],[No. Días Arriendo]],0)</f>
        <v>5348.2758620689656</v>
      </c>
      <c r="M10" s="70">
        <v>150000</v>
      </c>
      <c r="N10" s="81">
        <f>IFERROR(Opex9[[#This Row],[Agua]]/Opex9[[#This Row],[No. Días Arriendo]],0)</f>
        <v>5172.4137931034484</v>
      </c>
      <c r="O10" s="70">
        <v>0</v>
      </c>
      <c r="P10" s="70"/>
      <c r="Q10" s="71">
        <f t="shared" si="1"/>
        <v>30</v>
      </c>
      <c r="R10" s="145">
        <v>521</v>
      </c>
      <c r="S10" s="70">
        <f>IFERROR(Opex9[[#This Row],[Energia]]/Opex9[[#This Row],[Consumo
(KhW]],0)</f>
        <v>0</v>
      </c>
      <c r="T10" s="65" t="s">
        <v>122</v>
      </c>
      <c r="U10" s="87">
        <f>IFERROR(Opex9[[#This Row],[Energia]]/Opex9[[#This Row],[No. Días Arriendo]],0)</f>
        <v>0</v>
      </c>
      <c r="V10" s="14">
        <v>43851</v>
      </c>
      <c r="W10" s="14">
        <v>43881</v>
      </c>
      <c r="X10" s="59">
        <f t="shared" si="3"/>
        <v>30</v>
      </c>
      <c r="Z10" s="1">
        <f>+Opex9[[#This Row],[Día Energia]]+Opex9[[#This Row],[Día Gas]]+Opex9[[#This Row],[Día Arriendo]]</f>
        <v>39831.034482758616</v>
      </c>
    </row>
    <row r="11" spans="1:26" x14ac:dyDescent="0.2">
      <c r="B11" s="67" t="s">
        <v>134</v>
      </c>
      <c r="C11" s="67">
        <v>43897</v>
      </c>
      <c r="D11" s="68" t="str">
        <f>+TEXT(C11,"mmmm")</f>
        <v>marzo</v>
      </c>
      <c r="E11" s="69">
        <v>1000000</v>
      </c>
      <c r="F11" s="71">
        <v>31</v>
      </c>
      <c r="G11" s="73">
        <f>IFERROR(Opex9[[#This Row],[Arriendo]]/Opex9[[#This Row],[No. Días Arriendo]],0)</f>
        <v>32258.064516129034</v>
      </c>
      <c r="H11" s="69">
        <v>224724</v>
      </c>
      <c r="I11" s="71">
        <f t="shared" si="2"/>
        <v>29</v>
      </c>
      <c r="J11" s="83">
        <v>239</v>
      </c>
      <c r="K11" s="74">
        <f>IFERROR(Opex9[[#This Row],[Gas]]/Opex9[[#This Row],[Consumo (m3)]],0)</f>
        <v>940.26778242677824</v>
      </c>
      <c r="L11" s="84">
        <f>IFERROR(Opex9[[#This Row],[Gas]]/Opex9[[#This Row],[No. Días Arriendo]],0)</f>
        <v>7249.1612903225805</v>
      </c>
      <c r="M11" s="70">
        <v>150000</v>
      </c>
      <c r="N11" s="81">
        <f>IFERROR(Opex9[[#This Row],[Agua]]/Opex9[[#This Row],[No. Días Arriendo]],0)</f>
        <v>4838.7096774193551</v>
      </c>
      <c r="O11" s="70">
        <v>0</v>
      </c>
      <c r="P11" s="70"/>
      <c r="Q11" s="71">
        <f>+X11</f>
        <v>28</v>
      </c>
      <c r="R11" s="145">
        <v>608</v>
      </c>
      <c r="S11" s="70">
        <f>IFERROR(Opex9[[#This Row],[Energia]]/Opex9[[#This Row],[Consumo
(KhW]],0)</f>
        <v>0</v>
      </c>
      <c r="T11" s="66" t="s">
        <v>123</v>
      </c>
      <c r="U11" s="87">
        <f>IFERROR(Opex9[[#This Row],[Energia]]/Opex9[[#This Row],[No. Días Arriendo]],0)</f>
        <v>0</v>
      </c>
      <c r="V11" s="14">
        <v>43881</v>
      </c>
      <c r="W11" s="14">
        <v>43909</v>
      </c>
      <c r="X11" s="59">
        <f t="shared" si="3"/>
        <v>28</v>
      </c>
      <c r="Z11" s="79">
        <f>+Opex9[[#This Row],[Día Energia]]+Opex9[[#This Row],[Día Gas]]+Opex9[[#This Row],[Día Arriendo]]</f>
        <v>39507.225806451614</v>
      </c>
    </row>
    <row r="12" spans="1:26" x14ac:dyDescent="0.2">
      <c r="B12" s="67" t="s">
        <v>134</v>
      </c>
      <c r="C12" s="67">
        <v>43928</v>
      </c>
      <c r="D12" s="68" t="str">
        <f>+TEXT(C12,"mmmm")</f>
        <v>abril</v>
      </c>
      <c r="E12" s="69">
        <v>500000</v>
      </c>
      <c r="F12" s="71">
        <v>30</v>
      </c>
      <c r="G12" s="73">
        <f>IFERROR(Opex9[[#This Row],[Arriendo]]/Opex9[[#This Row],[No. Días Arriendo]],0)</f>
        <v>16666.666666666668</v>
      </c>
      <c r="H12" s="69">
        <v>102730</v>
      </c>
      <c r="I12" s="71">
        <f>+F11</f>
        <v>31</v>
      </c>
      <c r="J12" s="83">
        <v>110</v>
      </c>
      <c r="K12" s="74">
        <f>IFERROR(Opex9[[#This Row],[Gas]]/Opex9[[#This Row],[Consumo (m3)]],0)</f>
        <v>933.90909090909088</v>
      </c>
      <c r="L12" s="84">
        <f>IFERROR(Opex9[[#This Row],[Gas]]/Opex9[[#This Row],[No. Días Arriendo]],0)</f>
        <v>3424.3333333333335</v>
      </c>
      <c r="M12" s="70">
        <v>150000</v>
      </c>
      <c r="N12" s="81">
        <f>IFERROR(Opex9[[#This Row],[Agua]]/Opex9[[#This Row],[No. Días Arriendo]],0)</f>
        <v>5000</v>
      </c>
      <c r="O12" s="70">
        <v>0</v>
      </c>
      <c r="P12" s="70"/>
      <c r="Q12" s="71">
        <f t="shared" si="1"/>
        <v>33</v>
      </c>
      <c r="R12" s="145">
        <v>757</v>
      </c>
      <c r="S12" s="70">
        <f>IFERROR(Opex9[[#This Row],[Energia]]/Opex9[[#This Row],[Consumo
(KhW]],0)</f>
        <v>0</v>
      </c>
      <c r="T12" s="65" t="s">
        <v>124</v>
      </c>
      <c r="U12" s="87">
        <f>IFERROR(Opex9[[#This Row],[Energia]]/Opex9[[#This Row],[No. Días Arriendo]],0)</f>
        <v>0</v>
      </c>
      <c r="V12" s="14">
        <v>43909</v>
      </c>
      <c r="W12" s="14">
        <v>43942</v>
      </c>
      <c r="X12" s="59">
        <f t="shared" si="3"/>
        <v>33</v>
      </c>
      <c r="Z12" s="1">
        <f>+Opex9[[#This Row],[Día Energia]]+Opex9[[#This Row],[Día Gas]]+Opex9[[#This Row],[Día Arriendo]]</f>
        <v>20091</v>
      </c>
    </row>
    <row r="13" spans="1:26" x14ac:dyDescent="0.2">
      <c r="B13" s="67" t="s">
        <v>134</v>
      </c>
      <c r="C13" s="90">
        <v>43959</v>
      </c>
      <c r="D13" s="91" t="str">
        <f>+TEXT(C13,"mmmm")</f>
        <v>mayo</v>
      </c>
      <c r="E13" s="92">
        <v>500000</v>
      </c>
      <c r="F13" s="93">
        <v>31</v>
      </c>
      <c r="G13" s="94">
        <f>IFERROR(Opex9[[#This Row],[Arriendo]]/Opex9[[#This Row],[No. Días Arriendo]],0)</f>
        <v>16129.032258064517</v>
      </c>
      <c r="H13" s="92">
        <v>220770</v>
      </c>
      <c r="I13" s="93">
        <f>+F12</f>
        <v>30</v>
      </c>
      <c r="J13" s="95">
        <v>221</v>
      </c>
      <c r="K13" s="96">
        <f>IFERROR(Opex9[[#This Row],[Gas]]/Opex9[[#This Row],[Consumo (m3)]],0)</f>
        <v>998.95927601809956</v>
      </c>
      <c r="L13" s="97">
        <f>IFERROR(Opex9[[#This Row],[Gas]]/Opex9[[#This Row],[No. Días Arriendo]],0)</f>
        <v>7121.6129032258068</v>
      </c>
      <c r="M13" s="98">
        <v>70000</v>
      </c>
      <c r="N13" s="99">
        <f>IFERROR(Opex9[[#This Row],[Agua]]/Opex9[[#This Row],[No. Días Arriendo]],0)</f>
        <v>2258.0645161290322</v>
      </c>
      <c r="O13" s="98">
        <v>0</v>
      </c>
      <c r="P13" s="98">
        <v>0</v>
      </c>
      <c r="Q13" s="93">
        <f t="shared" si="1"/>
        <v>29</v>
      </c>
      <c r="R13" s="146">
        <v>713</v>
      </c>
      <c r="S13" s="98">
        <f>IFERROR(Opex9[[#This Row],[Energia]]/Opex9[[#This Row],[Consumo
(KhW]],0)</f>
        <v>0</v>
      </c>
      <c r="T13" s="100" t="s">
        <v>125</v>
      </c>
      <c r="U13" s="101">
        <f>IFERROR(Opex9[[#This Row],[Energia]]/Opex9[[#This Row],[No. Días Arriendo]],0)</f>
        <v>0</v>
      </c>
      <c r="V13" s="14">
        <v>43942</v>
      </c>
      <c r="W13" s="14">
        <v>43971</v>
      </c>
      <c r="X13" s="59">
        <f t="shared" si="3"/>
        <v>29</v>
      </c>
      <c r="Z13" s="1">
        <f>+Opex9[[#This Row],[Día Energia]]+Opex9[[#This Row],[Día Gas]]+Opex9[[#This Row],[Día Arriendo]]</f>
        <v>23250.645161290326</v>
      </c>
    </row>
    <row r="14" spans="1:26" x14ac:dyDescent="0.2">
      <c r="B14" s="75" t="s">
        <v>72</v>
      </c>
      <c r="C14" s="75">
        <v>43990</v>
      </c>
      <c r="D14" s="75" t="str">
        <f>+TEXT(C14,"mmmm")</f>
        <v>junio</v>
      </c>
      <c r="E14" s="76">
        <v>500000</v>
      </c>
      <c r="F14" s="82">
        <v>30</v>
      </c>
      <c r="G14" s="73">
        <f>IFERROR(Opex9[[#This Row],[Arriendo]]/Opex9[[#This Row],[No. Días Arriendo]],0)</f>
        <v>16666.666666666668</v>
      </c>
      <c r="H14" s="76">
        <v>234638</v>
      </c>
      <c r="I14" s="77">
        <f>+F13</f>
        <v>31</v>
      </c>
      <c r="J14" s="77">
        <f>+AVERAGE(J11/I11,J12/I12,J13/I13)*Opex9[[#This Row],[No. Días Gas]]</f>
        <v>197.9498084291188</v>
      </c>
      <c r="K14" s="76">
        <f>+AVERAGE(K11:K13)</f>
        <v>957.71204978465619</v>
      </c>
      <c r="L14" s="84">
        <f>IFERROR(Opex9[[#This Row],[Gas]]/Opex9[[#This Row],[No. Días Arriendo]],0)</f>
        <v>7821.2666666666664</v>
      </c>
      <c r="M14" s="76">
        <v>70000</v>
      </c>
      <c r="N14" s="81">
        <f>IFERROR(Opex9[[#This Row],[Agua]]/Opex9[[#This Row],[No. Días Arriendo]],0)</f>
        <v>2333.3333333333335</v>
      </c>
      <c r="O14" s="76">
        <v>220800</v>
      </c>
      <c r="P14" s="76">
        <v>109770</v>
      </c>
      <c r="Q14" s="82">
        <f t="shared" si="1"/>
        <v>30</v>
      </c>
      <c r="R14" s="77" t="e">
        <f t="shared" ref="R14:R20" si="4">+AVERAGE($O$11/S11,$O$12/S12,$O$13/S13)</f>
        <v>#DIV/0!</v>
      </c>
      <c r="S14" s="76">
        <f t="shared" ref="S14:S19" si="5">+AVERAGE(S11:S13)</f>
        <v>0</v>
      </c>
      <c r="T14" s="75" t="s">
        <v>138</v>
      </c>
      <c r="U14" s="87">
        <f>IFERROR(Opex9[[#This Row],[Energia]]/Opex9[[#This Row],[No. Días Arriendo]],0)</f>
        <v>7360</v>
      </c>
      <c r="V14" s="14">
        <v>43971</v>
      </c>
      <c r="W14" s="14">
        <v>44001</v>
      </c>
      <c r="X14" s="59">
        <f t="shared" si="3"/>
        <v>30</v>
      </c>
      <c r="Z14" s="1">
        <f>+Opex9[[#This Row],[Día Energia]]+Opex9[[#This Row],[Día Gas]]+Opex9[[#This Row],[Día Arriendo]]</f>
        <v>31847.933333333334</v>
      </c>
    </row>
    <row r="15" spans="1:26" x14ac:dyDescent="0.2">
      <c r="B15" s="75" t="s">
        <v>72</v>
      </c>
      <c r="C15" s="67">
        <v>44020</v>
      </c>
      <c r="D15" s="67" t="str">
        <f t="shared" ref="D15:D20" si="6">+TEXT(C15,"mmmm")</f>
        <v>julio</v>
      </c>
      <c r="E15" s="69">
        <v>500000</v>
      </c>
      <c r="F15" s="83">
        <v>31</v>
      </c>
      <c r="G15" s="73">
        <f>IFERROR(Opex9[[#This Row],[Arriendo]]/Opex9[[#This Row],[No. Días Arriendo]],0)</f>
        <v>16129.032258064517</v>
      </c>
      <c r="H15" s="69">
        <f>+Opex9[[#This Row],[Consumo (m3)]]*Opex9[[#This Row],[Costo prom. Gas]]</f>
        <v>166695.25807223705</v>
      </c>
      <c r="I15" s="83">
        <f t="shared" ref="I15:I20" si="7">+F14</f>
        <v>30</v>
      </c>
      <c r="J15" s="71">
        <f>+AVERAGE(J12/I12,J13/I13,J14/I14)*Opex9[[#This Row],[No. Días Gas]]</f>
        <v>173.00531454702758</v>
      </c>
      <c r="K15" s="69">
        <f t="shared" ref="K15:K20" si="8">+AVERAGE(K12:K14)</f>
        <v>963.52680557061558</v>
      </c>
      <c r="L15" s="84">
        <f>IFERROR(Opex9[[#This Row],[Gas]]/Opex9[[#This Row],[No. Días Arriendo]],0)</f>
        <v>5377.2663894270017</v>
      </c>
      <c r="M15" s="69">
        <v>110000</v>
      </c>
      <c r="N15" s="81">
        <f>IFERROR(Opex9[[#This Row],[Agua]]/Opex9[[#This Row],[No. Días Arriendo]],0)</f>
        <v>3548.3870967741937</v>
      </c>
      <c r="O15" s="69">
        <v>220800</v>
      </c>
      <c r="P15" s="69">
        <v>367415</v>
      </c>
      <c r="Q15" s="83">
        <f t="shared" si="1"/>
        <v>30</v>
      </c>
      <c r="R15" s="71" t="e">
        <f t="shared" si="4"/>
        <v>#DIV/0!</v>
      </c>
      <c r="S15" s="70">
        <f t="shared" si="5"/>
        <v>0</v>
      </c>
      <c r="T15" s="85" t="s">
        <v>87</v>
      </c>
      <c r="U15" s="87">
        <f>IFERROR(Opex9[[#This Row],[Energia]]/Opex9[[#This Row],[No. Días Arriendo]],0)</f>
        <v>7122.5806451612907</v>
      </c>
      <c r="V15" s="14">
        <f t="shared" ref="V15:V21" si="9">+V14+30</f>
        <v>44001</v>
      </c>
      <c r="W15" s="14">
        <f t="shared" ref="W15:W20" si="10">+V16</f>
        <v>44031</v>
      </c>
      <c r="X15" s="59">
        <f t="shared" si="3"/>
        <v>30</v>
      </c>
      <c r="Z15" s="1">
        <f>+Opex9[[#This Row],[Día Energia]]+Opex9[[#This Row],[Día Gas]]+Opex9[[#This Row],[Día Arriendo]]</f>
        <v>28628.879292652811</v>
      </c>
    </row>
    <row r="16" spans="1:26" x14ac:dyDescent="0.2">
      <c r="B16" s="75" t="s">
        <v>72</v>
      </c>
      <c r="C16" s="75">
        <v>44051</v>
      </c>
      <c r="D16" s="75" t="str">
        <f t="shared" si="6"/>
        <v>agosto</v>
      </c>
      <c r="E16" s="76">
        <v>500000</v>
      </c>
      <c r="F16" s="82">
        <v>31</v>
      </c>
      <c r="G16" s="73">
        <f>IFERROR(Opex9[[#This Row],[Arriendo]]/Opex9[[#This Row],[No. Días Arriendo]],0)</f>
        <v>16129.032258064517</v>
      </c>
      <c r="H16" s="76">
        <f>+Opex9[[#This Row],[Consumo (m3)]]*Opex9[[#This Row],[Costo prom. Gas]]</f>
        <v>196330.96630535743</v>
      </c>
      <c r="I16" s="82">
        <f t="shared" si="7"/>
        <v>31</v>
      </c>
      <c r="J16" s="77">
        <f>+AVERAGE(J13/I13,J14/I14,J15/I15)*Opex9[[#This Row],[No. Días Gas]]</f>
        <v>201.69621115368241</v>
      </c>
      <c r="K16" s="76">
        <f t="shared" si="8"/>
        <v>973.39937712445715</v>
      </c>
      <c r="L16" s="84">
        <f>IFERROR(Opex9[[#This Row],[Gas]]/Opex9[[#This Row],[No. Días Arriendo]],0)</f>
        <v>6333.2569775921756</v>
      </c>
      <c r="M16" s="76">
        <v>110000</v>
      </c>
      <c r="N16" s="81">
        <f>IFERROR(Opex9[[#This Row],[Agua]]/Opex9[[#This Row],[No. Días Arriendo]],0)</f>
        <v>3548.3870967741937</v>
      </c>
      <c r="O16" s="76">
        <f>+O15</f>
        <v>220800</v>
      </c>
      <c r="P16" s="76">
        <v>367415</v>
      </c>
      <c r="Q16" s="82">
        <f t="shared" si="1"/>
        <v>30</v>
      </c>
      <c r="R16" s="77" t="e">
        <f t="shared" si="4"/>
        <v>#DIV/0!</v>
      </c>
      <c r="S16" s="78">
        <f t="shared" si="5"/>
        <v>0</v>
      </c>
      <c r="T16" s="86" t="s">
        <v>87</v>
      </c>
      <c r="U16" s="87">
        <f>IFERROR(Opex9[[#This Row],[Energia]]/Opex9[[#This Row],[No. Días Arriendo]],0)</f>
        <v>7122.5806451612907</v>
      </c>
      <c r="V16" s="14">
        <f t="shared" si="9"/>
        <v>44031</v>
      </c>
      <c r="W16" s="14">
        <f t="shared" si="10"/>
        <v>44061</v>
      </c>
      <c r="X16" s="59">
        <f t="shared" si="3"/>
        <v>30</v>
      </c>
      <c r="Z16" s="1">
        <f>+Opex9[[#This Row],[Día Energia]]+Opex9[[#This Row],[Día Gas]]+Opex9[[#This Row],[Día Arriendo]]</f>
        <v>29584.869880817983</v>
      </c>
    </row>
    <row r="17" spans="2:26" x14ac:dyDescent="0.2">
      <c r="B17" s="75" t="s">
        <v>72</v>
      </c>
      <c r="C17" s="67">
        <v>44082</v>
      </c>
      <c r="D17" s="67" t="str">
        <f t="shared" si="6"/>
        <v>septiembre</v>
      </c>
      <c r="E17" s="69">
        <v>500000</v>
      </c>
      <c r="F17" s="83">
        <v>30</v>
      </c>
      <c r="G17" s="73">
        <f>IFERROR(Opex9[[#This Row],[Arriendo]]/Opex9[[#This Row],[No. Días Arriendo]],0)</f>
        <v>16666.666666666668</v>
      </c>
      <c r="H17" s="69">
        <f>+Opex9[[#This Row],[Consumo (m3)]]*Opex9[[#This Row],[Costo prom. Gas]]</f>
        <v>186034.59691663631</v>
      </c>
      <c r="I17" s="83">
        <f t="shared" si="7"/>
        <v>31</v>
      </c>
      <c r="J17" s="71">
        <f>+AVERAGE(J14/I14,J15/I15,J16/I16)*Opex9[[#This Row],[No. Días Gas]]</f>
        <v>192.80605931602102</v>
      </c>
      <c r="K17" s="69">
        <f t="shared" si="8"/>
        <v>964.87941082657642</v>
      </c>
      <c r="L17" s="84">
        <f>IFERROR(Opex9[[#This Row],[Gas]]/Opex9[[#This Row],[No. Días Arriendo]],0)</f>
        <v>6201.1532305545434</v>
      </c>
      <c r="M17" s="69">
        <v>110000</v>
      </c>
      <c r="N17" s="81">
        <f>IFERROR(Opex9[[#This Row],[Agua]]/Opex9[[#This Row],[No. Días Arriendo]],0)</f>
        <v>3666.6666666666665</v>
      </c>
      <c r="O17" s="69">
        <f>+O16</f>
        <v>220800</v>
      </c>
      <c r="P17" s="69">
        <v>0</v>
      </c>
      <c r="Q17" s="83">
        <f t="shared" si="1"/>
        <v>30</v>
      </c>
      <c r="R17" s="71" t="e">
        <f t="shared" si="4"/>
        <v>#DIV/0!</v>
      </c>
      <c r="S17" s="70">
        <f t="shared" si="5"/>
        <v>0</v>
      </c>
      <c r="T17" s="85" t="s">
        <v>87</v>
      </c>
      <c r="U17" s="87">
        <f>IFERROR(Opex9[[#This Row],[Energia]]/Opex9[[#This Row],[No. Días Arriendo]],0)</f>
        <v>7360</v>
      </c>
      <c r="V17" s="14">
        <f t="shared" si="9"/>
        <v>44061</v>
      </c>
      <c r="W17" s="14">
        <f t="shared" si="10"/>
        <v>44091</v>
      </c>
      <c r="X17" s="59">
        <f t="shared" si="3"/>
        <v>30</v>
      </c>
      <c r="Z17" s="1">
        <f>+Opex9[[#This Row],[Día Energia]]+Opex9[[#This Row],[Día Gas]]+Opex9[[#This Row],[Día Arriendo]]</f>
        <v>30227.819897221212</v>
      </c>
    </row>
    <row r="18" spans="2:26" x14ac:dyDescent="0.2">
      <c r="B18" s="75" t="s">
        <v>72</v>
      </c>
      <c r="C18" s="75">
        <v>44112</v>
      </c>
      <c r="D18" s="75" t="str">
        <f t="shared" si="6"/>
        <v>octubre</v>
      </c>
      <c r="E18" s="76">
        <v>500000</v>
      </c>
      <c r="F18" s="82">
        <v>31</v>
      </c>
      <c r="G18" s="73">
        <f>IFERROR(Opex9[[#This Row],[Arriendo]]/Opex9[[#This Row],[No. Días Arriendo]],0)</f>
        <v>16129.032258064517</v>
      </c>
      <c r="H18" s="76">
        <f>+Opex9[[#This Row],[Consumo (m3)]]*Opex9[[#This Row],[Costo prom. Gas]]</f>
        <v>178874.29507701407</v>
      </c>
      <c r="I18" s="82">
        <f t="shared" si="7"/>
        <v>30</v>
      </c>
      <c r="J18" s="77">
        <f>+AVERAGE(J15/I15,J16/I16,J17/I17)*Opex9[[#This Row],[No. Días Gas]]</f>
        <v>184.92723510805331</v>
      </c>
      <c r="K18" s="76">
        <f t="shared" si="8"/>
        <v>967.26853117388316</v>
      </c>
      <c r="L18" s="84">
        <f>IFERROR(Opex9[[#This Row],[Gas]]/Opex9[[#This Row],[No. Días Arriendo]],0)</f>
        <v>5770.138550871422</v>
      </c>
      <c r="M18" s="76">
        <v>110000</v>
      </c>
      <c r="N18" s="81">
        <f>IFERROR(Opex9[[#This Row],[Agua]]/Opex9[[#This Row],[No. Días Arriendo]],0)</f>
        <v>3548.3870967741937</v>
      </c>
      <c r="O18" s="76">
        <f>+O17</f>
        <v>220800</v>
      </c>
      <c r="P18" s="76">
        <v>0</v>
      </c>
      <c r="Q18" s="82">
        <f t="shared" si="1"/>
        <v>30</v>
      </c>
      <c r="R18" s="77" t="e">
        <f t="shared" si="4"/>
        <v>#DIV/0!</v>
      </c>
      <c r="S18" s="78">
        <f t="shared" si="5"/>
        <v>0</v>
      </c>
      <c r="T18" s="86" t="s">
        <v>87</v>
      </c>
      <c r="U18" s="87">
        <f>IFERROR(Opex9[[#This Row],[Energia]]/Opex9[[#This Row],[No. Días Arriendo]],0)</f>
        <v>7122.5806451612907</v>
      </c>
      <c r="V18" s="14">
        <f t="shared" si="9"/>
        <v>44091</v>
      </c>
      <c r="W18" s="14">
        <f t="shared" si="10"/>
        <v>44121</v>
      </c>
      <c r="X18" s="59">
        <f t="shared" si="3"/>
        <v>30</v>
      </c>
      <c r="Z18" s="1">
        <f>+Opex9[[#This Row],[Día Energia]]+Opex9[[#This Row],[Día Gas]]+Opex9[[#This Row],[Día Arriendo]]</f>
        <v>29021.75145409723</v>
      </c>
    </row>
    <row r="19" spans="2:26" x14ac:dyDescent="0.2">
      <c r="B19" s="75" t="s">
        <v>72</v>
      </c>
      <c r="C19" s="67">
        <v>44143</v>
      </c>
      <c r="D19" s="67" t="str">
        <f t="shared" si="6"/>
        <v>noviembre</v>
      </c>
      <c r="E19" s="69">
        <v>500000</v>
      </c>
      <c r="F19" s="83">
        <v>30</v>
      </c>
      <c r="G19" s="73">
        <f>IFERROR(Opex9[[#This Row],[Arriendo]]/Opex9[[#This Row],[No. Días Arriendo]],0)</f>
        <v>16666.666666666668</v>
      </c>
      <c r="H19" s="69">
        <f>+Opex9[[#This Row],[Consumo (m3)]]*Opex9[[#This Row],[Costo prom. Gas]]</f>
        <v>189052.26010667114</v>
      </c>
      <c r="I19" s="83">
        <f t="shared" si="7"/>
        <v>31</v>
      </c>
      <c r="J19" s="71">
        <f>+AVERAGE(J16/I16,J17/I17,J18/I18)*Opex9[[#This Row],[No. Días Gas]]</f>
        <v>195.19791558267508</v>
      </c>
      <c r="K19" s="69">
        <f t="shared" si="8"/>
        <v>968.51577304163891</v>
      </c>
      <c r="L19" s="84">
        <f>IFERROR(Opex9[[#This Row],[Gas]]/Opex9[[#This Row],[No. Días Arriendo]],0)</f>
        <v>6301.7420035557043</v>
      </c>
      <c r="M19" s="69">
        <v>110000</v>
      </c>
      <c r="N19" s="81">
        <f>IFERROR(Opex9[[#This Row],[Agua]]/Opex9[[#This Row],[No. Días Arriendo]],0)</f>
        <v>3666.6666666666665</v>
      </c>
      <c r="O19" s="69">
        <f>+O18</f>
        <v>220800</v>
      </c>
      <c r="P19" s="69">
        <v>0</v>
      </c>
      <c r="Q19" s="83">
        <f t="shared" si="1"/>
        <v>30</v>
      </c>
      <c r="R19" s="71" t="e">
        <f t="shared" si="4"/>
        <v>#DIV/0!</v>
      </c>
      <c r="S19" s="70">
        <f t="shared" si="5"/>
        <v>0</v>
      </c>
      <c r="T19" s="85" t="s">
        <v>87</v>
      </c>
      <c r="U19" s="87">
        <f>IFERROR(Opex9[[#This Row],[Energia]]/Opex9[[#This Row],[No. Días Arriendo]],0)</f>
        <v>7360</v>
      </c>
      <c r="V19" s="14">
        <f t="shared" si="9"/>
        <v>44121</v>
      </c>
      <c r="W19" s="14">
        <f t="shared" si="10"/>
        <v>44151</v>
      </c>
      <c r="X19" s="59">
        <f t="shared" si="3"/>
        <v>30</v>
      </c>
      <c r="Z19" s="1">
        <f>+Opex9[[#This Row],[Día Energia]]+Opex9[[#This Row],[Día Gas]]+Opex9[[#This Row],[Día Arriendo]]</f>
        <v>30328.408670222372</v>
      </c>
    </row>
    <row r="20" spans="2:26" x14ac:dyDescent="0.2">
      <c r="B20" s="75" t="s">
        <v>72</v>
      </c>
      <c r="C20" s="75">
        <v>44173</v>
      </c>
      <c r="D20" s="75" t="str">
        <f t="shared" si="6"/>
        <v>diciembre</v>
      </c>
      <c r="E20" s="76">
        <v>500000</v>
      </c>
      <c r="F20" s="82">
        <v>31</v>
      </c>
      <c r="G20" s="73">
        <f>IFERROR(Opex9[[#This Row],[Arriendo]]/Opex9[[#This Row],[No. Días Arriendo]],0)</f>
        <v>16129.032258064517</v>
      </c>
      <c r="H20" s="76">
        <f>+Opex9[[#This Row],[Consumo (m3)]]*Opex9[[#This Row],[Costo prom. Gas]]</f>
        <v>180619.47986829127</v>
      </c>
      <c r="I20" s="82">
        <f t="shared" si="7"/>
        <v>30</v>
      </c>
      <c r="J20" s="77">
        <f>+AVERAGE(J17/I17,J18/I18,J19/I19)*Opex9[[#This Row],[No. Días Gas]]</f>
        <v>186.80498425065093</v>
      </c>
      <c r="K20" s="76">
        <f t="shared" si="8"/>
        <v>966.88790501403275</v>
      </c>
      <c r="L20" s="84">
        <f>IFERROR(Opex9[[#This Row],[Gas]]/Opex9[[#This Row],[No. Días Arriendo]],0)</f>
        <v>5826.4348344610089</v>
      </c>
      <c r="M20" s="76">
        <v>110000</v>
      </c>
      <c r="N20" s="81">
        <f>IFERROR(Opex9[[#This Row],[Agua]]/Opex9[[#This Row],[No. Días Arriendo]],0)</f>
        <v>3548.3870967741937</v>
      </c>
      <c r="O20" s="76">
        <f>+O19</f>
        <v>220800</v>
      </c>
      <c r="P20" s="76">
        <v>0</v>
      </c>
      <c r="Q20" s="82">
        <f t="shared" si="1"/>
        <v>30</v>
      </c>
      <c r="R20" s="77" t="e">
        <f t="shared" si="4"/>
        <v>#DIV/0!</v>
      </c>
      <c r="S20" s="78">
        <f>+AVERAGE(S17:S19)</f>
        <v>0</v>
      </c>
      <c r="T20" s="86" t="s">
        <v>87</v>
      </c>
      <c r="U20" s="87">
        <f>IFERROR(Opex9[[#This Row],[Energia]]/Opex9[[#This Row],[No. Días Arriendo]],0)</f>
        <v>7122.5806451612907</v>
      </c>
      <c r="V20" s="14">
        <f t="shared" si="9"/>
        <v>44151</v>
      </c>
      <c r="W20" s="14">
        <f t="shared" si="10"/>
        <v>44181</v>
      </c>
      <c r="X20" s="59">
        <f t="shared" si="3"/>
        <v>30</v>
      </c>
      <c r="Z20" s="1">
        <f>+Opex9[[#This Row],[Día Energia]]+Opex9[[#This Row],[Día Gas]]+Opex9[[#This Row],[Día Arriendo]]</f>
        <v>29078.047737686815</v>
      </c>
    </row>
    <row r="21" spans="2:26" x14ac:dyDescent="0.2">
      <c r="V21" s="14">
        <f t="shared" si="9"/>
        <v>44181</v>
      </c>
      <c r="W21" s="14"/>
    </row>
    <row r="23" spans="2:26" x14ac:dyDescent="0.2">
      <c r="H23" s="104" t="s">
        <v>147</v>
      </c>
      <c r="I23" s="104">
        <v>240000</v>
      </c>
      <c r="J23" s="105">
        <f>20000*5</f>
        <v>100000</v>
      </c>
      <c r="K23" s="105">
        <f>+J23*4</f>
        <v>400000</v>
      </c>
      <c r="P23" s="144"/>
    </row>
  </sheetData>
  <conditionalFormatting sqref="K2:K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:S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verticalDpi="300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95E17582-FCB4-4579-86A8-9A39549FE84C}">
  <ds:schemaRefs>
    <ds:schemaRef ds:uri="http://schemas.microsoft.com/PowerBIAddIn"/>
  </ds:schemaRefs>
</ds:datastoreItem>
</file>

<file path=customXml/itemProps2.xml><?xml version="1.0" encoding="utf-8"?>
<ds:datastoreItem xmlns:ds="http://schemas.openxmlformats.org/officeDocument/2006/customXml" ds:itemID="{1825DA2F-3DA2-40CF-A06D-8919E24EB8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3</vt:i4>
      </vt:variant>
    </vt:vector>
  </HeadingPairs>
  <TitlesOfParts>
    <vt:vector size="14" baseType="lpstr">
      <vt:lpstr>Inicio</vt:lpstr>
      <vt:lpstr>OPEX_VE</vt:lpstr>
      <vt:lpstr>Historia</vt:lpstr>
      <vt:lpstr>Forecast</vt:lpstr>
      <vt:lpstr>products</vt:lpstr>
      <vt:lpstr>sales</vt:lpstr>
      <vt:lpstr>Opex</vt:lpstr>
      <vt:lpstr>Activos</vt:lpstr>
      <vt:lpstr>Ingresos</vt:lpstr>
      <vt:lpstr>Cuentas x Pagar</vt:lpstr>
      <vt:lpstr>Opex (2)</vt:lpstr>
      <vt:lpstr>Activos!Cuentas_x_pagar</vt:lpstr>
      <vt:lpstr>'Opex (2)'!Cuentas_x_pagar</vt:lpstr>
      <vt:lpstr>Cuentas_x_pagar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Edwin Torres</cp:lastModifiedBy>
  <dcterms:created xsi:type="dcterms:W3CDTF">2019-09-06T01:50:47Z</dcterms:created>
  <dcterms:modified xsi:type="dcterms:W3CDTF">2026-03-09T17:04:03Z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9b6d71cd-2b5e-4780-9b96-17447e341d22</vt:lpwstr>
  </property>
  <property fmtid="{D5CDD505-2E9C-101B-9397-08002B2CF9AE}" pid="3" name="ConnectionInfosStorage">
    <vt:lpwstr>WorkbookXmlParts</vt:lpwstr>
  </property>
</Properties>
</file>